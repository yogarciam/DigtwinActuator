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OVANI\Downloads\Frailejon\2025_1\Polytech\Final_comparition\DatosConsolidados\Consolidate_final_results_1_sine_3.6kg_60mm F\Processing\"/>
    </mc:Choice>
  </mc:AlternateContent>
  <xr:revisionPtr revIDLastSave="0" documentId="8_{60A9DB03-0E38-4549-91D9-DD0397207DD6}" xr6:coauthVersionLast="47" xr6:coauthVersionMax="47" xr10:uidLastSave="{00000000-0000-0000-0000-000000000000}"/>
  <bookViews>
    <workbookView xWindow="-108" yWindow="-108" windowWidth="23256" windowHeight="12456" activeTab="2" xr2:uid="{375DF27E-C1FE-4A54-BA7E-0A7B864493B1}"/>
  </bookViews>
  <sheets>
    <sheet name="Datos_app" sheetId="1" r:id="rId1"/>
    <sheet name="Resultados" sheetId="13" r:id="rId2"/>
    <sheet name="Promedios" sheetId="15" r:id="rId3"/>
    <sheet name="ErroresEstandar" sheetId="16" r:id="rId4"/>
  </sheets>
  <definedNames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21" i="16" l="1"/>
  <c r="I121" i="15"/>
  <c r="H121" i="16"/>
  <c r="H121" i="15"/>
  <c r="G121" i="16"/>
  <c r="G121" i="15"/>
  <c r="F121" i="16"/>
  <c r="F121" i="15"/>
  <c r="E121" i="16"/>
  <c r="E121" i="15"/>
  <c r="D121" i="16"/>
  <c r="D121" i="15"/>
  <c r="C121" i="16"/>
  <c r="C121" i="15"/>
  <c r="B121" i="16"/>
  <c r="B121" i="15"/>
  <c r="A121" i="16"/>
  <c r="A121" i="15"/>
  <c r="I120" i="16"/>
  <c r="I120" i="15"/>
  <c r="H120" i="16"/>
  <c r="H120" i="15"/>
  <c r="G120" i="16"/>
  <c r="G120" i="15"/>
  <c r="F120" i="16"/>
  <c r="F120" i="15"/>
  <c r="E120" i="16"/>
  <c r="E120" i="15"/>
  <c r="D120" i="16"/>
  <c r="D120" i="15"/>
  <c r="C120" i="16"/>
  <c r="C120" i="15"/>
  <c r="B120" i="16"/>
  <c r="B120" i="15"/>
  <c r="A120" i="16"/>
  <c r="A120" i="15"/>
  <c r="I119" i="16"/>
  <c r="I119" i="15"/>
  <c r="H119" i="16"/>
  <c r="H119" i="15"/>
  <c r="G119" i="16"/>
  <c r="G119" i="15"/>
  <c r="F119" i="16"/>
  <c r="F119" i="15"/>
  <c r="E119" i="16"/>
  <c r="E119" i="15"/>
  <c r="D119" i="16"/>
  <c r="D119" i="15"/>
  <c r="C119" i="16"/>
  <c r="C119" i="15"/>
  <c r="B119" i="16"/>
  <c r="B119" i="15"/>
  <c r="A119" i="16"/>
  <c r="A119" i="15"/>
  <c r="I118" i="16"/>
  <c r="I118" i="15"/>
  <c r="H118" i="16"/>
  <c r="H118" i="15"/>
  <c r="G118" i="16"/>
  <c r="G118" i="15"/>
  <c r="F118" i="16"/>
  <c r="F118" i="15"/>
  <c r="E118" i="16"/>
  <c r="E118" i="15"/>
  <c r="D118" i="16"/>
  <c r="D118" i="15"/>
  <c r="C118" i="16"/>
  <c r="C118" i="15"/>
  <c r="B118" i="16"/>
  <c r="B118" i="15"/>
  <c r="A118" i="16"/>
  <c r="A118" i="15"/>
  <c r="I117" i="16"/>
  <c r="I117" i="15"/>
  <c r="H117" i="16"/>
  <c r="H117" i="15"/>
  <c r="G117" i="16"/>
  <c r="G117" i="15"/>
  <c r="F117" i="16"/>
  <c r="F117" i="15"/>
  <c r="E117" i="16"/>
  <c r="E117" i="15"/>
  <c r="D117" i="16"/>
  <c r="D117" i="15"/>
  <c r="C117" i="16"/>
  <c r="C117" i="15"/>
  <c r="B117" i="16"/>
  <c r="B117" i="15"/>
  <c r="A117" i="16"/>
  <c r="A117" i="15"/>
  <c r="I116" i="16"/>
  <c r="I116" i="15"/>
  <c r="H116" i="16"/>
  <c r="H116" i="15"/>
  <c r="G116" i="16"/>
  <c r="G116" i="15"/>
  <c r="F116" i="16"/>
  <c r="F116" i="15"/>
  <c r="E116" i="16"/>
  <c r="E116" i="15"/>
  <c r="D116" i="16"/>
  <c r="D116" i="15"/>
  <c r="C116" i="16"/>
  <c r="C116" i="15"/>
  <c r="B116" i="16"/>
  <c r="B116" i="15"/>
  <c r="A116" i="16"/>
  <c r="A116" i="15"/>
  <c r="I115" i="16"/>
  <c r="I115" i="15"/>
  <c r="H115" i="16"/>
  <c r="H115" i="15"/>
  <c r="G115" i="16"/>
  <c r="G115" i="15"/>
  <c r="F115" i="16"/>
  <c r="F115" i="15"/>
  <c r="E115" i="16"/>
  <c r="E115" i="15"/>
  <c r="D115" i="16"/>
  <c r="D115" i="15"/>
  <c r="C115" i="16"/>
  <c r="C115" i="15"/>
  <c r="B115" i="16"/>
  <c r="B115" i="15"/>
  <c r="A115" i="16"/>
  <c r="A115" i="15"/>
  <c r="I114" i="16"/>
  <c r="I114" i="15"/>
  <c r="H114" i="16"/>
  <c r="H114" i="15"/>
  <c r="G114" i="16"/>
  <c r="G114" i="15"/>
  <c r="F114" i="16"/>
  <c r="F114" i="15"/>
  <c r="E114" i="16"/>
  <c r="E114" i="15"/>
  <c r="D114" i="16"/>
  <c r="D114" i="15"/>
  <c r="C114" i="16"/>
  <c r="C114" i="15"/>
  <c r="B114" i="16"/>
  <c r="B114" i="15"/>
  <c r="A114" i="16"/>
  <c r="A114" i="15"/>
  <c r="I113" i="16"/>
  <c r="I113" i="15"/>
  <c r="H113" i="16"/>
  <c r="H113" i="15"/>
  <c r="G113" i="16"/>
  <c r="G113" i="15"/>
  <c r="F113" i="16"/>
  <c r="F113" i="15"/>
  <c r="E113" i="16"/>
  <c r="E113" i="15"/>
  <c r="D113" i="16"/>
  <c r="D113" i="15"/>
  <c r="C113" i="16"/>
  <c r="C113" i="15"/>
  <c r="B113" i="16"/>
  <c r="B113" i="15"/>
  <c r="A113" i="16"/>
  <c r="A113" i="15"/>
  <c r="I112" i="16"/>
  <c r="I112" i="15"/>
  <c r="H112" i="16"/>
  <c r="H112" i="15"/>
  <c r="G112" i="16"/>
  <c r="G112" i="15"/>
  <c r="F112" i="16"/>
  <c r="F112" i="15"/>
  <c r="E112" i="16"/>
  <c r="E112" i="15"/>
  <c r="D112" i="16"/>
  <c r="D112" i="15"/>
  <c r="C112" i="16"/>
  <c r="C112" i="15"/>
  <c r="B112" i="16"/>
  <c r="B112" i="15"/>
  <c r="A112" i="16"/>
  <c r="A112" i="15"/>
  <c r="I111" i="16"/>
  <c r="I111" i="15"/>
  <c r="H111" i="16"/>
  <c r="H111" i="15"/>
  <c r="G111" i="16"/>
  <c r="G111" i="15"/>
  <c r="F111" i="16"/>
  <c r="F111" i="15"/>
  <c r="E111" i="16"/>
  <c r="E111" i="15"/>
  <c r="D111" i="16"/>
  <c r="D111" i="15"/>
  <c r="C111" i="16"/>
  <c r="C111" i="15"/>
  <c r="B111" i="16"/>
  <c r="B111" i="15"/>
  <c r="A111" i="16"/>
  <c r="A111" i="15"/>
  <c r="I110" i="16"/>
  <c r="I110" i="15"/>
  <c r="H110" i="16"/>
  <c r="H110" i="15"/>
  <c r="G110" i="16"/>
  <c r="G110" i="15"/>
  <c r="F110" i="16"/>
  <c r="F110" i="15"/>
  <c r="E110" i="16"/>
  <c r="E110" i="15"/>
  <c r="D110" i="16"/>
  <c r="D110" i="15"/>
  <c r="C110" i="16"/>
  <c r="C110" i="15"/>
  <c r="B110" i="16"/>
  <c r="B110" i="15"/>
  <c r="A110" i="16"/>
  <c r="A110" i="15"/>
  <c r="I109" i="16"/>
  <c r="I109" i="15"/>
  <c r="H109" i="16"/>
  <c r="H109" i="15"/>
  <c r="G109" i="16"/>
  <c r="G109" i="15"/>
  <c r="F109" i="16"/>
  <c r="F109" i="15"/>
  <c r="E109" i="16"/>
  <c r="E109" i="15"/>
  <c r="D109" i="16"/>
  <c r="D109" i="15"/>
  <c r="C109" i="16"/>
  <c r="C109" i="15"/>
  <c r="B109" i="16"/>
  <c r="B109" i="15"/>
  <c r="A109" i="16"/>
  <c r="A109" i="15"/>
  <c r="I108" i="16"/>
  <c r="I108" i="15"/>
  <c r="H108" i="16"/>
  <c r="H108" i="15"/>
  <c r="G108" i="16"/>
  <c r="G108" i="15"/>
  <c r="F108" i="16"/>
  <c r="F108" i="15"/>
  <c r="E108" i="16"/>
  <c r="E108" i="15"/>
  <c r="D108" i="16"/>
  <c r="D108" i="15"/>
  <c r="C108" i="16"/>
  <c r="C108" i="15"/>
  <c r="B108" i="16"/>
  <c r="B108" i="15"/>
  <c r="A108" i="16"/>
  <c r="A108" i="15"/>
  <c r="I107" i="16"/>
  <c r="I107" i="15"/>
  <c r="H107" i="16"/>
  <c r="H107" i="15"/>
  <c r="G107" i="16"/>
  <c r="G107" i="15"/>
  <c r="F107" i="16"/>
  <c r="F107" i="15"/>
  <c r="E107" i="16"/>
  <c r="E107" i="15"/>
  <c r="D107" i="16"/>
  <c r="D107" i="15"/>
  <c r="C107" i="16"/>
  <c r="C107" i="15"/>
  <c r="B107" i="16"/>
  <c r="B107" i="15"/>
  <c r="A107" i="16"/>
  <c r="A107" i="15"/>
  <c r="I106" i="16"/>
  <c r="I106" i="15"/>
  <c r="H106" i="16"/>
  <c r="H106" i="15"/>
  <c r="G106" i="16"/>
  <c r="G106" i="15"/>
  <c r="F106" i="16"/>
  <c r="F106" i="15"/>
  <c r="E106" i="16"/>
  <c r="E106" i="15"/>
  <c r="D106" i="16"/>
  <c r="D106" i="15"/>
  <c r="C106" i="16"/>
  <c r="C106" i="15"/>
  <c r="B106" i="16"/>
  <c r="B106" i="15"/>
  <c r="A106" i="16"/>
  <c r="A106" i="15"/>
  <c r="I105" i="16"/>
  <c r="I105" i="15"/>
  <c r="H105" i="16"/>
  <c r="H105" i="15"/>
  <c r="G105" i="16"/>
  <c r="G105" i="15"/>
  <c r="F105" i="16"/>
  <c r="F105" i="15"/>
  <c r="E105" i="16"/>
  <c r="E105" i="15"/>
  <c r="D105" i="16"/>
  <c r="D105" i="15"/>
  <c r="C105" i="16"/>
  <c r="C105" i="15"/>
  <c r="B105" i="16"/>
  <c r="B105" i="15"/>
  <c r="A105" i="16"/>
  <c r="A105" i="15"/>
  <c r="I104" i="16"/>
  <c r="I104" i="15"/>
  <c r="H104" i="16"/>
  <c r="H104" i="15"/>
  <c r="G104" i="16"/>
  <c r="G104" i="15"/>
  <c r="F104" i="16"/>
  <c r="F104" i="15"/>
  <c r="E104" i="16"/>
  <c r="E104" i="15"/>
  <c r="D104" i="16"/>
  <c r="D104" i="15"/>
  <c r="C104" i="16"/>
  <c r="C104" i="15"/>
  <c r="B104" i="16"/>
  <c r="B104" i="15"/>
  <c r="A104" i="16"/>
  <c r="A104" i="15"/>
  <c r="I103" i="16"/>
  <c r="I103" i="15"/>
  <c r="H103" i="16"/>
  <c r="H103" i="15"/>
  <c r="G103" i="16"/>
  <c r="G103" i="15"/>
  <c r="F103" i="16"/>
  <c r="F103" i="15"/>
  <c r="E103" i="16"/>
  <c r="E103" i="15"/>
  <c r="D103" i="16"/>
  <c r="D103" i="15"/>
  <c r="C103" i="16"/>
  <c r="C103" i="15"/>
  <c r="B103" i="16"/>
  <c r="B103" i="15"/>
  <c r="A103" i="16"/>
  <c r="A103" i="15"/>
  <c r="I102" i="16"/>
  <c r="I102" i="15"/>
  <c r="H102" i="16"/>
  <c r="H102" i="15"/>
  <c r="G102" i="16"/>
  <c r="G102" i="15"/>
  <c r="F102" i="16"/>
  <c r="F102" i="15"/>
  <c r="E102" i="16"/>
  <c r="E102" i="15"/>
  <c r="D102" i="16"/>
  <c r="D102" i="15"/>
  <c r="C102" i="16"/>
  <c r="C102" i="15"/>
  <c r="B102" i="16"/>
  <c r="B102" i="15"/>
  <c r="A102" i="16"/>
  <c r="A102" i="15"/>
  <c r="I101" i="16"/>
  <c r="I101" i="15"/>
  <c r="H101" i="16"/>
  <c r="H101" i="15"/>
  <c r="G101" i="16"/>
  <c r="G101" i="15"/>
  <c r="F101" i="16"/>
  <c r="F101" i="15"/>
  <c r="E101" i="16"/>
  <c r="E101" i="15"/>
  <c r="D101" i="16"/>
  <c r="D101" i="15"/>
  <c r="C101" i="16"/>
  <c r="C101" i="15"/>
  <c r="B101" i="16"/>
  <c r="B101" i="15"/>
  <c r="A101" i="16"/>
  <c r="A101" i="15"/>
  <c r="I100" i="16"/>
  <c r="I100" i="15"/>
  <c r="H100" i="16"/>
  <c r="H100" i="15"/>
  <c r="G100" i="16"/>
  <c r="G100" i="15"/>
  <c r="F100" i="16"/>
  <c r="F100" i="15"/>
  <c r="E100" i="16"/>
  <c r="E100" i="15"/>
  <c r="D100" i="16"/>
  <c r="D100" i="15"/>
  <c r="C100" i="16"/>
  <c r="C100" i="15"/>
  <c r="B100" i="16"/>
  <c r="B100" i="15"/>
  <c r="A100" i="16"/>
  <c r="A100" i="15"/>
  <c r="I99" i="16"/>
  <c r="I99" i="15"/>
  <c r="H99" i="16"/>
  <c r="H99" i="15"/>
  <c r="G99" i="16"/>
  <c r="G99" i="15"/>
  <c r="F99" i="16"/>
  <c r="F99" i="15"/>
  <c r="E99" i="16"/>
  <c r="E99" i="15"/>
  <c r="D99" i="16"/>
  <c r="D99" i="15"/>
  <c r="C99" i="16"/>
  <c r="C99" i="15"/>
  <c r="B99" i="16"/>
  <c r="B99" i="15"/>
  <c r="A99" i="16"/>
  <c r="A99" i="15"/>
  <c r="I98" i="16"/>
  <c r="I98" i="15"/>
  <c r="H98" i="16"/>
  <c r="H98" i="15"/>
  <c r="G98" i="16"/>
  <c r="G98" i="15"/>
  <c r="F98" i="16"/>
  <c r="F98" i="15"/>
  <c r="E98" i="16"/>
  <c r="E98" i="15"/>
  <c r="D98" i="16"/>
  <c r="D98" i="15"/>
  <c r="C98" i="16"/>
  <c r="C98" i="15"/>
  <c r="B98" i="16"/>
  <c r="B98" i="15"/>
  <c r="A98" i="16"/>
  <c r="A98" i="15"/>
  <c r="I97" i="16"/>
  <c r="I97" i="15"/>
  <c r="H97" i="16"/>
  <c r="H97" i="15"/>
  <c r="G97" i="16"/>
  <c r="G97" i="15"/>
  <c r="F97" i="16"/>
  <c r="F97" i="15"/>
  <c r="E97" i="16"/>
  <c r="E97" i="15"/>
  <c r="D97" i="16"/>
  <c r="D97" i="15"/>
  <c r="C97" i="16"/>
  <c r="C97" i="15"/>
  <c r="B97" i="16"/>
  <c r="B97" i="15"/>
  <c r="A97" i="16"/>
  <c r="A97" i="15"/>
  <c r="I96" i="16"/>
  <c r="I96" i="15"/>
  <c r="H96" i="16"/>
  <c r="H96" i="15"/>
  <c r="G96" i="16"/>
  <c r="G96" i="15"/>
  <c r="F96" i="16"/>
  <c r="F96" i="15"/>
  <c r="E96" i="16"/>
  <c r="E96" i="15"/>
  <c r="D96" i="16"/>
  <c r="D96" i="15"/>
  <c r="C96" i="16"/>
  <c r="C96" i="15"/>
  <c r="B96" i="16"/>
  <c r="B96" i="15"/>
  <c r="A96" i="16"/>
  <c r="A96" i="15"/>
  <c r="I95" i="16"/>
  <c r="I95" i="15"/>
  <c r="H95" i="16"/>
  <c r="H95" i="15"/>
  <c r="G95" i="16"/>
  <c r="G95" i="15"/>
  <c r="F95" i="16"/>
  <c r="F95" i="15"/>
  <c r="E95" i="16"/>
  <c r="E95" i="15"/>
  <c r="D95" i="16"/>
  <c r="D95" i="15"/>
  <c r="C95" i="16"/>
  <c r="C95" i="15"/>
  <c r="B95" i="16"/>
  <c r="B95" i="15"/>
  <c r="A95" i="16"/>
  <c r="A95" i="15"/>
  <c r="I94" i="16"/>
  <c r="I94" i="15"/>
  <c r="H94" i="16"/>
  <c r="H94" i="15"/>
  <c r="G94" i="16"/>
  <c r="G94" i="15"/>
  <c r="F94" i="16"/>
  <c r="F94" i="15"/>
  <c r="E94" i="16"/>
  <c r="E94" i="15"/>
  <c r="D94" i="16"/>
  <c r="D94" i="15"/>
  <c r="C94" i="16"/>
  <c r="C94" i="15"/>
  <c r="B94" i="16"/>
  <c r="B94" i="15"/>
  <c r="A94" i="16"/>
  <c r="A94" i="15"/>
  <c r="I93" i="16"/>
  <c r="I93" i="15"/>
  <c r="H93" i="16"/>
  <c r="H93" i="15"/>
  <c r="G93" i="16"/>
  <c r="G93" i="15"/>
  <c r="F93" i="16"/>
  <c r="F93" i="15"/>
  <c r="E93" i="16"/>
  <c r="E93" i="15"/>
  <c r="D93" i="16"/>
  <c r="D93" i="15"/>
  <c r="C93" i="16"/>
  <c r="C93" i="15"/>
  <c r="B93" i="16"/>
  <c r="B93" i="15"/>
  <c r="A93" i="16"/>
  <c r="A93" i="15"/>
  <c r="I92" i="16"/>
  <c r="I92" i="15"/>
  <c r="H92" i="16"/>
  <c r="H92" i="15"/>
  <c r="G92" i="16"/>
  <c r="G92" i="15"/>
  <c r="F92" i="16"/>
  <c r="F92" i="15"/>
  <c r="E92" i="16"/>
  <c r="E92" i="15"/>
  <c r="D92" i="16"/>
  <c r="D92" i="15"/>
  <c r="C92" i="16"/>
  <c r="C92" i="15"/>
  <c r="B92" i="16"/>
  <c r="B92" i="15"/>
  <c r="A92" i="16"/>
  <c r="A92" i="15"/>
  <c r="I91" i="16"/>
  <c r="I91" i="15"/>
  <c r="H91" i="16"/>
  <c r="H91" i="15"/>
  <c r="G91" i="16"/>
  <c r="G91" i="15"/>
  <c r="F91" i="16"/>
  <c r="F91" i="15"/>
  <c r="E91" i="16"/>
  <c r="E91" i="15"/>
  <c r="D91" i="16"/>
  <c r="D91" i="15"/>
  <c r="C91" i="16"/>
  <c r="C91" i="15"/>
  <c r="B91" i="16"/>
  <c r="B91" i="15"/>
  <c r="A91" i="16"/>
  <c r="A91" i="15"/>
  <c r="I90" i="16"/>
  <c r="I90" i="15"/>
  <c r="H90" i="16"/>
  <c r="H90" i="15"/>
  <c r="G90" i="16"/>
  <c r="G90" i="15"/>
  <c r="F90" i="16"/>
  <c r="F90" i="15"/>
  <c r="E90" i="16"/>
  <c r="E90" i="15"/>
  <c r="D90" i="16"/>
  <c r="D90" i="15"/>
  <c r="C90" i="16"/>
  <c r="C90" i="15"/>
  <c r="B90" i="16"/>
  <c r="B90" i="15"/>
  <c r="A90" i="16"/>
  <c r="A90" i="15"/>
  <c r="I89" i="16"/>
  <c r="I89" i="15"/>
  <c r="H89" i="16"/>
  <c r="H89" i="15"/>
  <c r="G89" i="16"/>
  <c r="G89" i="15"/>
  <c r="F89" i="16"/>
  <c r="F89" i="15"/>
  <c r="E89" i="16"/>
  <c r="E89" i="15"/>
  <c r="D89" i="16"/>
  <c r="D89" i="15"/>
  <c r="C89" i="16"/>
  <c r="C89" i="15"/>
  <c r="B89" i="16"/>
  <c r="B89" i="15"/>
  <c r="A89" i="16"/>
  <c r="A89" i="15"/>
  <c r="I88" i="16"/>
  <c r="I88" i="15"/>
  <c r="H88" i="16"/>
  <c r="H88" i="15"/>
  <c r="G88" i="16"/>
  <c r="G88" i="15"/>
  <c r="F88" i="16"/>
  <c r="F88" i="15"/>
  <c r="E88" i="16"/>
  <c r="E88" i="15"/>
  <c r="D88" i="16"/>
  <c r="D88" i="15"/>
  <c r="C88" i="16"/>
  <c r="C88" i="15"/>
  <c r="B88" i="16"/>
  <c r="B88" i="15"/>
  <c r="A88" i="16"/>
  <c r="A88" i="15"/>
  <c r="I87" i="16"/>
  <c r="I87" i="15"/>
  <c r="H87" i="16"/>
  <c r="H87" i="15"/>
  <c r="G87" i="16"/>
  <c r="G87" i="15"/>
  <c r="F87" i="16"/>
  <c r="F87" i="15"/>
  <c r="E87" i="16"/>
  <c r="E87" i="15"/>
  <c r="D87" i="16"/>
  <c r="D87" i="15"/>
  <c r="C87" i="16"/>
  <c r="C87" i="15"/>
  <c r="B87" i="16"/>
  <c r="B87" i="15"/>
  <c r="A87" i="16"/>
  <c r="A87" i="15"/>
  <c r="I86" i="16"/>
  <c r="I86" i="15"/>
  <c r="H86" i="16"/>
  <c r="H86" i="15"/>
  <c r="G86" i="16"/>
  <c r="G86" i="15"/>
  <c r="F86" i="16"/>
  <c r="F86" i="15"/>
  <c r="E86" i="16"/>
  <c r="E86" i="15"/>
  <c r="D86" i="16"/>
  <c r="D86" i="15"/>
  <c r="C86" i="16"/>
  <c r="C86" i="15"/>
  <c r="B86" i="16"/>
  <c r="B86" i="15"/>
  <c r="A86" i="16"/>
  <c r="A86" i="15"/>
  <c r="I85" i="16"/>
  <c r="I85" i="15"/>
  <c r="H85" i="16"/>
  <c r="H85" i="15"/>
  <c r="G85" i="16"/>
  <c r="G85" i="15"/>
  <c r="F85" i="16"/>
  <c r="F85" i="15"/>
  <c r="E85" i="16"/>
  <c r="E85" i="15"/>
  <c r="D85" i="16"/>
  <c r="D85" i="15"/>
  <c r="C85" i="16"/>
  <c r="C85" i="15"/>
  <c r="B85" i="16"/>
  <c r="B85" i="15"/>
  <c r="A85" i="16"/>
  <c r="A85" i="15"/>
  <c r="I84" i="16"/>
  <c r="I84" i="15"/>
  <c r="H84" i="16"/>
  <c r="H84" i="15"/>
  <c r="G84" i="16"/>
  <c r="G84" i="15"/>
  <c r="F84" i="16"/>
  <c r="F84" i="15"/>
  <c r="E84" i="16"/>
  <c r="E84" i="15"/>
  <c r="D84" i="16"/>
  <c r="D84" i="15"/>
  <c r="C84" i="16"/>
  <c r="C84" i="15"/>
  <c r="B84" i="16"/>
  <c r="B84" i="15"/>
  <c r="A84" i="16"/>
  <c r="A84" i="15"/>
  <c r="I83" i="16"/>
  <c r="I83" i="15"/>
  <c r="H83" i="16"/>
  <c r="H83" i="15"/>
  <c r="G83" i="16"/>
  <c r="G83" i="15"/>
  <c r="F83" i="16"/>
  <c r="F83" i="15"/>
  <c r="E83" i="16"/>
  <c r="E83" i="15"/>
  <c r="D83" i="16"/>
  <c r="D83" i="15"/>
  <c r="C83" i="16"/>
  <c r="C83" i="15"/>
  <c r="B83" i="16"/>
  <c r="B83" i="15"/>
  <c r="A83" i="16"/>
  <c r="A83" i="15"/>
  <c r="I82" i="16"/>
  <c r="I82" i="15"/>
  <c r="H82" i="16"/>
  <c r="H82" i="15"/>
  <c r="G82" i="16"/>
  <c r="G82" i="15"/>
  <c r="F82" i="16"/>
  <c r="F82" i="15"/>
  <c r="E82" i="16"/>
  <c r="E82" i="15"/>
  <c r="D82" i="16"/>
  <c r="D82" i="15"/>
  <c r="C82" i="16"/>
  <c r="C82" i="15"/>
  <c r="B82" i="16"/>
  <c r="B82" i="15"/>
  <c r="A82" i="16"/>
  <c r="A82" i="15"/>
  <c r="I81" i="16"/>
  <c r="I81" i="15"/>
  <c r="H81" i="16"/>
  <c r="H81" i="15"/>
  <c r="G81" i="16"/>
  <c r="G81" i="15"/>
  <c r="F81" i="16"/>
  <c r="F81" i="15"/>
  <c r="E81" i="16"/>
  <c r="E81" i="15"/>
  <c r="D81" i="16"/>
  <c r="D81" i="15"/>
  <c r="C81" i="16"/>
  <c r="C81" i="15"/>
  <c r="B81" i="16"/>
  <c r="B81" i="15"/>
  <c r="A81" i="16"/>
  <c r="A81" i="15"/>
  <c r="I80" i="16"/>
  <c r="I80" i="15"/>
  <c r="H80" i="16"/>
  <c r="H80" i="15"/>
  <c r="G80" i="16"/>
  <c r="G80" i="15"/>
  <c r="F80" i="16"/>
  <c r="F80" i="15"/>
  <c r="E80" i="16"/>
  <c r="E80" i="15"/>
  <c r="D80" i="16"/>
  <c r="D80" i="15"/>
  <c r="C80" i="16"/>
  <c r="C80" i="15"/>
  <c r="B80" i="16"/>
  <c r="B80" i="15"/>
  <c r="A80" i="16"/>
  <c r="A80" i="15"/>
  <c r="I79" i="16"/>
  <c r="I79" i="15"/>
  <c r="H79" i="16"/>
  <c r="H79" i="15"/>
  <c r="G79" i="16"/>
  <c r="G79" i="15"/>
  <c r="F79" i="16"/>
  <c r="F79" i="15"/>
  <c r="E79" i="16"/>
  <c r="E79" i="15"/>
  <c r="D79" i="16"/>
  <c r="D79" i="15"/>
  <c r="C79" i="16"/>
  <c r="C79" i="15"/>
  <c r="B79" i="16"/>
  <c r="B79" i="15"/>
  <c r="A79" i="16"/>
  <c r="A79" i="15"/>
  <c r="I78" i="16"/>
  <c r="I78" i="15"/>
  <c r="H78" i="16"/>
  <c r="H78" i="15"/>
  <c r="G78" i="16"/>
  <c r="G78" i="15"/>
  <c r="F78" i="16"/>
  <c r="F78" i="15"/>
  <c r="E78" i="16"/>
  <c r="E78" i="15"/>
  <c r="D78" i="16"/>
  <c r="D78" i="15"/>
  <c r="C78" i="16"/>
  <c r="C78" i="15"/>
  <c r="B78" i="16"/>
  <c r="B78" i="15"/>
  <c r="A78" i="16"/>
  <c r="A78" i="15"/>
  <c r="I77" i="16"/>
  <c r="I77" i="15"/>
  <c r="H77" i="16"/>
  <c r="H77" i="15"/>
  <c r="G77" i="16"/>
  <c r="G77" i="15"/>
  <c r="F77" i="16"/>
  <c r="F77" i="15"/>
  <c r="E77" i="16"/>
  <c r="E77" i="15"/>
  <c r="D77" i="16"/>
  <c r="D77" i="15"/>
  <c r="C77" i="16"/>
  <c r="C77" i="15"/>
  <c r="B77" i="16"/>
  <c r="B77" i="15"/>
  <c r="A77" i="16"/>
  <c r="A77" i="15"/>
  <c r="I76" i="16"/>
  <c r="I76" i="15"/>
  <c r="H76" i="16"/>
  <c r="H76" i="15"/>
  <c r="G76" i="16"/>
  <c r="G76" i="15"/>
  <c r="F76" i="16"/>
  <c r="F76" i="15"/>
  <c r="E76" i="16"/>
  <c r="E76" i="15"/>
  <c r="D76" i="16"/>
  <c r="D76" i="15"/>
  <c r="C76" i="16"/>
  <c r="C76" i="15"/>
  <c r="B76" i="16"/>
  <c r="B76" i="15"/>
  <c r="A76" i="16"/>
  <c r="A76" i="15"/>
  <c r="I75" i="16"/>
  <c r="I75" i="15"/>
  <c r="H75" i="16"/>
  <c r="H75" i="15"/>
  <c r="G75" i="16"/>
  <c r="G75" i="15"/>
  <c r="F75" i="16"/>
  <c r="F75" i="15"/>
  <c r="E75" i="16"/>
  <c r="E75" i="15"/>
  <c r="D75" i="16"/>
  <c r="D75" i="15"/>
  <c r="C75" i="16"/>
  <c r="C75" i="15"/>
  <c r="B75" i="16"/>
  <c r="B75" i="15"/>
  <c r="A75" i="16"/>
  <c r="A75" i="15"/>
  <c r="I74" i="16"/>
  <c r="I74" i="15"/>
  <c r="H74" i="16"/>
  <c r="H74" i="15"/>
  <c r="G74" i="16"/>
  <c r="G74" i="15"/>
  <c r="F74" i="16"/>
  <c r="F74" i="15"/>
  <c r="E74" i="16"/>
  <c r="E74" i="15"/>
  <c r="D74" i="16"/>
  <c r="D74" i="15"/>
  <c r="C74" i="16"/>
  <c r="C74" i="15"/>
  <c r="B74" i="16"/>
  <c r="B74" i="15"/>
  <c r="A74" i="16"/>
  <c r="A74" i="15"/>
  <c r="I73" i="16"/>
  <c r="I73" i="15"/>
  <c r="H73" i="16"/>
  <c r="H73" i="15"/>
  <c r="G73" i="16"/>
  <c r="G73" i="15"/>
  <c r="F73" i="16"/>
  <c r="F73" i="15"/>
  <c r="E73" i="16"/>
  <c r="E73" i="15"/>
  <c r="D73" i="16"/>
  <c r="D73" i="15"/>
  <c r="C73" i="16"/>
  <c r="C73" i="15"/>
  <c r="B73" i="16"/>
  <c r="B73" i="15"/>
  <c r="A73" i="16"/>
  <c r="A73" i="15"/>
  <c r="I72" i="16"/>
  <c r="I72" i="15"/>
  <c r="H72" i="16"/>
  <c r="H72" i="15"/>
  <c r="G72" i="16"/>
  <c r="G72" i="15"/>
  <c r="F72" i="16"/>
  <c r="F72" i="15"/>
  <c r="E72" i="16"/>
  <c r="E72" i="15"/>
  <c r="D72" i="16"/>
  <c r="D72" i="15"/>
  <c r="C72" i="16"/>
  <c r="C72" i="15"/>
  <c r="B72" i="16"/>
  <c r="B72" i="15"/>
  <c r="A72" i="16"/>
  <c r="A72" i="15"/>
  <c r="I71" i="16"/>
  <c r="I71" i="15"/>
  <c r="H71" i="16"/>
  <c r="H71" i="15"/>
  <c r="G71" i="16"/>
  <c r="G71" i="15"/>
  <c r="F71" i="16"/>
  <c r="F71" i="15"/>
  <c r="E71" i="16"/>
  <c r="E71" i="15"/>
  <c r="D71" i="16"/>
  <c r="D71" i="15"/>
  <c r="C71" i="16"/>
  <c r="C71" i="15"/>
  <c r="B71" i="16"/>
  <c r="B71" i="15"/>
  <c r="A71" i="16"/>
  <c r="A71" i="15"/>
  <c r="I70" i="16"/>
  <c r="I70" i="15"/>
  <c r="H70" i="16"/>
  <c r="H70" i="15"/>
  <c r="G70" i="16"/>
  <c r="G70" i="15"/>
  <c r="F70" i="16"/>
  <c r="F70" i="15"/>
  <c r="E70" i="16"/>
  <c r="E70" i="15"/>
  <c r="D70" i="16"/>
  <c r="D70" i="15"/>
  <c r="C70" i="16"/>
  <c r="C70" i="15"/>
  <c r="B70" i="16"/>
  <c r="B70" i="15"/>
  <c r="A70" i="16"/>
  <c r="A70" i="15"/>
  <c r="I69" i="16"/>
  <c r="I69" i="15"/>
  <c r="H69" i="16"/>
  <c r="H69" i="15"/>
  <c r="G69" i="16"/>
  <c r="G69" i="15"/>
  <c r="F69" i="16"/>
  <c r="F69" i="15"/>
  <c r="E69" i="16"/>
  <c r="E69" i="15"/>
  <c r="D69" i="16"/>
  <c r="D69" i="15"/>
  <c r="C69" i="16"/>
  <c r="C69" i="15"/>
  <c r="B69" i="16"/>
  <c r="B69" i="15"/>
  <c r="A69" i="16"/>
  <c r="A69" i="15"/>
  <c r="I68" i="16"/>
  <c r="I68" i="15"/>
  <c r="H68" i="16"/>
  <c r="H68" i="15"/>
  <c r="G68" i="16"/>
  <c r="G68" i="15"/>
  <c r="F68" i="16"/>
  <c r="F68" i="15"/>
  <c r="E68" i="16"/>
  <c r="E68" i="15"/>
  <c r="D68" i="16"/>
  <c r="D68" i="15"/>
  <c r="C68" i="16"/>
  <c r="C68" i="15"/>
  <c r="B68" i="16"/>
  <c r="B68" i="15"/>
  <c r="A68" i="16"/>
  <c r="A68" i="15"/>
  <c r="I67" i="16"/>
  <c r="I67" i="15"/>
  <c r="H67" i="16"/>
  <c r="H67" i="15"/>
  <c r="G67" i="16"/>
  <c r="G67" i="15"/>
  <c r="F67" i="16"/>
  <c r="F67" i="15"/>
  <c r="E67" i="16"/>
  <c r="E67" i="15"/>
  <c r="D67" i="16"/>
  <c r="D67" i="15"/>
  <c r="C67" i="16"/>
  <c r="C67" i="15"/>
  <c r="B67" i="16"/>
  <c r="B67" i="15"/>
  <c r="A67" i="16"/>
  <c r="A67" i="15"/>
  <c r="I66" i="16"/>
  <c r="I66" i="15"/>
  <c r="H66" i="16"/>
  <c r="H66" i="15"/>
  <c r="G66" i="16"/>
  <c r="G66" i="15"/>
  <c r="F66" i="16"/>
  <c r="F66" i="15"/>
  <c r="E66" i="16"/>
  <c r="E66" i="15"/>
  <c r="D66" i="16"/>
  <c r="D66" i="15"/>
  <c r="C66" i="16"/>
  <c r="C66" i="15"/>
  <c r="B66" i="16"/>
  <c r="B66" i="15"/>
  <c r="A66" i="16"/>
  <c r="A66" i="15"/>
  <c r="I65" i="16"/>
  <c r="I65" i="15"/>
  <c r="H65" i="16"/>
  <c r="H65" i="15"/>
  <c r="G65" i="16"/>
  <c r="G65" i="15"/>
  <c r="F65" i="16"/>
  <c r="F65" i="15"/>
  <c r="E65" i="16"/>
  <c r="E65" i="15"/>
  <c r="D65" i="16"/>
  <c r="D65" i="15"/>
  <c r="C65" i="16"/>
  <c r="C65" i="15"/>
  <c r="B65" i="16"/>
  <c r="B65" i="15"/>
  <c r="A65" i="16"/>
  <c r="A65" i="15"/>
  <c r="I64" i="16"/>
  <c r="I64" i="15"/>
  <c r="H64" i="16"/>
  <c r="H64" i="15"/>
  <c r="G64" i="16"/>
  <c r="G64" i="15"/>
  <c r="F64" i="16"/>
  <c r="F64" i="15"/>
  <c r="E64" i="16"/>
  <c r="E64" i="15"/>
  <c r="D64" i="16"/>
  <c r="D64" i="15"/>
  <c r="C64" i="16"/>
  <c r="C64" i="15"/>
  <c r="B64" i="16"/>
  <c r="B64" i="15"/>
  <c r="A64" i="16"/>
  <c r="A64" i="15"/>
  <c r="I63" i="16"/>
  <c r="I63" i="15"/>
  <c r="H63" i="16"/>
  <c r="H63" i="15"/>
  <c r="G63" i="16"/>
  <c r="G63" i="15"/>
  <c r="F63" i="16"/>
  <c r="F63" i="15"/>
  <c r="E63" i="16"/>
  <c r="E63" i="15"/>
  <c r="D63" i="16"/>
  <c r="D63" i="15"/>
  <c r="C63" i="16"/>
  <c r="C63" i="15"/>
  <c r="B63" i="16"/>
  <c r="B63" i="15"/>
  <c r="A63" i="16"/>
  <c r="A63" i="15"/>
  <c r="I62" i="16"/>
  <c r="I62" i="15"/>
  <c r="H62" i="16"/>
  <c r="H62" i="15"/>
  <c r="G62" i="16"/>
  <c r="G62" i="15"/>
  <c r="F62" i="16"/>
  <c r="F62" i="15"/>
  <c r="E62" i="16"/>
  <c r="E62" i="15"/>
  <c r="D62" i="16"/>
  <c r="D62" i="15"/>
  <c r="C62" i="16"/>
  <c r="C62" i="15"/>
  <c r="B62" i="16"/>
  <c r="B62" i="15"/>
  <c r="A62" i="16"/>
  <c r="A62" i="15"/>
  <c r="I61" i="16"/>
  <c r="I61" i="15"/>
  <c r="H61" i="16"/>
  <c r="H61" i="15"/>
  <c r="G61" i="16"/>
  <c r="G61" i="15"/>
  <c r="F61" i="16"/>
  <c r="F61" i="15"/>
  <c r="E61" i="16"/>
  <c r="E61" i="15"/>
  <c r="D61" i="16"/>
  <c r="D61" i="15"/>
  <c r="C61" i="16"/>
  <c r="C61" i="15"/>
  <c r="B61" i="16"/>
  <c r="B61" i="15"/>
  <c r="A61" i="16"/>
  <c r="A61" i="15"/>
  <c r="I60" i="16"/>
  <c r="I60" i="15"/>
  <c r="H60" i="16"/>
  <c r="H60" i="15"/>
  <c r="G60" i="16"/>
  <c r="G60" i="15"/>
  <c r="F60" i="16"/>
  <c r="F60" i="15"/>
  <c r="E60" i="16"/>
  <c r="E60" i="15"/>
  <c r="D60" i="16"/>
  <c r="D60" i="15"/>
  <c r="C60" i="16"/>
  <c r="C60" i="15"/>
  <c r="B60" i="16"/>
  <c r="B60" i="15"/>
  <c r="A60" i="16"/>
  <c r="A60" i="15"/>
  <c r="I59" i="16"/>
  <c r="I59" i="15"/>
  <c r="H59" i="16"/>
  <c r="H59" i="15"/>
  <c r="G59" i="16"/>
  <c r="G59" i="15"/>
  <c r="F59" i="16"/>
  <c r="F59" i="15"/>
  <c r="E59" i="16"/>
  <c r="E59" i="15"/>
  <c r="D59" i="16"/>
  <c r="D59" i="15"/>
  <c r="C59" i="16"/>
  <c r="C59" i="15"/>
  <c r="B59" i="16"/>
  <c r="B59" i="15"/>
  <c r="A59" i="16"/>
  <c r="A59" i="15"/>
  <c r="I58" i="16"/>
  <c r="I58" i="15"/>
  <c r="H58" i="16"/>
  <c r="H58" i="15"/>
  <c r="G58" i="16"/>
  <c r="G58" i="15"/>
  <c r="F58" i="16"/>
  <c r="F58" i="15"/>
  <c r="E58" i="16"/>
  <c r="E58" i="15"/>
  <c r="D58" i="16"/>
  <c r="D58" i="15"/>
  <c r="C58" i="16"/>
  <c r="C58" i="15"/>
  <c r="B58" i="16"/>
  <c r="B58" i="15"/>
  <c r="A58" i="16"/>
  <c r="A58" i="15"/>
  <c r="I57" i="16"/>
  <c r="I57" i="15"/>
  <c r="H57" i="16"/>
  <c r="H57" i="15"/>
  <c r="G57" i="16"/>
  <c r="G57" i="15"/>
  <c r="F57" i="16"/>
  <c r="F57" i="15"/>
  <c r="E57" i="16"/>
  <c r="E57" i="15"/>
  <c r="D57" i="16"/>
  <c r="D57" i="15"/>
  <c r="C57" i="16"/>
  <c r="C57" i="15"/>
  <c r="B57" i="16"/>
  <c r="B57" i="15"/>
  <c r="A57" i="16"/>
  <c r="A57" i="15"/>
  <c r="I56" i="16"/>
  <c r="I56" i="15"/>
  <c r="H56" i="16"/>
  <c r="H56" i="15"/>
  <c r="G56" i="16"/>
  <c r="G56" i="15"/>
  <c r="F56" i="16"/>
  <c r="F56" i="15"/>
  <c r="E56" i="16"/>
  <c r="E56" i="15"/>
  <c r="D56" i="16"/>
  <c r="D56" i="15"/>
  <c r="C56" i="16"/>
  <c r="C56" i="15"/>
  <c r="B56" i="16"/>
  <c r="B56" i="15"/>
  <c r="A56" i="16"/>
  <c r="A56" i="15"/>
  <c r="I55" i="16"/>
  <c r="I55" i="15"/>
  <c r="H55" i="16"/>
  <c r="H55" i="15"/>
  <c r="G55" i="16"/>
  <c r="G55" i="15"/>
  <c r="F55" i="16"/>
  <c r="F55" i="15"/>
  <c r="E55" i="16"/>
  <c r="E55" i="15"/>
  <c r="D55" i="16"/>
  <c r="D55" i="15"/>
  <c r="C55" i="16"/>
  <c r="C55" i="15"/>
  <c r="B55" i="16"/>
  <c r="B55" i="15"/>
  <c r="A55" i="16"/>
  <c r="A55" i="15"/>
  <c r="I54" i="16"/>
  <c r="I54" i="15"/>
  <c r="H54" i="16"/>
  <c r="H54" i="15"/>
  <c r="G54" i="16"/>
  <c r="G54" i="15"/>
  <c r="F54" i="16"/>
  <c r="F54" i="15"/>
  <c r="E54" i="16"/>
  <c r="E54" i="15"/>
  <c r="D54" i="16"/>
  <c r="D54" i="15"/>
  <c r="C54" i="16"/>
  <c r="C54" i="15"/>
  <c r="B54" i="16"/>
  <c r="B54" i="15"/>
  <c r="A54" i="16"/>
  <c r="A54" i="15"/>
  <c r="I53" i="16"/>
  <c r="I53" i="15"/>
  <c r="H53" i="16"/>
  <c r="H53" i="15"/>
  <c r="G53" i="16"/>
  <c r="G53" i="15"/>
  <c r="F53" i="16"/>
  <c r="F53" i="15"/>
  <c r="E53" i="16"/>
  <c r="E53" i="15"/>
  <c r="D53" i="16"/>
  <c r="D53" i="15"/>
  <c r="C53" i="16"/>
  <c r="C53" i="15"/>
  <c r="B53" i="16"/>
  <c r="B53" i="15"/>
  <c r="A53" i="16"/>
  <c r="A53" i="15"/>
  <c r="I52" i="16"/>
  <c r="I52" i="15"/>
  <c r="H52" i="16"/>
  <c r="H52" i="15"/>
  <c r="G52" i="16"/>
  <c r="G52" i="15"/>
  <c r="F52" i="16"/>
  <c r="F52" i="15"/>
  <c r="E52" i="16"/>
  <c r="E52" i="15"/>
  <c r="D52" i="16"/>
  <c r="D52" i="15"/>
  <c r="C52" i="16"/>
  <c r="C52" i="15"/>
  <c r="B52" i="16"/>
  <c r="B52" i="15"/>
  <c r="A52" i="16"/>
  <c r="A52" i="15"/>
  <c r="I51" i="16"/>
  <c r="I51" i="15"/>
  <c r="H51" i="16"/>
  <c r="H51" i="15"/>
  <c r="G51" i="16"/>
  <c r="G51" i="15"/>
  <c r="F51" i="16"/>
  <c r="F51" i="15"/>
  <c r="E51" i="16"/>
  <c r="E51" i="15"/>
  <c r="D51" i="16"/>
  <c r="D51" i="15"/>
  <c r="C51" i="16"/>
  <c r="C51" i="15"/>
  <c r="B51" i="16"/>
  <c r="B51" i="15"/>
  <c r="A51" i="16"/>
  <c r="A51" i="15"/>
  <c r="I50" i="16"/>
  <c r="I50" i="15"/>
  <c r="H50" i="16"/>
  <c r="H50" i="15"/>
  <c r="G50" i="16"/>
  <c r="G50" i="15"/>
  <c r="F50" i="16"/>
  <c r="F50" i="15"/>
  <c r="E50" i="16"/>
  <c r="E50" i="15"/>
  <c r="D50" i="16"/>
  <c r="D50" i="15"/>
  <c r="C50" i="16"/>
  <c r="C50" i="15"/>
  <c r="B50" i="16"/>
  <c r="B50" i="15"/>
  <c r="A50" i="16"/>
  <c r="A50" i="15"/>
  <c r="I49" i="16"/>
  <c r="I49" i="15"/>
  <c r="H49" i="16"/>
  <c r="H49" i="15"/>
  <c r="G49" i="16"/>
  <c r="G49" i="15"/>
  <c r="F49" i="16"/>
  <c r="F49" i="15"/>
  <c r="E49" i="16"/>
  <c r="E49" i="15"/>
  <c r="D49" i="16"/>
  <c r="D49" i="15"/>
  <c r="C49" i="16"/>
  <c r="C49" i="15"/>
  <c r="B49" i="16"/>
  <c r="B49" i="15"/>
  <c r="A49" i="16"/>
  <c r="A49" i="15"/>
  <c r="I48" i="16"/>
  <c r="I48" i="15"/>
  <c r="H48" i="16"/>
  <c r="H48" i="15"/>
  <c r="G48" i="16"/>
  <c r="G48" i="15"/>
  <c r="F48" i="16"/>
  <c r="F48" i="15"/>
  <c r="E48" i="16"/>
  <c r="E48" i="15"/>
  <c r="D48" i="16"/>
  <c r="D48" i="15"/>
  <c r="C48" i="16"/>
  <c r="C48" i="15"/>
  <c r="B48" i="16"/>
  <c r="B48" i="15"/>
  <c r="A48" i="16"/>
  <c r="A48" i="15"/>
  <c r="I47" i="16"/>
  <c r="I47" i="15"/>
  <c r="H47" i="16"/>
  <c r="H47" i="15"/>
  <c r="G47" i="16"/>
  <c r="G47" i="15"/>
  <c r="F47" i="16"/>
  <c r="F47" i="15"/>
  <c r="E47" i="16"/>
  <c r="E47" i="15"/>
  <c r="D47" i="16"/>
  <c r="D47" i="15"/>
  <c r="C47" i="16"/>
  <c r="C47" i="15"/>
  <c r="B47" i="16"/>
  <c r="B47" i="15"/>
  <c r="A47" i="16"/>
  <c r="A47" i="15"/>
  <c r="I46" i="16"/>
  <c r="I46" i="15"/>
  <c r="H46" i="16"/>
  <c r="H46" i="15"/>
  <c r="G46" i="16"/>
  <c r="G46" i="15"/>
  <c r="F46" i="16"/>
  <c r="F46" i="15"/>
  <c r="E46" i="16"/>
  <c r="E46" i="15"/>
  <c r="D46" i="16"/>
  <c r="D46" i="15"/>
  <c r="C46" i="16"/>
  <c r="C46" i="15"/>
  <c r="B46" i="16"/>
  <c r="B46" i="15"/>
  <c r="A46" i="16"/>
  <c r="A46" i="15"/>
  <c r="I45" i="16"/>
  <c r="I45" i="15"/>
  <c r="H45" i="16"/>
  <c r="H45" i="15"/>
  <c r="G45" i="16"/>
  <c r="G45" i="15"/>
  <c r="F45" i="16"/>
  <c r="F45" i="15"/>
  <c r="E45" i="16"/>
  <c r="E45" i="15"/>
  <c r="D45" i="16"/>
  <c r="D45" i="15"/>
  <c r="C45" i="16"/>
  <c r="C45" i="15"/>
  <c r="B45" i="16"/>
  <c r="B45" i="15"/>
  <c r="A45" i="16"/>
  <c r="A45" i="15"/>
  <c r="I44" i="16"/>
  <c r="I44" i="15"/>
  <c r="H44" i="16"/>
  <c r="H44" i="15"/>
  <c r="G44" i="16"/>
  <c r="G44" i="15"/>
  <c r="F44" i="16"/>
  <c r="F44" i="15"/>
  <c r="E44" i="16"/>
  <c r="E44" i="15"/>
  <c r="D44" i="16"/>
  <c r="D44" i="15"/>
  <c r="C44" i="16"/>
  <c r="C44" i="15"/>
  <c r="B44" i="16"/>
  <c r="B44" i="15"/>
  <c r="A44" i="16"/>
  <c r="A44" i="15"/>
  <c r="I43" i="16"/>
  <c r="I43" i="15"/>
  <c r="H43" i="16"/>
  <c r="H43" i="15"/>
  <c r="G43" i="16"/>
  <c r="G43" i="15"/>
  <c r="F43" i="16"/>
  <c r="F43" i="15"/>
  <c r="E43" i="16"/>
  <c r="E43" i="15"/>
  <c r="D43" i="16"/>
  <c r="D43" i="15"/>
  <c r="C43" i="16"/>
  <c r="C43" i="15"/>
  <c r="B43" i="16"/>
  <c r="B43" i="15"/>
  <c r="A43" i="16"/>
  <c r="A43" i="15"/>
  <c r="I42" i="16"/>
  <c r="I42" i="15"/>
  <c r="H42" i="16"/>
  <c r="H42" i="15"/>
  <c r="G42" i="16"/>
  <c r="G42" i="15"/>
  <c r="F42" i="16"/>
  <c r="F42" i="15"/>
  <c r="E42" i="16"/>
  <c r="E42" i="15"/>
  <c r="D42" i="16"/>
  <c r="D42" i="15"/>
  <c r="C42" i="16"/>
  <c r="C42" i="15"/>
  <c r="B42" i="16"/>
  <c r="B42" i="15"/>
  <c r="A42" i="16"/>
  <c r="A42" i="15"/>
  <c r="I41" i="16"/>
  <c r="I41" i="15"/>
  <c r="H41" i="16"/>
  <c r="H41" i="15"/>
  <c r="G41" i="16"/>
  <c r="G41" i="15"/>
  <c r="F41" i="16"/>
  <c r="F41" i="15"/>
  <c r="E41" i="16"/>
  <c r="E41" i="15"/>
  <c r="D41" i="16"/>
  <c r="D41" i="15"/>
  <c r="C41" i="16"/>
  <c r="C41" i="15"/>
  <c r="B41" i="16"/>
  <c r="B41" i="15"/>
  <c r="A41" i="16"/>
  <c r="A41" i="15"/>
  <c r="I40" i="16"/>
  <c r="I40" i="15"/>
  <c r="H40" i="16"/>
  <c r="H40" i="15"/>
  <c r="G40" i="16"/>
  <c r="G40" i="15"/>
  <c r="F40" i="16"/>
  <c r="F40" i="15"/>
  <c r="E40" i="16"/>
  <c r="E40" i="15"/>
  <c r="D40" i="16"/>
  <c r="D40" i="15"/>
  <c r="C40" i="16"/>
  <c r="C40" i="15"/>
  <c r="B40" i="16"/>
  <c r="B40" i="15"/>
  <c r="A40" i="16"/>
  <c r="A40" i="15"/>
  <c r="I39" i="16"/>
  <c r="I39" i="15"/>
  <c r="H39" i="16"/>
  <c r="H39" i="15"/>
  <c r="G39" i="16"/>
  <c r="G39" i="15"/>
  <c r="F39" i="16"/>
  <c r="F39" i="15"/>
  <c r="E39" i="16"/>
  <c r="E39" i="15"/>
  <c r="D39" i="16"/>
  <c r="D39" i="15"/>
  <c r="C39" i="16"/>
  <c r="C39" i="15"/>
  <c r="B39" i="16"/>
  <c r="B39" i="15"/>
  <c r="A39" i="16"/>
  <c r="A39" i="15"/>
  <c r="I38" i="16"/>
  <c r="I38" i="15"/>
  <c r="H38" i="16"/>
  <c r="H38" i="15"/>
  <c r="G38" i="16"/>
  <c r="G38" i="15"/>
  <c r="F38" i="16"/>
  <c r="F38" i="15"/>
  <c r="E38" i="16"/>
  <c r="E38" i="15"/>
  <c r="D38" i="16"/>
  <c r="D38" i="15"/>
  <c r="C38" i="16"/>
  <c r="C38" i="15"/>
  <c r="B38" i="16"/>
  <c r="B38" i="15"/>
  <c r="A38" i="16"/>
  <c r="A38" i="15"/>
  <c r="I37" i="16"/>
  <c r="I37" i="15"/>
  <c r="H37" i="16"/>
  <c r="H37" i="15"/>
  <c r="G37" i="16"/>
  <c r="G37" i="15"/>
  <c r="F37" i="16"/>
  <c r="F37" i="15"/>
  <c r="E37" i="16"/>
  <c r="E37" i="15"/>
  <c r="D37" i="16"/>
  <c r="D37" i="15"/>
  <c r="C37" i="16"/>
  <c r="C37" i="15"/>
  <c r="B37" i="16"/>
  <c r="B37" i="15"/>
  <c r="A37" i="16"/>
  <c r="A37" i="15"/>
  <c r="I36" i="16"/>
  <c r="I36" i="15"/>
  <c r="H36" i="16"/>
  <c r="H36" i="15"/>
  <c r="G36" i="16"/>
  <c r="G36" i="15"/>
  <c r="F36" i="16"/>
  <c r="F36" i="15"/>
  <c r="E36" i="16"/>
  <c r="E36" i="15"/>
  <c r="D36" i="16"/>
  <c r="D36" i="15"/>
  <c r="C36" i="16"/>
  <c r="C36" i="15"/>
  <c r="B36" i="16"/>
  <c r="B36" i="15"/>
  <c r="A36" i="16"/>
  <c r="A36" i="15"/>
  <c r="I35" i="16"/>
  <c r="I35" i="15"/>
  <c r="H35" i="16"/>
  <c r="H35" i="15"/>
  <c r="G35" i="16"/>
  <c r="G35" i="15"/>
  <c r="F35" i="16"/>
  <c r="F35" i="15"/>
  <c r="E35" i="16"/>
  <c r="E35" i="15"/>
  <c r="D35" i="16"/>
  <c r="D35" i="15"/>
  <c r="C35" i="16"/>
  <c r="C35" i="15"/>
  <c r="B35" i="16"/>
  <c r="B35" i="15"/>
  <c r="A35" i="16"/>
  <c r="A35" i="15"/>
  <c r="I34" i="16"/>
  <c r="I34" i="15"/>
  <c r="H34" i="16"/>
  <c r="H34" i="15"/>
  <c r="G34" i="16"/>
  <c r="G34" i="15"/>
  <c r="F34" i="16"/>
  <c r="F34" i="15"/>
  <c r="E34" i="16"/>
  <c r="E34" i="15"/>
  <c r="D34" i="16"/>
  <c r="D34" i="15"/>
  <c r="C34" i="16"/>
  <c r="C34" i="15"/>
  <c r="B34" i="16"/>
  <c r="B34" i="15"/>
  <c r="A34" i="16"/>
  <c r="A34" i="15"/>
  <c r="I33" i="16"/>
  <c r="I33" i="15"/>
  <c r="H33" i="16"/>
  <c r="H33" i="15"/>
  <c r="G33" i="16"/>
  <c r="G33" i="15"/>
  <c r="F33" i="16"/>
  <c r="F33" i="15"/>
  <c r="E33" i="16"/>
  <c r="E33" i="15"/>
  <c r="D33" i="16"/>
  <c r="D33" i="15"/>
  <c r="C33" i="16"/>
  <c r="C33" i="15"/>
  <c r="B33" i="16"/>
  <c r="B33" i="15"/>
  <c r="A33" i="16"/>
  <c r="A33" i="15"/>
  <c r="I32" i="16"/>
  <c r="I32" i="15"/>
  <c r="H32" i="16"/>
  <c r="H32" i="15"/>
  <c r="G32" i="16"/>
  <c r="G32" i="15"/>
  <c r="F32" i="16"/>
  <c r="F32" i="15"/>
  <c r="E32" i="16"/>
  <c r="E32" i="15"/>
  <c r="D32" i="16"/>
  <c r="D32" i="15"/>
  <c r="C32" i="16"/>
  <c r="C32" i="15"/>
  <c r="B32" i="16"/>
  <c r="B32" i="15"/>
  <c r="A32" i="16"/>
  <c r="A32" i="15"/>
  <c r="I31" i="16"/>
  <c r="I31" i="15"/>
  <c r="H31" i="16"/>
  <c r="H31" i="15"/>
  <c r="G31" i="16"/>
  <c r="G31" i="15"/>
  <c r="F31" i="16"/>
  <c r="F31" i="15"/>
  <c r="E31" i="16"/>
  <c r="E31" i="15"/>
  <c r="D31" i="16"/>
  <c r="D31" i="15"/>
  <c r="C31" i="16"/>
  <c r="C31" i="15"/>
  <c r="B31" i="16"/>
  <c r="B31" i="15"/>
  <c r="A31" i="16"/>
  <c r="A31" i="15"/>
  <c r="I30" i="16"/>
  <c r="I30" i="15"/>
  <c r="H30" i="16"/>
  <c r="H30" i="15"/>
  <c r="G30" i="16"/>
  <c r="G30" i="15"/>
  <c r="F30" i="16"/>
  <c r="F30" i="15"/>
  <c r="E30" i="16"/>
  <c r="E30" i="15"/>
  <c r="D30" i="16"/>
  <c r="D30" i="15"/>
  <c r="C30" i="16"/>
  <c r="C30" i="15"/>
  <c r="B30" i="16"/>
  <c r="B30" i="15"/>
  <c r="A30" i="16"/>
  <c r="A30" i="15"/>
  <c r="I29" i="16"/>
  <c r="I29" i="15"/>
  <c r="H29" i="16"/>
  <c r="H29" i="15"/>
  <c r="G29" i="16"/>
  <c r="G29" i="15"/>
  <c r="F29" i="16"/>
  <c r="F29" i="15"/>
  <c r="E29" i="16"/>
  <c r="E29" i="15"/>
  <c r="D29" i="16"/>
  <c r="D29" i="15"/>
  <c r="C29" i="16"/>
  <c r="C29" i="15"/>
  <c r="B29" i="16"/>
  <c r="B29" i="15"/>
  <c r="A29" i="16"/>
  <c r="A29" i="15"/>
  <c r="I28" i="16"/>
  <c r="I28" i="15"/>
  <c r="H28" i="16"/>
  <c r="H28" i="15"/>
  <c r="G28" i="16"/>
  <c r="G28" i="15"/>
  <c r="F28" i="16"/>
  <c r="F28" i="15"/>
  <c r="E28" i="16"/>
  <c r="E28" i="15"/>
  <c r="D28" i="16"/>
  <c r="D28" i="15"/>
  <c r="C28" i="16"/>
  <c r="C28" i="15"/>
  <c r="B28" i="16"/>
  <c r="B28" i="15"/>
  <c r="A28" i="16"/>
  <c r="A28" i="15"/>
  <c r="I27" i="16"/>
  <c r="I27" i="15"/>
  <c r="H27" i="16"/>
  <c r="H27" i="15"/>
  <c r="G27" i="16"/>
  <c r="G27" i="15"/>
  <c r="F27" i="16"/>
  <c r="F27" i="15"/>
  <c r="E27" i="16"/>
  <c r="E27" i="15"/>
  <c r="D27" i="16"/>
  <c r="D27" i="15"/>
  <c r="C27" i="16"/>
  <c r="C27" i="15"/>
  <c r="B27" i="16"/>
  <c r="B27" i="15"/>
  <c r="A27" i="16"/>
  <c r="A27" i="15"/>
  <c r="I26" i="16"/>
  <c r="I26" i="15"/>
  <c r="H26" i="16"/>
  <c r="H26" i="15"/>
  <c r="G26" i="16"/>
  <c r="G26" i="15"/>
  <c r="F26" i="16"/>
  <c r="F26" i="15"/>
  <c r="E26" i="16"/>
  <c r="E26" i="15"/>
  <c r="D26" i="16"/>
  <c r="D26" i="15"/>
  <c r="C26" i="16"/>
  <c r="C26" i="15"/>
  <c r="B26" i="16"/>
  <c r="B26" i="15"/>
  <c r="A26" i="16"/>
  <c r="A26" i="15"/>
  <c r="I25" i="16"/>
  <c r="I25" i="15"/>
  <c r="H25" i="16"/>
  <c r="H25" i="15"/>
  <c r="G25" i="16"/>
  <c r="G25" i="15"/>
  <c r="F25" i="16"/>
  <c r="F25" i="15"/>
  <c r="E25" i="16"/>
  <c r="E25" i="15"/>
  <c r="D25" i="16"/>
  <c r="D25" i="15"/>
  <c r="C25" i="16"/>
  <c r="C25" i="15"/>
  <c r="B25" i="16"/>
  <c r="B25" i="15"/>
  <c r="A25" i="16"/>
  <c r="A25" i="15"/>
  <c r="I24" i="16"/>
  <c r="I24" i="15"/>
  <c r="H24" i="16"/>
  <c r="H24" i="15"/>
  <c r="G24" i="16"/>
  <c r="G24" i="15"/>
  <c r="F24" i="16"/>
  <c r="F24" i="15"/>
  <c r="E24" i="16"/>
  <c r="E24" i="15"/>
  <c r="D24" i="16"/>
  <c r="D24" i="15"/>
  <c r="C24" i="16"/>
  <c r="C24" i="15"/>
  <c r="B24" i="16"/>
  <c r="B24" i="15"/>
  <c r="A24" i="16"/>
  <c r="A24" i="15"/>
  <c r="I23" i="16"/>
  <c r="I23" i="15"/>
  <c r="H23" i="16"/>
  <c r="H23" i="15"/>
  <c r="G23" i="16"/>
  <c r="G23" i="15"/>
  <c r="F23" i="16"/>
  <c r="F23" i="15"/>
  <c r="E23" i="16"/>
  <c r="E23" i="15"/>
  <c r="D23" i="16"/>
  <c r="D23" i="15"/>
  <c r="C23" i="16"/>
  <c r="C23" i="15"/>
  <c r="B23" i="16"/>
  <c r="B23" i="15"/>
  <c r="A23" i="16"/>
  <c r="A23" i="15"/>
  <c r="I22" i="16"/>
  <c r="I22" i="15"/>
  <c r="H22" i="16"/>
  <c r="H22" i="15"/>
  <c r="G22" i="16"/>
  <c r="G22" i="15"/>
  <c r="F22" i="16"/>
  <c r="F22" i="15"/>
  <c r="E22" i="16"/>
  <c r="E22" i="15"/>
  <c r="D22" i="16"/>
  <c r="D22" i="15"/>
  <c r="C22" i="16"/>
  <c r="C22" i="15"/>
  <c r="B22" i="16"/>
  <c r="B22" i="15"/>
  <c r="A22" i="16"/>
  <c r="A22" i="15"/>
  <c r="I21" i="16"/>
  <c r="I21" i="15"/>
  <c r="H21" i="16"/>
  <c r="H21" i="15"/>
  <c r="G21" i="16"/>
  <c r="G21" i="15"/>
  <c r="F21" i="16"/>
  <c r="F21" i="15"/>
  <c r="E21" i="16"/>
  <c r="E21" i="15"/>
  <c r="D21" i="16"/>
  <c r="D21" i="15"/>
  <c r="C21" i="16"/>
  <c r="C21" i="15"/>
  <c r="B21" i="16"/>
  <c r="B21" i="15"/>
  <c r="A21" i="16"/>
  <c r="A21" i="15"/>
  <c r="I20" i="16"/>
  <c r="I20" i="15"/>
  <c r="H20" i="16"/>
  <c r="H20" i="15"/>
  <c r="G20" i="16"/>
  <c r="G20" i="15"/>
  <c r="F20" i="16"/>
  <c r="F20" i="15"/>
  <c r="E20" i="16"/>
  <c r="E20" i="15"/>
  <c r="D20" i="16"/>
  <c r="D20" i="15"/>
  <c r="C20" i="16"/>
  <c r="C20" i="15"/>
  <c r="B20" i="16"/>
  <c r="B20" i="15"/>
  <c r="A20" i="16"/>
  <c r="A20" i="15"/>
  <c r="I19" i="16"/>
  <c r="I19" i="15"/>
  <c r="H19" i="16"/>
  <c r="H19" i="15"/>
  <c r="G19" i="16"/>
  <c r="G19" i="15"/>
  <c r="F19" i="16"/>
  <c r="F19" i="15"/>
  <c r="E19" i="16"/>
  <c r="E19" i="15"/>
  <c r="D19" i="16"/>
  <c r="D19" i="15"/>
  <c r="C19" i="16"/>
  <c r="C19" i="15"/>
  <c r="B19" i="16"/>
  <c r="B19" i="15"/>
  <c r="A19" i="16"/>
  <c r="A19" i="15"/>
  <c r="I18" i="16"/>
  <c r="I18" i="15"/>
  <c r="H18" i="16"/>
  <c r="H18" i="15"/>
  <c r="G18" i="16"/>
  <c r="G18" i="15"/>
  <c r="F18" i="16"/>
  <c r="F18" i="15"/>
  <c r="E18" i="16"/>
  <c r="E18" i="15"/>
  <c r="D18" i="16"/>
  <c r="D18" i="15"/>
  <c r="C18" i="16"/>
  <c r="C18" i="15"/>
  <c r="B18" i="16"/>
  <c r="B18" i="15"/>
  <c r="A18" i="16"/>
  <c r="A18" i="15"/>
  <c r="I17" i="16"/>
  <c r="I17" i="15"/>
  <c r="H17" i="16"/>
  <c r="H17" i="15"/>
  <c r="G17" i="16"/>
  <c r="G17" i="15"/>
  <c r="F17" i="16"/>
  <c r="F17" i="15"/>
  <c r="E17" i="16"/>
  <c r="E17" i="15"/>
  <c r="D17" i="16"/>
  <c r="D17" i="15"/>
  <c r="C17" i="16"/>
  <c r="C17" i="15"/>
  <c r="B17" i="16"/>
  <c r="B17" i="15"/>
  <c r="A17" i="16"/>
  <c r="A17" i="15"/>
  <c r="I16" i="16"/>
  <c r="I16" i="15"/>
  <c r="H16" i="16"/>
  <c r="H16" i="15"/>
  <c r="G16" i="16"/>
  <c r="G16" i="15"/>
  <c r="F16" i="16"/>
  <c r="F16" i="15"/>
  <c r="E16" i="16"/>
  <c r="E16" i="15"/>
  <c r="D16" i="16"/>
  <c r="D16" i="15"/>
  <c r="C16" i="16"/>
  <c r="C16" i="15"/>
  <c r="B16" i="16"/>
  <c r="B16" i="15"/>
  <c r="A16" i="16"/>
  <c r="A16" i="15"/>
  <c r="I15" i="16"/>
  <c r="I15" i="15"/>
  <c r="H15" i="16"/>
  <c r="H15" i="15"/>
  <c r="G15" i="16"/>
  <c r="G15" i="15"/>
  <c r="F15" i="16"/>
  <c r="F15" i="15"/>
  <c r="E15" i="16"/>
  <c r="E15" i="15"/>
  <c r="D15" i="16"/>
  <c r="D15" i="15"/>
  <c r="C15" i="16"/>
  <c r="C15" i="15"/>
  <c r="B15" i="16"/>
  <c r="B15" i="15"/>
  <c r="A15" i="16"/>
  <c r="A15" i="15"/>
  <c r="I14" i="16"/>
  <c r="I14" i="15"/>
  <c r="H14" i="16"/>
  <c r="H14" i="15"/>
  <c r="G14" i="16"/>
  <c r="G14" i="15"/>
  <c r="F14" i="16"/>
  <c r="F14" i="15"/>
  <c r="E14" i="16"/>
  <c r="E14" i="15"/>
  <c r="D14" i="16"/>
  <c r="D14" i="15"/>
  <c r="C14" i="16"/>
  <c r="C14" i="15"/>
  <c r="B14" i="16"/>
  <c r="B14" i="15"/>
  <c r="A14" i="16"/>
  <c r="A14" i="15"/>
  <c r="I13" i="16"/>
  <c r="I13" i="15"/>
  <c r="H13" i="16"/>
  <c r="H13" i="15"/>
  <c r="G13" i="16"/>
  <c r="G13" i="15"/>
  <c r="F13" i="16"/>
  <c r="F13" i="15"/>
  <c r="E13" i="16"/>
  <c r="E13" i="15"/>
  <c r="D13" i="16"/>
  <c r="D13" i="15"/>
  <c r="C13" i="16"/>
  <c r="C13" i="15"/>
  <c r="B13" i="16"/>
  <c r="B13" i="15"/>
  <c r="A13" i="16"/>
  <c r="A13" i="15"/>
  <c r="I12" i="16"/>
  <c r="I12" i="15"/>
  <c r="H12" i="16"/>
  <c r="H12" i="15"/>
  <c r="G12" i="16"/>
  <c r="G12" i="15"/>
  <c r="F12" i="16"/>
  <c r="F12" i="15"/>
  <c r="E12" i="16"/>
  <c r="E12" i="15"/>
  <c r="D12" i="16"/>
  <c r="D12" i="15"/>
  <c r="C12" i="16"/>
  <c r="C12" i="15"/>
  <c r="B12" i="16"/>
  <c r="B12" i="15"/>
  <c r="A12" i="16"/>
  <c r="A12" i="15"/>
  <c r="I11" i="16"/>
  <c r="I11" i="15"/>
  <c r="H11" i="16"/>
  <c r="H11" i="15"/>
  <c r="G11" i="16"/>
  <c r="G11" i="15"/>
  <c r="F11" i="16"/>
  <c r="F11" i="15"/>
  <c r="E11" i="16"/>
  <c r="E11" i="15"/>
  <c r="D11" i="16"/>
  <c r="D11" i="15"/>
  <c r="C11" i="16"/>
  <c r="C11" i="15"/>
  <c r="B11" i="16"/>
  <c r="B11" i="15"/>
  <c r="A11" i="16"/>
  <c r="A11" i="15"/>
  <c r="I10" i="16"/>
  <c r="I10" i="15"/>
  <c r="H10" i="16"/>
  <c r="H10" i="15"/>
  <c r="G10" i="16"/>
  <c r="G10" i="15"/>
  <c r="F10" i="16"/>
  <c r="F10" i="15"/>
  <c r="E10" i="16"/>
  <c r="E10" i="15"/>
  <c r="D10" i="16"/>
  <c r="D10" i="15"/>
  <c r="C10" i="16"/>
  <c r="C10" i="15"/>
  <c r="B10" i="16"/>
  <c r="B10" i="15"/>
  <c r="A10" i="16"/>
  <c r="A10" i="15"/>
  <c r="I9" i="16"/>
  <c r="I9" i="15"/>
  <c r="H9" i="16"/>
  <c r="H9" i="15"/>
  <c r="G9" i="16"/>
  <c r="G9" i="15"/>
  <c r="F9" i="16"/>
  <c r="F9" i="15"/>
  <c r="E9" i="16"/>
  <c r="E9" i="15"/>
  <c r="D9" i="16"/>
  <c r="D9" i="15"/>
  <c r="C9" i="16"/>
  <c r="C9" i="15"/>
  <c r="B9" i="16"/>
  <c r="B9" i="15"/>
  <c r="A9" i="16"/>
  <c r="A9" i="15"/>
  <c r="I8" i="16"/>
  <c r="I8" i="15"/>
  <c r="H8" i="16"/>
  <c r="H8" i="15"/>
  <c r="G8" i="16"/>
  <c r="G8" i="15"/>
  <c r="F8" i="16"/>
  <c r="F8" i="15"/>
  <c r="E8" i="16"/>
  <c r="E8" i="15"/>
  <c r="D8" i="16"/>
  <c r="D8" i="15"/>
  <c r="C8" i="16"/>
  <c r="C8" i="15"/>
  <c r="B8" i="16"/>
  <c r="B8" i="15"/>
  <c r="A8" i="16"/>
  <c r="A8" i="15"/>
  <c r="I7" i="16"/>
  <c r="I7" i="15"/>
  <c r="H7" i="16"/>
  <c r="H7" i="15"/>
  <c r="G7" i="16"/>
  <c r="G7" i="15"/>
  <c r="F7" i="16"/>
  <c r="F7" i="15"/>
  <c r="E7" i="16"/>
  <c r="E7" i="15"/>
  <c r="D7" i="16"/>
  <c r="D7" i="15"/>
  <c r="C7" i="16"/>
  <c r="C7" i="15"/>
  <c r="B7" i="16"/>
  <c r="B7" i="15"/>
  <c r="A7" i="16"/>
  <c r="A7" i="15"/>
  <c r="I6" i="16"/>
  <c r="I6" i="15"/>
  <c r="H6" i="16"/>
  <c r="H6" i="15"/>
  <c r="G6" i="16"/>
  <c r="G6" i="15"/>
  <c r="F6" i="16"/>
  <c r="F6" i="15"/>
  <c r="E6" i="16"/>
  <c r="E6" i="15"/>
  <c r="D6" i="16"/>
  <c r="D6" i="15"/>
  <c r="C6" i="16"/>
  <c r="C6" i="15"/>
  <c r="B6" i="16"/>
  <c r="B6" i="15"/>
  <c r="A6" i="16"/>
  <c r="A6" i="15"/>
  <c r="I5" i="16"/>
  <c r="I5" i="15"/>
  <c r="H5" i="16"/>
  <c r="H5" i="15"/>
  <c r="G5" i="16"/>
  <c r="G5" i="15"/>
  <c r="F5" i="16"/>
  <c r="F5" i="15"/>
  <c r="E5" i="16"/>
  <c r="E5" i="15"/>
  <c r="D5" i="16"/>
  <c r="D5" i="15"/>
  <c r="C5" i="16"/>
  <c r="C5" i="15"/>
  <c r="B5" i="16"/>
  <c r="B5" i="15"/>
  <c r="A5" i="16"/>
  <c r="A5" i="15"/>
  <c r="I4" i="16"/>
  <c r="I4" i="15"/>
  <c r="H4" i="16"/>
  <c r="H4" i="15"/>
  <c r="G4" i="16"/>
  <c r="G4" i="15"/>
  <c r="F4" i="16"/>
  <c r="F4" i="15"/>
  <c r="E4" i="16"/>
  <c r="E4" i="15"/>
  <c r="D4" i="16"/>
  <c r="D4" i="15"/>
  <c r="C4" i="16"/>
  <c r="C4" i="15"/>
  <c r="B4" i="16"/>
  <c r="B4" i="15"/>
  <c r="A4" i="16"/>
  <c r="A4" i="15"/>
  <c r="I3" i="16"/>
  <c r="I3" i="15"/>
  <c r="H3" i="16"/>
  <c r="H3" i="15"/>
  <c r="G3" i="16"/>
  <c r="G3" i="15"/>
  <c r="F3" i="16"/>
  <c r="F3" i="15"/>
  <c r="E3" i="16"/>
  <c r="E3" i="15"/>
  <c r="D3" i="16"/>
  <c r="D3" i="15"/>
  <c r="C3" i="16"/>
  <c r="C3" i="15"/>
  <c r="B3" i="16"/>
  <c r="B3" i="15"/>
  <c r="A3" i="16"/>
  <c r="A3" i="15"/>
  <c r="I2" i="16"/>
  <c r="I2" i="15"/>
  <c r="H2" i="16"/>
  <c r="H2" i="15"/>
  <c r="G2" i="16"/>
  <c r="G2" i="15"/>
  <c r="F2" i="16"/>
  <c r="F2" i="15"/>
  <c r="E2" i="16"/>
  <c r="E2" i="15"/>
  <c r="D2" i="16"/>
  <c r="D2" i="15"/>
  <c r="C2" i="16"/>
  <c r="C2" i="15"/>
  <c r="B2" i="16"/>
  <c r="B2" i="15"/>
  <c r="A2" i="16"/>
  <c r="A2" i="15"/>
</calcChain>
</file>

<file path=xl/sharedStrings.xml><?xml version="1.0" encoding="utf-8"?>
<sst xmlns="http://schemas.openxmlformats.org/spreadsheetml/2006/main" count="2011" uniqueCount="799">
  <si>
    <t>Date</t>
  </si>
  <si>
    <t>Time</t>
  </si>
  <si>
    <t>Test_ID</t>
  </si>
  <si>
    <t>Experimental</t>
  </si>
  <si>
    <t>Pressure</t>
  </si>
  <si>
    <t>dac_bits</t>
  </si>
  <si>
    <t>mass</t>
  </si>
  <si>
    <t>slide</t>
  </si>
  <si>
    <t>time</t>
  </si>
  <si>
    <t>Date_Seg1</t>
  </si>
  <si>
    <t>Date_Seg2</t>
  </si>
  <si>
    <t>Date_Seg3</t>
  </si>
  <si>
    <t>Date_Seg4</t>
  </si>
  <si>
    <t>Time_Seg1</t>
  </si>
  <si>
    <t>Time_Seg2</t>
  </si>
  <si>
    <t>Time_Seg3</t>
  </si>
  <si>
    <t>Time_Seg4</t>
  </si>
  <si>
    <t>Test_ID_Seg1</t>
  </si>
  <si>
    <t>Test_ID_Seg2</t>
  </si>
  <si>
    <t>Test_ID_Seg3</t>
  </si>
  <si>
    <t>Test_ID_Seg4</t>
  </si>
  <si>
    <t>Experimental_Seg1</t>
  </si>
  <si>
    <t>Experimental_Seg2</t>
  </si>
  <si>
    <t>Experimental_Seg3</t>
  </si>
  <si>
    <t>Experimental_Seg4</t>
  </si>
  <si>
    <t>Pressure_Seg1</t>
  </si>
  <si>
    <t>Pressure_Seg2</t>
  </si>
  <si>
    <t>Pressure_Seg3</t>
  </si>
  <si>
    <t>Pressure_Seg4</t>
  </si>
  <si>
    <t>dac_bits_Seg1</t>
  </si>
  <si>
    <t>dac_bits_Seg2</t>
  </si>
  <si>
    <t>dac_bits_Seg3</t>
  </si>
  <si>
    <t>dac_bits_Seg4</t>
  </si>
  <si>
    <t>mass_Seg1</t>
  </si>
  <si>
    <t>mass_Seg2</t>
  </si>
  <si>
    <t>mass_Seg3</t>
  </si>
  <si>
    <t>mass_Seg4</t>
  </si>
  <si>
    <t>slide_Seg1</t>
  </si>
  <si>
    <t>slide_Seg2</t>
  </si>
  <si>
    <t>slide_Seg3</t>
  </si>
  <si>
    <t>slide_Seg4</t>
  </si>
  <si>
    <t>time_Seg1</t>
  </si>
  <si>
    <t>time_Seg2</t>
  </si>
  <si>
    <t>time_Seg3</t>
  </si>
  <si>
    <t>time_Seg4</t>
  </si>
  <si>
    <t>2025-01-28</t>
  </si>
  <si>
    <t>10:17:00:598</t>
  </si>
  <si>
    <t>10:17:01:453</t>
  </si>
  <si>
    <t>10:17:01:551</t>
  </si>
  <si>
    <t>10:17:01:606</t>
  </si>
  <si>
    <t>10:17:01:688</t>
  </si>
  <si>
    <t>10:17:01:804</t>
  </si>
  <si>
    <t>10:17:01:897</t>
  </si>
  <si>
    <t>10:17:01:959</t>
  </si>
  <si>
    <t>10:17:02:040</t>
  </si>
  <si>
    <t>10:17:02:131</t>
  </si>
  <si>
    <t>10:17:02:217</t>
  </si>
  <si>
    <t>10:17:02:291</t>
  </si>
  <si>
    <t>10:17:02:443</t>
  </si>
  <si>
    <t>10:17:02:649</t>
  </si>
  <si>
    <t>10:17:02:866</t>
  </si>
  <si>
    <t>10:17:03:026</t>
  </si>
  <si>
    <t>10:17:03:268</t>
  </si>
  <si>
    <t>10:17:03:430</t>
  </si>
  <si>
    <t>10:17:03:623</t>
  </si>
  <si>
    <t>10:17:03:847</t>
  </si>
  <si>
    <t>10:17:04:034</t>
  </si>
  <si>
    <t>10:17:04:269</t>
  </si>
  <si>
    <t>10:17:04:449</t>
  </si>
  <si>
    <t>10:17:04:633</t>
  </si>
  <si>
    <t>10:17:04:826</t>
  </si>
  <si>
    <t>10:17:05:037</t>
  </si>
  <si>
    <t>10:17:05:223</t>
  </si>
  <si>
    <t>10:17:05:416</t>
  </si>
  <si>
    <t>10:17:05:630</t>
  </si>
  <si>
    <t>10:17:05:819</t>
  </si>
  <si>
    <t>10:17:06:025</t>
  </si>
  <si>
    <t>10:17:06:237</t>
  </si>
  <si>
    <t>10:17:06:434</t>
  </si>
  <si>
    <t>10:17:06:617</t>
  </si>
  <si>
    <t>10:17:06:826</t>
  </si>
  <si>
    <t>10:17:07:018</t>
  </si>
  <si>
    <t>10:17:07:227</t>
  </si>
  <si>
    <t>10:17:07:436</t>
  </si>
  <si>
    <t>10:17:07:625</t>
  </si>
  <si>
    <t>10:17:07:842</t>
  </si>
  <si>
    <t>10:17:08:050</t>
  </si>
  <si>
    <t>10:17:08:229</t>
  </si>
  <si>
    <t>10:17:08:419</t>
  </si>
  <si>
    <t>10:17:08:634</t>
  </si>
  <si>
    <t>10:17:08:827</t>
  </si>
  <si>
    <t>10:17:09:015</t>
  </si>
  <si>
    <t>10:17:09:222</t>
  </si>
  <si>
    <t>10:17:09:427</t>
  </si>
  <si>
    <t>10:17:09:619</t>
  </si>
  <si>
    <t>10:17:09:821</t>
  </si>
  <si>
    <t>10:17:10:019</t>
  </si>
  <si>
    <t>10:17:10:229</t>
  </si>
  <si>
    <t>10:17:10:422</t>
  </si>
  <si>
    <t>10:17:10:631</t>
  </si>
  <si>
    <t>10:17:10:840</t>
  </si>
  <si>
    <t>10:17:11:027</t>
  </si>
  <si>
    <t>10:17:11:227</t>
  </si>
  <si>
    <t>10:17:11:420</t>
  </si>
  <si>
    <t>10:17:11:632</t>
  </si>
  <si>
    <t>10:17:11:836</t>
  </si>
  <si>
    <t>10:17:12:027</t>
  </si>
  <si>
    <t>10:17:12:223</t>
  </si>
  <si>
    <t>10:17:12:420</t>
  </si>
  <si>
    <t>10:17:12:622</t>
  </si>
  <si>
    <t>10:17:12:831</t>
  </si>
  <si>
    <t>10:17:13:033</t>
  </si>
  <si>
    <t>10:17:13:223</t>
  </si>
  <si>
    <t>10:17:13:436</t>
  </si>
  <si>
    <t>10:17:13:619</t>
  </si>
  <si>
    <t>10:17:13:818</t>
  </si>
  <si>
    <t>10:17:14:055</t>
  </si>
  <si>
    <t>10:17:14:223</t>
  </si>
  <si>
    <t>10:17:14:420</t>
  </si>
  <si>
    <t>10:17:14:625</t>
  </si>
  <si>
    <t>10:17:14:837</t>
  </si>
  <si>
    <t>10:17:15:032</t>
  </si>
  <si>
    <t>10:17:15:229</t>
  </si>
  <si>
    <t>10:17:15:428</t>
  </si>
  <si>
    <t>10:17:15:623</t>
  </si>
  <si>
    <t>10:17:15:832</t>
  </si>
  <si>
    <t>10:17:16:021</t>
  </si>
  <si>
    <t>10:17:16:221</t>
  </si>
  <si>
    <t>10:17:16:440</t>
  </si>
  <si>
    <t>10:17:16:633</t>
  </si>
  <si>
    <t>10:17:16:818</t>
  </si>
  <si>
    <t>10:17:17:022</t>
  </si>
  <si>
    <t>10:17:17:246</t>
  </si>
  <si>
    <t>10:17:17:415</t>
  </si>
  <si>
    <t>10:17:17:654</t>
  </si>
  <si>
    <t>10:17:17:830</t>
  </si>
  <si>
    <t>10:17:18:056</t>
  </si>
  <si>
    <t>10:17:18:221</t>
  </si>
  <si>
    <t>10:17:18:422</t>
  </si>
  <si>
    <t>10:17:18:619</t>
  </si>
  <si>
    <t>10:17:18:832</t>
  </si>
  <si>
    <t>10:17:19:021</t>
  </si>
  <si>
    <t>10:17:19:225</t>
  </si>
  <si>
    <t>10:17:19:417</t>
  </si>
  <si>
    <t>10:17:19:626</t>
  </si>
  <si>
    <t>10:17:19:858</t>
  </si>
  <si>
    <t>10:17:20:050</t>
  </si>
  <si>
    <t>10:17:20:238</t>
  </si>
  <si>
    <t>10:17:20:431</t>
  </si>
  <si>
    <t>10:17:20:639</t>
  </si>
  <si>
    <t>10:17:20:831</t>
  </si>
  <si>
    <t>10:17:21:018</t>
  </si>
  <si>
    <t>10:17:21:224</t>
  </si>
  <si>
    <t>10:17:21:434</t>
  </si>
  <si>
    <t>10:17:21:626</t>
  </si>
  <si>
    <t>10:17:21:825</t>
  </si>
  <si>
    <t>10:17:22:018</t>
  </si>
  <si>
    <t>10:17:22:222</t>
  </si>
  <si>
    <t>10:17:22:413</t>
  </si>
  <si>
    <t>10:17:22:623</t>
  </si>
  <si>
    <t>10:17:22:814</t>
  </si>
  <si>
    <t>10:17:23:030</t>
  </si>
  <si>
    <t>10:17:23:228</t>
  </si>
  <si>
    <t>10:17:23:417</t>
  </si>
  <si>
    <t>10:17:23:635</t>
  </si>
  <si>
    <t>10:17:23:827</t>
  </si>
  <si>
    <t>10:17:24:020</t>
  </si>
  <si>
    <t>10:17:24:242</t>
  </si>
  <si>
    <t>10:17:24:418</t>
  </si>
  <si>
    <t>10:17:24:621</t>
  </si>
  <si>
    <t>10:17:24:833</t>
  </si>
  <si>
    <t>10:17:25:015</t>
  </si>
  <si>
    <t>10:17:25:269</t>
  </si>
  <si>
    <t>10:17:25:425</t>
  </si>
  <si>
    <t>10:17:25:628</t>
  </si>
  <si>
    <t>10:17:25:825</t>
  </si>
  <si>
    <t>10:17:26:049</t>
  </si>
  <si>
    <t>10:17:26:217</t>
  </si>
  <si>
    <t>10:17:26:439</t>
  </si>
  <si>
    <t>10:17:26:635</t>
  </si>
  <si>
    <t>10:17:26:853</t>
  </si>
  <si>
    <t>10:17:27:027</t>
  </si>
  <si>
    <t>10:17:27:214</t>
  </si>
  <si>
    <t>10:17:27:425</t>
  </si>
  <si>
    <t>10:17:27:624</t>
  </si>
  <si>
    <t>10:17:27:820</t>
  </si>
  <si>
    <t>10:17:28:039</t>
  </si>
  <si>
    <t>10:17:28:216</t>
  </si>
  <si>
    <t>10:17:28:418</t>
  </si>
  <si>
    <t>10:17:28:628</t>
  </si>
  <si>
    <t>10:17:28:826</t>
  </si>
  <si>
    <t>10:17:29:030</t>
  </si>
  <si>
    <t>10:17:29:230</t>
  </si>
  <si>
    <t>10:17:29:421</t>
  </si>
  <si>
    <t>10:17:29:642</t>
  </si>
  <si>
    <t>10:17:29:848</t>
  </si>
  <si>
    <t>10:17:30:031</t>
  </si>
  <si>
    <t>10:17:30:234</t>
  </si>
  <si>
    <t>10:17:30:416</t>
  </si>
  <si>
    <t>10:17:30:642</t>
  </si>
  <si>
    <t>10:17:30:834</t>
  </si>
  <si>
    <t>10:17:31:029</t>
  </si>
  <si>
    <t>10:17:31:256</t>
  </si>
  <si>
    <t>10:17:31:428</t>
  </si>
  <si>
    <t>10:17:31:614</t>
  </si>
  <si>
    <t>10:17:31:817</t>
  </si>
  <si>
    <t>10:17:32:021</t>
  </si>
  <si>
    <t>10:17:32:229</t>
  </si>
  <si>
    <t>10:17:32:418</t>
  </si>
  <si>
    <t>10:17:32:650</t>
  </si>
  <si>
    <t>10:17:32:845</t>
  </si>
  <si>
    <t>10:17:33:035</t>
  </si>
  <si>
    <t>10:17:33:712</t>
  </si>
  <si>
    <t>10:17:33:789</t>
  </si>
  <si>
    <t>10:17:33:897</t>
  </si>
  <si>
    <t>10:17:33:966</t>
  </si>
  <si>
    <t>10:17:34:032</t>
  </si>
  <si>
    <t>10:17:34:220</t>
  </si>
  <si>
    <t>10:17:34:434</t>
  </si>
  <si>
    <t>10:17:34:629</t>
  </si>
  <si>
    <t>10:17:34:828</t>
  </si>
  <si>
    <t>10:17:35:041</t>
  </si>
  <si>
    <t>10:17:35:213</t>
  </si>
  <si>
    <t>10:17:35:419</t>
  </si>
  <si>
    <t>10:17:35:637</t>
  </si>
  <si>
    <t>10:17:35:816</t>
  </si>
  <si>
    <t>10:17:36:024</t>
  </si>
  <si>
    <t>10:17:36:229</t>
  </si>
  <si>
    <t>10:17:36:430</t>
  </si>
  <si>
    <t>10:17:36:624</t>
  </si>
  <si>
    <t>10:17:36:846</t>
  </si>
  <si>
    <t>10:17:37:054</t>
  </si>
  <si>
    <t>10:17:37:235</t>
  </si>
  <si>
    <t>10:17:37:442</t>
  </si>
  <si>
    <t>10:17:37:634</t>
  </si>
  <si>
    <t>10:17:37:823</t>
  </si>
  <si>
    <t>10:17:38:050</t>
  </si>
  <si>
    <t>10:17:38:223</t>
  </si>
  <si>
    <t>10:17:38:417</t>
  </si>
  <si>
    <t>10:17:38:635</t>
  </si>
  <si>
    <t>10:17:38:820</t>
  </si>
  <si>
    <t>10:17:39:035</t>
  </si>
  <si>
    <t>10:17:39:234</t>
  </si>
  <si>
    <t>10:17:39:422</t>
  </si>
  <si>
    <t>10:17:39:612</t>
  </si>
  <si>
    <t>10:17:39:834</t>
  </si>
  <si>
    <t>10:17:40:020</t>
  </si>
  <si>
    <t>10:17:40:213</t>
  </si>
  <si>
    <t>10:17:40:434</t>
  </si>
  <si>
    <t>10:17:40:672</t>
  </si>
  <si>
    <t>10:17:40:856</t>
  </si>
  <si>
    <t>10:17:41:033</t>
  </si>
  <si>
    <t>10:17:41:267</t>
  </si>
  <si>
    <t>10:17:41:471</t>
  </si>
  <si>
    <t>10:17:41:653</t>
  </si>
  <si>
    <t>10:17:41:893</t>
  </si>
  <si>
    <t>10:17:42:021</t>
  </si>
  <si>
    <t>10:17:42:234</t>
  </si>
  <si>
    <t>10:17:42:477</t>
  </si>
  <si>
    <t>10:17:42:677</t>
  </si>
  <si>
    <t>10:17:42:826</t>
  </si>
  <si>
    <t>10:17:43:040</t>
  </si>
  <si>
    <t>10:17:43:244</t>
  </si>
  <si>
    <t>10:17:43:421</t>
  </si>
  <si>
    <t>10:17:43:698</t>
  </si>
  <si>
    <t>10:17:43:820</t>
  </si>
  <si>
    <t>10:17:44:031</t>
  </si>
  <si>
    <t>10:17:44:225</t>
  </si>
  <si>
    <t>10:17:44:439</t>
  </si>
  <si>
    <t>10:17:44:633</t>
  </si>
  <si>
    <t>10:17:44:824</t>
  </si>
  <si>
    <t>10:17:45:062</t>
  </si>
  <si>
    <t>10:17:45:238</t>
  </si>
  <si>
    <t>10:17:45:459</t>
  </si>
  <si>
    <t>10:17:46:754</t>
  </si>
  <si>
    <t>10:17:46:875</t>
  </si>
  <si>
    <t>10:17:46:957</t>
  </si>
  <si>
    <t>10:17:47:054</t>
  </si>
  <si>
    <t>10:17:47:170</t>
  </si>
  <si>
    <t>10:17:47:227</t>
  </si>
  <si>
    <t>10:17:47:294</t>
  </si>
  <si>
    <t>10:17:47:396</t>
  </si>
  <si>
    <t>10:17:47:457</t>
  </si>
  <si>
    <t>10:17:47:529</t>
  </si>
  <si>
    <t>10:17:47:654</t>
  </si>
  <si>
    <t>10:17:47:837</t>
  </si>
  <si>
    <t>10:17:48:034</t>
  </si>
  <si>
    <t>10:17:48:224</t>
  </si>
  <si>
    <t>10:17:48:425</t>
  </si>
  <si>
    <t>10:17:48:618</t>
  </si>
  <si>
    <t>10:17:48:838</t>
  </si>
  <si>
    <t>10:17:49:025</t>
  </si>
  <si>
    <t>10:17:49:245</t>
  </si>
  <si>
    <t>10:17:49:465</t>
  </si>
  <si>
    <t>10:17:49:619</t>
  </si>
  <si>
    <t>10:17:49:823</t>
  </si>
  <si>
    <t>10:17:50:036</t>
  </si>
  <si>
    <t>10:17:50:232</t>
  </si>
  <si>
    <t>10:17:50:419</t>
  </si>
  <si>
    <t>10:17:50:647</t>
  </si>
  <si>
    <t>10:17:50:814</t>
  </si>
  <si>
    <t>10:17:51:042</t>
  </si>
  <si>
    <t>10:17:51:254</t>
  </si>
  <si>
    <t>10:17:51:427</t>
  </si>
  <si>
    <t>10:17:51:626</t>
  </si>
  <si>
    <t>10:17:51:816</t>
  </si>
  <si>
    <t>10:17:52:027</t>
  </si>
  <si>
    <t>10:17:52:217</t>
  </si>
  <si>
    <t>10:17:52:432</t>
  </si>
  <si>
    <t>10:17:52:624</t>
  </si>
  <si>
    <t>10:17:52:826</t>
  </si>
  <si>
    <t>10:17:53:043</t>
  </si>
  <si>
    <t>10:17:53:240</t>
  </si>
  <si>
    <t>10:17:53:426</t>
  </si>
  <si>
    <t>10:17:53:644</t>
  </si>
  <si>
    <t>10:17:53:825</t>
  </si>
  <si>
    <t>10:17:54:022</t>
  </si>
  <si>
    <t>10:17:54:223</t>
  </si>
  <si>
    <t>10:17:54:433</t>
  </si>
  <si>
    <t>10:17:54:640</t>
  </si>
  <si>
    <t>10:17:54:845</t>
  </si>
  <si>
    <t>10:17:55:035</t>
  </si>
  <si>
    <t>10:17:55:221</t>
  </si>
  <si>
    <t>10:17:55:424</t>
  </si>
  <si>
    <t>10:17:55:627</t>
  </si>
  <si>
    <t>10:17:55:850</t>
  </si>
  <si>
    <t>10:17:56:034</t>
  </si>
  <si>
    <t>10:17:56:232</t>
  </si>
  <si>
    <t>10:17:56:421</t>
  </si>
  <si>
    <t>10:17:56:634</t>
  </si>
  <si>
    <t>10:17:56:826</t>
  </si>
  <si>
    <t>10:17:57:020</t>
  </si>
  <si>
    <t>10:17:57:331</t>
  </si>
  <si>
    <t>10:17:57:438</t>
  </si>
  <si>
    <t>10:17:57:638</t>
  </si>
  <si>
    <t>10:17:57:842</t>
  </si>
  <si>
    <t>10:17:58:030</t>
  </si>
  <si>
    <t>10:17:58:240</t>
  </si>
  <si>
    <t>10:17:58:456</t>
  </si>
  <si>
    <t>10:17:58:635</t>
  </si>
  <si>
    <t>10:17:58:822</t>
  </si>
  <si>
    <t>10:17:59:026</t>
  </si>
  <si>
    <t>10:17:59:231</t>
  </si>
  <si>
    <t>10:17:59:460</t>
  </si>
  <si>
    <t>10:17:59:625</t>
  </si>
  <si>
    <t>10:17:59:831</t>
  </si>
  <si>
    <t>10:18:00:034</t>
  </si>
  <si>
    <t>10:18:00:236</t>
  </si>
  <si>
    <t>10:18:00:427</t>
  </si>
  <si>
    <t>10:18:00:617</t>
  </si>
  <si>
    <t>10:18:00:923</t>
  </si>
  <si>
    <t>10:18:01:205</t>
  </si>
  <si>
    <t>10:18:01:431</t>
  </si>
  <si>
    <t>10:18:01:505</t>
  </si>
  <si>
    <t>10:18:01:632</t>
  </si>
  <si>
    <t>10:18:01:852</t>
  </si>
  <si>
    <t>10:18:02:050</t>
  </si>
  <si>
    <t>10:18:02:226</t>
  </si>
  <si>
    <t>10:18:02:428</t>
  </si>
  <si>
    <t>10:18:02:648</t>
  </si>
  <si>
    <t>10:18:02:824</t>
  </si>
  <si>
    <t>10:18:03:049</t>
  </si>
  <si>
    <t>10:18:03:246</t>
  </si>
  <si>
    <t>10:18:03:429</t>
  </si>
  <si>
    <t>10:18:03:622</t>
  </si>
  <si>
    <t>10:18:03:834</t>
  </si>
  <si>
    <t>10:18:04:032</t>
  </si>
  <si>
    <t>10:18:04:230</t>
  </si>
  <si>
    <t>10:18:04:427</t>
  </si>
  <si>
    <t>10:18:04:632</t>
  </si>
  <si>
    <t>10:18:04:825</t>
  </si>
  <si>
    <t>10:18:05:056</t>
  </si>
  <si>
    <t>10:18:05:231</t>
  </si>
  <si>
    <t>10:18:05:434</t>
  </si>
  <si>
    <t>10:18:05:635</t>
  </si>
  <si>
    <t>10:18:05:821</t>
  </si>
  <si>
    <t>10:18:06:036</t>
  </si>
  <si>
    <t>10:18:06:236</t>
  </si>
  <si>
    <t>10:18:06:437</t>
  </si>
  <si>
    <t>10:18:06:624</t>
  </si>
  <si>
    <t>10:18:06:825</t>
  </si>
  <si>
    <t>10:18:07:037</t>
  </si>
  <si>
    <t>10:18:07:255</t>
  </si>
  <si>
    <t>10:18:07:444</t>
  </si>
  <si>
    <t>10:18:07:629</t>
  </si>
  <si>
    <t>10:18:07:826</t>
  </si>
  <si>
    <t>10:18:08:023</t>
  </si>
  <si>
    <t>10:18:08:227</t>
  </si>
  <si>
    <t>10:18:08:418</t>
  </si>
  <si>
    <t>10:18:08:639</t>
  </si>
  <si>
    <t>10:18:08:830</t>
  </si>
  <si>
    <t>10:18:09:053</t>
  </si>
  <si>
    <t>10:18:09:228</t>
  </si>
  <si>
    <t>10:18:09:423</t>
  </si>
  <si>
    <t>10:18:09:620</t>
  </si>
  <si>
    <t>10:18:09:816</t>
  </si>
  <si>
    <t>10:18:10:024</t>
  </si>
  <si>
    <t>10:18:10:221</t>
  </si>
  <si>
    <t>10:18:10:428</t>
  </si>
  <si>
    <t>10:18:10:617</t>
  </si>
  <si>
    <t>10:18:10:858</t>
  </si>
  <si>
    <t>10:18:11:035</t>
  </si>
  <si>
    <t>10:18:11:233</t>
  </si>
  <si>
    <t>10:18:11:442</t>
  </si>
  <si>
    <t>10:18:11:642</t>
  </si>
  <si>
    <t>10:18:11:832</t>
  </si>
  <si>
    <t>10:18:12:018</t>
  </si>
  <si>
    <t>10:18:12:231</t>
  </si>
  <si>
    <t>10:18:12:437</t>
  </si>
  <si>
    <t>10:18:12:650</t>
  </si>
  <si>
    <t>10:18:12:834</t>
  </si>
  <si>
    <t>10:18:13:029</t>
  </si>
  <si>
    <t>10:18:13:227</t>
  </si>
  <si>
    <t>10:18:13:422</t>
  </si>
  <si>
    <t>10:18:13:633</t>
  </si>
  <si>
    <t>10:18:13:824</t>
  </si>
  <si>
    <t>10:18:14:039</t>
  </si>
  <si>
    <t>10:18:14:218</t>
  </si>
  <si>
    <t>10:18:14:434</t>
  </si>
  <si>
    <t>10:18:14:632</t>
  </si>
  <si>
    <t>10:18:14:823</t>
  </si>
  <si>
    <t>10:18:15:025</t>
  </si>
  <si>
    <t>10:18:15:231</t>
  </si>
  <si>
    <t>10:18:15:422</t>
  </si>
  <si>
    <t>10:18:15:627</t>
  </si>
  <si>
    <t>10:18:15:837</t>
  </si>
  <si>
    <t>10:18:16:210</t>
  </si>
  <si>
    <t>10:18:16:288</t>
  </si>
  <si>
    <t>10:18:16:431</t>
  </si>
  <si>
    <t>10:18:16:637</t>
  </si>
  <si>
    <t>10:18:16:826</t>
  </si>
  <si>
    <t>10:18:17:025</t>
  </si>
  <si>
    <t>10:18:17:224</t>
  </si>
  <si>
    <t>10:18:17:424</t>
  </si>
  <si>
    <t>10:18:17:620</t>
  </si>
  <si>
    <t>10:18:17:817</t>
  </si>
  <si>
    <t>10:18:18:035</t>
  </si>
  <si>
    <t>10:18:18:225</t>
  </si>
  <si>
    <t>10:18:18:427</t>
  </si>
  <si>
    <t>10:18:18:616</t>
  </si>
  <si>
    <t>10:18:18:831</t>
  </si>
  <si>
    <t>10:18:19:033</t>
  </si>
  <si>
    <t>10:18:19:230</t>
  </si>
  <si>
    <t>10:18:19:422</t>
  </si>
  <si>
    <t>10:18:19:628</t>
  </si>
  <si>
    <t>10:18:19:815</t>
  </si>
  <si>
    <t>10:18:20:017</t>
  </si>
  <si>
    <t>10:18:20:271</t>
  </si>
  <si>
    <t>10:18:20:448</t>
  </si>
  <si>
    <t>10:18:20:637</t>
  </si>
  <si>
    <t>10:18:20:827</t>
  </si>
  <si>
    <t>10:18:21:020</t>
  </si>
  <si>
    <t>10:18:21:226</t>
  </si>
  <si>
    <t>10:18:21:422</t>
  </si>
  <si>
    <t>10:18:21:620</t>
  </si>
  <si>
    <t>10:18:21:828</t>
  </si>
  <si>
    <t>10:18:22:026</t>
  </si>
  <si>
    <t>10:18:22:219</t>
  </si>
  <si>
    <t>10:18:22:433</t>
  </si>
  <si>
    <t>10:18:22:626</t>
  </si>
  <si>
    <t>10:18:22:814</t>
  </si>
  <si>
    <t>10:18:23:030</t>
  </si>
  <si>
    <t>10:18:23:234</t>
  </si>
  <si>
    <t>10:18:23:421</t>
  </si>
  <si>
    <t>10:18:23:640</t>
  </si>
  <si>
    <t>10:18:23:824</t>
  </si>
  <si>
    <t>10:18:24:032</t>
  </si>
  <si>
    <t>10:18:24:251</t>
  </si>
  <si>
    <t>10:18:24:434</t>
  </si>
  <si>
    <t>10:18:24:639</t>
  </si>
  <si>
    <t>10:18:24:823</t>
  </si>
  <si>
    <t>10:18:25:044</t>
  </si>
  <si>
    <t>10:18:25:224</t>
  </si>
  <si>
    <t>10:18:25:427</t>
  </si>
  <si>
    <t>10:18:25:627</t>
  </si>
  <si>
    <t>10:18:25:820</t>
  </si>
  <si>
    <t>10:18:26:039</t>
  </si>
  <si>
    <t>10:18:26:226</t>
  </si>
  <si>
    <t>10:18:26:464</t>
  </si>
  <si>
    <t>10:18:26:628</t>
  </si>
  <si>
    <t>10:18:26:825</t>
  </si>
  <si>
    <t>10:18:27:022</t>
  </si>
  <si>
    <t>10:18:27:245</t>
  </si>
  <si>
    <t>10:18:27:435</t>
  </si>
  <si>
    <t>10:18:27:635</t>
  </si>
  <si>
    <t>10:18:27:832</t>
  </si>
  <si>
    <t>10:18:28:037</t>
  </si>
  <si>
    <t>10:18:28:249</t>
  </si>
  <si>
    <t>10:18:28:441</t>
  </si>
  <si>
    <t>10:18:28:632</t>
  </si>
  <si>
    <t>10:18:28:814</t>
  </si>
  <si>
    <t>10:18:29:055</t>
  </si>
  <si>
    <t>10:18:29:914</t>
  </si>
  <si>
    <t>10:18:30:003</t>
  </si>
  <si>
    <t>10:18:30:077</t>
  </si>
  <si>
    <t>10:18:30:167</t>
  </si>
  <si>
    <t>10:18:30:231</t>
  </si>
  <si>
    <t>10:18:30:296</t>
  </si>
  <si>
    <t>10:18:30:430</t>
  </si>
  <si>
    <t>10:18:30:624</t>
  </si>
  <si>
    <t>10:18:30:822</t>
  </si>
  <si>
    <t>10:18:31:018</t>
  </si>
  <si>
    <t>10:18:31:233</t>
  </si>
  <si>
    <t>10:18:31:418</t>
  </si>
  <si>
    <t>10:18:31:637</t>
  </si>
  <si>
    <t>10:18:31:816</t>
  </si>
  <si>
    <t>10:18:32:040</t>
  </si>
  <si>
    <t>10:18:32:234</t>
  </si>
  <si>
    <t>10:18:32:458</t>
  </si>
  <si>
    <t>10:18:32:624</t>
  </si>
  <si>
    <t>10:18:32:836</t>
  </si>
  <si>
    <t>10:18:33:025</t>
  </si>
  <si>
    <t>10:18:33:255</t>
  </si>
  <si>
    <t>10:18:33:420</t>
  </si>
  <si>
    <t>10:18:33:636</t>
  </si>
  <si>
    <t>10:18:33:824</t>
  </si>
  <si>
    <t>10:18:34:027</t>
  </si>
  <si>
    <t>10:18:34:221</t>
  </si>
  <si>
    <t>10:18:34:511</t>
  </si>
  <si>
    <t>10:18:34:637</t>
  </si>
  <si>
    <t>10:18:34:847</t>
  </si>
  <si>
    <t>10:18:35:033</t>
  </si>
  <si>
    <t>10:18:35:222</t>
  </si>
  <si>
    <t>10:18:35:448</t>
  </si>
  <si>
    <t>10:18:35:653</t>
  </si>
  <si>
    <t>10:18:35:827</t>
  </si>
  <si>
    <t>10:18:36:039</t>
  </si>
  <si>
    <t>10:18:36:223</t>
  </si>
  <si>
    <t>10:18:36:423</t>
  </si>
  <si>
    <t>10:18:36:671</t>
  </si>
  <si>
    <t>10:18:36:848</t>
  </si>
  <si>
    <t>10:18:37:032</t>
  </si>
  <si>
    <t>10:18:37:255</t>
  </si>
  <si>
    <t>10:18:37:454</t>
  </si>
  <si>
    <t>10:18:37:630</t>
  </si>
  <si>
    <t>10:18:37:820</t>
  </si>
  <si>
    <t>10:18:38:022</t>
  </si>
  <si>
    <t>10:18:38:215</t>
  </si>
  <si>
    <t>10:18:38:421</t>
  </si>
  <si>
    <t>10:18:38:648</t>
  </si>
  <si>
    <t>10:18:38:814</t>
  </si>
  <si>
    <t>10:18:39:015</t>
  </si>
  <si>
    <t>10:18:39:247</t>
  </si>
  <si>
    <t>10:18:39:441</t>
  </si>
  <si>
    <t>10:18:39:673</t>
  </si>
  <si>
    <t>10:18:39:822</t>
  </si>
  <si>
    <t>10:18:40:024</t>
  </si>
  <si>
    <t>10:18:40:376</t>
  </si>
  <si>
    <t>10:18:40:487</t>
  </si>
  <si>
    <t>10:18:40:639</t>
  </si>
  <si>
    <t>10:18:40:887</t>
  </si>
  <si>
    <t>10:18:41:038</t>
  </si>
  <si>
    <t>10:18:41:218</t>
  </si>
  <si>
    <t>10:18:41:460</t>
  </si>
  <si>
    <t>10:18:41:653</t>
  </si>
  <si>
    <t>10:18:41:826</t>
  </si>
  <si>
    <t>10:18:42:047</t>
  </si>
  <si>
    <t>10:18:42:231</t>
  </si>
  <si>
    <t>10:18:42:417</t>
  </si>
  <si>
    <t>10:18:43:986</t>
  </si>
  <si>
    <t>10:18:44:104</t>
  </si>
  <si>
    <t>10:18:44:189</t>
  </si>
  <si>
    <t>10:18:44:278</t>
  </si>
  <si>
    <t>10:18:44:351</t>
  </si>
  <si>
    <t>10:18:44:440</t>
  </si>
  <si>
    <t>10:18:44:502</t>
  </si>
  <si>
    <t>10:18:44:556</t>
  </si>
  <si>
    <t>10:18:44:625</t>
  </si>
  <si>
    <t>10:18:44:680</t>
  </si>
  <si>
    <t>10:18:44:754</t>
  </si>
  <si>
    <t>10:18:45:007</t>
  </si>
  <si>
    <t>10:18:45:086</t>
  </si>
  <si>
    <t>10:18:45:232</t>
  </si>
  <si>
    <t>10:18:45:433</t>
  </si>
  <si>
    <t>10:18:45:620</t>
  </si>
  <si>
    <t>10:18:45:835</t>
  </si>
  <si>
    <t>10:18:46:031</t>
  </si>
  <si>
    <t>10:18:46:220</t>
  </si>
  <si>
    <t>10:18:46:446</t>
  </si>
  <si>
    <t>10:18:46:636</t>
  </si>
  <si>
    <t>10:18:46:821</t>
  </si>
  <si>
    <t>10:18:47:032</t>
  </si>
  <si>
    <t>10:18:47:215</t>
  </si>
  <si>
    <t>10:18:47:416</t>
  </si>
  <si>
    <t>10:18:47:638</t>
  </si>
  <si>
    <t>10:18:47:831</t>
  </si>
  <si>
    <t>10:18:48:013</t>
  </si>
  <si>
    <t>10:18:48:224</t>
  </si>
  <si>
    <t>10:18:48:415</t>
  </si>
  <si>
    <t>10:18:48:648</t>
  </si>
  <si>
    <t>10:18:48:837</t>
  </si>
  <si>
    <t>10:18:49:039</t>
  </si>
  <si>
    <t>10:18:49:219</t>
  </si>
  <si>
    <t>10:18:49:455</t>
  </si>
  <si>
    <t>10:18:49:646</t>
  </si>
  <si>
    <t>10:18:49:838</t>
  </si>
  <si>
    <t>10:18:50:126</t>
  </si>
  <si>
    <t>10:18:50:235</t>
  </si>
  <si>
    <t>10:18:50:422</t>
  </si>
  <si>
    <t>10:18:50:630</t>
  </si>
  <si>
    <t>10:18:50:833</t>
  </si>
  <si>
    <t>10:18:51:032</t>
  </si>
  <si>
    <t>10:18:51:249</t>
  </si>
  <si>
    <t>10:18:51:437</t>
  </si>
  <si>
    <t>10:18:51:634</t>
  </si>
  <si>
    <t>10:18:51:829</t>
  </si>
  <si>
    <t>10:18:52:022</t>
  </si>
  <si>
    <t>10:18:52:226</t>
  </si>
  <si>
    <t>10:18:52:413</t>
  </si>
  <si>
    <t>10:18:52:626</t>
  </si>
  <si>
    <t>10:18:52:835</t>
  </si>
  <si>
    <t>10:18:53:063</t>
  </si>
  <si>
    <t>10:18:53:234</t>
  </si>
  <si>
    <t>10:18:53:450</t>
  </si>
  <si>
    <t>10:18:53:651</t>
  </si>
  <si>
    <t>10:18:53:832</t>
  </si>
  <si>
    <t>10:18:54:035</t>
  </si>
  <si>
    <t>10:18:54:229</t>
  </si>
  <si>
    <t>10:18:54:427</t>
  </si>
  <si>
    <t>10:18:54:650</t>
  </si>
  <si>
    <t>10:18:54:833</t>
  </si>
  <si>
    <t>10:18:55:033</t>
  </si>
  <si>
    <t>10:18:55:222</t>
  </si>
  <si>
    <t>10:18:55:450</t>
  </si>
  <si>
    <t>10:18:55:631</t>
  </si>
  <si>
    <t>10:18:55:823</t>
  </si>
  <si>
    <t>10:18:56:036</t>
  </si>
  <si>
    <t>10:18:56:235</t>
  </si>
  <si>
    <t>10:18:56:416</t>
  </si>
  <si>
    <t>10:18:56:622</t>
  </si>
  <si>
    <t>10:18:56:821</t>
  </si>
  <si>
    <t>10:18:57:048</t>
  </si>
  <si>
    <t>10:18:57:243</t>
  </si>
  <si>
    <t>10:18:57:430</t>
  </si>
  <si>
    <t>10:18:57:649</t>
  </si>
  <si>
    <t>10:18:57:832</t>
  </si>
  <si>
    <t>10:18:58:015</t>
  </si>
  <si>
    <t>10:18:58:227</t>
  </si>
  <si>
    <t>10:18:58:436</t>
  </si>
  <si>
    <t>10:18:58:641</t>
  </si>
  <si>
    <t>10:18:58:828</t>
  </si>
  <si>
    <t>10:18:59:052</t>
  </si>
  <si>
    <t>10:18:59:230</t>
  </si>
  <si>
    <t>10:18:59:419</t>
  </si>
  <si>
    <t>10:18:59:634</t>
  </si>
  <si>
    <t>10:18:59:822</t>
  </si>
  <si>
    <t>10:19:00:037</t>
  </si>
  <si>
    <t>10:19:00:231</t>
  </si>
  <si>
    <t>10:19:00:425</t>
  </si>
  <si>
    <t>10:19:00:616</t>
  </si>
  <si>
    <t>10:19:00:979</t>
  </si>
  <si>
    <t>10:19:01:189</t>
  </si>
  <si>
    <t>10:19:01:325</t>
  </si>
  <si>
    <t>10:19:01:482</t>
  </si>
  <si>
    <t>10:19:01:620</t>
  </si>
  <si>
    <t>10:19:01:821</t>
  </si>
  <si>
    <t>10:19:02:020</t>
  </si>
  <si>
    <t>10:19:02:226</t>
  </si>
  <si>
    <t>10:19:02:411</t>
  </si>
  <si>
    <t>10:19:02:618</t>
  </si>
  <si>
    <t>10:19:02:830</t>
  </si>
  <si>
    <t>10:19:03:021</t>
  </si>
  <si>
    <t>10:19:03:222</t>
  </si>
  <si>
    <t>10:19:03:415</t>
  </si>
  <si>
    <t>10:19:03:623</t>
  </si>
  <si>
    <t>10:19:03:832</t>
  </si>
  <si>
    <t>10:19:04:017</t>
  </si>
  <si>
    <t>10:19:04:214</t>
  </si>
  <si>
    <t>10:19:04:411</t>
  </si>
  <si>
    <t>10:19:04:624</t>
  </si>
  <si>
    <t>10:19:04:815</t>
  </si>
  <si>
    <t>10:19:05:025</t>
  </si>
  <si>
    <t>10:19:05:219</t>
  </si>
  <si>
    <t>10:19:05:416</t>
  </si>
  <si>
    <t>10:19:05:626</t>
  </si>
  <si>
    <t>10:19:05:839</t>
  </si>
  <si>
    <t>10:19:06:022</t>
  </si>
  <si>
    <t>10:19:06:216</t>
  </si>
  <si>
    <t>10:19:06:435</t>
  </si>
  <si>
    <t>10:19:06:612</t>
  </si>
  <si>
    <t>10:19:06:832</t>
  </si>
  <si>
    <t>10:19:07:043</t>
  </si>
  <si>
    <t>10:19:07:217</t>
  </si>
  <si>
    <t>10:19:07:427</t>
  </si>
  <si>
    <t>10:19:07:614</t>
  </si>
  <si>
    <t>10:19:07:816</t>
  </si>
  <si>
    <t>10:19:08:025</t>
  </si>
  <si>
    <t>10:19:08:221</t>
  </si>
  <si>
    <t>10:19:09:054</t>
  </si>
  <si>
    <t>10:19:09:121</t>
  </si>
  <si>
    <t>10:19:09:183</t>
  </si>
  <si>
    <t>10:19:09:254</t>
  </si>
  <si>
    <t>10:19:09:324</t>
  </si>
  <si>
    <t>10:19:09:417</t>
  </si>
  <si>
    <t>10:19:09:614</t>
  </si>
  <si>
    <t>10:19:09:812</t>
  </si>
  <si>
    <t>10:19:10:030</t>
  </si>
  <si>
    <t>10:19:10:218</t>
  </si>
  <si>
    <t>10:19:10:415</t>
  </si>
  <si>
    <t>10:19:10:633</t>
  </si>
  <si>
    <t>10:19:10:818</t>
  </si>
  <si>
    <t>10:19:11:033</t>
  </si>
  <si>
    <t>10:19:11:241</t>
  </si>
  <si>
    <t>10:19:11:446</t>
  </si>
  <si>
    <t>10:19:11:631</t>
  </si>
  <si>
    <t>10:19:11:818</t>
  </si>
  <si>
    <t>10:19:12:019</t>
  </si>
  <si>
    <t>10:19:12:236</t>
  </si>
  <si>
    <t>10:19:12:426</t>
  </si>
  <si>
    <t>10:19:12:616</t>
  </si>
  <si>
    <t>10:19:12:812</t>
  </si>
  <si>
    <t>10:19:13:015</t>
  </si>
  <si>
    <t>10:19:13:216</t>
  </si>
  <si>
    <t>10:19:13:444</t>
  </si>
  <si>
    <t>10:19:13:626</t>
  </si>
  <si>
    <t>10:19:13:817</t>
  </si>
  <si>
    <t>10:19:14:022</t>
  </si>
  <si>
    <t>10:19:14:231</t>
  </si>
  <si>
    <t>10:19:14:415</t>
  </si>
  <si>
    <t>10:19:14:632</t>
  </si>
  <si>
    <t>10:19:14:834</t>
  </si>
  <si>
    <t>10:19:15:035</t>
  </si>
  <si>
    <t>10:19:15:237</t>
  </si>
  <si>
    <t>10:19:15:434</t>
  </si>
  <si>
    <t>10:19:15:613</t>
  </si>
  <si>
    <t>10:19:15:826</t>
  </si>
  <si>
    <t>10:19:16:024</t>
  </si>
  <si>
    <t>10:19:16:218</t>
  </si>
  <si>
    <t>10:19:16:431</t>
  </si>
  <si>
    <t>10:19:16:611</t>
  </si>
  <si>
    <t>10:19:16:818</t>
  </si>
  <si>
    <t>10:19:17:029</t>
  </si>
  <si>
    <t>10:19:17:233</t>
  </si>
  <si>
    <t>10:19:17:426</t>
  </si>
  <si>
    <t>10:19:17:613</t>
  </si>
  <si>
    <t>10:19:17:820</t>
  </si>
  <si>
    <t>10:19:18:014</t>
  </si>
  <si>
    <t>10:19:18:231</t>
  </si>
  <si>
    <t>10:19:18:418</t>
  </si>
  <si>
    <t>10:19:18:615</t>
  </si>
  <si>
    <t>10:19:18:846</t>
  </si>
  <si>
    <t>10:19:19:029</t>
  </si>
  <si>
    <t>10:19:19:230</t>
  </si>
  <si>
    <t>10:19:19:419</t>
  </si>
  <si>
    <t>10:19:19:634</t>
  </si>
  <si>
    <t>10:19:19:819</t>
  </si>
  <si>
    <t>10:19:20:034</t>
  </si>
  <si>
    <t>10:19:20:229</t>
  </si>
  <si>
    <t>10:19:20:414</t>
  </si>
  <si>
    <t>10:19:20:633</t>
  </si>
  <si>
    <t>10:19:20:827</t>
  </si>
  <si>
    <t>10:19:21:017</t>
  </si>
  <si>
    <t>10:19:21:226</t>
  </si>
  <si>
    <t>10:19:21:424</t>
  </si>
  <si>
    <t>10:19:21:622</t>
  </si>
  <si>
    <t>10:19:21:819</t>
  </si>
  <si>
    <t>10:19:22:020</t>
  </si>
  <si>
    <t>10:19:22:215</t>
  </si>
  <si>
    <t>10:19:22:420</t>
  </si>
  <si>
    <t>10:19:22:617</t>
  </si>
  <si>
    <t>10:19:22:815</t>
  </si>
  <si>
    <t>10:19:23:054</t>
  </si>
  <si>
    <t>10:19:23:225</t>
  </si>
  <si>
    <t>10:19:23:420</t>
  </si>
  <si>
    <t>10:19:23:629</t>
  </si>
  <si>
    <t>10:19:23:829</t>
  </si>
  <si>
    <t>10:19:24:022</t>
  </si>
  <si>
    <t>10:19:24:223</t>
  </si>
  <si>
    <t>10:19:24:416</t>
  </si>
  <si>
    <t>10:19:24:613</t>
  </si>
  <si>
    <t>10:19:24:824</t>
  </si>
  <si>
    <t>10:19:25:027</t>
  </si>
  <si>
    <t>10:19:25:216</t>
  </si>
  <si>
    <t>10:19:25:423</t>
  </si>
  <si>
    <t>10:19:25:624</t>
  </si>
  <si>
    <t>10:19:25:815</t>
  </si>
  <si>
    <t>10:19:26:018</t>
  </si>
  <si>
    <t>10:19:26:221</t>
  </si>
  <si>
    <t>10:19:26:414</t>
  </si>
  <si>
    <t>10:19:26:619</t>
  </si>
  <si>
    <t>10:19:26:828</t>
  </si>
  <si>
    <t>10:19:27:017</t>
  </si>
  <si>
    <t>10:19:27:244</t>
  </si>
  <si>
    <t>10:19:27:437</t>
  </si>
  <si>
    <t>10:19:27:612</t>
  </si>
  <si>
    <t>10:19:27:824</t>
  </si>
  <si>
    <t>10:19:28:016</t>
  </si>
  <si>
    <t>10:19:28:215</t>
  </si>
  <si>
    <t>10:19:28:452</t>
  </si>
  <si>
    <t>10:19:28:615</t>
  </si>
  <si>
    <t>10:19:28:816</t>
  </si>
  <si>
    <t>10:19:29:023</t>
  </si>
  <si>
    <t>10:19:29:254</t>
  </si>
  <si>
    <t>10:19:29:415</t>
  </si>
  <si>
    <t>10:19:29:633</t>
  </si>
  <si>
    <t>10:19:29:828</t>
  </si>
  <si>
    <t>10:19:30:014</t>
  </si>
  <si>
    <t>10:19:30:242</t>
  </si>
  <si>
    <t>10:19:30:415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</si>
</sst>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name val="Calibri"/>
      <family val="2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Datos_app!$I$764:$I$2197</c:f>
              <c:numCache>
                <c:formatCode>General</c:formatCode>
                <c:ptCount val="1434"/>
              </c:numCache>
            </c:numRef>
          </c:xVal>
          <c:yVal>
            <c:numRef>
              <c:f>Datos_app!#REF!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1F-481A-B488-E0C03EEEF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863247"/>
        <c:axId val="659861327"/>
      </c:scatterChart>
      <c:valAx>
        <c:axId val="659863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1327"/>
        <c:crosses val="autoZero"/>
        <c:crossBetween val="midCat"/>
      </c:valAx>
      <c:valAx>
        <c:axId val="65986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3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slide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Promedios!$I$2:$I$103</c:f>
              <c:numCache>
                <c:formatCode>General</c:formatCode>
                <c:ptCount val="102"/>
                <c:pt idx="0">
                  <c:v>0</c:v>
                </c:pt>
                <c:pt idx="1">
                  <c:v>0.19909000000000532</c:v>
                </c:pt>
                <c:pt idx="2">
                  <c:v>0.40033500000000188</c:v>
                </c:pt>
                <c:pt idx="3">
                  <c:v>0.59941500000000758</c:v>
                </c:pt>
                <c:pt idx="4">
                  <c:v>0.80013000000000289</c:v>
                </c:pt>
                <c:pt idx="5">
                  <c:v>1.0011650000000074</c:v>
                </c:pt>
                <c:pt idx="6">
                  <c:v>1.2006500000000067</c:v>
                </c:pt>
                <c:pt idx="7">
                  <c:v>1.3999350000000028</c:v>
                </c:pt>
                <c:pt idx="8">
                  <c:v>1.6042700000000032</c:v>
                </c:pt>
                <c:pt idx="9">
                  <c:v>1.7990200000000094</c:v>
                </c:pt>
                <c:pt idx="10">
                  <c:v>2.0039700000000025</c:v>
                </c:pt>
                <c:pt idx="11">
                  <c:v>2.198865000000005</c:v>
                </c:pt>
                <c:pt idx="12">
                  <c:v>2.4020500000000062</c:v>
                </c:pt>
                <c:pt idx="13">
                  <c:v>2.5996950000000076</c:v>
                </c:pt>
                <c:pt idx="14">
                  <c:v>2.8001150000000017</c:v>
                </c:pt>
                <c:pt idx="15">
                  <c:v>3.0093350000000072</c:v>
                </c:pt>
                <c:pt idx="16">
                  <c:v>3.2040450000000007</c:v>
                </c:pt>
                <c:pt idx="17">
                  <c:v>3.4034150000000025</c:v>
                </c:pt>
                <c:pt idx="18">
                  <c:v>3.600630000000006</c:v>
                </c:pt>
                <c:pt idx="19">
                  <c:v>3.7989650000000026</c:v>
                </c:pt>
                <c:pt idx="20">
                  <c:v>4.001530000000006</c:v>
                </c:pt>
                <c:pt idx="21">
                  <c:v>4.1987550000000056</c:v>
                </c:pt>
                <c:pt idx="22">
                  <c:v>4.4001300000000079</c:v>
                </c:pt>
                <c:pt idx="23">
                  <c:v>4.5984050000000067</c:v>
                </c:pt>
                <c:pt idx="24">
                  <c:v>4.799315</c:v>
                </c:pt>
                <c:pt idx="25">
                  <c:v>4.9995100000000043</c:v>
                </c:pt>
                <c:pt idx="26">
                  <c:v>5.1995650000000069</c:v>
                </c:pt>
                <c:pt idx="27">
                  <c:v>5.398960000000006</c:v>
                </c:pt>
                <c:pt idx="28">
                  <c:v>5.5999250000000096</c:v>
                </c:pt>
                <c:pt idx="29">
                  <c:v>5.7986550000000072</c:v>
                </c:pt>
                <c:pt idx="30">
                  <c:v>6.0002000000000031</c:v>
                </c:pt>
                <c:pt idx="31">
                  <c:v>6.1984350000000035</c:v>
                </c:pt>
                <c:pt idx="32">
                  <c:v>6.4024600000000085</c:v>
                </c:pt>
                <c:pt idx="33">
                  <c:v>6.6010050000000042</c:v>
                </c:pt>
                <c:pt idx="34">
                  <c:v>6.8027900000000052</c:v>
                </c:pt>
                <c:pt idx="35">
                  <c:v>7.002980000000008</c:v>
                </c:pt>
                <c:pt idx="36">
                  <c:v>7.1999600000000044</c:v>
                </c:pt>
                <c:pt idx="37">
                  <c:v>7.4036250000000088</c:v>
                </c:pt>
                <c:pt idx="38">
                  <c:v>7.5999900000000054</c:v>
                </c:pt>
                <c:pt idx="39">
                  <c:v>7.8011100000000084</c:v>
                </c:pt>
                <c:pt idx="40">
                  <c:v>8.0010100000000008</c:v>
                </c:pt>
                <c:pt idx="41">
                  <c:v>8.1990350000000021</c:v>
                </c:pt>
                <c:pt idx="42">
                  <c:v>8.4002550000000049</c:v>
                </c:pt>
                <c:pt idx="43">
                  <c:v>8.6007300000000022</c:v>
                </c:pt>
                <c:pt idx="44">
                  <c:v>8.8116900000000022</c:v>
                </c:pt>
                <c:pt idx="45">
                  <c:v>8.9990850000000044</c:v>
                </c:pt>
                <c:pt idx="46">
                  <c:v>9.2012950000000018</c:v>
                </c:pt>
                <c:pt idx="47">
                  <c:v>9.4007100000000001</c:v>
                </c:pt>
                <c:pt idx="48">
                  <c:v>9.5994850000000049</c:v>
                </c:pt>
                <c:pt idx="49">
                  <c:v>9.8000950000000024</c:v>
                </c:pt>
                <c:pt idx="50">
                  <c:v>10.004405000000006</c:v>
                </c:pt>
                <c:pt idx="51">
                  <c:v>10.199190000000002</c:v>
                </c:pt>
                <c:pt idx="52">
                  <c:v>10.400145000000006</c:v>
                </c:pt>
                <c:pt idx="53">
                  <c:v>10.598645000000005</c:v>
                </c:pt>
                <c:pt idx="54">
                  <c:v>10.800530000000006</c:v>
                </c:pt>
                <c:pt idx="55">
                  <c:v>11.001500000000007</c:v>
                </c:pt>
                <c:pt idx="56">
                  <c:v>11.200705000000006</c:v>
                </c:pt>
                <c:pt idx="57">
                  <c:v>11.399340000000002</c:v>
                </c:pt>
                <c:pt idx="58">
                  <c:v>11.600980000000003</c:v>
                </c:pt>
                <c:pt idx="59">
                  <c:v>11.799525000000003</c:v>
                </c:pt>
                <c:pt idx="60">
                  <c:v>12.002830000000007</c:v>
                </c:pt>
                <c:pt idx="61">
                  <c:v>12.199575000000003</c:v>
                </c:pt>
                <c:pt idx="62">
                  <c:v>12.40344</c:v>
                </c:pt>
                <c:pt idx="63">
                  <c:v>12.600390000000004</c:v>
                </c:pt>
                <c:pt idx="64">
                  <c:v>12.802210000000006</c:v>
                </c:pt>
                <c:pt idx="65">
                  <c:v>12.997035</c:v>
                </c:pt>
                <c:pt idx="66">
                  <c:v>13.200575000000011</c:v>
                </c:pt>
                <c:pt idx="67">
                  <c:v>13.400360000000003</c:v>
                </c:pt>
                <c:pt idx="68">
                  <c:v>13.599620000000005</c:v>
                </c:pt>
                <c:pt idx="69">
                  <c:v>13.800470000000008</c:v>
                </c:pt>
                <c:pt idx="70">
                  <c:v>14.004410000000004</c:v>
                </c:pt>
                <c:pt idx="71">
                  <c:v>14.200365000000001</c:v>
                </c:pt>
                <c:pt idx="72">
                  <c:v>14.402080000000009</c:v>
                </c:pt>
                <c:pt idx="73">
                  <c:v>14.599375000000006</c:v>
                </c:pt>
                <c:pt idx="74">
                  <c:v>14.801280000000002</c:v>
                </c:pt>
                <c:pt idx="75">
                  <c:v>14.999480000000002</c:v>
                </c:pt>
                <c:pt idx="76">
                  <c:v>15.202440000000006</c:v>
                </c:pt>
                <c:pt idx="77">
                  <c:v>15.39881500000001</c:v>
                </c:pt>
                <c:pt idx="78">
                  <c:v>15.600075</c:v>
                </c:pt>
                <c:pt idx="79">
                  <c:v>15.800645000000006</c:v>
                </c:pt>
                <c:pt idx="80">
                  <c:v>16.000545000000006</c:v>
                </c:pt>
                <c:pt idx="81">
                  <c:v>16.199170000000006</c:v>
                </c:pt>
                <c:pt idx="82">
                  <c:v>16.400305000000007</c:v>
                </c:pt>
                <c:pt idx="83">
                  <c:v>16.598675000000004</c:v>
                </c:pt>
                <c:pt idx="84">
                  <c:v>16.800425000000001</c:v>
                </c:pt>
                <c:pt idx="85">
                  <c:v>17.000470000000004</c:v>
                </c:pt>
                <c:pt idx="86">
                  <c:v>17.199760000000001</c:v>
                </c:pt>
                <c:pt idx="87">
                  <c:v>17.399595000000001</c:v>
                </c:pt>
                <c:pt idx="88">
                  <c:v>17.600260000000002</c:v>
                </c:pt>
                <c:pt idx="89">
                  <c:v>17.799785000000004</c:v>
                </c:pt>
                <c:pt idx="90">
                  <c:v>18.000925000000006</c:v>
                </c:pt>
                <c:pt idx="91">
                  <c:v>18.198820000000001</c:v>
                </c:pt>
                <c:pt idx="92">
                  <c:v>18.400470000000002</c:v>
                </c:pt>
                <c:pt idx="93">
                  <c:v>18.598720000000004</c:v>
                </c:pt>
                <c:pt idx="94">
                  <c:v>18.801675000000007</c:v>
                </c:pt>
                <c:pt idx="95">
                  <c:v>19.006140000000006</c:v>
                </c:pt>
                <c:pt idx="96">
                  <c:v>19.200424999999999</c:v>
                </c:pt>
                <c:pt idx="97">
                  <c:v>19.400045000000002</c:v>
                </c:pt>
                <c:pt idx="98">
                  <c:v>19.599315000000008</c:v>
                </c:pt>
                <c:pt idx="99">
                  <c:v>19.799175000000002</c:v>
                </c:pt>
                <c:pt idx="100">
                  <c:v>20.002249999999997</c:v>
                </c:pt>
                <c:pt idx="101">
                  <c:v>20.210129999999999</c:v>
                </c:pt>
              </c:numCache>
            </c:numRef>
          </c:xVal>
          <c:yVal>
            <c:numRef>
              <c:f>Promedios!$J$2:$J$103</c:f>
              <c:numCache>
                <c:formatCode>General</c:formatCode>
                <c:ptCount val="102"/>
                <c:pt idx="0">
                  <c:v>5.0000000000000002E-5</c:v>
                </c:pt>
                <c:pt idx="1">
                  <c:v>2.4000000000000002E-3</c:v>
                </c:pt>
                <c:pt idx="2">
                  <c:v>7.7499999999999999E-3</c:v>
                </c:pt>
                <c:pt idx="3">
                  <c:v>1.5299999999999999E-2</c:v>
                </c:pt>
                <c:pt idx="4">
                  <c:v>2.445E-2</c:v>
                </c:pt>
                <c:pt idx="5">
                  <c:v>3.4349999999999999E-2</c:v>
                </c:pt>
                <c:pt idx="6">
                  <c:v>4.3900000000000002E-2</c:v>
                </c:pt>
                <c:pt idx="7">
                  <c:v>5.2200000000000003E-2</c:v>
                </c:pt>
                <c:pt idx="8">
                  <c:v>5.8650000000000001E-2</c:v>
                </c:pt>
                <c:pt idx="9">
                  <c:v>6.2199999999999998E-2</c:v>
                </c:pt>
                <c:pt idx="10">
                  <c:v>6.2899999999999998E-2</c:v>
                </c:pt>
                <c:pt idx="11">
                  <c:v>6.0499999999999998E-2</c:v>
                </c:pt>
                <c:pt idx="12">
                  <c:v>5.5199999999999999E-2</c:v>
                </c:pt>
                <c:pt idx="13">
                  <c:v>4.7699999999999999E-2</c:v>
                </c:pt>
                <c:pt idx="14">
                  <c:v>3.8550000000000001E-2</c:v>
                </c:pt>
                <c:pt idx="15">
                  <c:v>2.8299999999999999E-2</c:v>
                </c:pt>
                <c:pt idx="16">
                  <c:v>1.8950000000000002E-2</c:v>
                </c:pt>
                <c:pt idx="17">
                  <c:v>1.065E-2</c:v>
                </c:pt>
                <c:pt idx="18">
                  <c:v>4.45E-3</c:v>
                </c:pt>
                <c:pt idx="19">
                  <c:v>8.0000000000000004E-4</c:v>
                </c:pt>
                <c:pt idx="20">
                  <c:v>1E-4</c:v>
                </c:pt>
                <c:pt idx="21">
                  <c:v>2.5000000000000001E-3</c:v>
                </c:pt>
                <c:pt idx="22">
                  <c:v>7.7499999999999999E-3</c:v>
                </c:pt>
                <c:pt idx="23">
                  <c:v>1.52E-2</c:v>
                </c:pt>
                <c:pt idx="24">
                  <c:v>2.4400000000000002E-2</c:v>
                </c:pt>
                <c:pt idx="25">
                  <c:v>3.4250000000000003E-2</c:v>
                </c:pt>
                <c:pt idx="26">
                  <c:v>4.3799999999999999E-2</c:v>
                </c:pt>
                <c:pt idx="27">
                  <c:v>5.2150000000000002E-2</c:v>
                </c:pt>
                <c:pt idx="28">
                  <c:v>5.8500000000000003E-2</c:v>
                </c:pt>
                <c:pt idx="29">
                  <c:v>6.2199999999999998E-2</c:v>
                </c:pt>
                <c:pt idx="30">
                  <c:v>6.2899999999999998E-2</c:v>
                </c:pt>
                <c:pt idx="31">
                  <c:v>6.0499999999999998E-2</c:v>
                </c:pt>
                <c:pt idx="32">
                  <c:v>5.5150000000000005E-2</c:v>
                </c:pt>
                <c:pt idx="33">
                  <c:v>4.7649999999999998E-2</c:v>
                </c:pt>
                <c:pt idx="34">
                  <c:v>3.8449999999999998E-2</c:v>
                </c:pt>
                <c:pt idx="35">
                  <c:v>2.86E-2</c:v>
                </c:pt>
                <c:pt idx="36">
                  <c:v>1.915E-2</c:v>
                </c:pt>
                <c:pt idx="37">
                  <c:v>1.0700000000000001E-2</c:v>
                </c:pt>
                <c:pt idx="38">
                  <c:v>4.4999999999999997E-3</c:v>
                </c:pt>
                <c:pt idx="39">
                  <c:v>8.0000000000000004E-4</c:v>
                </c:pt>
                <c:pt idx="40">
                  <c:v>1E-4</c:v>
                </c:pt>
                <c:pt idx="41">
                  <c:v>2.5000000000000001E-3</c:v>
                </c:pt>
                <c:pt idx="42">
                  <c:v>7.7499999999999999E-3</c:v>
                </c:pt>
                <c:pt idx="43">
                  <c:v>1.5349999999999999E-2</c:v>
                </c:pt>
                <c:pt idx="44">
                  <c:v>2.5000000000000001E-2</c:v>
                </c:pt>
                <c:pt idx="45">
                  <c:v>3.4250000000000003E-2</c:v>
                </c:pt>
                <c:pt idx="46">
                  <c:v>4.3900000000000002E-2</c:v>
                </c:pt>
                <c:pt idx="47">
                  <c:v>5.2250000000000005E-2</c:v>
                </c:pt>
                <c:pt idx="48">
                  <c:v>5.8500000000000003E-2</c:v>
                </c:pt>
                <c:pt idx="49">
                  <c:v>6.2199999999999998E-2</c:v>
                </c:pt>
                <c:pt idx="50">
                  <c:v>6.2899999999999998E-2</c:v>
                </c:pt>
                <c:pt idx="51">
                  <c:v>6.0499999999999998E-2</c:v>
                </c:pt>
                <c:pt idx="52">
                  <c:v>5.525E-2</c:v>
                </c:pt>
                <c:pt idx="53">
                  <c:v>4.7750000000000001E-2</c:v>
                </c:pt>
                <c:pt idx="54">
                  <c:v>3.85E-2</c:v>
                </c:pt>
                <c:pt idx="55">
                  <c:v>2.8650000000000002E-2</c:v>
                </c:pt>
                <c:pt idx="56">
                  <c:v>1.9099999999999999E-2</c:v>
                </c:pt>
                <c:pt idx="57">
                  <c:v>1.0800000000000001E-2</c:v>
                </c:pt>
                <c:pt idx="58">
                  <c:v>4.45E-3</c:v>
                </c:pt>
                <c:pt idx="59">
                  <c:v>8.0000000000000004E-4</c:v>
                </c:pt>
                <c:pt idx="60">
                  <c:v>1E-4</c:v>
                </c:pt>
                <c:pt idx="61">
                  <c:v>2.5000000000000001E-3</c:v>
                </c:pt>
                <c:pt idx="62">
                  <c:v>7.8499999999999993E-3</c:v>
                </c:pt>
                <c:pt idx="63">
                  <c:v>1.5349999999999999E-2</c:v>
                </c:pt>
                <c:pt idx="64">
                  <c:v>2.4550000000000002E-2</c:v>
                </c:pt>
                <c:pt idx="65">
                  <c:v>3.4100000000000005E-2</c:v>
                </c:pt>
                <c:pt idx="66">
                  <c:v>4.3900000000000002E-2</c:v>
                </c:pt>
                <c:pt idx="67">
                  <c:v>5.2200000000000003E-2</c:v>
                </c:pt>
                <c:pt idx="68">
                  <c:v>5.8500000000000003E-2</c:v>
                </c:pt>
                <c:pt idx="69">
                  <c:v>6.2199999999999998E-2</c:v>
                </c:pt>
                <c:pt idx="70">
                  <c:v>6.2849999999999989E-2</c:v>
                </c:pt>
                <c:pt idx="71">
                  <c:v>6.0499999999999998E-2</c:v>
                </c:pt>
                <c:pt idx="72">
                  <c:v>5.5150000000000005E-2</c:v>
                </c:pt>
                <c:pt idx="73">
                  <c:v>4.7699999999999999E-2</c:v>
                </c:pt>
                <c:pt idx="74">
                  <c:v>3.85E-2</c:v>
                </c:pt>
                <c:pt idx="75">
                  <c:v>2.8749999999999998E-2</c:v>
                </c:pt>
                <c:pt idx="76">
                  <c:v>1.9049999999999997E-2</c:v>
                </c:pt>
                <c:pt idx="77">
                  <c:v>1.085E-2</c:v>
                </c:pt>
                <c:pt idx="78">
                  <c:v>4.4999999999999997E-3</c:v>
                </c:pt>
                <c:pt idx="79">
                  <c:v>8.0000000000000004E-4</c:v>
                </c:pt>
                <c:pt idx="80">
                  <c:v>1E-4</c:v>
                </c:pt>
                <c:pt idx="81">
                  <c:v>2.5000000000000001E-3</c:v>
                </c:pt>
                <c:pt idx="82">
                  <c:v>7.7499999999999999E-3</c:v>
                </c:pt>
                <c:pt idx="83">
                  <c:v>1.525E-2</c:v>
                </c:pt>
                <c:pt idx="84">
                  <c:v>2.445E-2</c:v>
                </c:pt>
                <c:pt idx="85">
                  <c:v>3.4299999999999997E-2</c:v>
                </c:pt>
                <c:pt idx="86">
                  <c:v>4.385E-2</c:v>
                </c:pt>
                <c:pt idx="87">
                  <c:v>5.2150000000000002E-2</c:v>
                </c:pt>
                <c:pt idx="88">
                  <c:v>5.8500000000000003E-2</c:v>
                </c:pt>
                <c:pt idx="89">
                  <c:v>6.2199999999999998E-2</c:v>
                </c:pt>
                <c:pt idx="90">
                  <c:v>6.2899999999999998E-2</c:v>
                </c:pt>
                <c:pt idx="91">
                  <c:v>6.0499999999999998E-2</c:v>
                </c:pt>
                <c:pt idx="92">
                  <c:v>5.525E-2</c:v>
                </c:pt>
                <c:pt idx="93">
                  <c:v>4.7750000000000001E-2</c:v>
                </c:pt>
                <c:pt idx="94">
                  <c:v>3.8449999999999998E-2</c:v>
                </c:pt>
                <c:pt idx="95">
                  <c:v>2.8400000000000002E-2</c:v>
                </c:pt>
                <c:pt idx="96">
                  <c:v>1.9099999999999999E-2</c:v>
                </c:pt>
                <c:pt idx="97">
                  <c:v>1.085E-2</c:v>
                </c:pt>
                <c:pt idx="98">
                  <c:v>4.4999999999999997E-3</c:v>
                </c:pt>
                <c:pt idx="99">
                  <c:v>8.0000000000000004E-4</c:v>
                </c:pt>
                <c:pt idx="100">
                  <c:v>1E-4</c:v>
                </c:pt>
                <c:pt idx="101">
                  <c:v>2.7000000000000001E-3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FA-410A-BA54-0F346F442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32432"/>
        <c:axId val="1001430032"/>
      </c:scatterChart>
      <c:valAx>
        <c:axId val="1001432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0032"/>
        <c:crosses val="autoZero"/>
        <c:crossBetween val="midCat"/>
      </c:valAx>
      <c:valAx>
        <c:axId val="100143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2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slide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Promedios!$I$2:$I$103</c:f>
              <c:numCache>
                <c:formatCode>General</c:formatCode>
                <c:ptCount val="102"/>
                <c:pt idx="0">
                  <c:v>0</c:v>
                </c:pt>
                <c:pt idx="1">
                  <c:v>0.19909000000000532</c:v>
                </c:pt>
                <c:pt idx="2">
                  <c:v>0.40033500000000188</c:v>
                </c:pt>
                <c:pt idx="3">
                  <c:v>0.59941500000000758</c:v>
                </c:pt>
                <c:pt idx="4">
                  <c:v>0.80013000000000289</c:v>
                </c:pt>
                <c:pt idx="5">
                  <c:v>1.0011650000000074</c:v>
                </c:pt>
                <c:pt idx="6">
                  <c:v>1.2006500000000067</c:v>
                </c:pt>
                <c:pt idx="7">
                  <c:v>1.3999350000000028</c:v>
                </c:pt>
                <c:pt idx="8">
                  <c:v>1.6042700000000032</c:v>
                </c:pt>
                <c:pt idx="9">
                  <c:v>1.7990200000000094</c:v>
                </c:pt>
                <c:pt idx="10">
                  <c:v>2.0039700000000025</c:v>
                </c:pt>
                <c:pt idx="11">
                  <c:v>2.198865000000005</c:v>
                </c:pt>
                <c:pt idx="12">
                  <c:v>2.4020500000000062</c:v>
                </c:pt>
                <c:pt idx="13">
                  <c:v>2.5996950000000076</c:v>
                </c:pt>
                <c:pt idx="14">
                  <c:v>2.8001150000000017</c:v>
                </c:pt>
                <c:pt idx="15">
                  <c:v>3.0093350000000072</c:v>
                </c:pt>
                <c:pt idx="16">
                  <c:v>3.2040450000000007</c:v>
                </c:pt>
                <c:pt idx="17">
                  <c:v>3.4034150000000025</c:v>
                </c:pt>
                <c:pt idx="18">
                  <c:v>3.600630000000006</c:v>
                </c:pt>
                <c:pt idx="19">
                  <c:v>3.7989650000000026</c:v>
                </c:pt>
                <c:pt idx="20">
                  <c:v>4.001530000000006</c:v>
                </c:pt>
                <c:pt idx="21">
                  <c:v>4.1987550000000056</c:v>
                </c:pt>
                <c:pt idx="22">
                  <c:v>4.4001300000000079</c:v>
                </c:pt>
                <c:pt idx="23">
                  <c:v>4.5984050000000067</c:v>
                </c:pt>
                <c:pt idx="24">
                  <c:v>4.799315</c:v>
                </c:pt>
                <c:pt idx="25">
                  <c:v>4.9995100000000043</c:v>
                </c:pt>
                <c:pt idx="26">
                  <c:v>5.1995650000000069</c:v>
                </c:pt>
                <c:pt idx="27">
                  <c:v>5.398960000000006</c:v>
                </c:pt>
                <c:pt idx="28">
                  <c:v>5.5999250000000096</c:v>
                </c:pt>
                <c:pt idx="29">
                  <c:v>5.7986550000000072</c:v>
                </c:pt>
                <c:pt idx="30">
                  <c:v>6.0002000000000031</c:v>
                </c:pt>
                <c:pt idx="31">
                  <c:v>6.1984350000000035</c:v>
                </c:pt>
                <c:pt idx="32">
                  <c:v>6.4024600000000085</c:v>
                </c:pt>
                <c:pt idx="33">
                  <c:v>6.6010050000000042</c:v>
                </c:pt>
                <c:pt idx="34">
                  <c:v>6.8027900000000052</c:v>
                </c:pt>
                <c:pt idx="35">
                  <c:v>7.002980000000008</c:v>
                </c:pt>
                <c:pt idx="36">
                  <c:v>7.1999600000000044</c:v>
                </c:pt>
                <c:pt idx="37">
                  <c:v>7.4036250000000088</c:v>
                </c:pt>
                <c:pt idx="38">
                  <c:v>7.5999900000000054</c:v>
                </c:pt>
                <c:pt idx="39">
                  <c:v>7.8011100000000084</c:v>
                </c:pt>
                <c:pt idx="40">
                  <c:v>8.0010100000000008</c:v>
                </c:pt>
                <c:pt idx="41">
                  <c:v>8.1990350000000021</c:v>
                </c:pt>
                <c:pt idx="42">
                  <c:v>8.4002550000000049</c:v>
                </c:pt>
                <c:pt idx="43">
                  <c:v>8.6007300000000022</c:v>
                </c:pt>
                <c:pt idx="44">
                  <c:v>8.8116900000000022</c:v>
                </c:pt>
                <c:pt idx="45">
                  <c:v>8.9990850000000044</c:v>
                </c:pt>
                <c:pt idx="46">
                  <c:v>9.2012950000000018</c:v>
                </c:pt>
                <c:pt idx="47">
                  <c:v>9.4007100000000001</c:v>
                </c:pt>
                <c:pt idx="48">
                  <c:v>9.5994850000000049</c:v>
                </c:pt>
                <c:pt idx="49">
                  <c:v>9.8000950000000024</c:v>
                </c:pt>
                <c:pt idx="50">
                  <c:v>10.004405000000006</c:v>
                </c:pt>
                <c:pt idx="51">
                  <c:v>10.199190000000002</c:v>
                </c:pt>
                <c:pt idx="52">
                  <c:v>10.400145000000006</c:v>
                </c:pt>
                <c:pt idx="53">
                  <c:v>10.598645000000005</c:v>
                </c:pt>
                <c:pt idx="54">
                  <c:v>10.800530000000006</c:v>
                </c:pt>
                <c:pt idx="55">
                  <c:v>11.001500000000007</c:v>
                </c:pt>
                <c:pt idx="56">
                  <c:v>11.200705000000006</c:v>
                </c:pt>
                <c:pt idx="57">
                  <c:v>11.399340000000002</c:v>
                </c:pt>
                <c:pt idx="58">
                  <c:v>11.600980000000003</c:v>
                </c:pt>
                <c:pt idx="59">
                  <c:v>11.799525000000003</c:v>
                </c:pt>
                <c:pt idx="60">
                  <c:v>12.002830000000007</c:v>
                </c:pt>
                <c:pt idx="61">
                  <c:v>12.199575000000003</c:v>
                </c:pt>
                <c:pt idx="62">
                  <c:v>12.40344</c:v>
                </c:pt>
                <c:pt idx="63">
                  <c:v>12.600390000000004</c:v>
                </c:pt>
                <c:pt idx="64">
                  <c:v>12.802210000000006</c:v>
                </c:pt>
                <c:pt idx="65">
                  <c:v>12.997035</c:v>
                </c:pt>
                <c:pt idx="66">
                  <c:v>13.200575000000011</c:v>
                </c:pt>
                <c:pt idx="67">
                  <c:v>13.400360000000003</c:v>
                </c:pt>
                <c:pt idx="68">
                  <c:v>13.599620000000005</c:v>
                </c:pt>
                <c:pt idx="69">
                  <c:v>13.800470000000008</c:v>
                </c:pt>
                <c:pt idx="70">
                  <c:v>14.004410000000004</c:v>
                </c:pt>
                <c:pt idx="71">
                  <c:v>14.200365000000001</c:v>
                </c:pt>
                <c:pt idx="72">
                  <c:v>14.402080000000009</c:v>
                </c:pt>
                <c:pt idx="73">
                  <c:v>14.599375000000006</c:v>
                </c:pt>
                <c:pt idx="74">
                  <c:v>14.801280000000002</c:v>
                </c:pt>
                <c:pt idx="75">
                  <c:v>14.999480000000002</c:v>
                </c:pt>
                <c:pt idx="76">
                  <c:v>15.202440000000006</c:v>
                </c:pt>
                <c:pt idx="77">
                  <c:v>15.39881500000001</c:v>
                </c:pt>
                <c:pt idx="78">
                  <c:v>15.600075</c:v>
                </c:pt>
                <c:pt idx="79">
                  <c:v>15.800645000000006</c:v>
                </c:pt>
                <c:pt idx="80">
                  <c:v>16.000545000000006</c:v>
                </c:pt>
                <c:pt idx="81">
                  <c:v>16.199170000000006</c:v>
                </c:pt>
                <c:pt idx="82">
                  <c:v>16.400305000000007</c:v>
                </c:pt>
                <c:pt idx="83">
                  <c:v>16.598675000000004</c:v>
                </c:pt>
                <c:pt idx="84">
                  <c:v>16.800425000000001</c:v>
                </c:pt>
                <c:pt idx="85">
                  <c:v>17.000470000000004</c:v>
                </c:pt>
                <c:pt idx="86">
                  <c:v>17.199760000000001</c:v>
                </c:pt>
                <c:pt idx="87">
                  <c:v>17.399595000000001</c:v>
                </c:pt>
                <c:pt idx="88">
                  <c:v>17.600260000000002</c:v>
                </c:pt>
                <c:pt idx="89">
                  <c:v>17.799785000000004</c:v>
                </c:pt>
                <c:pt idx="90">
                  <c:v>18.000925000000006</c:v>
                </c:pt>
                <c:pt idx="91">
                  <c:v>18.198820000000001</c:v>
                </c:pt>
                <c:pt idx="92">
                  <c:v>18.400470000000002</c:v>
                </c:pt>
                <c:pt idx="93">
                  <c:v>18.598720000000004</c:v>
                </c:pt>
                <c:pt idx="94">
                  <c:v>18.801675000000007</c:v>
                </c:pt>
                <c:pt idx="95">
                  <c:v>19.006140000000006</c:v>
                </c:pt>
                <c:pt idx="96">
                  <c:v>19.200424999999999</c:v>
                </c:pt>
                <c:pt idx="97">
                  <c:v>19.400045000000002</c:v>
                </c:pt>
                <c:pt idx="98">
                  <c:v>19.599315000000008</c:v>
                </c:pt>
                <c:pt idx="99">
                  <c:v>19.799175000000002</c:v>
                </c:pt>
                <c:pt idx="100">
                  <c:v>20.002249999999997</c:v>
                </c:pt>
                <c:pt idx="101">
                  <c:v>20.210129999999999</c:v>
                </c:pt>
              </c:numCache>
            </c:numRef>
          </c:xVal>
          <c:yVal>
            <c:numRef>
              <c:f>Promedios!$J$2:$J$103</c:f>
              <c:numCache>
                <c:formatCode>General</c:formatCode>
                <c:ptCount val="102"/>
                <c:pt idx="0">
                  <c:v>5.0000000000000002E-5</c:v>
                </c:pt>
                <c:pt idx="1">
                  <c:v>2.4000000000000002E-3</c:v>
                </c:pt>
                <c:pt idx="2">
                  <c:v>7.7499999999999999E-3</c:v>
                </c:pt>
                <c:pt idx="3">
                  <c:v>1.5299999999999999E-2</c:v>
                </c:pt>
                <c:pt idx="4">
                  <c:v>2.445E-2</c:v>
                </c:pt>
                <c:pt idx="5">
                  <c:v>3.4349999999999999E-2</c:v>
                </c:pt>
                <c:pt idx="6">
                  <c:v>4.3900000000000002E-2</c:v>
                </c:pt>
                <c:pt idx="7">
                  <c:v>5.2200000000000003E-2</c:v>
                </c:pt>
                <c:pt idx="8">
                  <c:v>5.8650000000000001E-2</c:v>
                </c:pt>
                <c:pt idx="9">
                  <c:v>6.2199999999999998E-2</c:v>
                </c:pt>
                <c:pt idx="10">
                  <c:v>6.2899999999999998E-2</c:v>
                </c:pt>
                <c:pt idx="11">
                  <c:v>6.0499999999999998E-2</c:v>
                </c:pt>
                <c:pt idx="12">
                  <c:v>5.5199999999999999E-2</c:v>
                </c:pt>
                <c:pt idx="13">
                  <c:v>4.7699999999999999E-2</c:v>
                </c:pt>
                <c:pt idx="14">
                  <c:v>3.8550000000000001E-2</c:v>
                </c:pt>
                <c:pt idx="15">
                  <c:v>2.8299999999999999E-2</c:v>
                </c:pt>
                <c:pt idx="16">
                  <c:v>1.8950000000000002E-2</c:v>
                </c:pt>
                <c:pt idx="17">
                  <c:v>1.065E-2</c:v>
                </c:pt>
                <c:pt idx="18">
                  <c:v>4.45E-3</c:v>
                </c:pt>
                <c:pt idx="19">
                  <c:v>8.0000000000000004E-4</c:v>
                </c:pt>
                <c:pt idx="20">
                  <c:v>1E-4</c:v>
                </c:pt>
                <c:pt idx="21">
                  <c:v>2.5000000000000001E-3</c:v>
                </c:pt>
                <c:pt idx="22">
                  <c:v>7.7499999999999999E-3</c:v>
                </c:pt>
                <c:pt idx="23">
                  <c:v>1.52E-2</c:v>
                </c:pt>
                <c:pt idx="24">
                  <c:v>2.4400000000000002E-2</c:v>
                </c:pt>
                <c:pt idx="25">
                  <c:v>3.4250000000000003E-2</c:v>
                </c:pt>
                <c:pt idx="26">
                  <c:v>4.3799999999999999E-2</c:v>
                </c:pt>
                <c:pt idx="27">
                  <c:v>5.2150000000000002E-2</c:v>
                </c:pt>
                <c:pt idx="28">
                  <c:v>5.8500000000000003E-2</c:v>
                </c:pt>
                <c:pt idx="29">
                  <c:v>6.2199999999999998E-2</c:v>
                </c:pt>
                <c:pt idx="30">
                  <c:v>6.2899999999999998E-2</c:v>
                </c:pt>
                <c:pt idx="31">
                  <c:v>6.0499999999999998E-2</c:v>
                </c:pt>
                <c:pt idx="32">
                  <c:v>5.5150000000000005E-2</c:v>
                </c:pt>
                <c:pt idx="33">
                  <c:v>4.7649999999999998E-2</c:v>
                </c:pt>
                <c:pt idx="34">
                  <c:v>3.8449999999999998E-2</c:v>
                </c:pt>
                <c:pt idx="35">
                  <c:v>2.86E-2</c:v>
                </c:pt>
                <c:pt idx="36">
                  <c:v>1.915E-2</c:v>
                </c:pt>
                <c:pt idx="37">
                  <c:v>1.0700000000000001E-2</c:v>
                </c:pt>
                <c:pt idx="38">
                  <c:v>4.4999999999999997E-3</c:v>
                </c:pt>
                <c:pt idx="39">
                  <c:v>8.0000000000000004E-4</c:v>
                </c:pt>
                <c:pt idx="40">
                  <c:v>1E-4</c:v>
                </c:pt>
                <c:pt idx="41">
                  <c:v>2.5000000000000001E-3</c:v>
                </c:pt>
                <c:pt idx="42">
                  <c:v>7.7499999999999999E-3</c:v>
                </c:pt>
                <c:pt idx="43">
                  <c:v>1.5349999999999999E-2</c:v>
                </c:pt>
                <c:pt idx="44">
                  <c:v>2.5000000000000001E-2</c:v>
                </c:pt>
                <c:pt idx="45">
                  <c:v>3.4250000000000003E-2</c:v>
                </c:pt>
                <c:pt idx="46">
                  <c:v>4.3900000000000002E-2</c:v>
                </c:pt>
                <c:pt idx="47">
                  <c:v>5.2250000000000005E-2</c:v>
                </c:pt>
                <c:pt idx="48">
                  <c:v>5.8500000000000003E-2</c:v>
                </c:pt>
                <c:pt idx="49">
                  <c:v>6.2199999999999998E-2</c:v>
                </c:pt>
                <c:pt idx="50">
                  <c:v>6.2899999999999998E-2</c:v>
                </c:pt>
                <c:pt idx="51">
                  <c:v>6.0499999999999998E-2</c:v>
                </c:pt>
                <c:pt idx="52">
                  <c:v>5.525E-2</c:v>
                </c:pt>
                <c:pt idx="53">
                  <c:v>4.7750000000000001E-2</c:v>
                </c:pt>
                <c:pt idx="54">
                  <c:v>3.85E-2</c:v>
                </c:pt>
                <c:pt idx="55">
                  <c:v>2.8650000000000002E-2</c:v>
                </c:pt>
                <c:pt idx="56">
                  <c:v>1.9099999999999999E-2</c:v>
                </c:pt>
                <c:pt idx="57">
                  <c:v>1.0800000000000001E-2</c:v>
                </c:pt>
                <c:pt idx="58">
                  <c:v>4.45E-3</c:v>
                </c:pt>
                <c:pt idx="59">
                  <c:v>8.0000000000000004E-4</c:v>
                </c:pt>
                <c:pt idx="60">
                  <c:v>1E-4</c:v>
                </c:pt>
                <c:pt idx="61">
                  <c:v>2.5000000000000001E-3</c:v>
                </c:pt>
                <c:pt idx="62">
                  <c:v>7.8499999999999993E-3</c:v>
                </c:pt>
                <c:pt idx="63">
                  <c:v>1.5349999999999999E-2</c:v>
                </c:pt>
                <c:pt idx="64">
                  <c:v>2.4550000000000002E-2</c:v>
                </c:pt>
                <c:pt idx="65">
                  <c:v>3.4100000000000005E-2</c:v>
                </c:pt>
                <c:pt idx="66">
                  <c:v>4.3900000000000002E-2</c:v>
                </c:pt>
                <c:pt idx="67">
                  <c:v>5.2200000000000003E-2</c:v>
                </c:pt>
                <c:pt idx="68">
                  <c:v>5.8500000000000003E-2</c:v>
                </c:pt>
                <c:pt idx="69">
                  <c:v>6.2199999999999998E-2</c:v>
                </c:pt>
                <c:pt idx="70">
                  <c:v>6.2849999999999989E-2</c:v>
                </c:pt>
                <c:pt idx="71">
                  <c:v>6.0499999999999998E-2</c:v>
                </c:pt>
                <c:pt idx="72">
                  <c:v>5.5150000000000005E-2</c:v>
                </c:pt>
                <c:pt idx="73">
                  <c:v>4.7699999999999999E-2</c:v>
                </c:pt>
                <c:pt idx="74">
                  <c:v>3.85E-2</c:v>
                </c:pt>
                <c:pt idx="75">
                  <c:v>2.8749999999999998E-2</c:v>
                </c:pt>
                <c:pt idx="76">
                  <c:v>1.9049999999999997E-2</c:v>
                </c:pt>
                <c:pt idx="77">
                  <c:v>1.085E-2</c:v>
                </c:pt>
                <c:pt idx="78">
                  <c:v>4.4999999999999997E-3</c:v>
                </c:pt>
                <c:pt idx="79">
                  <c:v>8.0000000000000004E-4</c:v>
                </c:pt>
                <c:pt idx="80">
                  <c:v>1E-4</c:v>
                </c:pt>
                <c:pt idx="81">
                  <c:v>2.5000000000000001E-3</c:v>
                </c:pt>
                <c:pt idx="82">
                  <c:v>7.7499999999999999E-3</c:v>
                </c:pt>
                <c:pt idx="83">
                  <c:v>1.525E-2</c:v>
                </c:pt>
                <c:pt idx="84">
                  <c:v>2.445E-2</c:v>
                </c:pt>
                <c:pt idx="85">
                  <c:v>3.4299999999999997E-2</c:v>
                </c:pt>
                <c:pt idx="86">
                  <c:v>4.385E-2</c:v>
                </c:pt>
                <c:pt idx="87">
                  <c:v>5.2150000000000002E-2</c:v>
                </c:pt>
                <c:pt idx="88">
                  <c:v>5.8500000000000003E-2</c:v>
                </c:pt>
                <c:pt idx="89">
                  <c:v>6.2199999999999998E-2</c:v>
                </c:pt>
                <c:pt idx="90">
                  <c:v>6.2899999999999998E-2</c:v>
                </c:pt>
                <c:pt idx="91">
                  <c:v>6.0499999999999998E-2</c:v>
                </c:pt>
                <c:pt idx="92">
                  <c:v>5.525E-2</c:v>
                </c:pt>
                <c:pt idx="93">
                  <c:v>4.7750000000000001E-2</c:v>
                </c:pt>
                <c:pt idx="94">
                  <c:v>3.8449999999999998E-2</c:v>
                </c:pt>
                <c:pt idx="95">
                  <c:v>2.8400000000000002E-2</c:v>
                </c:pt>
                <c:pt idx="96">
                  <c:v>1.9099999999999999E-2</c:v>
                </c:pt>
                <c:pt idx="97">
                  <c:v>1.085E-2</c:v>
                </c:pt>
                <c:pt idx="98">
                  <c:v>4.4999999999999997E-3</c:v>
                </c:pt>
                <c:pt idx="99">
                  <c:v>8.0000000000000004E-4</c:v>
                </c:pt>
                <c:pt idx="100">
                  <c:v>1E-4</c:v>
                </c:pt>
                <c:pt idx="101">
                  <c:v>2.7000000000000001E-3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E6-4156-A9B7-ABD179171A82}"/>
            </c:ext>
          </c:extLst>
        </c:ser>
        <c:ser>
          <c:idx val="1"/>
          <c:order val="1"/>
          <c:tx>
            <c:strRef>
              <c:f>Promedios!$K$1</c:f>
              <c:strCache>
                <c:ptCount val="1"/>
                <c:pt idx="0">
                  <c:v>Experimental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Promedios!$I$2:$I$103</c:f>
              <c:numCache>
                <c:formatCode>General</c:formatCode>
                <c:ptCount val="102"/>
                <c:pt idx="0">
                  <c:v>0</c:v>
                </c:pt>
                <c:pt idx="1">
                  <c:v>0.19909000000000532</c:v>
                </c:pt>
                <c:pt idx="2">
                  <c:v>0.40033500000000188</c:v>
                </c:pt>
                <c:pt idx="3">
                  <c:v>0.59941500000000758</c:v>
                </c:pt>
                <c:pt idx="4">
                  <c:v>0.80013000000000289</c:v>
                </c:pt>
                <c:pt idx="5">
                  <c:v>1.0011650000000074</c:v>
                </c:pt>
                <c:pt idx="6">
                  <c:v>1.2006500000000067</c:v>
                </c:pt>
                <c:pt idx="7">
                  <c:v>1.3999350000000028</c:v>
                </c:pt>
                <c:pt idx="8">
                  <c:v>1.6042700000000032</c:v>
                </c:pt>
                <c:pt idx="9">
                  <c:v>1.7990200000000094</c:v>
                </c:pt>
                <c:pt idx="10">
                  <c:v>2.0039700000000025</c:v>
                </c:pt>
                <c:pt idx="11">
                  <c:v>2.198865000000005</c:v>
                </c:pt>
                <c:pt idx="12">
                  <c:v>2.4020500000000062</c:v>
                </c:pt>
                <c:pt idx="13">
                  <c:v>2.5996950000000076</c:v>
                </c:pt>
                <c:pt idx="14">
                  <c:v>2.8001150000000017</c:v>
                </c:pt>
                <c:pt idx="15">
                  <c:v>3.0093350000000072</c:v>
                </c:pt>
                <c:pt idx="16">
                  <c:v>3.2040450000000007</c:v>
                </c:pt>
                <c:pt idx="17">
                  <c:v>3.4034150000000025</c:v>
                </c:pt>
                <c:pt idx="18">
                  <c:v>3.600630000000006</c:v>
                </c:pt>
                <c:pt idx="19">
                  <c:v>3.7989650000000026</c:v>
                </c:pt>
                <c:pt idx="20">
                  <c:v>4.001530000000006</c:v>
                </c:pt>
                <c:pt idx="21">
                  <c:v>4.1987550000000056</c:v>
                </c:pt>
                <c:pt idx="22">
                  <c:v>4.4001300000000079</c:v>
                </c:pt>
                <c:pt idx="23">
                  <c:v>4.5984050000000067</c:v>
                </c:pt>
                <c:pt idx="24">
                  <c:v>4.799315</c:v>
                </c:pt>
                <c:pt idx="25">
                  <c:v>4.9995100000000043</c:v>
                </c:pt>
                <c:pt idx="26">
                  <c:v>5.1995650000000069</c:v>
                </c:pt>
                <c:pt idx="27">
                  <c:v>5.398960000000006</c:v>
                </c:pt>
                <c:pt idx="28">
                  <c:v>5.5999250000000096</c:v>
                </c:pt>
                <c:pt idx="29">
                  <c:v>5.7986550000000072</c:v>
                </c:pt>
                <c:pt idx="30">
                  <c:v>6.0002000000000031</c:v>
                </c:pt>
                <c:pt idx="31">
                  <c:v>6.1984350000000035</c:v>
                </c:pt>
                <c:pt idx="32">
                  <c:v>6.4024600000000085</c:v>
                </c:pt>
                <c:pt idx="33">
                  <c:v>6.6010050000000042</c:v>
                </c:pt>
                <c:pt idx="34">
                  <c:v>6.8027900000000052</c:v>
                </c:pt>
                <c:pt idx="35">
                  <c:v>7.002980000000008</c:v>
                </c:pt>
                <c:pt idx="36">
                  <c:v>7.1999600000000044</c:v>
                </c:pt>
                <c:pt idx="37">
                  <c:v>7.4036250000000088</c:v>
                </c:pt>
                <c:pt idx="38">
                  <c:v>7.5999900000000054</c:v>
                </c:pt>
                <c:pt idx="39">
                  <c:v>7.8011100000000084</c:v>
                </c:pt>
                <c:pt idx="40">
                  <c:v>8.0010100000000008</c:v>
                </c:pt>
                <c:pt idx="41">
                  <c:v>8.1990350000000021</c:v>
                </c:pt>
                <c:pt idx="42">
                  <c:v>8.4002550000000049</c:v>
                </c:pt>
                <c:pt idx="43">
                  <c:v>8.6007300000000022</c:v>
                </c:pt>
                <c:pt idx="44">
                  <c:v>8.8116900000000022</c:v>
                </c:pt>
                <c:pt idx="45">
                  <c:v>8.9990850000000044</c:v>
                </c:pt>
                <c:pt idx="46">
                  <c:v>9.2012950000000018</c:v>
                </c:pt>
                <c:pt idx="47">
                  <c:v>9.4007100000000001</c:v>
                </c:pt>
                <c:pt idx="48">
                  <c:v>9.5994850000000049</c:v>
                </c:pt>
                <c:pt idx="49">
                  <c:v>9.8000950000000024</c:v>
                </c:pt>
                <c:pt idx="50">
                  <c:v>10.004405000000006</c:v>
                </c:pt>
                <c:pt idx="51">
                  <c:v>10.199190000000002</c:v>
                </c:pt>
                <c:pt idx="52">
                  <c:v>10.400145000000006</c:v>
                </c:pt>
                <c:pt idx="53">
                  <c:v>10.598645000000005</c:v>
                </c:pt>
                <c:pt idx="54">
                  <c:v>10.800530000000006</c:v>
                </c:pt>
                <c:pt idx="55">
                  <c:v>11.001500000000007</c:v>
                </c:pt>
                <c:pt idx="56">
                  <c:v>11.200705000000006</c:v>
                </c:pt>
                <c:pt idx="57">
                  <c:v>11.399340000000002</c:v>
                </c:pt>
                <c:pt idx="58">
                  <c:v>11.600980000000003</c:v>
                </c:pt>
                <c:pt idx="59">
                  <c:v>11.799525000000003</c:v>
                </c:pt>
                <c:pt idx="60">
                  <c:v>12.002830000000007</c:v>
                </c:pt>
                <c:pt idx="61">
                  <c:v>12.199575000000003</c:v>
                </c:pt>
                <c:pt idx="62">
                  <c:v>12.40344</c:v>
                </c:pt>
                <c:pt idx="63">
                  <c:v>12.600390000000004</c:v>
                </c:pt>
                <c:pt idx="64">
                  <c:v>12.802210000000006</c:v>
                </c:pt>
                <c:pt idx="65">
                  <c:v>12.997035</c:v>
                </c:pt>
                <c:pt idx="66">
                  <c:v>13.200575000000011</c:v>
                </c:pt>
                <c:pt idx="67">
                  <c:v>13.400360000000003</c:v>
                </c:pt>
                <c:pt idx="68">
                  <c:v>13.599620000000005</c:v>
                </c:pt>
                <c:pt idx="69">
                  <c:v>13.800470000000008</c:v>
                </c:pt>
                <c:pt idx="70">
                  <c:v>14.004410000000004</c:v>
                </c:pt>
                <c:pt idx="71">
                  <c:v>14.200365000000001</c:v>
                </c:pt>
                <c:pt idx="72">
                  <c:v>14.402080000000009</c:v>
                </c:pt>
                <c:pt idx="73">
                  <c:v>14.599375000000006</c:v>
                </c:pt>
                <c:pt idx="74">
                  <c:v>14.801280000000002</c:v>
                </c:pt>
                <c:pt idx="75">
                  <c:v>14.999480000000002</c:v>
                </c:pt>
                <c:pt idx="76">
                  <c:v>15.202440000000006</c:v>
                </c:pt>
                <c:pt idx="77">
                  <c:v>15.39881500000001</c:v>
                </c:pt>
                <c:pt idx="78">
                  <c:v>15.600075</c:v>
                </c:pt>
                <c:pt idx="79">
                  <c:v>15.800645000000006</c:v>
                </c:pt>
                <c:pt idx="80">
                  <c:v>16.000545000000006</c:v>
                </c:pt>
                <c:pt idx="81">
                  <c:v>16.199170000000006</c:v>
                </c:pt>
                <c:pt idx="82">
                  <c:v>16.400305000000007</c:v>
                </c:pt>
                <c:pt idx="83">
                  <c:v>16.598675000000004</c:v>
                </c:pt>
                <c:pt idx="84">
                  <c:v>16.800425000000001</c:v>
                </c:pt>
                <c:pt idx="85">
                  <c:v>17.000470000000004</c:v>
                </c:pt>
                <c:pt idx="86">
                  <c:v>17.199760000000001</c:v>
                </c:pt>
                <c:pt idx="87">
                  <c:v>17.399595000000001</c:v>
                </c:pt>
                <c:pt idx="88">
                  <c:v>17.600260000000002</c:v>
                </c:pt>
                <c:pt idx="89">
                  <c:v>17.799785000000004</c:v>
                </c:pt>
                <c:pt idx="90">
                  <c:v>18.000925000000006</c:v>
                </c:pt>
                <c:pt idx="91">
                  <c:v>18.198820000000001</c:v>
                </c:pt>
                <c:pt idx="92">
                  <c:v>18.400470000000002</c:v>
                </c:pt>
                <c:pt idx="93">
                  <c:v>18.598720000000004</c:v>
                </c:pt>
                <c:pt idx="94">
                  <c:v>18.801675000000007</c:v>
                </c:pt>
                <c:pt idx="95">
                  <c:v>19.006140000000006</c:v>
                </c:pt>
                <c:pt idx="96">
                  <c:v>19.200424999999999</c:v>
                </c:pt>
                <c:pt idx="97">
                  <c:v>19.400045000000002</c:v>
                </c:pt>
                <c:pt idx="98">
                  <c:v>19.599315000000008</c:v>
                </c:pt>
                <c:pt idx="99">
                  <c:v>19.799175000000002</c:v>
                </c:pt>
                <c:pt idx="100">
                  <c:v>20.002249999999997</c:v>
                </c:pt>
                <c:pt idx="101">
                  <c:v>20.210129999999999</c:v>
                </c:pt>
              </c:numCache>
            </c:numRef>
          </c:xVal>
          <c:yVal>
            <c:numRef>
              <c:f>Promedios!$K$2:$K$103</c:f>
              <c:numCache>
                <c:formatCode>General</c:formatCode>
                <c:ptCount val="102"/>
                <c:pt idx="0">
                  <c:v>6.8999999999999999E-3</c:v>
                </c:pt>
                <c:pt idx="1">
                  <c:v>4.4000000000000003E-3</c:v>
                </c:pt>
                <c:pt idx="2">
                  <c:v>4.2500000000000003E-3</c:v>
                </c:pt>
                <c:pt idx="3">
                  <c:v>6.9499999999999996E-3</c:v>
                </c:pt>
                <c:pt idx="4">
                  <c:v>8.8500000000000002E-3</c:v>
                </c:pt>
                <c:pt idx="5">
                  <c:v>1.5850000000000003E-2</c:v>
                </c:pt>
                <c:pt idx="6">
                  <c:v>2.385E-2</c:v>
                </c:pt>
                <c:pt idx="7">
                  <c:v>3.2600000000000004E-2</c:v>
                </c:pt>
                <c:pt idx="8">
                  <c:v>4.1800000000000004E-2</c:v>
                </c:pt>
                <c:pt idx="9">
                  <c:v>5.6000000000000001E-2</c:v>
                </c:pt>
                <c:pt idx="10">
                  <c:v>6.4399999999999999E-2</c:v>
                </c:pt>
                <c:pt idx="11">
                  <c:v>6.905E-2</c:v>
                </c:pt>
                <c:pt idx="12">
                  <c:v>6.6049999999999998E-2</c:v>
                </c:pt>
                <c:pt idx="13">
                  <c:v>5.8599999999999999E-2</c:v>
                </c:pt>
                <c:pt idx="14">
                  <c:v>5.2999999999999999E-2</c:v>
                </c:pt>
                <c:pt idx="15">
                  <c:v>4.5449999999999997E-2</c:v>
                </c:pt>
                <c:pt idx="16">
                  <c:v>3.9150000000000004E-2</c:v>
                </c:pt>
                <c:pt idx="17">
                  <c:v>3.1050000000000001E-2</c:v>
                </c:pt>
                <c:pt idx="18">
                  <c:v>2.3E-2</c:v>
                </c:pt>
                <c:pt idx="19">
                  <c:v>1.4499999999999999E-2</c:v>
                </c:pt>
                <c:pt idx="20">
                  <c:v>7.0000000000000001E-3</c:v>
                </c:pt>
                <c:pt idx="21">
                  <c:v>5.0000000000000001E-4</c:v>
                </c:pt>
                <c:pt idx="22">
                  <c:v>1.3500000000000001E-3</c:v>
                </c:pt>
                <c:pt idx="23">
                  <c:v>7.7999999999999996E-3</c:v>
                </c:pt>
                <c:pt idx="24">
                  <c:v>1.3950000000000001E-2</c:v>
                </c:pt>
                <c:pt idx="25">
                  <c:v>2.0049999999999998E-2</c:v>
                </c:pt>
                <c:pt idx="26">
                  <c:v>2.8000000000000001E-2</c:v>
                </c:pt>
                <c:pt idx="27">
                  <c:v>3.6049999999999999E-2</c:v>
                </c:pt>
                <c:pt idx="28">
                  <c:v>4.6249999999999999E-2</c:v>
                </c:pt>
                <c:pt idx="29">
                  <c:v>5.5300000000000002E-2</c:v>
                </c:pt>
                <c:pt idx="30">
                  <c:v>6.5000000000000002E-2</c:v>
                </c:pt>
                <c:pt idx="31">
                  <c:v>6.9199999999999998E-2</c:v>
                </c:pt>
                <c:pt idx="32">
                  <c:v>6.5549999999999997E-2</c:v>
                </c:pt>
                <c:pt idx="33">
                  <c:v>5.8200000000000002E-2</c:v>
                </c:pt>
                <c:pt idx="34">
                  <c:v>5.2749999999999998E-2</c:v>
                </c:pt>
                <c:pt idx="35">
                  <c:v>4.5899999999999996E-2</c:v>
                </c:pt>
                <c:pt idx="36">
                  <c:v>3.85E-2</c:v>
                </c:pt>
                <c:pt idx="37">
                  <c:v>3.0849999999999999E-2</c:v>
                </c:pt>
                <c:pt idx="38">
                  <c:v>2.23E-2</c:v>
                </c:pt>
                <c:pt idx="39">
                  <c:v>1.465E-2</c:v>
                </c:pt>
                <c:pt idx="40">
                  <c:v>7.2499999999999995E-3</c:v>
                </c:pt>
                <c:pt idx="41">
                  <c:v>2.0000000000000001E-4</c:v>
                </c:pt>
                <c:pt idx="42">
                  <c:v>7.5000000000000002E-4</c:v>
                </c:pt>
                <c:pt idx="43">
                  <c:v>8.4499999999999992E-3</c:v>
                </c:pt>
                <c:pt idx="44">
                  <c:v>1.34E-2</c:v>
                </c:pt>
                <c:pt idx="45">
                  <c:v>1.985E-2</c:v>
                </c:pt>
                <c:pt idx="46">
                  <c:v>2.8049999999999999E-2</c:v>
                </c:pt>
                <c:pt idx="47">
                  <c:v>3.7400000000000003E-2</c:v>
                </c:pt>
                <c:pt idx="48">
                  <c:v>4.6100000000000002E-2</c:v>
                </c:pt>
                <c:pt idx="49">
                  <c:v>5.5899999999999998E-2</c:v>
                </c:pt>
                <c:pt idx="50">
                  <c:v>6.54E-2</c:v>
                </c:pt>
                <c:pt idx="51">
                  <c:v>6.9349999999999995E-2</c:v>
                </c:pt>
                <c:pt idx="52">
                  <c:v>6.5799999999999997E-2</c:v>
                </c:pt>
                <c:pt idx="53">
                  <c:v>5.8650000000000001E-2</c:v>
                </c:pt>
                <c:pt idx="54">
                  <c:v>5.2500000000000005E-2</c:v>
                </c:pt>
                <c:pt idx="55">
                  <c:v>4.6449999999999998E-2</c:v>
                </c:pt>
                <c:pt idx="56">
                  <c:v>3.875E-2</c:v>
                </c:pt>
                <c:pt idx="57">
                  <c:v>3.0249999999999999E-2</c:v>
                </c:pt>
                <c:pt idx="58">
                  <c:v>2.2850000000000002E-2</c:v>
                </c:pt>
                <c:pt idx="59">
                  <c:v>1.405E-2</c:v>
                </c:pt>
                <c:pt idx="60">
                  <c:v>6.7000000000000002E-3</c:v>
                </c:pt>
                <c:pt idx="61">
                  <c:v>3.0000000000000003E-4</c:v>
                </c:pt>
                <c:pt idx="62">
                  <c:v>1E-3</c:v>
                </c:pt>
                <c:pt idx="63">
                  <c:v>8.0000000000000002E-3</c:v>
                </c:pt>
                <c:pt idx="64">
                  <c:v>1.3250000000000001E-2</c:v>
                </c:pt>
                <c:pt idx="65">
                  <c:v>2.0799999999999999E-2</c:v>
                </c:pt>
                <c:pt idx="66">
                  <c:v>2.7450000000000002E-2</c:v>
                </c:pt>
                <c:pt idx="67">
                  <c:v>3.6549999999999999E-2</c:v>
                </c:pt>
                <c:pt idx="68">
                  <c:v>4.6949999999999999E-2</c:v>
                </c:pt>
                <c:pt idx="69">
                  <c:v>5.6099999999999997E-2</c:v>
                </c:pt>
                <c:pt idx="70">
                  <c:v>6.5750000000000003E-2</c:v>
                </c:pt>
                <c:pt idx="71">
                  <c:v>6.9349999999999995E-2</c:v>
                </c:pt>
                <c:pt idx="72">
                  <c:v>6.5950000000000009E-2</c:v>
                </c:pt>
                <c:pt idx="73">
                  <c:v>5.8400000000000001E-2</c:v>
                </c:pt>
                <c:pt idx="74">
                  <c:v>5.2650000000000002E-2</c:v>
                </c:pt>
                <c:pt idx="75">
                  <c:v>4.6450000000000005E-2</c:v>
                </c:pt>
                <c:pt idx="76">
                  <c:v>3.7949999999999998E-2</c:v>
                </c:pt>
                <c:pt idx="77">
                  <c:v>3.0600000000000002E-2</c:v>
                </c:pt>
                <c:pt idx="78">
                  <c:v>2.24E-2</c:v>
                </c:pt>
                <c:pt idx="79">
                  <c:v>1.46E-2</c:v>
                </c:pt>
                <c:pt idx="80">
                  <c:v>6.2000000000000006E-3</c:v>
                </c:pt>
                <c:pt idx="81">
                  <c:v>1.5000000000000001E-4</c:v>
                </c:pt>
                <c:pt idx="82">
                  <c:v>7.9999999999999993E-4</c:v>
                </c:pt>
                <c:pt idx="83">
                  <c:v>8.8999999999999999E-3</c:v>
                </c:pt>
                <c:pt idx="84">
                  <c:v>1.2199999999999999E-2</c:v>
                </c:pt>
                <c:pt idx="85">
                  <c:v>0.02</c:v>
                </c:pt>
                <c:pt idx="86">
                  <c:v>2.8250000000000001E-2</c:v>
                </c:pt>
                <c:pt idx="87">
                  <c:v>3.6499999999999998E-2</c:v>
                </c:pt>
                <c:pt idx="88">
                  <c:v>4.6949999999999999E-2</c:v>
                </c:pt>
                <c:pt idx="89">
                  <c:v>5.6999999999999995E-2</c:v>
                </c:pt>
                <c:pt idx="90">
                  <c:v>6.5200000000000008E-2</c:v>
                </c:pt>
                <c:pt idx="91">
                  <c:v>6.9149999999999989E-2</c:v>
                </c:pt>
                <c:pt idx="92">
                  <c:v>6.59E-2</c:v>
                </c:pt>
                <c:pt idx="93">
                  <c:v>5.9050000000000005E-2</c:v>
                </c:pt>
                <c:pt idx="94">
                  <c:v>5.1900000000000002E-2</c:v>
                </c:pt>
                <c:pt idx="95">
                  <c:v>4.6249999999999999E-2</c:v>
                </c:pt>
                <c:pt idx="96">
                  <c:v>3.8349999999999995E-2</c:v>
                </c:pt>
                <c:pt idx="97">
                  <c:v>3.0249999999999999E-2</c:v>
                </c:pt>
                <c:pt idx="98">
                  <c:v>2.215E-2</c:v>
                </c:pt>
                <c:pt idx="99">
                  <c:v>1.4E-2</c:v>
                </c:pt>
                <c:pt idx="100">
                  <c:v>7.1000000000000004E-3</c:v>
                </c:pt>
                <c:pt idx="101">
                  <c:v>2.9999999999999997E-4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E6-4156-A9B7-ABD179171A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048815"/>
        <c:axId val="1117045935"/>
      </c:scatterChart>
      <c:valAx>
        <c:axId val="1117048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17045935"/>
        <c:crosses val="autoZero"/>
        <c:crossBetween val="midCat"/>
      </c:valAx>
      <c:valAx>
        <c:axId val="1117045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170488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647700</xdr:colOff>
      <xdr:row>2172</xdr:row>
      <xdr:rowOff>95250</xdr:rowOff>
    </xdr:from>
    <xdr:to>
      <xdr:col>25</xdr:col>
      <xdr:colOff>236220</xdr:colOff>
      <xdr:row>2187</xdr:row>
      <xdr:rowOff>95250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DB4918D9-9C1F-DA9D-B57B-57FE1DEF18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5</xdr:row>
          <xdr:rowOff>129540</xdr:rowOff>
        </xdr:from>
        <xdr:to>
          <xdr:col>11</xdr:col>
          <xdr:colOff>144780</xdr:colOff>
          <xdr:row>7</xdr:row>
          <xdr:rowOff>22860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Sine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8</xdr:row>
          <xdr:rowOff>15240</xdr:rowOff>
        </xdr:from>
        <xdr:to>
          <xdr:col>11</xdr:col>
          <xdr:colOff>129540</xdr:colOff>
          <xdr:row>9</xdr:row>
          <xdr:rowOff>68580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Error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129540</xdr:colOff>
          <xdr:row>10</xdr:row>
          <xdr:rowOff>22860</xdr:rowOff>
        </xdr:from>
        <xdr:to>
          <xdr:col>11</xdr:col>
          <xdr:colOff>175260</xdr:colOff>
          <xdr:row>11</xdr:row>
          <xdr:rowOff>91440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1069730</xdr:colOff>
      <xdr:row>62</xdr:row>
      <xdr:rowOff>167055</xdr:rowOff>
    </xdr:from>
    <xdr:to>
      <xdr:col>18</xdr:col>
      <xdr:colOff>38099</xdr:colOff>
      <xdr:row>78</xdr:row>
      <xdr:rowOff>2932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EDA0EE3-7E60-D8CF-4505-ADA176CAEF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254977</xdr:colOff>
      <xdr:row>2</xdr:row>
      <xdr:rowOff>114302</xdr:rowOff>
    </xdr:from>
    <xdr:to>
      <xdr:col>16</xdr:col>
      <xdr:colOff>331178</xdr:colOff>
      <xdr:row>17</xdr:row>
      <xdr:rowOff>131886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72CE4-C238-2954-6FA4-98C7B582F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BA453-A301-4F7F-BD65-C44C4B2B5B3B}">
  <sheetPr codeName="Hoja1"/>
  <dimension ref="A1:J754"/>
  <sheetViews>
    <sheetView workbookViewId="0">
      <selection activeCell="A305" sqref="A305:I336"/>
    </sheetView>
  </sheetViews>
  <sheetFormatPr baseColWidth="10" defaultRowHeight="14.4" x14ac:dyDescent="0.3"/>
  <cols>
    <col min="1" max="9" width="8.88671875"/>
    <col min="11" max="11" width="10" bestFit="1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/>
    </row>
    <row r="2" spans="1:10" x14ac:dyDescent="0.3">
      <c r="A2" t="s">
        <v>45</v>
      </c>
      <c r="B2" t="s">
        <v>46</v>
      </c>
      <c r="C2">
        <v>94</v>
      </c>
      <c r="D2">
        <v>-8.6E-3</v>
      </c>
      <c r="E2">
        <v>11.712315275610051</v>
      </c>
      <c r="F2">
        <v>1161.5877836868569</v>
      </c>
      <c r="G2">
        <v>3.605</v>
      </c>
      <c r="H2">
        <v>0</v>
      </c>
      <c r="I2">
        <v>34.455460000000002</v>
      </c>
    </row>
    <row r="3" spans="1:10" x14ac:dyDescent="0.3">
      <c r="A3" t="s">
        <v>45</v>
      </c>
      <c r="B3" t="s">
        <v>47</v>
      </c>
      <c r="C3">
        <v>94</v>
      </c>
      <c r="D3">
        <v>-8.6999999999999994E-3</v>
      </c>
      <c r="E3">
        <v>11.712315275610051</v>
      </c>
      <c r="F3">
        <v>1161.5877836868569</v>
      </c>
      <c r="G3">
        <v>3.605</v>
      </c>
      <c r="H3">
        <v>0</v>
      </c>
      <c r="I3">
        <v>34.659790000000001</v>
      </c>
    </row>
    <row r="4" spans="1:10" x14ac:dyDescent="0.3">
      <c r="A4" t="s">
        <v>45</v>
      </c>
      <c r="B4" t="s">
        <v>48</v>
      </c>
      <c r="C4">
        <v>94</v>
      </c>
      <c r="D4">
        <v>-8.8999999999999999E-3</v>
      </c>
      <c r="E4">
        <v>11.712315275610051</v>
      </c>
      <c r="F4">
        <v>1161.5877836868569</v>
      </c>
      <c r="G4">
        <v>3.605</v>
      </c>
      <c r="H4">
        <v>0</v>
      </c>
      <c r="I4">
        <v>34.855600000000003</v>
      </c>
    </row>
    <row r="5" spans="1:10" x14ac:dyDescent="0.3">
      <c r="A5" t="s">
        <v>45</v>
      </c>
      <c r="B5" t="s">
        <v>49</v>
      </c>
      <c r="C5">
        <v>94</v>
      </c>
      <c r="D5">
        <v>-8.8999999999999999E-3</v>
      </c>
      <c r="E5">
        <v>11.712315275610051</v>
      </c>
      <c r="F5">
        <v>1161.5877836868569</v>
      </c>
      <c r="G5">
        <v>3.605</v>
      </c>
      <c r="H5">
        <v>0</v>
      </c>
      <c r="I5">
        <v>35.056849999999997</v>
      </c>
    </row>
    <row r="6" spans="1:10" x14ac:dyDescent="0.3">
      <c r="A6" t="s">
        <v>45</v>
      </c>
      <c r="B6" t="s">
        <v>50</v>
      </c>
      <c r="C6">
        <v>94</v>
      </c>
      <c r="D6">
        <v>-8.6999999999999994E-3</v>
      </c>
      <c r="E6">
        <v>11.712315275610051</v>
      </c>
      <c r="F6">
        <v>1161.5877836868569</v>
      </c>
      <c r="G6">
        <v>3.605</v>
      </c>
      <c r="H6">
        <v>0</v>
      </c>
      <c r="I6">
        <v>35.256779999999999</v>
      </c>
    </row>
    <row r="7" spans="1:10" x14ac:dyDescent="0.3">
      <c r="A7" t="s">
        <v>45</v>
      </c>
      <c r="B7" t="s">
        <v>51</v>
      </c>
      <c r="C7">
        <v>94</v>
      </c>
      <c r="D7">
        <v>-8.6999999999999994E-3</v>
      </c>
      <c r="E7">
        <v>11.712315275610051</v>
      </c>
      <c r="F7">
        <v>1161.5877836868569</v>
      </c>
      <c r="G7">
        <v>3.605</v>
      </c>
      <c r="H7">
        <v>0</v>
      </c>
      <c r="I7">
        <v>35.455739999999999</v>
      </c>
    </row>
    <row r="8" spans="1:10" x14ac:dyDescent="0.3">
      <c r="A8" t="s">
        <v>45</v>
      </c>
      <c r="B8" t="s">
        <v>52</v>
      </c>
      <c r="C8">
        <v>94</v>
      </c>
      <c r="D8">
        <v>-8.6E-3</v>
      </c>
      <c r="E8">
        <v>11.712315275610051</v>
      </c>
      <c r="F8">
        <v>1161.5877836868569</v>
      </c>
      <c r="G8">
        <v>3.605</v>
      </c>
      <c r="H8">
        <v>0</v>
      </c>
      <c r="I8">
        <v>35.655769999999997</v>
      </c>
    </row>
    <row r="9" spans="1:10" x14ac:dyDescent="0.3">
      <c r="A9" t="s">
        <v>45</v>
      </c>
      <c r="B9" t="s">
        <v>53</v>
      </c>
      <c r="C9">
        <v>94</v>
      </c>
      <c r="D9">
        <v>-8.6999999999999994E-3</v>
      </c>
      <c r="E9">
        <v>11.712315275610051</v>
      </c>
      <c r="F9">
        <v>1161.5877836868569</v>
      </c>
      <c r="G9">
        <v>3.605</v>
      </c>
      <c r="H9">
        <v>0</v>
      </c>
      <c r="I9">
        <v>35.85548</v>
      </c>
    </row>
    <row r="10" spans="1:10" x14ac:dyDescent="0.3">
      <c r="A10" t="s">
        <v>45</v>
      </c>
      <c r="B10" t="s">
        <v>54</v>
      </c>
      <c r="C10">
        <v>94</v>
      </c>
      <c r="D10">
        <v>-8.0999999999999996E-3</v>
      </c>
      <c r="E10">
        <v>11.712315275610051</v>
      </c>
      <c r="F10">
        <v>1161.5877836868569</v>
      </c>
      <c r="G10">
        <v>3.605</v>
      </c>
      <c r="H10">
        <v>0</v>
      </c>
      <c r="I10">
        <v>36.057259999999999</v>
      </c>
    </row>
    <row r="11" spans="1:10" x14ac:dyDescent="0.3">
      <c r="A11" t="s">
        <v>45</v>
      </c>
      <c r="B11" t="s">
        <v>55</v>
      </c>
      <c r="C11">
        <v>94</v>
      </c>
      <c r="D11">
        <v>-7.9000000000000008E-3</v>
      </c>
      <c r="E11">
        <v>11.712315275610051</v>
      </c>
      <c r="F11">
        <v>1161.5877836868569</v>
      </c>
      <c r="G11">
        <v>3.605</v>
      </c>
      <c r="H11">
        <v>0</v>
      </c>
      <c r="I11">
        <v>36.258969999999998</v>
      </c>
    </row>
    <row r="12" spans="1:10" x14ac:dyDescent="0.3">
      <c r="A12" t="s">
        <v>45</v>
      </c>
      <c r="B12" t="s">
        <v>56</v>
      </c>
      <c r="C12">
        <v>94</v>
      </c>
      <c r="D12">
        <v>-8.2000000000000007E-3</v>
      </c>
      <c r="E12">
        <v>11.712315275610051</v>
      </c>
      <c r="F12">
        <v>1161.5877836868569</v>
      </c>
      <c r="G12">
        <v>3.605</v>
      </c>
      <c r="H12">
        <v>0</v>
      </c>
      <c r="I12">
        <v>36.45561</v>
      </c>
    </row>
    <row r="13" spans="1:10" x14ac:dyDescent="0.3">
      <c r="A13" t="s">
        <v>45</v>
      </c>
      <c r="B13" t="s">
        <v>57</v>
      </c>
      <c r="C13">
        <v>94</v>
      </c>
      <c r="D13">
        <v>-8.0999999999999996E-3</v>
      </c>
      <c r="E13">
        <v>11.712315275610051</v>
      </c>
      <c r="F13">
        <v>1161.5877836868569</v>
      </c>
      <c r="G13">
        <v>3.605</v>
      </c>
      <c r="H13">
        <v>0</v>
      </c>
      <c r="I13">
        <v>36.658740000000002</v>
      </c>
    </row>
    <row r="14" spans="1:10" x14ac:dyDescent="0.3">
      <c r="A14" t="s">
        <v>45</v>
      </c>
      <c r="B14" t="s">
        <v>58</v>
      </c>
      <c r="C14">
        <v>94</v>
      </c>
      <c r="D14">
        <v>-7.7999999999999996E-3</v>
      </c>
      <c r="E14">
        <v>11.712315275610051</v>
      </c>
      <c r="F14">
        <v>1161.5877836868569</v>
      </c>
      <c r="G14">
        <v>3.605</v>
      </c>
      <c r="H14">
        <v>0</v>
      </c>
      <c r="I14">
        <v>36.856079999999999</v>
      </c>
    </row>
    <row r="15" spans="1:10" x14ac:dyDescent="0.3">
      <c r="A15" t="s">
        <v>45</v>
      </c>
      <c r="B15" t="s">
        <v>59</v>
      </c>
      <c r="C15">
        <v>94</v>
      </c>
      <c r="D15">
        <v>-7.7999999999999996E-3</v>
      </c>
      <c r="E15">
        <v>11.712315275610051</v>
      </c>
      <c r="F15">
        <v>1161.5877836868569</v>
      </c>
      <c r="G15">
        <v>3.605</v>
      </c>
      <c r="H15">
        <v>0</v>
      </c>
      <c r="I15">
        <v>37.055140000000002</v>
      </c>
    </row>
    <row r="16" spans="1:10" x14ac:dyDescent="0.3">
      <c r="A16" t="s">
        <v>45</v>
      </c>
      <c r="B16" t="s">
        <v>60</v>
      </c>
      <c r="C16">
        <v>94</v>
      </c>
      <c r="D16">
        <v>-7.9000000000000008E-3</v>
      </c>
      <c r="E16">
        <v>11.712315275610051</v>
      </c>
      <c r="F16">
        <v>1161.5877836868569</v>
      </c>
      <c r="G16">
        <v>3.605</v>
      </c>
      <c r="H16">
        <v>0</v>
      </c>
      <c r="I16">
        <v>37.255519999999997</v>
      </c>
    </row>
    <row r="17" spans="1:9" x14ac:dyDescent="0.3">
      <c r="A17" t="s">
        <v>45</v>
      </c>
      <c r="B17" t="s">
        <v>61</v>
      </c>
      <c r="C17">
        <v>94</v>
      </c>
      <c r="D17">
        <v>-8.0000000000000002E-3</v>
      </c>
      <c r="E17">
        <v>11.712315275610051</v>
      </c>
      <c r="F17">
        <v>1161.5877836868569</v>
      </c>
      <c r="G17">
        <v>3.605</v>
      </c>
      <c r="H17">
        <v>0</v>
      </c>
      <c r="I17">
        <v>37.456229999999998</v>
      </c>
    </row>
    <row r="18" spans="1:9" x14ac:dyDescent="0.3">
      <c r="A18" t="s">
        <v>45</v>
      </c>
      <c r="B18" t="s">
        <v>62</v>
      </c>
      <c r="C18">
        <v>94</v>
      </c>
      <c r="D18">
        <v>-7.7999999999999996E-3</v>
      </c>
      <c r="E18">
        <v>11.712315275610051</v>
      </c>
      <c r="F18">
        <v>1161.5877836868569</v>
      </c>
      <c r="G18">
        <v>3.605</v>
      </c>
      <c r="H18">
        <v>0</v>
      </c>
      <c r="I18">
        <v>37.655900000000003</v>
      </c>
    </row>
    <row r="19" spans="1:9" x14ac:dyDescent="0.3">
      <c r="A19" t="s">
        <v>45</v>
      </c>
      <c r="B19" t="s">
        <v>63</v>
      </c>
      <c r="C19">
        <v>94</v>
      </c>
      <c r="D19">
        <v>-7.7999999999999996E-3</v>
      </c>
      <c r="E19">
        <v>11.712315275610051</v>
      </c>
      <c r="F19">
        <v>1161.5877836868569</v>
      </c>
      <c r="G19">
        <v>3.605</v>
      </c>
      <c r="H19">
        <v>0</v>
      </c>
      <c r="I19">
        <v>37.856110000000001</v>
      </c>
    </row>
    <row r="20" spans="1:9" x14ac:dyDescent="0.3">
      <c r="A20" t="s">
        <v>45</v>
      </c>
      <c r="B20" t="s">
        <v>64</v>
      </c>
      <c r="C20">
        <v>94</v>
      </c>
      <c r="D20">
        <v>-8.2000000000000007E-3</v>
      </c>
      <c r="E20">
        <v>11.712315275610051</v>
      </c>
      <c r="F20">
        <v>1161.5877836868569</v>
      </c>
      <c r="G20">
        <v>3.605</v>
      </c>
      <c r="H20">
        <v>0</v>
      </c>
      <c r="I20">
        <v>38.05574</v>
      </c>
    </row>
    <row r="21" spans="1:9" x14ac:dyDescent="0.3">
      <c r="A21" t="s">
        <v>45</v>
      </c>
      <c r="B21" t="s">
        <v>65</v>
      </c>
      <c r="C21">
        <v>94</v>
      </c>
      <c r="D21">
        <v>-7.7999999999999996E-3</v>
      </c>
      <c r="E21">
        <v>11.712315275610051</v>
      </c>
      <c r="F21">
        <v>1161.5877836868569</v>
      </c>
      <c r="G21">
        <v>3.605</v>
      </c>
      <c r="H21">
        <v>0</v>
      </c>
      <c r="I21">
        <v>38.256979999999999</v>
      </c>
    </row>
    <row r="22" spans="1:9" x14ac:dyDescent="0.3">
      <c r="A22" t="s">
        <v>45</v>
      </c>
      <c r="B22" t="s">
        <v>66</v>
      </c>
      <c r="C22">
        <v>94</v>
      </c>
      <c r="D22">
        <v>-7.9000000000000008E-3</v>
      </c>
      <c r="E22">
        <v>11.712315275610051</v>
      </c>
      <c r="F22">
        <v>1161.5877836868569</v>
      </c>
      <c r="G22">
        <v>3.605</v>
      </c>
      <c r="H22">
        <v>0</v>
      </c>
      <c r="I22">
        <v>38.45552</v>
      </c>
    </row>
    <row r="23" spans="1:9" x14ac:dyDescent="0.3">
      <c r="A23" t="s">
        <v>45</v>
      </c>
      <c r="B23" t="s">
        <v>67</v>
      </c>
      <c r="C23">
        <v>94</v>
      </c>
      <c r="D23">
        <v>-7.7999999999999996E-3</v>
      </c>
      <c r="E23">
        <v>11.712315275610051</v>
      </c>
      <c r="F23">
        <v>1161.5877836868569</v>
      </c>
      <c r="G23">
        <v>3.605</v>
      </c>
      <c r="H23">
        <v>0</v>
      </c>
      <c r="I23">
        <v>38.659010000000002</v>
      </c>
    </row>
    <row r="24" spans="1:9" x14ac:dyDescent="0.3">
      <c r="A24" t="s">
        <v>45</v>
      </c>
      <c r="B24" t="s">
        <v>68</v>
      </c>
      <c r="C24">
        <v>94</v>
      </c>
      <c r="D24">
        <v>-7.7000000000000002E-3</v>
      </c>
      <c r="E24">
        <v>11.712315275610051</v>
      </c>
      <c r="F24">
        <v>1161.5877836868569</v>
      </c>
      <c r="G24">
        <v>3.605</v>
      </c>
      <c r="H24">
        <v>0</v>
      </c>
      <c r="I24">
        <v>38.855330000000002</v>
      </c>
    </row>
    <row r="25" spans="1:9" x14ac:dyDescent="0.3">
      <c r="A25" t="s">
        <v>45</v>
      </c>
      <c r="B25" t="s">
        <v>69</v>
      </c>
      <c r="C25">
        <v>94</v>
      </c>
      <c r="D25">
        <v>-7.9000000000000008E-3</v>
      </c>
      <c r="E25">
        <v>11.712315275610051</v>
      </c>
      <c r="F25">
        <v>1161.5877836868569</v>
      </c>
      <c r="G25">
        <v>3.605</v>
      </c>
      <c r="H25">
        <v>0</v>
      </c>
      <c r="I25">
        <v>39.056600000000003</v>
      </c>
    </row>
    <row r="26" spans="1:9" x14ac:dyDescent="0.3">
      <c r="A26" t="s">
        <v>45</v>
      </c>
      <c r="B26" t="s">
        <v>70</v>
      </c>
      <c r="C26">
        <v>94</v>
      </c>
      <c r="D26">
        <v>-8.0000000000000002E-3</v>
      </c>
      <c r="E26">
        <v>11.712315275610051</v>
      </c>
      <c r="F26">
        <v>1161.5877836868569</v>
      </c>
      <c r="G26">
        <v>3.605</v>
      </c>
      <c r="H26">
        <v>0</v>
      </c>
      <c r="I26">
        <v>39.255870000000002</v>
      </c>
    </row>
    <row r="27" spans="1:9" x14ac:dyDescent="0.3">
      <c r="A27" t="s">
        <v>45</v>
      </c>
      <c r="B27" t="s">
        <v>71</v>
      </c>
      <c r="C27">
        <v>94</v>
      </c>
      <c r="D27">
        <v>-7.9000000000000008E-3</v>
      </c>
      <c r="E27">
        <v>11.712315275610051</v>
      </c>
      <c r="F27">
        <v>1161.5877836868569</v>
      </c>
      <c r="G27">
        <v>3.605</v>
      </c>
      <c r="H27">
        <v>0</v>
      </c>
      <c r="I27">
        <v>39.458260000000003</v>
      </c>
    </row>
    <row r="28" spans="1:9" x14ac:dyDescent="0.3">
      <c r="A28" t="s">
        <v>45</v>
      </c>
      <c r="B28" t="s">
        <v>72</v>
      </c>
      <c r="C28">
        <v>94</v>
      </c>
      <c r="D28">
        <v>-8.2000000000000007E-3</v>
      </c>
      <c r="E28">
        <v>11.712315275610051</v>
      </c>
      <c r="F28">
        <v>1161.5877836868569</v>
      </c>
      <c r="G28">
        <v>3.605</v>
      </c>
      <c r="H28">
        <v>0</v>
      </c>
      <c r="I28">
        <v>39.655450000000002</v>
      </c>
    </row>
    <row r="29" spans="1:9" x14ac:dyDescent="0.3">
      <c r="A29" t="s">
        <v>45</v>
      </c>
      <c r="B29" t="s">
        <v>73</v>
      </c>
      <c r="C29">
        <v>94</v>
      </c>
      <c r="D29">
        <v>-8.0999999999999996E-3</v>
      </c>
      <c r="E29">
        <v>11.712315275610051</v>
      </c>
      <c r="F29">
        <v>1161.5877836868569</v>
      </c>
      <c r="G29">
        <v>3.605</v>
      </c>
      <c r="H29">
        <v>0</v>
      </c>
      <c r="I29">
        <v>39.856250000000003</v>
      </c>
    </row>
    <row r="30" spans="1:9" x14ac:dyDescent="0.3">
      <c r="A30" t="s">
        <v>45</v>
      </c>
      <c r="B30" t="s">
        <v>74</v>
      </c>
      <c r="C30">
        <v>94</v>
      </c>
      <c r="D30">
        <v>-8.0999999999999996E-3</v>
      </c>
      <c r="E30">
        <v>11.712315275610051</v>
      </c>
      <c r="F30">
        <v>1161.5877836868569</v>
      </c>
      <c r="G30">
        <v>3.605</v>
      </c>
      <c r="H30">
        <v>0</v>
      </c>
      <c r="I30">
        <v>40.056870000000004</v>
      </c>
    </row>
    <row r="31" spans="1:9" x14ac:dyDescent="0.3">
      <c r="A31" t="s">
        <v>45</v>
      </c>
      <c r="B31" t="s">
        <v>75</v>
      </c>
      <c r="C31">
        <v>94</v>
      </c>
      <c r="D31">
        <v>-8.0000000000000002E-3</v>
      </c>
      <c r="E31">
        <v>11.712315275610051</v>
      </c>
      <c r="F31">
        <v>1161.5877836868569</v>
      </c>
      <c r="G31">
        <v>3.605</v>
      </c>
      <c r="H31">
        <v>0</v>
      </c>
      <c r="I31">
        <v>40.256340000000002</v>
      </c>
    </row>
    <row r="32" spans="1:9" x14ac:dyDescent="0.3">
      <c r="A32" t="s">
        <v>45</v>
      </c>
      <c r="B32" t="s">
        <v>76</v>
      </c>
      <c r="C32">
        <v>94</v>
      </c>
      <c r="D32">
        <v>-7.9000000000000008E-3</v>
      </c>
      <c r="E32">
        <v>11.712315275610051</v>
      </c>
      <c r="F32">
        <v>1161.5877836868569</v>
      </c>
      <c r="G32">
        <v>3.605</v>
      </c>
      <c r="H32">
        <v>0</v>
      </c>
      <c r="I32">
        <v>40.456110000000002</v>
      </c>
    </row>
    <row r="33" spans="1:9" x14ac:dyDescent="0.3">
      <c r="A33" t="s">
        <v>45</v>
      </c>
      <c r="B33" t="s">
        <v>77</v>
      </c>
      <c r="C33">
        <v>94</v>
      </c>
      <c r="D33">
        <v>-8.0000000000000002E-3</v>
      </c>
      <c r="E33">
        <v>11.712315275610051</v>
      </c>
      <c r="F33">
        <v>1161.5877836868569</v>
      </c>
      <c r="G33">
        <v>3.605</v>
      </c>
      <c r="H33">
        <v>0</v>
      </c>
      <c r="I33">
        <v>40.655670000000001</v>
      </c>
    </row>
    <row r="34" spans="1:9" x14ac:dyDescent="0.3">
      <c r="A34" t="s">
        <v>45</v>
      </c>
      <c r="B34" t="s">
        <v>78</v>
      </c>
      <c r="C34">
        <v>94</v>
      </c>
      <c r="D34">
        <v>-7.9000000000000008E-3</v>
      </c>
      <c r="E34">
        <v>11.712315275610051</v>
      </c>
      <c r="F34">
        <v>1161.5877836868569</v>
      </c>
      <c r="G34">
        <v>3.605</v>
      </c>
      <c r="H34">
        <v>0</v>
      </c>
      <c r="I34">
        <v>40.85774</v>
      </c>
    </row>
    <row r="35" spans="1:9" x14ac:dyDescent="0.3">
      <c r="A35" t="s">
        <v>45</v>
      </c>
      <c r="B35" t="s">
        <v>79</v>
      </c>
      <c r="C35">
        <v>94</v>
      </c>
      <c r="D35">
        <v>-7.9000000000000008E-3</v>
      </c>
      <c r="E35">
        <v>11.712315275610051</v>
      </c>
      <c r="F35">
        <v>1161.5877836868569</v>
      </c>
      <c r="G35">
        <v>3.605</v>
      </c>
      <c r="H35">
        <v>0</v>
      </c>
      <c r="I35">
        <v>41.05509</v>
      </c>
    </row>
    <row r="36" spans="1:9" x14ac:dyDescent="0.3">
      <c r="A36" t="s">
        <v>45</v>
      </c>
      <c r="B36" t="s">
        <v>80</v>
      </c>
      <c r="C36">
        <v>94</v>
      </c>
      <c r="D36">
        <v>-8.0999999999999996E-3</v>
      </c>
      <c r="E36">
        <v>11.712315275610051</v>
      </c>
      <c r="F36">
        <v>1161.5877836868569</v>
      </c>
      <c r="G36">
        <v>3.605</v>
      </c>
      <c r="H36">
        <v>0</v>
      </c>
      <c r="I36">
        <v>41.255459999999999</v>
      </c>
    </row>
    <row r="37" spans="1:9" x14ac:dyDescent="0.3">
      <c r="A37" t="s">
        <v>45</v>
      </c>
      <c r="B37" t="s">
        <v>81</v>
      </c>
      <c r="C37">
        <v>94</v>
      </c>
      <c r="D37">
        <v>-8.2000000000000007E-3</v>
      </c>
      <c r="E37">
        <v>11.712315275610051</v>
      </c>
      <c r="F37">
        <v>1161.5877836868569</v>
      </c>
      <c r="G37">
        <v>3.605</v>
      </c>
      <c r="H37">
        <v>0</v>
      </c>
      <c r="I37">
        <v>41.456200000000003</v>
      </c>
    </row>
    <row r="38" spans="1:9" x14ac:dyDescent="0.3">
      <c r="A38" t="s">
        <v>45</v>
      </c>
      <c r="B38" t="s">
        <v>82</v>
      </c>
      <c r="C38">
        <v>94</v>
      </c>
      <c r="D38">
        <v>-8.2000000000000007E-3</v>
      </c>
      <c r="E38">
        <v>11.712315275610051</v>
      </c>
      <c r="F38">
        <v>1161.5877836868569</v>
      </c>
      <c r="G38">
        <v>3.605</v>
      </c>
      <c r="H38">
        <v>0</v>
      </c>
      <c r="I38">
        <v>41.655720000000002</v>
      </c>
    </row>
    <row r="39" spans="1:9" x14ac:dyDescent="0.3">
      <c r="A39" t="s">
        <v>45</v>
      </c>
      <c r="B39" t="s">
        <v>83</v>
      </c>
      <c r="C39">
        <v>94</v>
      </c>
      <c r="D39">
        <v>-7.7999999999999996E-3</v>
      </c>
      <c r="E39">
        <v>11.712315275610051</v>
      </c>
      <c r="F39">
        <v>1161.5877836868569</v>
      </c>
      <c r="G39">
        <v>3.605</v>
      </c>
      <c r="H39">
        <v>0</v>
      </c>
      <c r="I39">
        <v>41.856349999999999</v>
      </c>
    </row>
    <row r="40" spans="1:9" x14ac:dyDescent="0.3">
      <c r="A40" t="s">
        <v>45</v>
      </c>
      <c r="B40" t="s">
        <v>84</v>
      </c>
      <c r="C40">
        <v>94</v>
      </c>
      <c r="D40">
        <v>-8.0000000000000002E-3</v>
      </c>
      <c r="E40">
        <v>11.712315275610051</v>
      </c>
      <c r="F40">
        <v>1161.5877836868569</v>
      </c>
      <c r="G40">
        <v>3.605</v>
      </c>
      <c r="H40">
        <v>0</v>
      </c>
      <c r="I40">
        <v>42.05565</v>
      </c>
    </row>
    <row r="41" spans="1:9" x14ac:dyDescent="0.3">
      <c r="A41" t="s">
        <v>45</v>
      </c>
      <c r="B41" t="s">
        <v>85</v>
      </c>
      <c r="C41">
        <v>94</v>
      </c>
      <c r="D41">
        <v>-8.3999999999999995E-3</v>
      </c>
      <c r="E41">
        <v>11.712315275610051</v>
      </c>
      <c r="F41">
        <v>1161.5877836868569</v>
      </c>
      <c r="G41">
        <v>3.605</v>
      </c>
      <c r="H41">
        <v>0</v>
      </c>
      <c r="I41">
        <v>42.261629999999997</v>
      </c>
    </row>
    <row r="42" spans="1:9" x14ac:dyDescent="0.3">
      <c r="A42" t="s">
        <v>45</v>
      </c>
      <c r="B42" t="s">
        <v>86</v>
      </c>
      <c r="C42">
        <v>94</v>
      </c>
      <c r="D42">
        <v>-8.8999999999999999E-3</v>
      </c>
      <c r="E42">
        <v>11.712315275610051</v>
      </c>
      <c r="F42">
        <v>1161.5877836868569</v>
      </c>
      <c r="G42">
        <v>3.605</v>
      </c>
      <c r="H42">
        <v>0</v>
      </c>
      <c r="I42">
        <v>42.455689999999997</v>
      </c>
    </row>
    <row r="43" spans="1:9" x14ac:dyDescent="0.3">
      <c r="A43" t="s">
        <v>45</v>
      </c>
      <c r="B43" t="s">
        <v>87</v>
      </c>
      <c r="C43">
        <v>94</v>
      </c>
      <c r="D43">
        <v>-9.2999999999999992E-3</v>
      </c>
      <c r="E43">
        <v>11.712315275610051</v>
      </c>
      <c r="F43">
        <v>1161.5877836868569</v>
      </c>
      <c r="G43">
        <v>3.605</v>
      </c>
      <c r="H43">
        <v>0</v>
      </c>
      <c r="I43">
        <v>42.661479999999997</v>
      </c>
    </row>
    <row r="44" spans="1:9" x14ac:dyDescent="0.3">
      <c r="A44" t="s">
        <v>45</v>
      </c>
      <c r="B44" t="s">
        <v>88</v>
      </c>
      <c r="C44">
        <v>94</v>
      </c>
      <c r="D44">
        <v>-8.2000000000000007E-3</v>
      </c>
      <c r="E44">
        <v>11.712315275610051</v>
      </c>
      <c r="F44">
        <v>1161.5877836868569</v>
      </c>
      <c r="G44">
        <v>3.605</v>
      </c>
      <c r="H44">
        <v>0</v>
      </c>
      <c r="I44">
        <v>42.855449999999998</v>
      </c>
    </row>
    <row r="45" spans="1:9" x14ac:dyDescent="0.3">
      <c r="A45" t="s">
        <v>45</v>
      </c>
      <c r="B45" t="s">
        <v>89</v>
      </c>
      <c r="C45">
        <v>94</v>
      </c>
      <c r="D45">
        <v>-9.4000000000000004E-3</v>
      </c>
      <c r="E45">
        <v>11.712315275610051</v>
      </c>
      <c r="F45">
        <v>1161.5877836868569</v>
      </c>
      <c r="G45">
        <v>3.605</v>
      </c>
      <c r="H45">
        <v>0</v>
      </c>
      <c r="I45">
        <v>43.057670000000002</v>
      </c>
    </row>
    <row r="46" spans="1:9" x14ac:dyDescent="0.3">
      <c r="A46" t="s">
        <v>45</v>
      </c>
      <c r="B46" t="s">
        <v>90</v>
      </c>
      <c r="C46">
        <v>94</v>
      </c>
      <c r="D46">
        <v>-8.8999999999999999E-3</v>
      </c>
      <c r="E46">
        <v>11.712315275610051</v>
      </c>
      <c r="F46">
        <v>1161.5877836868569</v>
      </c>
      <c r="G46">
        <v>3.605</v>
      </c>
      <c r="H46">
        <v>0</v>
      </c>
      <c r="I46">
        <v>43.25591</v>
      </c>
    </row>
    <row r="47" spans="1:9" x14ac:dyDescent="0.3">
      <c r="A47" t="s">
        <v>45</v>
      </c>
      <c r="B47" t="s">
        <v>91</v>
      </c>
      <c r="C47">
        <v>94</v>
      </c>
      <c r="D47">
        <v>-9.1999999999999998E-3</v>
      </c>
      <c r="E47">
        <v>11.712315275610051</v>
      </c>
      <c r="F47">
        <v>1161.5877836868569</v>
      </c>
      <c r="G47">
        <v>3.605</v>
      </c>
      <c r="H47">
        <v>0</v>
      </c>
      <c r="I47">
        <v>43.456040000000002</v>
      </c>
    </row>
    <row r="48" spans="1:9" x14ac:dyDescent="0.3">
      <c r="A48" t="s">
        <v>45</v>
      </c>
      <c r="B48" t="s">
        <v>92</v>
      </c>
      <c r="C48">
        <v>94</v>
      </c>
      <c r="D48">
        <v>-9.1000000000000004E-3</v>
      </c>
      <c r="E48">
        <v>11.712315275610051</v>
      </c>
      <c r="F48">
        <v>1161.5877836868569</v>
      </c>
      <c r="G48">
        <v>3.605</v>
      </c>
      <c r="H48">
        <v>0</v>
      </c>
      <c r="I48">
        <v>43.655430000000003</v>
      </c>
    </row>
    <row r="49" spans="1:9" x14ac:dyDescent="0.3">
      <c r="A49" t="s">
        <v>45</v>
      </c>
      <c r="B49" t="s">
        <v>93</v>
      </c>
      <c r="C49">
        <v>94</v>
      </c>
      <c r="D49">
        <v>-9.1999999999999998E-3</v>
      </c>
      <c r="E49">
        <v>11.712315275610051</v>
      </c>
      <c r="F49">
        <v>1161.5877836868569</v>
      </c>
      <c r="G49">
        <v>3.605</v>
      </c>
      <c r="H49">
        <v>0</v>
      </c>
      <c r="I49">
        <v>43.858280000000001</v>
      </c>
    </row>
    <row r="50" spans="1:9" x14ac:dyDescent="0.3">
      <c r="A50" t="s">
        <v>45</v>
      </c>
      <c r="B50" t="s">
        <v>94</v>
      </c>
      <c r="C50">
        <v>94</v>
      </c>
      <c r="D50">
        <v>-9.4999999999999998E-3</v>
      </c>
      <c r="E50">
        <v>11.712315275610051</v>
      </c>
      <c r="F50">
        <v>1161.5877836868569</v>
      </c>
      <c r="G50">
        <v>3.605</v>
      </c>
      <c r="H50">
        <v>0</v>
      </c>
      <c r="I50">
        <v>44.055289999999999</v>
      </c>
    </row>
    <row r="51" spans="1:9" x14ac:dyDescent="0.3">
      <c r="A51" t="s">
        <v>45</v>
      </c>
      <c r="B51" t="s">
        <v>95</v>
      </c>
      <c r="C51">
        <v>94</v>
      </c>
      <c r="D51">
        <v>-9.2999999999999992E-3</v>
      </c>
      <c r="E51">
        <v>11.712315275610051</v>
      </c>
      <c r="F51">
        <v>1161.5877836868569</v>
      </c>
      <c r="G51">
        <v>3.605</v>
      </c>
      <c r="H51">
        <v>0</v>
      </c>
      <c r="I51">
        <v>44.257109999999997</v>
      </c>
    </row>
    <row r="52" spans="1:9" x14ac:dyDescent="0.3">
      <c r="A52" t="s">
        <v>45</v>
      </c>
      <c r="B52" t="s">
        <v>96</v>
      </c>
      <c r="C52">
        <v>94</v>
      </c>
      <c r="D52">
        <v>-9.4000000000000004E-3</v>
      </c>
      <c r="E52">
        <v>11.712315275610051</v>
      </c>
      <c r="F52">
        <v>1161.5877836868569</v>
      </c>
      <c r="G52">
        <v>3.605</v>
      </c>
      <c r="H52">
        <v>0</v>
      </c>
      <c r="I52">
        <v>44.455640000000002</v>
      </c>
    </row>
    <row r="53" spans="1:9" x14ac:dyDescent="0.3">
      <c r="A53" t="s">
        <v>45</v>
      </c>
      <c r="B53" t="s">
        <v>97</v>
      </c>
      <c r="C53">
        <v>94</v>
      </c>
      <c r="D53">
        <v>-9.4000000000000004E-3</v>
      </c>
      <c r="E53">
        <v>11.712315275610051</v>
      </c>
      <c r="F53">
        <v>1161.5877836868569</v>
      </c>
      <c r="G53">
        <v>3.605</v>
      </c>
      <c r="H53">
        <v>0</v>
      </c>
      <c r="I53">
        <v>44.658760000000001</v>
      </c>
    </row>
    <row r="54" spans="1:9" x14ac:dyDescent="0.3">
      <c r="A54" t="s">
        <v>45</v>
      </c>
      <c r="B54" t="s">
        <v>98</v>
      </c>
      <c r="C54">
        <v>94</v>
      </c>
      <c r="D54">
        <v>-9.4000000000000004E-3</v>
      </c>
      <c r="E54">
        <v>11.712315275610051</v>
      </c>
      <c r="F54">
        <v>1161.5877836868569</v>
      </c>
      <c r="G54">
        <v>3.605</v>
      </c>
      <c r="H54">
        <v>0</v>
      </c>
      <c r="I54">
        <v>44.855699999999999</v>
      </c>
    </row>
    <row r="55" spans="1:9" x14ac:dyDescent="0.3">
      <c r="A55" t="s">
        <v>45</v>
      </c>
      <c r="B55" t="s">
        <v>99</v>
      </c>
      <c r="C55">
        <v>94</v>
      </c>
      <c r="D55">
        <v>-8.6E-3</v>
      </c>
      <c r="E55">
        <v>11.712315275610051</v>
      </c>
      <c r="F55">
        <v>1161.5877836868569</v>
      </c>
      <c r="G55">
        <v>3.605</v>
      </c>
      <c r="H55">
        <v>0</v>
      </c>
      <c r="I55">
        <v>45.058509999999998</v>
      </c>
    </row>
    <row r="56" spans="1:9" x14ac:dyDescent="0.3">
      <c r="A56" t="s">
        <v>45</v>
      </c>
      <c r="B56" t="s">
        <v>100</v>
      </c>
      <c r="C56">
        <v>94</v>
      </c>
      <c r="D56">
        <v>-8.8999999999999999E-3</v>
      </c>
      <c r="E56">
        <v>11.712315275610051</v>
      </c>
      <c r="F56">
        <v>1161.5877836868569</v>
      </c>
      <c r="G56">
        <v>3.605</v>
      </c>
      <c r="H56">
        <v>0</v>
      </c>
      <c r="I56">
        <v>45.256700000000002</v>
      </c>
    </row>
    <row r="57" spans="1:9" x14ac:dyDescent="0.3">
      <c r="A57" t="s">
        <v>45</v>
      </c>
      <c r="B57" t="s">
        <v>101</v>
      </c>
      <c r="C57">
        <v>94</v>
      </c>
      <c r="D57">
        <v>-8.8999999999999999E-3</v>
      </c>
      <c r="E57">
        <v>11.712315275610051</v>
      </c>
      <c r="F57">
        <v>1161.5877836868569</v>
      </c>
      <c r="G57">
        <v>3.605</v>
      </c>
      <c r="H57">
        <v>0</v>
      </c>
      <c r="I57">
        <v>45.456130000000002</v>
      </c>
    </row>
    <row r="58" spans="1:9" x14ac:dyDescent="0.3">
      <c r="A58" t="s">
        <v>45</v>
      </c>
      <c r="B58" t="s">
        <v>102</v>
      </c>
      <c r="C58">
        <v>94</v>
      </c>
      <c r="D58">
        <v>-8.8999999999999999E-3</v>
      </c>
      <c r="E58">
        <v>11.712315275610051</v>
      </c>
      <c r="F58">
        <v>1161.5877836868569</v>
      </c>
      <c r="G58">
        <v>3.605</v>
      </c>
      <c r="H58">
        <v>0</v>
      </c>
      <c r="I58">
        <v>45.655529999999999</v>
      </c>
    </row>
    <row r="59" spans="1:9" x14ac:dyDescent="0.3">
      <c r="A59" t="s">
        <v>45</v>
      </c>
      <c r="B59" t="s">
        <v>103</v>
      </c>
      <c r="C59">
        <v>94</v>
      </c>
      <c r="D59">
        <v>-8.6999999999999994E-3</v>
      </c>
      <c r="E59">
        <v>11.712315275610051</v>
      </c>
      <c r="F59">
        <v>1161.5877836868569</v>
      </c>
      <c r="G59">
        <v>3.605</v>
      </c>
      <c r="H59">
        <v>0</v>
      </c>
      <c r="I59">
        <v>45.85745</v>
      </c>
    </row>
    <row r="60" spans="1:9" x14ac:dyDescent="0.3">
      <c r="A60" t="s">
        <v>45</v>
      </c>
      <c r="B60" t="s">
        <v>104</v>
      </c>
      <c r="C60">
        <v>94</v>
      </c>
      <c r="D60">
        <v>-8.6E-3</v>
      </c>
      <c r="E60">
        <v>11.712315275610051</v>
      </c>
      <c r="F60">
        <v>1161.5877836868569</v>
      </c>
      <c r="G60">
        <v>3.605</v>
      </c>
      <c r="H60">
        <v>0</v>
      </c>
      <c r="I60">
        <v>46.055700000000002</v>
      </c>
    </row>
    <row r="61" spans="1:9" x14ac:dyDescent="0.3">
      <c r="A61" t="s">
        <v>45</v>
      </c>
      <c r="B61" t="s">
        <v>105</v>
      </c>
      <c r="C61">
        <v>94</v>
      </c>
      <c r="D61">
        <v>-8.8999999999999999E-3</v>
      </c>
      <c r="E61">
        <v>11.712315275610051</v>
      </c>
      <c r="F61">
        <v>1161.5877836868569</v>
      </c>
      <c r="G61">
        <v>3.605</v>
      </c>
      <c r="H61">
        <v>0</v>
      </c>
      <c r="I61">
        <v>46.262250000000002</v>
      </c>
    </row>
    <row r="62" spans="1:9" x14ac:dyDescent="0.3">
      <c r="A62" t="s">
        <v>45</v>
      </c>
      <c r="B62" t="s">
        <v>106</v>
      </c>
      <c r="C62">
        <v>94</v>
      </c>
      <c r="D62">
        <v>-8.8999999999999999E-3</v>
      </c>
      <c r="E62">
        <v>11.712315275610051</v>
      </c>
      <c r="F62">
        <v>1161.5877836868569</v>
      </c>
      <c r="G62">
        <v>3.605</v>
      </c>
      <c r="H62">
        <v>0</v>
      </c>
      <c r="I62">
        <v>46.45534</v>
      </c>
    </row>
    <row r="63" spans="1:9" x14ac:dyDescent="0.3">
      <c r="A63" t="s">
        <v>45</v>
      </c>
      <c r="B63" t="s">
        <v>107</v>
      </c>
      <c r="C63">
        <v>94</v>
      </c>
      <c r="D63">
        <v>-8.6E-3</v>
      </c>
      <c r="E63">
        <v>11.712315275610051</v>
      </c>
      <c r="F63">
        <v>1161.5877836868569</v>
      </c>
      <c r="G63">
        <v>3.605</v>
      </c>
      <c r="H63">
        <v>0</v>
      </c>
      <c r="I63">
        <v>46.657969999999999</v>
      </c>
    </row>
    <row r="64" spans="1:9" x14ac:dyDescent="0.3">
      <c r="A64" t="s">
        <v>45</v>
      </c>
      <c r="B64" t="s">
        <v>108</v>
      </c>
      <c r="C64">
        <v>94</v>
      </c>
      <c r="D64">
        <v>-8.8000000000000005E-3</v>
      </c>
      <c r="E64">
        <v>11.712315275610051</v>
      </c>
      <c r="F64">
        <v>1161.5877836868569</v>
      </c>
      <c r="G64">
        <v>3.605</v>
      </c>
      <c r="H64">
        <v>0</v>
      </c>
      <c r="I64">
        <v>46.855899999999998</v>
      </c>
    </row>
    <row r="65" spans="1:9" x14ac:dyDescent="0.3">
      <c r="A65" t="s">
        <v>45</v>
      </c>
      <c r="B65" t="s">
        <v>109</v>
      </c>
      <c r="C65">
        <v>94</v>
      </c>
      <c r="D65">
        <v>-8.6999999999999994E-3</v>
      </c>
      <c r="E65">
        <v>11.712315275610051</v>
      </c>
      <c r="F65">
        <v>1161.5877836868569</v>
      </c>
      <c r="G65">
        <v>3.605</v>
      </c>
      <c r="H65">
        <v>0</v>
      </c>
      <c r="I65">
        <v>47.056620000000002</v>
      </c>
    </row>
    <row r="66" spans="1:9" x14ac:dyDescent="0.3">
      <c r="A66" t="s">
        <v>45</v>
      </c>
      <c r="B66" t="s">
        <v>110</v>
      </c>
      <c r="C66">
        <v>94</v>
      </c>
      <c r="D66">
        <v>-8.8999999999999999E-3</v>
      </c>
      <c r="E66">
        <v>11.712315275610051</v>
      </c>
      <c r="F66">
        <v>1161.5877836868569</v>
      </c>
      <c r="G66">
        <v>3.605</v>
      </c>
      <c r="H66">
        <v>0</v>
      </c>
      <c r="I66">
        <v>47.256590000000003</v>
      </c>
    </row>
    <row r="67" spans="1:9" x14ac:dyDescent="0.3">
      <c r="A67" t="s">
        <v>45</v>
      </c>
      <c r="B67" t="s">
        <v>111</v>
      </c>
      <c r="C67">
        <v>94</v>
      </c>
      <c r="D67">
        <v>-8.6999999999999994E-3</v>
      </c>
      <c r="E67">
        <v>11.712315275610051</v>
      </c>
      <c r="F67">
        <v>1161.5877836868569</v>
      </c>
      <c r="G67">
        <v>3.605</v>
      </c>
      <c r="H67">
        <v>0</v>
      </c>
      <c r="I67">
        <v>47.455939999999998</v>
      </c>
    </row>
    <row r="68" spans="1:9" x14ac:dyDescent="0.3">
      <c r="A68" t="s">
        <v>45</v>
      </c>
      <c r="B68" t="s">
        <v>112</v>
      </c>
      <c r="C68">
        <v>94</v>
      </c>
      <c r="D68">
        <v>-8.6E-3</v>
      </c>
      <c r="E68">
        <v>11.712315275610051</v>
      </c>
      <c r="F68">
        <v>1161.5877836868569</v>
      </c>
      <c r="G68">
        <v>3.605</v>
      </c>
      <c r="H68">
        <v>0</v>
      </c>
      <c r="I68">
        <v>47.655529999999999</v>
      </c>
    </row>
    <row r="69" spans="1:9" x14ac:dyDescent="0.3">
      <c r="A69" t="s">
        <v>45</v>
      </c>
      <c r="B69" t="s">
        <v>113</v>
      </c>
      <c r="C69">
        <v>94</v>
      </c>
      <c r="D69">
        <v>-8.8000000000000005E-3</v>
      </c>
      <c r="E69">
        <v>11.712315275610051</v>
      </c>
      <c r="F69">
        <v>1161.5877836868569</v>
      </c>
      <c r="G69">
        <v>3.605</v>
      </c>
      <c r="H69">
        <v>0</v>
      </c>
      <c r="I69">
        <v>47.85718</v>
      </c>
    </row>
    <row r="70" spans="1:9" x14ac:dyDescent="0.3">
      <c r="A70" t="s">
        <v>45</v>
      </c>
      <c r="B70" t="s">
        <v>114</v>
      </c>
      <c r="C70">
        <v>94</v>
      </c>
      <c r="D70">
        <v>-8.6E-3</v>
      </c>
      <c r="E70">
        <v>11.712315275610051</v>
      </c>
      <c r="F70">
        <v>1161.5877836868569</v>
      </c>
      <c r="G70">
        <v>3.605</v>
      </c>
      <c r="H70">
        <v>0</v>
      </c>
      <c r="I70">
        <v>48.055239999999998</v>
      </c>
    </row>
    <row r="71" spans="1:9" x14ac:dyDescent="0.3">
      <c r="A71" t="s">
        <v>45</v>
      </c>
      <c r="B71" t="s">
        <v>115</v>
      </c>
      <c r="C71">
        <v>94</v>
      </c>
      <c r="D71">
        <v>-8.6E-3</v>
      </c>
      <c r="E71">
        <v>11.712315275610051</v>
      </c>
      <c r="F71">
        <v>1161.5877836868569</v>
      </c>
      <c r="G71">
        <v>3.605</v>
      </c>
      <c r="H71">
        <v>0</v>
      </c>
      <c r="I71">
        <v>48.255839999999999</v>
      </c>
    </row>
    <row r="72" spans="1:9" x14ac:dyDescent="0.3">
      <c r="A72" t="s">
        <v>45</v>
      </c>
      <c r="B72" t="s">
        <v>116</v>
      </c>
      <c r="C72">
        <v>94</v>
      </c>
      <c r="D72">
        <v>-8.8000000000000005E-3</v>
      </c>
      <c r="E72">
        <v>11.712315275610051</v>
      </c>
      <c r="F72">
        <v>1161.5877836868569</v>
      </c>
      <c r="G72">
        <v>3.605</v>
      </c>
      <c r="H72">
        <v>0</v>
      </c>
      <c r="I72">
        <v>48.455129999999997</v>
      </c>
    </row>
    <row r="73" spans="1:9" x14ac:dyDescent="0.3">
      <c r="A73" t="s">
        <v>45</v>
      </c>
      <c r="B73" t="s">
        <v>117</v>
      </c>
      <c r="C73">
        <v>94</v>
      </c>
      <c r="D73">
        <v>-8.6999999999999994E-3</v>
      </c>
      <c r="E73">
        <v>11.712315275610051</v>
      </c>
      <c r="F73">
        <v>1161.5877836868569</v>
      </c>
      <c r="G73">
        <v>3.605</v>
      </c>
      <c r="H73">
        <v>0</v>
      </c>
      <c r="I73">
        <v>48.656509999999997</v>
      </c>
    </row>
    <row r="74" spans="1:9" x14ac:dyDescent="0.3">
      <c r="A74" t="s">
        <v>45</v>
      </c>
      <c r="B74" t="s">
        <v>118</v>
      </c>
      <c r="C74">
        <v>94</v>
      </c>
      <c r="D74">
        <v>-8.6E-3</v>
      </c>
      <c r="E74">
        <v>11.712315275610051</v>
      </c>
      <c r="F74">
        <v>1161.5877836868569</v>
      </c>
      <c r="G74">
        <v>3.605</v>
      </c>
      <c r="H74">
        <v>0</v>
      </c>
      <c r="I74">
        <v>48.855620000000002</v>
      </c>
    </row>
    <row r="75" spans="1:9" x14ac:dyDescent="0.3">
      <c r="A75" t="s">
        <v>45</v>
      </c>
      <c r="B75" t="s">
        <v>119</v>
      </c>
      <c r="C75">
        <v>94</v>
      </c>
      <c r="D75">
        <v>-8.5000000000000006E-3</v>
      </c>
      <c r="E75">
        <v>11.712315275610051</v>
      </c>
      <c r="F75">
        <v>1161.5877836868569</v>
      </c>
      <c r="G75">
        <v>3.605</v>
      </c>
      <c r="H75">
        <v>0</v>
      </c>
      <c r="I75">
        <v>49.057510000000001</v>
      </c>
    </row>
    <row r="76" spans="1:9" x14ac:dyDescent="0.3">
      <c r="A76" t="s">
        <v>45</v>
      </c>
      <c r="B76" t="s">
        <v>120</v>
      </c>
      <c r="C76">
        <v>94</v>
      </c>
      <c r="D76">
        <v>-8.6999999999999994E-3</v>
      </c>
      <c r="E76">
        <v>11.712315275610051</v>
      </c>
      <c r="F76">
        <v>1161.5877836868569</v>
      </c>
      <c r="G76">
        <v>3.605</v>
      </c>
      <c r="H76">
        <v>0</v>
      </c>
      <c r="I76">
        <v>49.257649999999998</v>
      </c>
    </row>
    <row r="77" spans="1:9" x14ac:dyDescent="0.3">
      <c r="A77" t="s">
        <v>45</v>
      </c>
      <c r="B77" t="s">
        <v>121</v>
      </c>
      <c r="C77">
        <v>94</v>
      </c>
      <c r="D77">
        <v>-8.6999999999999994E-3</v>
      </c>
      <c r="E77">
        <v>11.712315275610051</v>
      </c>
      <c r="F77">
        <v>1161.5877836868569</v>
      </c>
      <c r="G77">
        <v>3.605</v>
      </c>
      <c r="H77">
        <v>0</v>
      </c>
      <c r="I77">
        <v>49.457970000000003</v>
      </c>
    </row>
    <row r="78" spans="1:9" x14ac:dyDescent="0.3">
      <c r="A78" t="s">
        <v>45</v>
      </c>
      <c r="B78" t="s">
        <v>122</v>
      </c>
      <c r="C78">
        <v>94</v>
      </c>
      <c r="D78">
        <v>-8.6999999999999994E-3</v>
      </c>
      <c r="E78">
        <v>11.712315275610051</v>
      </c>
      <c r="F78">
        <v>1161.5877836868569</v>
      </c>
      <c r="G78">
        <v>3.605</v>
      </c>
      <c r="H78">
        <v>0</v>
      </c>
      <c r="I78">
        <v>49.656019999999998</v>
      </c>
    </row>
    <row r="79" spans="1:9" x14ac:dyDescent="0.3">
      <c r="A79" t="s">
        <v>45</v>
      </c>
      <c r="B79" t="s">
        <v>123</v>
      </c>
      <c r="C79">
        <v>94</v>
      </c>
      <c r="D79">
        <v>-8.6E-3</v>
      </c>
      <c r="E79">
        <v>11.712315275610051</v>
      </c>
      <c r="F79">
        <v>1161.5877836868569</v>
      </c>
      <c r="G79">
        <v>3.605</v>
      </c>
      <c r="H79">
        <v>0</v>
      </c>
      <c r="I79">
        <v>49.856009999999998</v>
      </c>
    </row>
    <row r="80" spans="1:9" x14ac:dyDescent="0.3">
      <c r="A80" t="s">
        <v>45</v>
      </c>
      <c r="B80" t="s">
        <v>124</v>
      </c>
      <c r="C80">
        <v>94</v>
      </c>
      <c r="D80">
        <v>-8.6E-3</v>
      </c>
      <c r="E80">
        <v>11.712315275610051</v>
      </c>
      <c r="F80">
        <v>1161.5877836868569</v>
      </c>
      <c r="G80">
        <v>3.605</v>
      </c>
      <c r="H80">
        <v>0</v>
      </c>
      <c r="I80">
        <v>50.055840000000003</v>
      </c>
    </row>
    <row r="81" spans="1:9" x14ac:dyDescent="0.3">
      <c r="A81" t="s">
        <v>45</v>
      </c>
      <c r="B81" t="s">
        <v>125</v>
      </c>
      <c r="C81">
        <v>94</v>
      </c>
      <c r="D81">
        <v>-8.6E-3</v>
      </c>
      <c r="E81">
        <v>11.712315275610051</v>
      </c>
      <c r="F81">
        <v>1161.5877836868569</v>
      </c>
      <c r="G81">
        <v>3.605</v>
      </c>
      <c r="H81">
        <v>0</v>
      </c>
      <c r="I81">
        <v>50.256210000000003</v>
      </c>
    </row>
    <row r="82" spans="1:9" x14ac:dyDescent="0.3">
      <c r="A82" t="s">
        <v>45</v>
      </c>
      <c r="B82" t="s">
        <v>126</v>
      </c>
      <c r="C82">
        <v>94</v>
      </c>
      <c r="D82">
        <v>-8.6E-3</v>
      </c>
      <c r="E82">
        <v>11.712315275610051</v>
      </c>
      <c r="F82">
        <v>1161.5877836868569</v>
      </c>
      <c r="G82">
        <v>3.605</v>
      </c>
      <c r="H82">
        <v>0</v>
      </c>
      <c r="I82">
        <v>50.455489999999998</v>
      </c>
    </row>
    <row r="83" spans="1:9" x14ac:dyDescent="0.3">
      <c r="A83" t="s">
        <v>45</v>
      </c>
      <c r="B83" t="s">
        <v>127</v>
      </c>
      <c r="C83">
        <v>94</v>
      </c>
      <c r="D83">
        <v>-8.6999999999999994E-3</v>
      </c>
      <c r="E83">
        <v>11.7410676808907</v>
      </c>
      <c r="F83">
        <v>1254.2273229165271</v>
      </c>
      <c r="G83">
        <v>3.605</v>
      </c>
      <c r="H83">
        <v>4.0000000000000002E-4</v>
      </c>
      <c r="I83">
        <v>50.65681</v>
      </c>
    </row>
    <row r="84" spans="1:9" x14ac:dyDescent="0.3">
      <c r="A84" t="s">
        <v>45</v>
      </c>
      <c r="B84" t="s">
        <v>128</v>
      </c>
      <c r="C84">
        <v>94</v>
      </c>
      <c r="D84">
        <v>-8.6E-3</v>
      </c>
      <c r="E84">
        <v>11.71750021660637</v>
      </c>
      <c r="F84">
        <v>1162.0710201877141</v>
      </c>
      <c r="G84">
        <v>3.605</v>
      </c>
      <c r="H84">
        <v>1E-4</v>
      </c>
      <c r="I84">
        <v>50.855710000000002</v>
      </c>
    </row>
    <row r="85" spans="1:9" x14ac:dyDescent="0.3">
      <c r="A85" t="s">
        <v>45</v>
      </c>
      <c r="B85" t="s">
        <v>129</v>
      </c>
      <c r="C85">
        <v>94</v>
      </c>
      <c r="D85">
        <v>-8.6E-3</v>
      </c>
      <c r="E85">
        <v>11.71385189743701</v>
      </c>
      <c r="F85">
        <v>1161.73099684113</v>
      </c>
      <c r="G85">
        <v>3.605</v>
      </c>
      <c r="H85">
        <v>0</v>
      </c>
      <c r="I85">
        <v>51.055439999999997</v>
      </c>
    </row>
    <row r="86" spans="1:9" x14ac:dyDescent="0.3">
      <c r="A86" t="s">
        <v>45</v>
      </c>
      <c r="B86" t="s">
        <v>130</v>
      </c>
      <c r="C86">
        <v>94</v>
      </c>
      <c r="D86">
        <v>-8.2000000000000007E-3</v>
      </c>
      <c r="E86">
        <v>11.85734235047963</v>
      </c>
      <c r="F86">
        <v>1265.261789060517</v>
      </c>
      <c r="G86">
        <v>3.605</v>
      </c>
      <c r="H86">
        <v>2.3E-3</v>
      </c>
      <c r="I86">
        <v>51.255540000000003</v>
      </c>
    </row>
    <row r="87" spans="1:9" x14ac:dyDescent="0.3">
      <c r="A87" t="s">
        <v>45</v>
      </c>
      <c r="B87" t="s">
        <v>131</v>
      </c>
      <c r="C87">
        <v>94</v>
      </c>
      <c r="D87">
        <v>-8.2000000000000007E-3</v>
      </c>
      <c r="E87">
        <v>12.21087116205417</v>
      </c>
      <c r="F87">
        <v>1298.811673278941</v>
      </c>
      <c r="G87">
        <v>3.605</v>
      </c>
      <c r="H87">
        <v>7.7000000000000002E-3</v>
      </c>
      <c r="I87">
        <v>51.456159999999997</v>
      </c>
    </row>
    <row r="88" spans="1:9" x14ac:dyDescent="0.3">
      <c r="A88" t="s">
        <v>45</v>
      </c>
      <c r="B88" t="s">
        <v>132</v>
      </c>
      <c r="C88">
        <v>94</v>
      </c>
      <c r="D88">
        <v>-5.3E-3</v>
      </c>
      <c r="E88">
        <v>12.69455194856514</v>
      </c>
      <c r="F88">
        <v>1344.7129799188319</v>
      </c>
      <c r="G88">
        <v>3.605</v>
      </c>
      <c r="H88">
        <v>1.5299999999999999E-2</v>
      </c>
      <c r="I88">
        <v>51.655200000000001</v>
      </c>
    </row>
    <row r="89" spans="1:9" x14ac:dyDescent="0.3">
      <c r="A89" t="s">
        <v>45</v>
      </c>
      <c r="B89" t="s">
        <v>133</v>
      </c>
      <c r="C89">
        <v>94</v>
      </c>
      <c r="D89">
        <v>4.0000000000000001E-3</v>
      </c>
      <c r="E89">
        <v>13.284015188092431</v>
      </c>
      <c r="F89">
        <v>1400.653041349972</v>
      </c>
      <c r="G89">
        <v>3.605</v>
      </c>
      <c r="H89">
        <v>2.4400000000000002E-2</v>
      </c>
      <c r="I89">
        <v>51.85568</v>
      </c>
    </row>
    <row r="90" spans="1:9" x14ac:dyDescent="0.3">
      <c r="A90" t="s">
        <v>45</v>
      </c>
      <c r="B90" t="s">
        <v>134</v>
      </c>
      <c r="C90">
        <v>94</v>
      </c>
      <c r="D90">
        <v>1.1900000000000001E-2</v>
      </c>
      <c r="E90">
        <v>13.926534680723121</v>
      </c>
      <c r="F90">
        <v>1461.628141200624</v>
      </c>
      <c r="G90">
        <v>3.605</v>
      </c>
      <c r="H90">
        <v>3.44E-2</v>
      </c>
      <c r="I90">
        <v>52.058759999999999</v>
      </c>
    </row>
    <row r="91" spans="1:9" x14ac:dyDescent="0.3">
      <c r="A91" t="s">
        <v>45</v>
      </c>
      <c r="B91" t="s">
        <v>135</v>
      </c>
      <c r="C91">
        <v>94</v>
      </c>
      <c r="D91">
        <v>1.8499999999999999E-2</v>
      </c>
      <c r="E91">
        <v>14.5362832164003</v>
      </c>
      <c r="F91">
        <v>1519.4932772363891</v>
      </c>
      <c r="G91">
        <v>3.605</v>
      </c>
      <c r="H91">
        <v>4.3900000000000002E-2</v>
      </c>
      <c r="I91">
        <v>52.257080000000002</v>
      </c>
    </row>
    <row r="92" spans="1:9" x14ac:dyDescent="0.3">
      <c r="A92" t="s">
        <v>45</v>
      </c>
      <c r="B92" t="s">
        <v>136</v>
      </c>
      <c r="C92">
        <v>94</v>
      </c>
      <c r="D92">
        <v>3.0700000000000002E-2</v>
      </c>
      <c r="E92">
        <v>15.071543531543311</v>
      </c>
      <c r="F92">
        <v>1570.2894811434601</v>
      </c>
      <c r="G92">
        <v>3.605</v>
      </c>
      <c r="H92">
        <v>5.2200000000000003E-2</v>
      </c>
      <c r="I92">
        <v>52.456310000000002</v>
      </c>
    </row>
    <row r="93" spans="1:9" x14ac:dyDescent="0.3">
      <c r="A93" t="s">
        <v>45</v>
      </c>
      <c r="B93" t="s">
        <v>137</v>
      </c>
      <c r="C93">
        <v>94</v>
      </c>
      <c r="D93">
        <v>3.7499999999999999E-2</v>
      </c>
      <c r="E93">
        <v>15.48334732914986</v>
      </c>
      <c r="F93">
        <v>1609.3696615363219</v>
      </c>
      <c r="G93">
        <v>3.605</v>
      </c>
      <c r="H93">
        <v>5.8599999999999999E-2</v>
      </c>
      <c r="I93">
        <v>52.659170000000003</v>
      </c>
    </row>
    <row r="94" spans="1:9" x14ac:dyDescent="0.3">
      <c r="A94" t="s">
        <v>45</v>
      </c>
      <c r="B94" t="s">
        <v>138</v>
      </c>
      <c r="C94">
        <v>94</v>
      </c>
      <c r="D94">
        <v>5.4100000000000002E-2</v>
      </c>
      <c r="E94">
        <v>15.71475597368568</v>
      </c>
      <c r="F94">
        <v>1631.3303419027709</v>
      </c>
      <c r="G94">
        <v>3.605</v>
      </c>
      <c r="H94">
        <v>6.2199999999999998E-2</v>
      </c>
      <c r="I94">
        <v>52.855130000000003</v>
      </c>
    </row>
    <row r="95" spans="1:9" x14ac:dyDescent="0.3">
      <c r="A95" t="s">
        <v>45</v>
      </c>
      <c r="B95" t="s">
        <v>139</v>
      </c>
      <c r="C95">
        <v>94</v>
      </c>
      <c r="D95">
        <v>6.2600000000000003E-2</v>
      </c>
      <c r="E95">
        <v>15.758303126760939</v>
      </c>
      <c r="F95">
        <v>1635.4629667296131</v>
      </c>
      <c r="G95">
        <v>3.605</v>
      </c>
      <c r="H95">
        <v>6.2899999999999998E-2</v>
      </c>
      <c r="I95">
        <v>53.059069999999998</v>
      </c>
    </row>
    <row r="96" spans="1:9" x14ac:dyDescent="0.3">
      <c r="A96" t="s">
        <v>45</v>
      </c>
      <c r="B96" t="s">
        <v>140</v>
      </c>
      <c r="C96">
        <v>94</v>
      </c>
      <c r="D96">
        <v>6.9000000000000006E-2</v>
      </c>
      <c r="E96">
        <v>15.60706902455679</v>
      </c>
      <c r="F96">
        <v>1524.578833088693</v>
      </c>
      <c r="G96">
        <v>3.605</v>
      </c>
      <c r="H96">
        <v>6.0499999999999998E-2</v>
      </c>
      <c r="I96">
        <v>53.254579999999997</v>
      </c>
    </row>
    <row r="97" spans="1:9" x14ac:dyDescent="0.3">
      <c r="A97" t="s">
        <v>45</v>
      </c>
      <c r="B97" t="s">
        <v>141</v>
      </c>
      <c r="C97">
        <v>94</v>
      </c>
      <c r="D97">
        <v>6.6100000000000006E-2</v>
      </c>
      <c r="E97">
        <v>15.26966343297792</v>
      </c>
      <c r="F97">
        <v>1493.1326319535419</v>
      </c>
      <c r="G97">
        <v>3.605</v>
      </c>
      <c r="H97">
        <v>5.5300000000000002E-2</v>
      </c>
      <c r="I97">
        <v>53.455590000000001</v>
      </c>
    </row>
    <row r="98" spans="1:9" x14ac:dyDescent="0.3">
      <c r="A98" t="s">
        <v>45</v>
      </c>
      <c r="B98" t="s">
        <v>142</v>
      </c>
      <c r="C98">
        <v>94</v>
      </c>
      <c r="D98">
        <v>5.8599999999999999E-2</v>
      </c>
      <c r="E98">
        <v>14.785234552933259</v>
      </c>
      <c r="F98">
        <v>1447.9838603333801</v>
      </c>
      <c r="G98">
        <v>3.605</v>
      </c>
      <c r="H98">
        <v>4.7699999999999999E-2</v>
      </c>
      <c r="I98">
        <v>53.65504</v>
      </c>
    </row>
    <row r="99" spans="1:9" x14ac:dyDescent="0.3">
      <c r="A99" t="s">
        <v>45</v>
      </c>
      <c r="B99" t="s">
        <v>143</v>
      </c>
      <c r="C99">
        <v>94</v>
      </c>
      <c r="D99">
        <v>5.2999999999999999E-2</v>
      </c>
      <c r="E99">
        <v>14.195003757276289</v>
      </c>
      <c r="F99">
        <v>1392.9743501781511</v>
      </c>
      <c r="G99">
        <v>3.605</v>
      </c>
      <c r="H99">
        <v>3.8600000000000002E-2</v>
      </c>
      <c r="I99">
        <v>53.855789999999999</v>
      </c>
    </row>
    <row r="100" spans="1:9" x14ac:dyDescent="0.3">
      <c r="A100" t="s">
        <v>45</v>
      </c>
      <c r="B100" t="s">
        <v>144</v>
      </c>
      <c r="C100">
        <v>94</v>
      </c>
      <c r="D100">
        <v>4.6899999999999997E-2</v>
      </c>
      <c r="E100">
        <v>13.563168824377881</v>
      </c>
      <c r="F100">
        <v>1334.087334432018</v>
      </c>
      <c r="G100">
        <v>3.605</v>
      </c>
      <c r="H100">
        <v>2.8799999999999999E-2</v>
      </c>
      <c r="I100">
        <v>54.055489999999999</v>
      </c>
    </row>
    <row r="101" spans="1:9" x14ac:dyDescent="0.3">
      <c r="A101" t="s">
        <v>45</v>
      </c>
      <c r="B101" t="s">
        <v>145</v>
      </c>
      <c r="C101">
        <v>94</v>
      </c>
      <c r="D101">
        <v>3.7900000000000003E-2</v>
      </c>
      <c r="E101">
        <v>12.92327029467495</v>
      </c>
      <c r="F101">
        <v>1274.4487914637059</v>
      </c>
      <c r="G101">
        <v>3.605</v>
      </c>
      <c r="H101">
        <v>1.8800000000000001E-2</v>
      </c>
      <c r="I101">
        <v>54.263849999999998</v>
      </c>
    </row>
    <row r="102" spans="1:9" x14ac:dyDescent="0.3">
      <c r="A102" t="s">
        <v>45</v>
      </c>
      <c r="B102" t="s">
        <v>146</v>
      </c>
      <c r="C102">
        <v>94</v>
      </c>
      <c r="D102">
        <v>3.09E-2</v>
      </c>
      <c r="E102">
        <v>12.410138140240431</v>
      </c>
      <c r="F102">
        <v>1226.624874670408</v>
      </c>
      <c r="G102">
        <v>3.605</v>
      </c>
      <c r="H102">
        <v>1.0800000000000001E-2</v>
      </c>
      <c r="I102">
        <v>54.455329999999996</v>
      </c>
    </row>
    <row r="103" spans="1:9" x14ac:dyDescent="0.3">
      <c r="A103" t="s">
        <v>45</v>
      </c>
      <c r="B103" t="s">
        <v>147</v>
      </c>
      <c r="C103">
        <v>94</v>
      </c>
      <c r="D103">
        <v>2.3199999999999998E-2</v>
      </c>
      <c r="E103">
        <v>12.00141073030799</v>
      </c>
      <c r="F103">
        <v>1188.531480064705</v>
      </c>
      <c r="G103">
        <v>3.605</v>
      </c>
      <c r="H103">
        <v>4.4999999999999997E-3</v>
      </c>
      <c r="I103">
        <v>54.655850000000001</v>
      </c>
    </row>
    <row r="104" spans="1:9" x14ac:dyDescent="0.3">
      <c r="A104" t="s">
        <v>45</v>
      </c>
      <c r="B104" t="s">
        <v>148</v>
      </c>
      <c r="C104">
        <v>94</v>
      </c>
      <c r="D104">
        <v>1.4999999999999999E-2</v>
      </c>
      <c r="E104">
        <v>11.764630287635439</v>
      </c>
      <c r="F104">
        <v>1166.4635428076231</v>
      </c>
      <c r="G104">
        <v>3.605</v>
      </c>
      <c r="H104">
        <v>8.0000000000000004E-4</v>
      </c>
      <c r="I104">
        <v>54.855060000000002</v>
      </c>
    </row>
    <row r="105" spans="1:9" x14ac:dyDescent="0.3">
      <c r="A105" t="s">
        <v>45</v>
      </c>
      <c r="B105" t="s">
        <v>149</v>
      </c>
      <c r="C105">
        <v>94</v>
      </c>
      <c r="D105">
        <v>7.3000000000000001E-3</v>
      </c>
      <c r="E105">
        <v>11.72017202962089</v>
      </c>
      <c r="F105">
        <v>1162.320033160667</v>
      </c>
      <c r="G105">
        <v>3.605</v>
      </c>
      <c r="H105">
        <v>1E-4</v>
      </c>
      <c r="I105">
        <v>55.056060000000002</v>
      </c>
    </row>
    <row r="106" spans="1:9" x14ac:dyDescent="0.3">
      <c r="A106" t="s">
        <v>45</v>
      </c>
      <c r="B106" t="s">
        <v>150</v>
      </c>
      <c r="C106">
        <v>94</v>
      </c>
      <c r="D106">
        <v>6.9999999999999999E-4</v>
      </c>
      <c r="E106">
        <v>11.87295727234315</v>
      </c>
      <c r="F106">
        <v>1266.743645145365</v>
      </c>
      <c r="G106">
        <v>3.605</v>
      </c>
      <c r="H106">
        <v>2.5000000000000001E-3</v>
      </c>
      <c r="I106">
        <v>55.255130000000001</v>
      </c>
    </row>
    <row r="107" spans="1:9" x14ac:dyDescent="0.3">
      <c r="A107" t="s">
        <v>45</v>
      </c>
      <c r="B107" t="s">
        <v>151</v>
      </c>
      <c r="C107">
        <v>94</v>
      </c>
      <c r="D107">
        <v>1.2999999999999999E-3</v>
      </c>
      <c r="E107">
        <v>12.2105394869807</v>
      </c>
      <c r="F107">
        <v>1298.7801973144681</v>
      </c>
      <c r="G107">
        <v>3.605</v>
      </c>
      <c r="H107">
        <v>7.7000000000000002E-3</v>
      </c>
      <c r="I107">
        <v>55.456000000000003</v>
      </c>
    </row>
    <row r="108" spans="1:9" x14ac:dyDescent="0.3">
      <c r="A108" t="s">
        <v>45</v>
      </c>
      <c r="B108" t="s">
        <v>152</v>
      </c>
      <c r="C108">
        <v>94</v>
      </c>
      <c r="D108">
        <v>8.0999999999999996E-3</v>
      </c>
      <c r="E108">
        <v>12.692939796863291</v>
      </c>
      <c r="F108">
        <v>1344.5599867223259</v>
      </c>
      <c r="G108">
        <v>3.605</v>
      </c>
      <c r="H108">
        <v>1.52E-2</v>
      </c>
      <c r="I108">
        <v>55.654609999999998</v>
      </c>
    </row>
    <row r="109" spans="1:9" x14ac:dyDescent="0.3">
      <c r="A109" t="s">
        <v>45</v>
      </c>
      <c r="B109" t="s">
        <v>153</v>
      </c>
      <c r="C109">
        <v>94</v>
      </c>
      <c r="D109">
        <v>1.35E-2</v>
      </c>
      <c r="E109">
        <v>13.285075494103589</v>
      </c>
      <c r="F109">
        <v>1400.75366439043</v>
      </c>
      <c r="G109">
        <v>3.605</v>
      </c>
      <c r="H109">
        <v>2.4400000000000002E-2</v>
      </c>
      <c r="I109">
        <v>55.856029999999997</v>
      </c>
    </row>
    <row r="110" spans="1:9" x14ac:dyDescent="0.3">
      <c r="A110" t="s">
        <v>45</v>
      </c>
      <c r="B110" t="s">
        <v>154</v>
      </c>
      <c r="C110">
        <v>94</v>
      </c>
      <c r="D110">
        <v>1.9800000000000002E-2</v>
      </c>
      <c r="E110">
        <v>13.92151819660458</v>
      </c>
      <c r="F110">
        <v>1461.1520768577741</v>
      </c>
      <c r="G110">
        <v>3.605</v>
      </c>
      <c r="H110">
        <v>3.4299999999999997E-2</v>
      </c>
      <c r="I110">
        <v>56.057180000000002</v>
      </c>
    </row>
    <row r="111" spans="1:9" x14ac:dyDescent="0.3">
      <c r="A111" t="s">
        <v>45</v>
      </c>
      <c r="B111" t="s">
        <v>155</v>
      </c>
      <c r="C111">
        <v>94</v>
      </c>
      <c r="D111">
        <v>2.76E-2</v>
      </c>
      <c r="E111">
        <v>14.53189075176596</v>
      </c>
      <c r="F111">
        <v>1519.076432342589</v>
      </c>
      <c r="G111">
        <v>3.605</v>
      </c>
      <c r="H111">
        <v>4.3799999999999999E-2</v>
      </c>
      <c r="I111">
        <v>56.255580000000002</v>
      </c>
    </row>
    <row r="112" spans="1:9" x14ac:dyDescent="0.3">
      <c r="A112" t="s">
        <v>45</v>
      </c>
      <c r="B112" t="s">
        <v>156</v>
      </c>
      <c r="C112">
        <v>94</v>
      </c>
      <c r="D112">
        <v>3.5999999999999997E-2</v>
      </c>
      <c r="E112">
        <v>15.070171013054679</v>
      </c>
      <c r="F112">
        <v>1570.159229138889</v>
      </c>
      <c r="G112">
        <v>3.605</v>
      </c>
      <c r="H112">
        <v>5.2200000000000003E-2</v>
      </c>
      <c r="I112">
        <v>56.455730000000003</v>
      </c>
    </row>
    <row r="113" spans="1:9" x14ac:dyDescent="0.3">
      <c r="A113" t="s">
        <v>45</v>
      </c>
      <c r="B113" t="s">
        <v>157</v>
      </c>
      <c r="C113">
        <v>94</v>
      </c>
      <c r="D113">
        <v>4.5999999999999999E-2</v>
      </c>
      <c r="E113">
        <v>15.477729531909119</v>
      </c>
      <c r="F113">
        <v>1608.836532578176</v>
      </c>
      <c r="G113">
        <v>3.605</v>
      </c>
      <c r="H113">
        <v>5.8500000000000003E-2</v>
      </c>
      <c r="I113">
        <v>56.655720000000002</v>
      </c>
    </row>
    <row r="114" spans="1:9" x14ac:dyDescent="0.3">
      <c r="A114" t="s">
        <v>45</v>
      </c>
      <c r="B114" t="s">
        <v>158</v>
      </c>
      <c r="C114">
        <v>94</v>
      </c>
      <c r="D114">
        <v>5.4699999999999999E-2</v>
      </c>
      <c r="E114">
        <v>15.714428353319709</v>
      </c>
      <c r="F114">
        <v>1631.2992507300401</v>
      </c>
      <c r="G114">
        <v>3.605</v>
      </c>
      <c r="H114">
        <v>6.2199999999999998E-2</v>
      </c>
      <c r="I114">
        <v>56.854669999999999</v>
      </c>
    </row>
    <row r="115" spans="1:9" x14ac:dyDescent="0.3">
      <c r="A115" t="s">
        <v>45</v>
      </c>
      <c r="B115" t="s">
        <v>159</v>
      </c>
      <c r="C115">
        <v>94</v>
      </c>
      <c r="D115">
        <v>6.4100000000000004E-2</v>
      </c>
      <c r="E115">
        <v>15.75887727334289</v>
      </c>
      <c r="F115">
        <v>1635.51745324024</v>
      </c>
      <c r="G115">
        <v>3.605</v>
      </c>
      <c r="H115">
        <v>6.2899999999999998E-2</v>
      </c>
      <c r="I115">
        <v>57.057079999999999</v>
      </c>
    </row>
    <row r="116" spans="1:9" x14ac:dyDescent="0.3">
      <c r="A116" t="s">
        <v>45</v>
      </c>
      <c r="B116" t="s">
        <v>160</v>
      </c>
      <c r="C116">
        <v>94</v>
      </c>
      <c r="D116">
        <v>6.9199999999999998E-2</v>
      </c>
      <c r="E116">
        <v>15.60667531245857</v>
      </c>
      <c r="F116">
        <v>1524.5421391211389</v>
      </c>
      <c r="G116">
        <v>3.605</v>
      </c>
      <c r="H116">
        <v>6.0499999999999998E-2</v>
      </c>
      <c r="I116">
        <v>57.254899999999999</v>
      </c>
    </row>
    <row r="117" spans="1:9" x14ac:dyDescent="0.3">
      <c r="A117" t="s">
        <v>45</v>
      </c>
      <c r="B117" t="s">
        <v>161</v>
      </c>
      <c r="C117">
        <v>94</v>
      </c>
      <c r="D117">
        <v>6.5100000000000005E-2</v>
      </c>
      <c r="E117">
        <v>15.258555967253439</v>
      </c>
      <c r="F117">
        <v>1492.0974161480201</v>
      </c>
      <c r="G117">
        <v>3.605</v>
      </c>
      <c r="H117">
        <v>5.5100000000000003E-2</v>
      </c>
      <c r="I117">
        <v>57.460880000000003</v>
      </c>
    </row>
    <row r="118" spans="1:9" x14ac:dyDescent="0.3">
      <c r="A118" t="s">
        <v>45</v>
      </c>
      <c r="B118" t="s">
        <v>162</v>
      </c>
      <c r="C118">
        <v>94</v>
      </c>
      <c r="D118">
        <v>5.8299999999999998E-2</v>
      </c>
      <c r="E118">
        <v>14.78464662034582</v>
      </c>
      <c r="F118">
        <v>1447.92906501623</v>
      </c>
      <c r="G118">
        <v>3.605</v>
      </c>
      <c r="H118">
        <v>4.7699999999999999E-2</v>
      </c>
      <c r="I118">
        <v>57.655259999999998</v>
      </c>
    </row>
    <row r="119" spans="1:9" x14ac:dyDescent="0.3">
      <c r="A119" t="s">
        <v>45</v>
      </c>
      <c r="B119" t="s">
        <v>163</v>
      </c>
      <c r="C119">
        <v>94</v>
      </c>
      <c r="D119">
        <v>5.2999999999999999E-2</v>
      </c>
      <c r="E119">
        <v>14.18744375514324</v>
      </c>
      <c r="F119">
        <v>1392.2697579793501</v>
      </c>
      <c r="G119">
        <v>3.605</v>
      </c>
      <c r="H119">
        <v>3.85E-2</v>
      </c>
      <c r="I119">
        <v>57.858220000000003</v>
      </c>
    </row>
    <row r="120" spans="1:9" x14ac:dyDescent="0.3">
      <c r="A120" t="s">
        <v>45</v>
      </c>
      <c r="B120" t="s">
        <v>164</v>
      </c>
      <c r="C120">
        <v>94</v>
      </c>
      <c r="D120">
        <v>4.65E-2</v>
      </c>
      <c r="E120">
        <v>13.537569023108221</v>
      </c>
      <c r="F120">
        <v>1331.701432953686</v>
      </c>
      <c r="G120">
        <v>3.605</v>
      </c>
      <c r="H120">
        <v>2.8400000000000002E-2</v>
      </c>
      <c r="I120">
        <v>58.063560000000003</v>
      </c>
    </row>
    <row r="121" spans="1:9" x14ac:dyDescent="0.3">
      <c r="A121" t="s">
        <v>45</v>
      </c>
      <c r="B121" t="s">
        <v>165</v>
      </c>
      <c r="C121">
        <v>94</v>
      </c>
      <c r="D121">
        <v>3.8899999999999997E-2</v>
      </c>
      <c r="E121">
        <v>12.94640564472634</v>
      </c>
      <c r="F121">
        <v>1276.605006088495</v>
      </c>
      <c r="G121">
        <v>3.605</v>
      </c>
      <c r="H121">
        <v>1.9199999999999998E-2</v>
      </c>
      <c r="I121">
        <v>58.255940000000002</v>
      </c>
    </row>
    <row r="122" spans="1:9" x14ac:dyDescent="0.3">
      <c r="A122" t="s">
        <v>45</v>
      </c>
      <c r="B122" t="s">
        <v>166</v>
      </c>
      <c r="C122">
        <v>94</v>
      </c>
      <c r="D122">
        <v>3.1399999999999997E-2</v>
      </c>
      <c r="E122">
        <v>12.405842177644571</v>
      </c>
      <c r="F122">
        <v>1226.224490956474</v>
      </c>
      <c r="G122">
        <v>3.605</v>
      </c>
      <c r="H122">
        <v>1.0800000000000001E-2</v>
      </c>
      <c r="I122">
        <v>58.457120000000003</v>
      </c>
    </row>
    <row r="123" spans="1:9" x14ac:dyDescent="0.3">
      <c r="A123" t="s">
        <v>45</v>
      </c>
      <c r="B123" t="s">
        <v>167</v>
      </c>
      <c r="C123">
        <v>94</v>
      </c>
      <c r="D123">
        <v>2.2200000000000001E-2</v>
      </c>
      <c r="E123">
        <v>12.001153459117139</v>
      </c>
      <c r="F123">
        <v>1188.507502389718</v>
      </c>
      <c r="G123">
        <v>3.605</v>
      </c>
      <c r="H123">
        <v>4.4999999999999997E-3</v>
      </c>
      <c r="I123">
        <v>58.655999999999999</v>
      </c>
    </row>
    <row r="124" spans="1:9" x14ac:dyDescent="0.3">
      <c r="A124" t="s">
        <v>45</v>
      </c>
      <c r="B124" t="s">
        <v>168</v>
      </c>
      <c r="C124">
        <v>94</v>
      </c>
      <c r="D124">
        <v>1.52E-2</v>
      </c>
      <c r="E124">
        <v>11.763995644817591</v>
      </c>
      <c r="F124">
        <v>1166.404394097</v>
      </c>
      <c r="G124">
        <v>3.605</v>
      </c>
      <c r="H124">
        <v>8.0000000000000004E-4</v>
      </c>
      <c r="I124">
        <v>58.85595</v>
      </c>
    </row>
    <row r="125" spans="1:9" x14ac:dyDescent="0.3">
      <c r="A125" t="s">
        <v>45</v>
      </c>
      <c r="B125" t="s">
        <v>169</v>
      </c>
      <c r="C125">
        <v>94</v>
      </c>
      <c r="D125">
        <v>7.4999999999999997E-3</v>
      </c>
      <c r="E125">
        <v>11.720579020886159</v>
      </c>
      <c r="F125">
        <v>1162.3579647465899</v>
      </c>
      <c r="G125">
        <v>3.605</v>
      </c>
      <c r="H125">
        <v>1E-4</v>
      </c>
      <c r="I125">
        <v>59.057499999999997</v>
      </c>
    </row>
    <row r="126" spans="1:9" x14ac:dyDescent="0.3">
      <c r="A126" t="s">
        <v>45</v>
      </c>
      <c r="B126" t="s">
        <v>170</v>
      </c>
      <c r="C126">
        <v>94</v>
      </c>
      <c r="D126">
        <v>2.0000000000000001E-4</v>
      </c>
      <c r="E126">
        <v>11.872109595193271</v>
      </c>
      <c r="F126">
        <v>1266.6632005838419</v>
      </c>
      <c r="G126">
        <v>3.605</v>
      </c>
      <c r="H126">
        <v>2.5000000000000001E-3</v>
      </c>
      <c r="I126">
        <v>59.254449999999999</v>
      </c>
    </row>
    <row r="127" spans="1:9" x14ac:dyDescent="0.3">
      <c r="A127" t="s">
        <v>45</v>
      </c>
      <c r="B127" t="s">
        <v>171</v>
      </c>
      <c r="C127">
        <v>94</v>
      </c>
      <c r="D127">
        <v>8.9999999999999998E-4</v>
      </c>
      <c r="E127">
        <v>12.21024835898222</v>
      </c>
      <c r="F127">
        <v>1298.752569267413</v>
      </c>
      <c r="G127">
        <v>3.605</v>
      </c>
      <c r="H127">
        <v>7.7000000000000002E-3</v>
      </c>
      <c r="I127">
        <v>59.455860000000001</v>
      </c>
    </row>
    <row r="128" spans="1:9" x14ac:dyDescent="0.3">
      <c r="A128" t="s">
        <v>45</v>
      </c>
      <c r="B128" t="s">
        <v>172</v>
      </c>
      <c r="C128">
        <v>94</v>
      </c>
      <c r="D128">
        <v>8.8000000000000005E-3</v>
      </c>
      <c r="E128">
        <v>12.705090538827429</v>
      </c>
      <c r="F128">
        <v>1345.713092134723</v>
      </c>
      <c r="G128">
        <v>3.605</v>
      </c>
      <c r="H128">
        <v>1.54E-2</v>
      </c>
      <c r="I128">
        <v>59.659059999999997</v>
      </c>
    </row>
    <row r="129" spans="1:9" x14ac:dyDescent="0.3">
      <c r="A129" t="s">
        <v>45</v>
      </c>
      <c r="B129" t="s">
        <v>173</v>
      </c>
      <c r="C129">
        <v>94</v>
      </c>
      <c r="D129">
        <v>1.26E-2</v>
      </c>
      <c r="E129">
        <v>13.284206164815661</v>
      </c>
      <c r="F129">
        <v>1400.6711650410059</v>
      </c>
      <c r="G129">
        <v>3.605</v>
      </c>
      <c r="H129">
        <v>2.4400000000000002E-2</v>
      </c>
      <c r="I129">
        <v>59.85575</v>
      </c>
    </row>
    <row r="130" spans="1:9" x14ac:dyDescent="0.3">
      <c r="A130" t="s">
        <v>45</v>
      </c>
      <c r="B130" t="s">
        <v>174</v>
      </c>
      <c r="C130">
        <v>94</v>
      </c>
      <c r="D130">
        <v>2.0199999999999999E-2</v>
      </c>
      <c r="E130">
        <v>13.917810572066919</v>
      </c>
      <c r="F130">
        <v>1460.8002232891499</v>
      </c>
      <c r="G130">
        <v>3.605</v>
      </c>
      <c r="H130">
        <v>3.4299999999999997E-2</v>
      </c>
      <c r="I130">
        <v>60.056010000000001</v>
      </c>
    </row>
    <row r="131" spans="1:9" x14ac:dyDescent="0.3">
      <c r="A131" t="s">
        <v>45</v>
      </c>
      <c r="B131" t="s">
        <v>175</v>
      </c>
      <c r="C131">
        <v>94</v>
      </c>
      <c r="D131">
        <v>2.76E-2</v>
      </c>
      <c r="E131">
        <v>14.53698954644674</v>
      </c>
      <c r="F131">
        <v>1519.5603079577961</v>
      </c>
      <c r="G131">
        <v>3.605</v>
      </c>
      <c r="H131">
        <v>4.3900000000000002E-2</v>
      </c>
      <c r="I131">
        <v>60.25732</v>
      </c>
    </row>
    <row r="132" spans="1:9" x14ac:dyDescent="0.3">
      <c r="A132" t="s">
        <v>45</v>
      </c>
      <c r="B132" t="s">
        <v>176</v>
      </c>
      <c r="C132">
        <v>94</v>
      </c>
      <c r="D132">
        <v>3.7100000000000001E-2</v>
      </c>
      <c r="E132">
        <v>15.07633781769087</v>
      </c>
      <c r="F132">
        <v>1570.7444588988631</v>
      </c>
      <c r="G132">
        <v>3.605</v>
      </c>
      <c r="H132">
        <v>5.2299999999999999E-2</v>
      </c>
      <c r="I132">
        <v>60.458309999999997</v>
      </c>
    </row>
    <row r="133" spans="1:9" x14ac:dyDescent="0.3">
      <c r="A133" t="s">
        <v>45</v>
      </c>
      <c r="B133" t="s">
        <v>177</v>
      </c>
      <c r="C133">
        <v>94</v>
      </c>
      <c r="D133">
        <v>4.5199999999999997E-2</v>
      </c>
      <c r="E133">
        <v>15.476544746377741</v>
      </c>
      <c r="F133">
        <v>1608.7240964312471</v>
      </c>
      <c r="G133">
        <v>3.605</v>
      </c>
      <c r="H133">
        <v>5.8500000000000003E-2</v>
      </c>
      <c r="I133">
        <v>60.655000000000001</v>
      </c>
    </row>
    <row r="134" spans="1:9" x14ac:dyDescent="0.3">
      <c r="A134" t="s">
        <v>45</v>
      </c>
      <c r="B134" t="s">
        <v>178</v>
      </c>
      <c r="C134">
        <v>94</v>
      </c>
      <c r="D134">
        <v>5.5599999999999997E-2</v>
      </c>
      <c r="E134">
        <v>15.715488659330861</v>
      </c>
      <c r="F134">
        <v>1631.399873770499</v>
      </c>
      <c r="G134">
        <v>3.605</v>
      </c>
      <c r="H134">
        <v>6.2199999999999998E-2</v>
      </c>
      <c r="I134">
        <v>60.85615</v>
      </c>
    </row>
    <row r="135" spans="1:9" x14ac:dyDescent="0.3">
      <c r="A135" t="s">
        <v>45</v>
      </c>
      <c r="B135" t="s">
        <v>179</v>
      </c>
      <c r="C135">
        <v>94</v>
      </c>
      <c r="D135">
        <v>6.4600000000000005E-2</v>
      </c>
      <c r="E135">
        <v>15.757615448369011</v>
      </c>
      <c r="F135">
        <v>1635.3977060502191</v>
      </c>
      <c r="G135">
        <v>3.605</v>
      </c>
      <c r="H135">
        <v>6.2899999999999998E-2</v>
      </c>
      <c r="I135">
        <v>61.061349999999997</v>
      </c>
    </row>
    <row r="136" spans="1:9" x14ac:dyDescent="0.3">
      <c r="A136" t="s">
        <v>45</v>
      </c>
      <c r="B136" t="s">
        <v>180</v>
      </c>
      <c r="C136">
        <v>94</v>
      </c>
      <c r="D136">
        <v>6.9400000000000003E-2</v>
      </c>
      <c r="E136">
        <v>15.60644419413109</v>
      </c>
      <c r="F136">
        <v>1524.5205988930179</v>
      </c>
      <c r="G136">
        <v>3.605</v>
      </c>
      <c r="H136">
        <v>6.0499999999999998E-2</v>
      </c>
      <c r="I136">
        <v>61.25508</v>
      </c>
    </row>
    <row r="137" spans="1:9" x14ac:dyDescent="0.3">
      <c r="A137" t="s">
        <v>45</v>
      </c>
      <c r="B137" t="s">
        <v>181</v>
      </c>
      <c r="C137">
        <v>94</v>
      </c>
      <c r="D137">
        <v>6.6500000000000004E-2</v>
      </c>
      <c r="E137">
        <v>15.26898670229623</v>
      </c>
      <c r="F137">
        <v>1493.0695606540089</v>
      </c>
      <c r="G137">
        <v>3.605</v>
      </c>
      <c r="H137">
        <v>5.5300000000000002E-2</v>
      </c>
      <c r="I137">
        <v>61.455910000000003</v>
      </c>
    </row>
    <row r="138" spans="1:9" x14ac:dyDescent="0.3">
      <c r="A138" t="s">
        <v>45</v>
      </c>
      <c r="B138" t="s">
        <v>182</v>
      </c>
      <c r="C138">
        <v>94</v>
      </c>
      <c r="D138">
        <v>5.9400000000000001E-2</v>
      </c>
      <c r="E138">
        <v>14.7864975943194</v>
      </c>
      <c r="F138">
        <v>1448.1015757905679</v>
      </c>
      <c r="G138">
        <v>3.605</v>
      </c>
      <c r="H138">
        <v>4.7800000000000002E-2</v>
      </c>
      <c r="I138">
        <v>61.654580000000003</v>
      </c>
    </row>
    <row r="139" spans="1:9" x14ac:dyDescent="0.3">
      <c r="A139" t="s">
        <v>45</v>
      </c>
      <c r="B139" t="s">
        <v>183</v>
      </c>
      <c r="C139">
        <v>94</v>
      </c>
      <c r="D139">
        <v>5.2400000000000002E-2</v>
      </c>
      <c r="E139">
        <v>14.191646864937351</v>
      </c>
      <c r="F139">
        <v>1392.6614878121611</v>
      </c>
      <c r="G139">
        <v>3.605</v>
      </c>
      <c r="H139">
        <v>3.85E-2</v>
      </c>
      <c r="I139">
        <v>61.856870000000001</v>
      </c>
    </row>
    <row r="140" spans="1:9" x14ac:dyDescent="0.3">
      <c r="A140" t="s">
        <v>45</v>
      </c>
      <c r="B140" t="s">
        <v>184</v>
      </c>
      <c r="C140">
        <v>94</v>
      </c>
      <c r="D140">
        <v>4.6699999999999998E-2</v>
      </c>
      <c r="E140">
        <v>13.56277308492592</v>
      </c>
      <c r="F140">
        <v>1334.050451515096</v>
      </c>
      <c r="G140">
        <v>3.605</v>
      </c>
      <c r="H140">
        <v>2.8799999999999999E-2</v>
      </c>
      <c r="I140">
        <v>62.055619999999998</v>
      </c>
    </row>
    <row r="141" spans="1:9" x14ac:dyDescent="0.3">
      <c r="A141" t="s">
        <v>45</v>
      </c>
      <c r="B141" t="s">
        <v>185</v>
      </c>
      <c r="C141">
        <v>94</v>
      </c>
      <c r="D141">
        <v>3.8899999999999997E-2</v>
      </c>
      <c r="E141">
        <v>12.94298590442115</v>
      </c>
      <c r="F141">
        <v>1276.286286292051</v>
      </c>
      <c r="G141">
        <v>3.605</v>
      </c>
      <c r="H141">
        <v>1.9099999999999999E-2</v>
      </c>
      <c r="I141">
        <v>62.257100000000001</v>
      </c>
    </row>
    <row r="142" spans="1:9" x14ac:dyDescent="0.3">
      <c r="A142" t="s">
        <v>45</v>
      </c>
      <c r="B142" t="s">
        <v>186</v>
      </c>
      <c r="C142">
        <v>94</v>
      </c>
      <c r="D142">
        <v>3.0599999999999999E-2</v>
      </c>
      <c r="E142">
        <v>12.409709963128471</v>
      </c>
      <c r="F142">
        <v>1226.5849685635731</v>
      </c>
      <c r="G142">
        <v>3.605</v>
      </c>
      <c r="H142">
        <v>1.0800000000000001E-2</v>
      </c>
      <c r="I142">
        <v>62.455509999999997</v>
      </c>
    </row>
    <row r="143" spans="1:9" x14ac:dyDescent="0.3">
      <c r="A143" t="s">
        <v>45</v>
      </c>
      <c r="B143" t="s">
        <v>187</v>
      </c>
      <c r="C143">
        <v>94</v>
      </c>
      <c r="D143">
        <v>2.3400000000000001E-2</v>
      </c>
      <c r="E143">
        <v>11.999942520722371</v>
      </c>
      <c r="F143">
        <v>1188.3946429313251</v>
      </c>
      <c r="G143">
        <v>3.605</v>
      </c>
      <c r="H143">
        <v>4.4999999999999997E-3</v>
      </c>
      <c r="I143">
        <v>62.656739999999999</v>
      </c>
    </row>
    <row r="144" spans="1:9" x14ac:dyDescent="0.3">
      <c r="A144" t="s">
        <v>45</v>
      </c>
      <c r="B144" t="s">
        <v>188</v>
      </c>
      <c r="C144">
        <v>94</v>
      </c>
      <c r="D144">
        <v>1.4800000000000001E-2</v>
      </c>
      <c r="E144">
        <v>11.76395635470192</v>
      </c>
      <c r="F144">
        <v>1166.400732258219</v>
      </c>
      <c r="G144">
        <v>3.605</v>
      </c>
      <c r="H144">
        <v>8.0000000000000004E-4</v>
      </c>
      <c r="I144">
        <v>62.856000000000002</v>
      </c>
    </row>
    <row r="145" spans="1:9" x14ac:dyDescent="0.3">
      <c r="A145" t="s">
        <v>45</v>
      </c>
      <c r="B145" t="s">
        <v>189</v>
      </c>
      <c r="C145">
        <v>94</v>
      </c>
      <c r="D145">
        <v>7.1000000000000004E-3</v>
      </c>
      <c r="E145">
        <v>11.720884985059371</v>
      </c>
      <c r="F145">
        <v>1162.3864806075339</v>
      </c>
      <c r="G145">
        <v>3.605</v>
      </c>
      <c r="H145">
        <v>1E-4</v>
      </c>
      <c r="I145">
        <v>63.05856</v>
      </c>
    </row>
    <row r="146" spans="1:9" x14ac:dyDescent="0.3">
      <c r="A146" t="s">
        <v>45</v>
      </c>
      <c r="B146" t="s">
        <v>190</v>
      </c>
      <c r="C146">
        <v>94</v>
      </c>
      <c r="D146">
        <v>4.0000000000000002E-4</v>
      </c>
      <c r="E146">
        <v>11.87333573874116</v>
      </c>
      <c r="F146">
        <v>1266.7795616065359</v>
      </c>
      <c r="G146">
        <v>3.605</v>
      </c>
      <c r="H146">
        <v>2.5000000000000001E-3</v>
      </c>
      <c r="I146">
        <v>63.25544</v>
      </c>
    </row>
    <row r="147" spans="1:9" x14ac:dyDescent="0.3">
      <c r="A147" t="s">
        <v>45</v>
      </c>
      <c r="B147" t="s">
        <v>191</v>
      </c>
      <c r="C147">
        <v>94</v>
      </c>
      <c r="D147">
        <v>1E-3</v>
      </c>
      <c r="E147">
        <v>12.222725099429329</v>
      </c>
      <c r="F147">
        <v>1299.936611935844</v>
      </c>
      <c r="G147">
        <v>3.605</v>
      </c>
      <c r="H147">
        <v>7.9000000000000008E-3</v>
      </c>
      <c r="I147">
        <v>63.461799999999997</v>
      </c>
    </row>
    <row r="148" spans="1:9" x14ac:dyDescent="0.3">
      <c r="A148" t="s">
        <v>45</v>
      </c>
      <c r="B148" t="s">
        <v>192</v>
      </c>
      <c r="C148">
        <v>94</v>
      </c>
      <c r="D148">
        <v>8.0999999999999996E-3</v>
      </c>
      <c r="E148">
        <v>12.695519807245301</v>
      </c>
      <c r="F148">
        <v>1344.8048297075791</v>
      </c>
      <c r="G148">
        <v>3.605</v>
      </c>
      <c r="H148">
        <v>1.5299999999999999E-2</v>
      </c>
      <c r="I148">
        <v>63.655560000000001</v>
      </c>
    </row>
    <row r="149" spans="1:9" x14ac:dyDescent="0.3">
      <c r="A149" t="s">
        <v>45</v>
      </c>
      <c r="B149" t="s">
        <v>193</v>
      </c>
      <c r="C149">
        <v>94</v>
      </c>
      <c r="D149">
        <v>1.34E-2</v>
      </c>
      <c r="E149">
        <v>13.288417384024781</v>
      </c>
      <c r="F149">
        <v>1401.0708097439519</v>
      </c>
      <c r="G149">
        <v>3.605</v>
      </c>
      <c r="H149">
        <v>2.4500000000000001E-2</v>
      </c>
      <c r="I149">
        <v>63.857100000000003</v>
      </c>
    </row>
    <row r="150" spans="1:9" x14ac:dyDescent="0.3">
      <c r="A150" t="s">
        <v>45</v>
      </c>
      <c r="B150" t="s">
        <v>194</v>
      </c>
      <c r="C150">
        <v>94</v>
      </c>
      <c r="D150">
        <v>2.0899999999999998E-2</v>
      </c>
      <c r="E150">
        <v>13.903281744154251</v>
      </c>
      <c r="F150">
        <v>1459.421437520238</v>
      </c>
      <c r="G150">
        <v>3.605</v>
      </c>
      <c r="H150">
        <v>3.4000000000000002E-2</v>
      </c>
      <c r="I150">
        <v>64.051429999999996</v>
      </c>
    </row>
    <row r="151" spans="1:9" x14ac:dyDescent="0.3">
      <c r="A151" t="s">
        <v>45</v>
      </c>
      <c r="B151" t="s">
        <v>195</v>
      </c>
      <c r="C151">
        <v>94</v>
      </c>
      <c r="D151">
        <v>2.7400000000000001E-2</v>
      </c>
      <c r="E151">
        <v>14.53568595798561</v>
      </c>
      <c r="F151">
        <v>1519.436597412835</v>
      </c>
      <c r="G151">
        <v>3.605</v>
      </c>
      <c r="H151">
        <v>4.3900000000000002E-2</v>
      </c>
      <c r="I151">
        <v>64.256870000000006</v>
      </c>
    </row>
    <row r="152" spans="1:9" x14ac:dyDescent="0.3">
      <c r="A152" t="s">
        <v>45</v>
      </c>
      <c r="B152" t="s">
        <v>196</v>
      </c>
      <c r="C152">
        <v>94</v>
      </c>
      <c r="D152">
        <v>3.6400000000000002E-2</v>
      </c>
      <c r="E152">
        <v>15.070575672863139</v>
      </c>
      <c r="F152">
        <v>1570.197631354712</v>
      </c>
      <c r="G152">
        <v>3.605</v>
      </c>
      <c r="H152">
        <v>5.2200000000000003E-2</v>
      </c>
      <c r="I152">
        <v>64.4559</v>
      </c>
    </row>
    <row r="153" spans="1:9" x14ac:dyDescent="0.3">
      <c r="A153" t="s">
        <v>45</v>
      </c>
      <c r="B153" t="s">
        <v>197</v>
      </c>
      <c r="C153">
        <v>94</v>
      </c>
      <c r="D153">
        <v>4.6699999999999998E-2</v>
      </c>
      <c r="E153">
        <v>15.47787833967436</v>
      </c>
      <c r="F153">
        <v>1608.8506544350971</v>
      </c>
      <c r="G153">
        <v>3.605</v>
      </c>
      <c r="H153">
        <v>5.8500000000000003E-2</v>
      </c>
      <c r="I153">
        <v>64.655820000000006</v>
      </c>
    </row>
    <row r="154" spans="1:9" x14ac:dyDescent="0.3">
      <c r="A154" t="s">
        <v>45</v>
      </c>
      <c r="B154" t="s">
        <v>198</v>
      </c>
      <c r="C154">
        <v>94</v>
      </c>
      <c r="D154">
        <v>5.5E-2</v>
      </c>
      <c r="E154">
        <v>15.714920189339409</v>
      </c>
      <c r="F154">
        <v>1631.34592596831</v>
      </c>
      <c r="G154">
        <v>3.605</v>
      </c>
      <c r="H154">
        <v>6.2199999999999998E-2</v>
      </c>
      <c r="I154">
        <v>64.855350000000001</v>
      </c>
    </row>
    <row r="155" spans="1:9" x14ac:dyDescent="0.3">
      <c r="A155" t="s">
        <v>45</v>
      </c>
      <c r="B155" t="s">
        <v>199</v>
      </c>
      <c r="C155">
        <v>94</v>
      </c>
      <c r="D155">
        <v>6.54E-2</v>
      </c>
      <c r="E155">
        <v>15.756797208395581</v>
      </c>
      <c r="F155">
        <v>1635.320055076741</v>
      </c>
      <c r="G155">
        <v>3.605</v>
      </c>
      <c r="H155">
        <v>6.2799999999999995E-2</v>
      </c>
      <c r="I155">
        <v>65.063959999999994</v>
      </c>
    </row>
    <row r="156" spans="1:9" x14ac:dyDescent="0.3">
      <c r="A156" t="s">
        <v>45</v>
      </c>
      <c r="B156" t="s">
        <v>200</v>
      </c>
      <c r="C156">
        <v>94</v>
      </c>
      <c r="D156">
        <v>6.93E-2</v>
      </c>
      <c r="E156">
        <v>15.603916894946581</v>
      </c>
      <c r="F156">
        <v>1524.285054609021</v>
      </c>
      <c r="G156">
        <v>3.605</v>
      </c>
      <c r="H156">
        <v>6.0499999999999998E-2</v>
      </c>
      <c r="I156">
        <v>65.257109999999997</v>
      </c>
    </row>
    <row r="157" spans="1:9" x14ac:dyDescent="0.3">
      <c r="A157" t="s">
        <v>45</v>
      </c>
      <c r="B157" t="s">
        <v>201</v>
      </c>
      <c r="C157">
        <v>94</v>
      </c>
      <c r="D157">
        <v>6.59E-2</v>
      </c>
      <c r="E157">
        <v>15.266452104638221</v>
      </c>
      <c r="F157">
        <v>1492.8333361522821</v>
      </c>
      <c r="G157">
        <v>3.605</v>
      </c>
      <c r="H157">
        <v>5.5199999999999999E-2</v>
      </c>
      <c r="I157">
        <v>65.457120000000003</v>
      </c>
    </row>
    <row r="158" spans="1:9" x14ac:dyDescent="0.3">
      <c r="A158" t="s">
        <v>45</v>
      </c>
      <c r="B158" t="s">
        <v>202</v>
      </c>
      <c r="C158">
        <v>94</v>
      </c>
      <c r="D158">
        <v>5.7700000000000001E-2</v>
      </c>
      <c r="E158">
        <v>14.7837497190469</v>
      </c>
      <c r="F158">
        <v>1447.8454738151711</v>
      </c>
      <c r="G158">
        <v>3.605</v>
      </c>
      <c r="H158">
        <v>4.7699999999999999E-2</v>
      </c>
      <c r="I158">
        <v>65.655590000000004</v>
      </c>
    </row>
    <row r="159" spans="1:9" x14ac:dyDescent="0.3">
      <c r="A159" t="s">
        <v>45</v>
      </c>
      <c r="B159" t="s">
        <v>203</v>
      </c>
      <c r="C159">
        <v>94</v>
      </c>
      <c r="D159">
        <v>5.3100000000000001E-2</v>
      </c>
      <c r="E159">
        <v>14.18987739058451</v>
      </c>
      <c r="F159">
        <v>1392.496572802477</v>
      </c>
      <c r="G159">
        <v>3.605</v>
      </c>
      <c r="H159">
        <v>3.85E-2</v>
      </c>
      <c r="I159">
        <v>65.857439999999997</v>
      </c>
    </row>
    <row r="160" spans="1:9" x14ac:dyDescent="0.3">
      <c r="A160" t="s">
        <v>45</v>
      </c>
      <c r="B160" t="s">
        <v>204</v>
      </c>
      <c r="C160">
        <v>94</v>
      </c>
      <c r="D160">
        <v>4.7300000000000002E-2</v>
      </c>
      <c r="E160">
        <v>13.565402968210179</v>
      </c>
      <c r="F160">
        <v>1334.2955566371879</v>
      </c>
      <c r="G160">
        <v>3.605</v>
      </c>
      <c r="H160">
        <v>2.8799999999999999E-2</v>
      </c>
      <c r="I160">
        <v>66.054789999999997</v>
      </c>
    </row>
    <row r="161" spans="1:9" x14ac:dyDescent="0.3">
      <c r="A161" t="s">
        <v>45</v>
      </c>
      <c r="B161" t="s">
        <v>205</v>
      </c>
      <c r="C161">
        <v>94</v>
      </c>
      <c r="D161">
        <v>3.8800000000000001E-2</v>
      </c>
      <c r="E161">
        <v>12.94565592930965</v>
      </c>
      <c r="F161">
        <v>1276.5351326116599</v>
      </c>
      <c r="G161">
        <v>3.605</v>
      </c>
      <c r="H161">
        <v>1.9199999999999998E-2</v>
      </c>
      <c r="I161">
        <v>66.256190000000004</v>
      </c>
    </row>
    <row r="162" spans="1:9" x14ac:dyDescent="0.3">
      <c r="A162" t="s">
        <v>45</v>
      </c>
      <c r="B162" t="s">
        <v>206</v>
      </c>
      <c r="C162">
        <v>94</v>
      </c>
      <c r="D162">
        <v>3.09E-2</v>
      </c>
      <c r="E162">
        <v>12.412194282413489</v>
      </c>
      <c r="F162">
        <v>1226.8165071209371</v>
      </c>
      <c r="G162">
        <v>3.605</v>
      </c>
      <c r="H162">
        <v>1.09E-2</v>
      </c>
      <c r="I162">
        <v>66.454480000000004</v>
      </c>
    </row>
    <row r="163" spans="1:9" x14ac:dyDescent="0.3">
      <c r="A163" t="s">
        <v>45</v>
      </c>
      <c r="B163" t="s">
        <v>207</v>
      </c>
      <c r="C163">
        <v>94</v>
      </c>
      <c r="D163">
        <v>2.2499999999999999E-2</v>
      </c>
      <c r="E163">
        <v>12.00170534535491</v>
      </c>
      <c r="F163">
        <v>1188.558938187078</v>
      </c>
      <c r="G163">
        <v>3.605</v>
      </c>
      <c r="H163">
        <v>4.4999999999999997E-3</v>
      </c>
      <c r="I163">
        <v>66.655659999999997</v>
      </c>
    </row>
    <row r="164" spans="1:9" x14ac:dyDescent="0.3">
      <c r="A164" t="s">
        <v>45</v>
      </c>
      <c r="B164" t="s">
        <v>208</v>
      </c>
      <c r="C164">
        <v>94</v>
      </c>
      <c r="D164">
        <v>1.4999999999999999E-2</v>
      </c>
      <c r="E164">
        <v>11.7641947715029</v>
      </c>
      <c r="F164">
        <v>1166.4229527040709</v>
      </c>
      <c r="G164">
        <v>3.605</v>
      </c>
      <c r="H164">
        <v>8.0000000000000004E-4</v>
      </c>
      <c r="I164">
        <v>66.855670000000003</v>
      </c>
    </row>
    <row r="165" spans="1:9" x14ac:dyDescent="0.3">
      <c r="A165" t="s">
        <v>45</v>
      </c>
      <c r="B165" t="s">
        <v>209</v>
      </c>
      <c r="C165">
        <v>94</v>
      </c>
      <c r="D165">
        <v>6.3E-3</v>
      </c>
      <c r="E165">
        <v>11.7200096223667</v>
      </c>
      <c r="F165">
        <v>1162.3048968045759</v>
      </c>
      <c r="G165">
        <v>3.605</v>
      </c>
      <c r="H165">
        <v>1E-4</v>
      </c>
      <c r="I165">
        <v>67.055480000000003</v>
      </c>
    </row>
    <row r="166" spans="1:9" x14ac:dyDescent="0.3">
      <c r="A166" t="s">
        <v>45</v>
      </c>
      <c r="B166" t="s">
        <v>210</v>
      </c>
      <c r="C166">
        <v>94</v>
      </c>
      <c r="D166">
        <v>-2.0000000000000001E-4</v>
      </c>
      <c r="E166">
        <v>11.87202331101768</v>
      </c>
      <c r="F166">
        <v>1266.6550122155779</v>
      </c>
      <c r="G166">
        <v>3.605</v>
      </c>
      <c r="H166">
        <v>2.5000000000000001E-3</v>
      </c>
      <c r="I166">
        <v>67.254379999999998</v>
      </c>
    </row>
    <row r="167" spans="1:9" x14ac:dyDescent="0.3">
      <c r="A167" t="s">
        <v>45</v>
      </c>
      <c r="B167" t="s">
        <v>211</v>
      </c>
      <c r="C167">
        <v>94</v>
      </c>
      <c r="D167">
        <v>6.9999999999999999E-4</v>
      </c>
      <c r="E167">
        <v>12.208408332718889</v>
      </c>
      <c r="F167">
        <v>1298.5779507750231</v>
      </c>
      <c r="G167">
        <v>3.605</v>
      </c>
      <c r="H167">
        <v>7.7000000000000002E-3</v>
      </c>
      <c r="I167">
        <v>67.454980000000006</v>
      </c>
    </row>
    <row r="168" spans="1:9" x14ac:dyDescent="0.3">
      <c r="A168" t="s">
        <v>45</v>
      </c>
      <c r="B168" t="s">
        <v>212</v>
      </c>
      <c r="C168">
        <v>94</v>
      </c>
      <c r="D168">
        <v>8.0000000000000002E-3</v>
      </c>
      <c r="E168">
        <v>12.69459614487689</v>
      </c>
      <c r="F168">
        <v>1344.7171741488171</v>
      </c>
      <c r="G168">
        <v>3.605</v>
      </c>
      <c r="H168">
        <v>1.5299999999999999E-2</v>
      </c>
      <c r="I168">
        <v>67.65522</v>
      </c>
    </row>
    <row r="169" spans="1:9" x14ac:dyDescent="0.3">
      <c r="A169" t="s">
        <v>45</v>
      </c>
      <c r="B169" t="s">
        <v>213</v>
      </c>
      <c r="C169">
        <v>94</v>
      </c>
      <c r="D169">
        <v>1.2999999999999999E-2</v>
      </c>
      <c r="E169">
        <v>13.28444255426289</v>
      </c>
      <c r="F169">
        <v>1400.693598399549</v>
      </c>
      <c r="G169">
        <v>3.605</v>
      </c>
      <c r="H169">
        <v>2.4400000000000002E-2</v>
      </c>
      <c r="I169">
        <v>67.855819999999994</v>
      </c>
    </row>
    <row r="170" spans="1:9" x14ac:dyDescent="0.3">
      <c r="A170" t="s">
        <v>45</v>
      </c>
      <c r="B170" t="s">
        <v>214</v>
      </c>
      <c r="C170">
        <v>94</v>
      </c>
      <c r="D170">
        <v>1.9900000000000001E-2</v>
      </c>
      <c r="E170">
        <v>13.91161051882924</v>
      </c>
      <c r="F170">
        <v>1460.211838236894</v>
      </c>
      <c r="G170">
        <v>3.605</v>
      </c>
      <c r="H170">
        <v>3.4200000000000001E-2</v>
      </c>
      <c r="I170">
        <v>68.054050000000004</v>
      </c>
    </row>
    <row r="171" spans="1:9" x14ac:dyDescent="0.3">
      <c r="A171" t="s">
        <v>45</v>
      </c>
      <c r="B171" t="s">
        <v>215</v>
      </c>
      <c r="C171">
        <v>94</v>
      </c>
      <c r="D171">
        <v>2.81E-2</v>
      </c>
      <c r="E171">
        <v>14.531278490933509</v>
      </c>
      <c r="F171">
        <v>1519.01832878959</v>
      </c>
      <c r="G171">
        <v>3.605</v>
      </c>
      <c r="H171">
        <v>4.3799999999999999E-2</v>
      </c>
      <c r="I171">
        <v>68.255369999999999</v>
      </c>
    </row>
    <row r="172" spans="1:9" x14ac:dyDescent="0.3">
      <c r="A172" t="s">
        <v>45</v>
      </c>
      <c r="B172" t="s">
        <v>216</v>
      </c>
      <c r="C172">
        <v>94</v>
      </c>
      <c r="D172">
        <v>3.6499999999999998E-2</v>
      </c>
      <c r="E172">
        <v>15.068092164519619</v>
      </c>
      <c r="F172">
        <v>1569.9619464129121</v>
      </c>
      <c r="G172">
        <v>3.605</v>
      </c>
      <c r="H172">
        <v>5.21E-2</v>
      </c>
      <c r="I172">
        <v>68.45487</v>
      </c>
    </row>
    <row r="173" spans="1:9" x14ac:dyDescent="0.3">
      <c r="A173" t="s">
        <v>45</v>
      </c>
      <c r="B173" t="s">
        <v>217</v>
      </c>
      <c r="C173">
        <v>94</v>
      </c>
      <c r="D173">
        <v>4.6199999999999998E-2</v>
      </c>
      <c r="E173">
        <v>15.479891501947931</v>
      </c>
      <c r="F173">
        <v>1609.041703534858</v>
      </c>
      <c r="G173">
        <v>3.605</v>
      </c>
      <c r="H173">
        <v>5.8500000000000003E-2</v>
      </c>
      <c r="I173">
        <v>68.657039999999995</v>
      </c>
    </row>
    <row r="174" spans="1:9" x14ac:dyDescent="0.3">
      <c r="A174" t="s">
        <v>45</v>
      </c>
      <c r="B174" t="s">
        <v>218</v>
      </c>
      <c r="C174">
        <v>94</v>
      </c>
      <c r="D174">
        <v>5.6099999999999997E-2</v>
      </c>
      <c r="E174">
        <v>15.71535566492487</v>
      </c>
      <c r="F174">
        <v>1631.3872526013711</v>
      </c>
      <c r="G174">
        <v>3.605</v>
      </c>
      <c r="H174">
        <v>6.2199999999999998E-2</v>
      </c>
      <c r="I174">
        <v>68.855959999999996</v>
      </c>
    </row>
    <row r="175" spans="1:9" x14ac:dyDescent="0.3">
      <c r="A175" t="s">
        <v>45</v>
      </c>
      <c r="B175" t="s">
        <v>219</v>
      </c>
      <c r="C175">
        <v>94</v>
      </c>
      <c r="D175">
        <v>6.5000000000000002E-2</v>
      </c>
      <c r="E175">
        <v>15.758565871806921</v>
      </c>
      <c r="F175">
        <v>1635.487901234477</v>
      </c>
      <c r="G175">
        <v>3.605</v>
      </c>
      <c r="H175">
        <v>6.2899999999999998E-2</v>
      </c>
      <c r="I175">
        <v>69.058170000000004</v>
      </c>
    </row>
    <row r="176" spans="1:9" x14ac:dyDescent="0.3">
      <c r="A176" t="s">
        <v>45</v>
      </c>
      <c r="B176" t="s">
        <v>220</v>
      </c>
      <c r="C176">
        <v>94</v>
      </c>
      <c r="D176">
        <v>6.9199999999999998E-2</v>
      </c>
      <c r="E176">
        <v>15.606434057362341</v>
      </c>
      <c r="F176">
        <v>1524.519654146171</v>
      </c>
      <c r="G176">
        <v>3.605</v>
      </c>
      <c r="H176">
        <v>6.0499999999999998E-2</v>
      </c>
      <c r="I176">
        <v>69.255089999999996</v>
      </c>
    </row>
    <row r="177" spans="1:9" x14ac:dyDescent="0.3">
      <c r="A177" t="s">
        <v>45</v>
      </c>
      <c r="B177" t="s">
        <v>221</v>
      </c>
      <c r="C177">
        <v>94</v>
      </c>
      <c r="D177">
        <v>6.6199999999999995E-2</v>
      </c>
      <c r="E177">
        <v>15.26957909506193</v>
      </c>
      <c r="F177">
        <v>1493.124771659772</v>
      </c>
      <c r="G177">
        <v>3.605</v>
      </c>
      <c r="H177">
        <v>5.5300000000000002E-2</v>
      </c>
      <c r="I177">
        <v>69.455629999999999</v>
      </c>
    </row>
    <row r="178" spans="1:9" x14ac:dyDescent="0.3">
      <c r="A178" t="s">
        <v>45</v>
      </c>
      <c r="B178" t="s">
        <v>222</v>
      </c>
      <c r="C178">
        <v>94</v>
      </c>
      <c r="D178">
        <v>5.9700000000000003E-2</v>
      </c>
      <c r="E178">
        <v>14.785746662490469</v>
      </c>
      <c r="F178">
        <v>1448.0315889441119</v>
      </c>
      <c r="G178">
        <v>3.605</v>
      </c>
      <c r="H178">
        <v>4.7800000000000002E-2</v>
      </c>
      <c r="I178">
        <v>69.654849999999996</v>
      </c>
    </row>
    <row r="179" spans="1:9" x14ac:dyDescent="0.3">
      <c r="A179" t="s">
        <v>45</v>
      </c>
      <c r="B179" t="s">
        <v>223</v>
      </c>
      <c r="C179">
        <v>94</v>
      </c>
      <c r="D179">
        <v>5.2499999999999998E-2</v>
      </c>
      <c r="E179">
        <v>14.18525624044719</v>
      </c>
      <c r="F179">
        <v>1392.0658816096779</v>
      </c>
      <c r="G179">
        <v>3.605</v>
      </c>
      <c r="H179">
        <v>3.8399999999999997E-2</v>
      </c>
      <c r="I179">
        <v>69.858919999999998</v>
      </c>
    </row>
    <row r="180" spans="1:9" x14ac:dyDescent="0.3">
      <c r="A180" t="s">
        <v>45</v>
      </c>
      <c r="B180" t="s">
        <v>224</v>
      </c>
      <c r="C180">
        <v>94</v>
      </c>
      <c r="D180">
        <v>4.5600000000000002E-2</v>
      </c>
      <c r="E180">
        <v>13.553673510355249</v>
      </c>
      <c r="F180">
        <v>1333.2023711651091</v>
      </c>
      <c r="G180">
        <v>3.605</v>
      </c>
      <c r="H180">
        <v>2.86E-2</v>
      </c>
      <c r="I180">
        <v>70.058490000000006</v>
      </c>
    </row>
    <row r="181" spans="1:9" x14ac:dyDescent="0.3">
      <c r="A181" t="s">
        <v>45</v>
      </c>
      <c r="B181" t="s">
        <v>225</v>
      </c>
      <c r="C181">
        <v>94</v>
      </c>
      <c r="D181">
        <v>3.8699999999999998E-2</v>
      </c>
      <c r="E181">
        <v>12.94390105190381</v>
      </c>
      <c r="F181">
        <v>1276.371578037435</v>
      </c>
      <c r="G181">
        <v>3.605</v>
      </c>
      <c r="H181">
        <v>1.9099999999999999E-2</v>
      </c>
      <c r="I181">
        <v>70.256789999999995</v>
      </c>
    </row>
    <row r="182" spans="1:9" x14ac:dyDescent="0.3">
      <c r="A182" t="s">
        <v>45</v>
      </c>
      <c r="B182" t="s">
        <v>226</v>
      </c>
      <c r="C182">
        <v>94</v>
      </c>
      <c r="D182">
        <v>3.0700000000000002E-2</v>
      </c>
      <c r="E182">
        <v>12.41108004879259</v>
      </c>
      <c r="F182">
        <v>1226.7126605474691</v>
      </c>
      <c r="G182">
        <v>3.605</v>
      </c>
      <c r="H182">
        <v>1.09E-2</v>
      </c>
      <c r="I182">
        <v>70.454939999999993</v>
      </c>
    </row>
    <row r="183" spans="1:9" x14ac:dyDescent="0.3">
      <c r="A183" t="s">
        <v>45</v>
      </c>
      <c r="B183" t="s">
        <v>227</v>
      </c>
      <c r="C183">
        <v>94</v>
      </c>
      <c r="D183">
        <v>2.2499999999999999E-2</v>
      </c>
      <c r="E183">
        <v>12.001981430388559</v>
      </c>
      <c r="F183">
        <v>1188.5846693122139</v>
      </c>
      <c r="G183">
        <v>3.605</v>
      </c>
      <c r="H183">
        <v>4.4999999999999997E-3</v>
      </c>
      <c r="I183">
        <v>70.65549</v>
      </c>
    </row>
    <row r="184" spans="1:9" x14ac:dyDescent="0.3">
      <c r="A184" t="s">
        <v>45</v>
      </c>
      <c r="B184" t="s">
        <v>228</v>
      </c>
      <c r="C184">
        <v>94</v>
      </c>
      <c r="D184">
        <v>1.4200000000000001E-2</v>
      </c>
      <c r="E184">
        <v>11.764364096088091</v>
      </c>
      <c r="F184">
        <v>1166.4387337554101</v>
      </c>
      <c r="G184">
        <v>3.605</v>
      </c>
      <c r="H184">
        <v>8.0000000000000004E-4</v>
      </c>
      <c r="I184">
        <v>70.855429999999998</v>
      </c>
    </row>
    <row r="185" spans="1:9" x14ac:dyDescent="0.3">
      <c r="A185" t="s">
        <v>45</v>
      </c>
      <c r="B185" t="s">
        <v>229</v>
      </c>
      <c r="C185">
        <v>94</v>
      </c>
      <c r="D185">
        <v>7.1000000000000004E-3</v>
      </c>
      <c r="E185">
        <v>11.720633516154949</v>
      </c>
      <c r="F185">
        <v>1162.363043705642</v>
      </c>
      <c r="G185">
        <v>3.605</v>
      </c>
      <c r="H185">
        <v>1E-4</v>
      </c>
      <c r="I185">
        <v>71.057689999999994</v>
      </c>
    </row>
    <row r="186" spans="1:9" x14ac:dyDescent="0.3">
      <c r="A186" t="s">
        <v>45</v>
      </c>
      <c r="B186" t="s">
        <v>230</v>
      </c>
      <c r="C186">
        <v>94</v>
      </c>
      <c r="D186">
        <v>-2.9999999999999997E-4</v>
      </c>
      <c r="E186">
        <v>11.886177362316159</v>
      </c>
      <c r="F186">
        <v>1267.9982316838041</v>
      </c>
      <c r="G186">
        <v>3.605</v>
      </c>
      <c r="H186">
        <v>2.7000000000000001E-3</v>
      </c>
      <c r="I186">
        <v>71.265569999999997</v>
      </c>
    </row>
    <row r="187" spans="1:9" x14ac:dyDescent="0.3">
      <c r="A187" t="s">
        <v>45</v>
      </c>
      <c r="B187" t="s">
        <v>231</v>
      </c>
      <c r="C187">
        <v>94</v>
      </c>
      <c r="D187">
        <v>1.1999999999999999E-3</v>
      </c>
      <c r="E187">
        <v>12.21405167461687</v>
      </c>
      <c r="F187">
        <v>1299.113503921141</v>
      </c>
      <c r="G187">
        <v>3.605</v>
      </c>
      <c r="H187">
        <v>7.7999999999999996E-3</v>
      </c>
      <c r="I187">
        <v>71.457679999999996</v>
      </c>
    </row>
    <row r="188" spans="1:9" x14ac:dyDescent="0.3">
      <c r="A188" t="s">
        <v>45</v>
      </c>
      <c r="B188" t="s">
        <v>232</v>
      </c>
      <c r="C188">
        <v>94</v>
      </c>
      <c r="D188">
        <v>7.7999999999999996E-3</v>
      </c>
      <c r="E188">
        <v>12.707778404428931</v>
      </c>
      <c r="F188">
        <v>1345.968170580305</v>
      </c>
      <c r="G188">
        <v>3.605</v>
      </c>
      <c r="H188">
        <v>1.55E-2</v>
      </c>
      <c r="I188">
        <v>71.660039999999995</v>
      </c>
    </row>
    <row r="189" spans="1:9" x14ac:dyDescent="0.3">
      <c r="A189" t="s">
        <v>45</v>
      </c>
      <c r="B189" t="s">
        <v>233</v>
      </c>
      <c r="C189">
        <v>94</v>
      </c>
      <c r="D189">
        <v>1.4E-2</v>
      </c>
      <c r="E189">
        <v>13.30264413622873</v>
      </c>
      <c r="F189">
        <v>1402.4209285281061</v>
      </c>
      <c r="G189">
        <v>3.605</v>
      </c>
      <c r="H189">
        <v>2.47E-2</v>
      </c>
      <c r="I189">
        <v>71.861680000000007</v>
      </c>
    </row>
    <row r="190" spans="1:9" x14ac:dyDescent="0.3">
      <c r="A190" t="s">
        <v>45</v>
      </c>
      <c r="B190" t="s">
        <v>234</v>
      </c>
      <c r="C190">
        <v>94</v>
      </c>
      <c r="D190">
        <v>2.0500000000000001E-2</v>
      </c>
      <c r="E190">
        <v>13.92820846397897</v>
      </c>
      <c r="F190">
        <v>1461.7869832316039</v>
      </c>
      <c r="G190">
        <v>3.605</v>
      </c>
      <c r="H190">
        <v>3.44E-2</v>
      </c>
      <c r="I190">
        <v>72.059290000000004</v>
      </c>
    </row>
    <row r="191" spans="1:9" x14ac:dyDescent="0.3">
      <c r="A191" t="s">
        <v>45</v>
      </c>
      <c r="B191" t="s">
        <v>235</v>
      </c>
      <c r="C191">
        <v>94</v>
      </c>
      <c r="D191">
        <v>2.81E-2</v>
      </c>
      <c r="E191">
        <v>14.536577182694019</v>
      </c>
      <c r="F191">
        <v>1519.5211746376631</v>
      </c>
      <c r="G191">
        <v>3.605</v>
      </c>
      <c r="H191">
        <v>4.3900000000000002E-2</v>
      </c>
      <c r="I191">
        <v>72.257180000000005</v>
      </c>
    </row>
    <row r="192" spans="1:9" x14ac:dyDescent="0.3">
      <c r="A192" t="s">
        <v>45</v>
      </c>
      <c r="B192" t="s">
        <v>236</v>
      </c>
      <c r="C192">
        <v>94</v>
      </c>
      <c r="D192">
        <v>3.7600000000000001E-2</v>
      </c>
      <c r="E192">
        <v>15.06981298238246</v>
      </c>
      <c r="F192">
        <v>1570.1252520280959</v>
      </c>
      <c r="G192">
        <v>3.605</v>
      </c>
      <c r="H192">
        <v>5.2200000000000003E-2</v>
      </c>
      <c r="I192">
        <v>72.455590000000001</v>
      </c>
    </row>
    <row r="193" spans="1:9" x14ac:dyDescent="0.3">
      <c r="A193" t="s">
        <v>45</v>
      </c>
      <c r="B193" t="s">
        <v>237</v>
      </c>
      <c r="C193">
        <v>94</v>
      </c>
      <c r="D193">
        <v>4.5900000000000003E-2</v>
      </c>
      <c r="E193">
        <v>15.48212807860472</v>
      </c>
      <c r="F193">
        <v>1609.2539546595881</v>
      </c>
      <c r="G193">
        <v>3.605</v>
      </c>
      <c r="H193">
        <v>5.8599999999999999E-2</v>
      </c>
      <c r="I193">
        <v>72.658420000000007</v>
      </c>
    </row>
    <row r="194" spans="1:9" x14ac:dyDescent="0.3">
      <c r="A194" t="s">
        <v>45</v>
      </c>
      <c r="B194" t="s">
        <v>238</v>
      </c>
      <c r="C194">
        <v>94</v>
      </c>
      <c r="D194">
        <v>5.5199999999999999E-2</v>
      </c>
      <c r="E194">
        <v>15.71529443884163</v>
      </c>
      <c r="F194">
        <v>1631.3814422460709</v>
      </c>
      <c r="G194">
        <v>3.605</v>
      </c>
      <c r="H194">
        <v>6.2199999999999998E-2</v>
      </c>
      <c r="I194">
        <v>72.855879999999999</v>
      </c>
    </row>
    <row r="195" spans="1:9" x14ac:dyDescent="0.3">
      <c r="A195" t="s">
        <v>45</v>
      </c>
      <c r="B195" t="s">
        <v>239</v>
      </c>
      <c r="C195">
        <v>94</v>
      </c>
      <c r="D195">
        <v>6.5500000000000003E-2</v>
      </c>
      <c r="E195">
        <v>15.75724119886679</v>
      </c>
      <c r="F195">
        <v>1635.3621897724579</v>
      </c>
      <c r="G195">
        <v>3.605</v>
      </c>
      <c r="H195">
        <v>6.2799999999999995E-2</v>
      </c>
      <c r="I195">
        <v>73.062560000000005</v>
      </c>
    </row>
    <row r="196" spans="1:9" x14ac:dyDescent="0.3">
      <c r="A196" t="s">
        <v>45</v>
      </c>
      <c r="B196" t="s">
        <v>240</v>
      </c>
      <c r="C196">
        <v>94</v>
      </c>
      <c r="D196">
        <v>6.9699999999999998E-2</v>
      </c>
      <c r="E196">
        <v>15.604677963544249</v>
      </c>
      <c r="F196">
        <v>1524.3559862023251</v>
      </c>
      <c r="G196">
        <v>3.605</v>
      </c>
      <c r="H196">
        <v>6.0499999999999998E-2</v>
      </c>
      <c r="I196">
        <v>73.256500000000003</v>
      </c>
    </row>
    <row r="197" spans="1:9" x14ac:dyDescent="0.3">
      <c r="A197" t="s">
        <v>45</v>
      </c>
      <c r="B197" t="s">
        <v>241</v>
      </c>
      <c r="C197">
        <v>94</v>
      </c>
      <c r="D197">
        <v>6.54E-2</v>
      </c>
      <c r="E197">
        <v>15.255916758141931</v>
      </c>
      <c r="F197">
        <v>1491.8514418588279</v>
      </c>
      <c r="G197">
        <v>3.605</v>
      </c>
      <c r="H197">
        <v>5.5100000000000003E-2</v>
      </c>
      <c r="I197">
        <v>73.462130000000002</v>
      </c>
    </row>
    <row r="198" spans="1:9" x14ac:dyDescent="0.3">
      <c r="A198" t="s">
        <v>45</v>
      </c>
      <c r="B198" t="s">
        <v>242</v>
      </c>
      <c r="C198">
        <v>94</v>
      </c>
      <c r="D198">
        <v>5.8400000000000001E-2</v>
      </c>
      <c r="E198">
        <v>14.76072627892251</v>
      </c>
      <c r="F198">
        <v>1445.699689195578</v>
      </c>
      <c r="G198">
        <v>3.605</v>
      </c>
      <c r="H198">
        <v>4.7399999999999998E-2</v>
      </c>
      <c r="I198">
        <v>73.663989999999998</v>
      </c>
    </row>
    <row r="199" spans="1:9" x14ac:dyDescent="0.3">
      <c r="A199" t="s">
        <v>45</v>
      </c>
      <c r="B199" t="s">
        <v>243</v>
      </c>
      <c r="C199">
        <v>94</v>
      </c>
      <c r="D199">
        <v>5.2600000000000001E-2</v>
      </c>
      <c r="E199">
        <v>14.19093810206641</v>
      </c>
      <c r="F199">
        <v>1392.5954311125899</v>
      </c>
      <c r="G199">
        <v>3.605</v>
      </c>
      <c r="H199">
        <v>3.85E-2</v>
      </c>
      <c r="I199">
        <v>73.857089999999999</v>
      </c>
    </row>
    <row r="200" spans="1:9" x14ac:dyDescent="0.3">
      <c r="A200" t="s">
        <v>45</v>
      </c>
      <c r="B200" t="s">
        <v>244</v>
      </c>
      <c r="C200">
        <v>94</v>
      </c>
      <c r="D200">
        <v>4.6399999999999997E-2</v>
      </c>
      <c r="E200">
        <v>13.56722637017276</v>
      </c>
      <c r="F200">
        <v>1334.465497700101</v>
      </c>
      <c r="G200">
        <v>3.605</v>
      </c>
      <c r="H200">
        <v>2.8799999999999999E-2</v>
      </c>
      <c r="I200">
        <v>74.054209999999998</v>
      </c>
    </row>
    <row r="201" spans="1:9" x14ac:dyDescent="0.3">
      <c r="A201" t="s">
        <v>45</v>
      </c>
      <c r="B201" t="s">
        <v>245</v>
      </c>
      <c r="C201">
        <v>94</v>
      </c>
      <c r="D201">
        <v>3.7900000000000003E-2</v>
      </c>
      <c r="E201">
        <v>12.94766787517097</v>
      </c>
      <c r="F201">
        <v>1276.722645965935</v>
      </c>
      <c r="G201">
        <v>3.605</v>
      </c>
      <c r="H201">
        <v>1.9199999999999998E-2</v>
      </c>
      <c r="I201">
        <v>74.255499999999998</v>
      </c>
    </row>
    <row r="202" spans="1:9" x14ac:dyDescent="0.3">
      <c r="A202" t="s">
        <v>45</v>
      </c>
      <c r="B202" t="s">
        <v>246</v>
      </c>
      <c r="C202">
        <v>94</v>
      </c>
      <c r="D202">
        <v>3.0800000000000001E-2</v>
      </c>
      <c r="E202">
        <v>12.4104219697654</v>
      </c>
      <c r="F202">
        <v>1226.6513275821351</v>
      </c>
      <c r="G202">
        <v>3.605</v>
      </c>
      <c r="H202">
        <v>1.0800000000000001E-2</v>
      </c>
      <c r="I202">
        <v>74.455219999999997</v>
      </c>
    </row>
    <row r="203" spans="1:9" x14ac:dyDescent="0.3">
      <c r="A203" t="s">
        <v>45</v>
      </c>
      <c r="B203" t="s">
        <v>247</v>
      </c>
      <c r="C203">
        <v>94</v>
      </c>
      <c r="D203">
        <v>2.2800000000000001E-2</v>
      </c>
      <c r="E203">
        <v>12.001580500911</v>
      </c>
      <c r="F203">
        <v>1188.5473026849049</v>
      </c>
      <c r="G203">
        <v>3.605</v>
      </c>
      <c r="H203">
        <v>4.4999999999999997E-3</v>
      </c>
      <c r="I203">
        <v>74.655739999999994</v>
      </c>
    </row>
    <row r="204" spans="1:9" x14ac:dyDescent="0.3">
      <c r="A204" t="s">
        <v>45</v>
      </c>
      <c r="B204" t="s">
        <v>248</v>
      </c>
      <c r="C204">
        <v>94</v>
      </c>
      <c r="D204">
        <v>1.38E-2</v>
      </c>
      <c r="E204">
        <v>11.762144265373269</v>
      </c>
      <c r="F204">
        <v>1166.2318455327879</v>
      </c>
      <c r="G204">
        <v>3.605</v>
      </c>
      <c r="H204">
        <v>8.0000000000000004E-4</v>
      </c>
      <c r="I204">
        <v>74.858559999999997</v>
      </c>
    </row>
    <row r="205" spans="1:9" x14ac:dyDescent="0.3">
      <c r="A205" t="s">
        <v>45</v>
      </c>
      <c r="B205" t="s">
        <v>249</v>
      </c>
      <c r="C205">
        <v>94</v>
      </c>
      <c r="D205">
        <v>5.1999999999999998E-3</v>
      </c>
      <c r="E205">
        <v>11.720479327792869</v>
      </c>
      <c r="F205">
        <v>1162.348673350295</v>
      </c>
      <c r="G205">
        <v>3.605</v>
      </c>
      <c r="H205">
        <v>1E-4</v>
      </c>
      <c r="I205">
        <v>75.057149999999993</v>
      </c>
    </row>
    <row r="206" spans="1:9" x14ac:dyDescent="0.3">
      <c r="A206" t="s">
        <v>45</v>
      </c>
      <c r="B206" t="s">
        <v>250</v>
      </c>
      <c r="C206">
        <v>94</v>
      </c>
      <c r="D206">
        <v>-5.9999999999999995E-4</v>
      </c>
      <c r="E206">
        <v>11.87307003375871</v>
      </c>
      <c r="F206">
        <v>1266.754346203702</v>
      </c>
      <c r="G206">
        <v>3.605</v>
      </c>
      <c r="H206">
        <v>2.5000000000000001E-3</v>
      </c>
      <c r="I206">
        <v>75.255229999999997</v>
      </c>
    </row>
    <row r="207" spans="1:9" x14ac:dyDescent="0.3">
      <c r="A207" t="s">
        <v>45</v>
      </c>
      <c r="B207" t="s">
        <v>251</v>
      </c>
      <c r="C207">
        <v>94</v>
      </c>
      <c r="D207">
        <v>2.9999999999999997E-4</v>
      </c>
      <c r="E207">
        <v>12.212843777252729</v>
      </c>
      <c r="F207">
        <v>1298.9988744612849</v>
      </c>
      <c r="G207">
        <v>3.605</v>
      </c>
      <c r="H207">
        <v>7.7999999999999996E-3</v>
      </c>
      <c r="I207">
        <v>75.457099999999997</v>
      </c>
    </row>
    <row r="208" spans="1:9" x14ac:dyDescent="0.3">
      <c r="A208" t="s">
        <v>45</v>
      </c>
      <c r="B208" t="s">
        <v>252</v>
      </c>
      <c r="C208">
        <v>94</v>
      </c>
      <c r="D208">
        <v>8.6E-3</v>
      </c>
      <c r="E208">
        <v>12.697323341141139</v>
      </c>
      <c r="F208">
        <v>1344.9759850742939</v>
      </c>
      <c r="G208">
        <v>3.605</v>
      </c>
      <c r="H208">
        <v>1.5299999999999999E-2</v>
      </c>
      <c r="I208">
        <v>75.656220000000005</v>
      </c>
    </row>
    <row r="209" spans="1:9" x14ac:dyDescent="0.3">
      <c r="A209" t="s">
        <v>45</v>
      </c>
      <c r="B209" t="s">
        <v>253</v>
      </c>
      <c r="C209">
        <v>94</v>
      </c>
      <c r="D209">
        <v>1.37E-2</v>
      </c>
      <c r="E209">
        <v>13.28862863428551</v>
      </c>
      <c r="F209">
        <v>1401.0908573936949</v>
      </c>
      <c r="G209">
        <v>3.605</v>
      </c>
      <c r="H209">
        <v>2.4500000000000001E-2</v>
      </c>
      <c r="I209">
        <v>75.857169999999996</v>
      </c>
    </row>
    <row r="210" spans="1:9" x14ac:dyDescent="0.3">
      <c r="A210" t="s">
        <v>45</v>
      </c>
      <c r="B210" t="s">
        <v>254</v>
      </c>
      <c r="C210">
        <v>94</v>
      </c>
      <c r="D210">
        <v>1.9800000000000002E-2</v>
      </c>
      <c r="E210">
        <v>13.91829348773012</v>
      </c>
      <c r="F210">
        <v>1460.8460519855889</v>
      </c>
      <c r="G210">
        <v>3.605</v>
      </c>
      <c r="H210">
        <v>3.4299999999999997E-2</v>
      </c>
      <c r="I210">
        <v>76.056160000000006</v>
      </c>
    </row>
    <row r="211" spans="1:9" x14ac:dyDescent="0.3">
      <c r="A211" t="s">
        <v>45</v>
      </c>
      <c r="B211" t="s">
        <v>255</v>
      </c>
      <c r="C211">
        <v>94</v>
      </c>
      <c r="D211">
        <v>2.92E-2</v>
      </c>
      <c r="E211">
        <v>14.535486871847381</v>
      </c>
      <c r="F211">
        <v>1519.4177041383159</v>
      </c>
      <c r="G211">
        <v>3.605</v>
      </c>
      <c r="H211">
        <v>4.3900000000000002E-2</v>
      </c>
      <c r="I211">
        <v>76.256810000000002</v>
      </c>
    </row>
    <row r="212" spans="1:9" x14ac:dyDescent="0.3">
      <c r="A212" t="s">
        <v>45</v>
      </c>
      <c r="B212" t="s">
        <v>256</v>
      </c>
      <c r="C212">
        <v>94</v>
      </c>
      <c r="D212">
        <v>3.4500000000000003E-2</v>
      </c>
      <c r="E212">
        <v>15.071158739801589</v>
      </c>
      <c r="F212">
        <v>1570.252964407171</v>
      </c>
      <c r="G212">
        <v>3.605</v>
      </c>
      <c r="H212">
        <v>5.2200000000000003E-2</v>
      </c>
      <c r="I212">
        <v>76.456149999999994</v>
      </c>
    </row>
    <row r="213" spans="1:9" x14ac:dyDescent="0.3">
      <c r="A213" t="s">
        <v>45</v>
      </c>
      <c r="B213" t="s">
        <v>257</v>
      </c>
      <c r="C213">
        <v>94</v>
      </c>
      <c r="D213">
        <v>4.6100000000000002E-2</v>
      </c>
      <c r="E213">
        <v>15.487875626485449</v>
      </c>
      <c r="F213">
        <v>1609.7993969534691</v>
      </c>
      <c r="G213">
        <v>3.605</v>
      </c>
      <c r="H213">
        <v>5.8700000000000002E-2</v>
      </c>
      <c r="I213">
        <v>76.661959999999993</v>
      </c>
    </row>
    <row r="214" spans="1:9" x14ac:dyDescent="0.3">
      <c r="A214" t="s">
        <v>45</v>
      </c>
      <c r="B214" t="s">
        <v>258</v>
      </c>
      <c r="C214">
        <v>94</v>
      </c>
      <c r="D214">
        <v>5.79E-2</v>
      </c>
      <c r="E214">
        <v>15.71502439532216</v>
      </c>
      <c r="F214">
        <v>1631.355815116073</v>
      </c>
      <c r="G214">
        <v>3.605</v>
      </c>
      <c r="H214">
        <v>6.2199999999999998E-2</v>
      </c>
      <c r="I214">
        <v>76.855500000000006</v>
      </c>
    </row>
    <row r="215" spans="1:9" x14ac:dyDescent="0.3">
      <c r="A215" t="s">
        <v>45</v>
      </c>
      <c r="B215" t="s">
        <v>259</v>
      </c>
      <c r="C215">
        <v>94</v>
      </c>
      <c r="D215">
        <v>6.6199999999999995E-2</v>
      </c>
      <c r="E215">
        <v>15.757580983355259</v>
      </c>
      <c r="F215">
        <v>1635.394435320414</v>
      </c>
      <c r="G215">
        <v>3.605</v>
      </c>
      <c r="H215">
        <v>6.2899999999999998E-2</v>
      </c>
      <c r="I215">
        <v>77.061459999999997</v>
      </c>
    </row>
    <row r="216" spans="1:9" x14ac:dyDescent="0.3">
      <c r="A216" t="s">
        <v>45</v>
      </c>
      <c r="B216" t="s">
        <v>260</v>
      </c>
      <c r="C216">
        <v>94</v>
      </c>
      <c r="D216">
        <v>6.9099999999999995E-2</v>
      </c>
      <c r="E216">
        <v>15.60562635962842</v>
      </c>
      <c r="F216">
        <v>1524.444376717368</v>
      </c>
      <c r="G216">
        <v>3.605</v>
      </c>
      <c r="H216">
        <v>6.0499999999999998E-2</v>
      </c>
      <c r="I216">
        <v>77.255740000000003</v>
      </c>
    </row>
    <row r="217" spans="1:9" x14ac:dyDescent="0.3">
      <c r="A217" t="s">
        <v>45</v>
      </c>
      <c r="B217" t="s">
        <v>261</v>
      </c>
      <c r="C217">
        <v>94</v>
      </c>
      <c r="D217">
        <v>6.6000000000000003E-2</v>
      </c>
      <c r="E217">
        <v>15.258088054007979</v>
      </c>
      <c r="F217">
        <v>1492.0538066335439</v>
      </c>
      <c r="G217">
        <v>3.605</v>
      </c>
      <c r="H217">
        <v>5.5100000000000003E-2</v>
      </c>
      <c r="I217">
        <v>77.461100000000002</v>
      </c>
    </row>
    <row r="218" spans="1:9" x14ac:dyDescent="0.3">
      <c r="A218" t="s">
        <v>45</v>
      </c>
      <c r="B218" t="s">
        <v>262</v>
      </c>
      <c r="C218">
        <v>94</v>
      </c>
      <c r="D218">
        <v>5.8599999999999999E-2</v>
      </c>
      <c r="E218">
        <v>14.78006155710524</v>
      </c>
      <c r="F218">
        <v>1447.5017371222079</v>
      </c>
      <c r="G218">
        <v>3.605</v>
      </c>
      <c r="H218">
        <v>4.7699999999999999E-2</v>
      </c>
      <c r="I218">
        <v>77.656940000000006</v>
      </c>
    </row>
    <row r="219" spans="1:9" x14ac:dyDescent="0.3">
      <c r="A219" t="s">
        <v>45</v>
      </c>
      <c r="B219" t="s">
        <v>263</v>
      </c>
      <c r="C219">
        <v>94</v>
      </c>
      <c r="D219">
        <v>5.2999999999999999E-2</v>
      </c>
      <c r="E219">
        <v>14.19112907878965</v>
      </c>
      <c r="F219">
        <v>1392.6132301431951</v>
      </c>
      <c r="G219">
        <v>3.605</v>
      </c>
      <c r="H219">
        <v>3.85E-2</v>
      </c>
      <c r="I219">
        <v>77.857029999999995</v>
      </c>
    </row>
    <row r="220" spans="1:9" x14ac:dyDescent="0.3">
      <c r="A220" t="s">
        <v>45</v>
      </c>
      <c r="B220" t="s">
        <v>264</v>
      </c>
      <c r="C220">
        <v>94</v>
      </c>
      <c r="D220">
        <v>4.3999999999999997E-2</v>
      </c>
      <c r="E220">
        <v>13.498952394352511</v>
      </c>
      <c r="F220">
        <v>1328.1023631536541</v>
      </c>
      <c r="G220">
        <v>3.605</v>
      </c>
      <c r="H220">
        <v>2.7799999999999998E-2</v>
      </c>
      <c r="I220">
        <v>78.075770000000006</v>
      </c>
    </row>
    <row r="221" spans="1:9" x14ac:dyDescent="0.3">
      <c r="A221" t="s">
        <v>45</v>
      </c>
      <c r="B221" t="s">
        <v>265</v>
      </c>
      <c r="C221">
        <v>94</v>
      </c>
      <c r="D221">
        <v>4.0399999999999998E-2</v>
      </c>
      <c r="E221">
        <v>12.943777788795829</v>
      </c>
      <c r="F221">
        <v>1276.3600899157709</v>
      </c>
      <c r="G221">
        <v>3.605</v>
      </c>
      <c r="H221">
        <v>1.9099999999999999E-2</v>
      </c>
      <c r="I221">
        <v>78.256829999999994</v>
      </c>
    </row>
    <row r="222" spans="1:9" x14ac:dyDescent="0.3">
      <c r="A222" t="s">
        <v>45</v>
      </c>
      <c r="B222" t="s">
        <v>266</v>
      </c>
      <c r="C222">
        <v>94</v>
      </c>
      <c r="D222">
        <v>3.1199999999999999E-2</v>
      </c>
      <c r="E222">
        <v>12.38921057842259</v>
      </c>
      <c r="F222">
        <v>1224.674425908986</v>
      </c>
      <c r="G222">
        <v>3.605</v>
      </c>
      <c r="H222">
        <v>1.0500000000000001E-2</v>
      </c>
      <c r="I222">
        <v>78.464089999999999</v>
      </c>
    </row>
    <row r="223" spans="1:9" x14ac:dyDescent="0.3">
      <c r="A223" t="s">
        <v>45</v>
      </c>
      <c r="B223" t="s">
        <v>267</v>
      </c>
      <c r="C223">
        <v>94</v>
      </c>
      <c r="D223">
        <v>2.2800000000000001E-2</v>
      </c>
      <c r="E223">
        <v>11.99787835022846</v>
      </c>
      <c r="F223">
        <v>1188.2022622412931</v>
      </c>
      <c r="G223">
        <v>3.605</v>
      </c>
      <c r="H223">
        <v>4.4000000000000003E-3</v>
      </c>
      <c r="I223">
        <v>78.658000000000001</v>
      </c>
    </row>
    <row r="224" spans="1:9" x14ac:dyDescent="0.3">
      <c r="A224" t="s">
        <v>45</v>
      </c>
      <c r="B224" t="s">
        <v>268</v>
      </c>
      <c r="C224">
        <v>94</v>
      </c>
      <c r="D224">
        <v>1.4E-2</v>
      </c>
      <c r="E224">
        <v>11.764340862614119</v>
      </c>
      <c r="F224">
        <v>1166.436568395636</v>
      </c>
      <c r="G224">
        <v>3.605</v>
      </c>
      <c r="H224">
        <v>8.0000000000000004E-4</v>
      </c>
      <c r="I224">
        <v>78.855459999999994</v>
      </c>
    </row>
    <row r="225" spans="1:9" x14ac:dyDescent="0.3">
      <c r="A225" t="s">
        <v>45</v>
      </c>
      <c r="B225" t="s">
        <v>269</v>
      </c>
      <c r="C225">
        <v>94</v>
      </c>
      <c r="D225">
        <v>6.7000000000000002E-3</v>
      </c>
      <c r="E225">
        <v>11.72119216159013</v>
      </c>
      <c r="F225">
        <v>1162.4151094602</v>
      </c>
      <c r="G225">
        <v>3.605</v>
      </c>
      <c r="H225">
        <v>1E-4</v>
      </c>
      <c r="I225">
        <v>79.05959</v>
      </c>
    </row>
    <row r="226" spans="1:9" x14ac:dyDescent="0.3">
      <c r="A226" t="s">
        <v>45</v>
      </c>
      <c r="B226" t="s">
        <v>270</v>
      </c>
      <c r="C226">
        <v>94</v>
      </c>
      <c r="D226">
        <v>2.9999999999999997E-4</v>
      </c>
      <c r="E226">
        <v>11.87275234742612</v>
      </c>
      <c r="F226">
        <v>1266.724197770739</v>
      </c>
      <c r="G226">
        <v>3.605</v>
      </c>
      <c r="H226">
        <v>2.5000000000000001E-3</v>
      </c>
      <c r="I226">
        <v>79.25497</v>
      </c>
    </row>
    <row r="227" spans="1:9" x14ac:dyDescent="0.3">
      <c r="A227" t="s">
        <v>45</v>
      </c>
      <c r="B227" t="s">
        <v>271</v>
      </c>
      <c r="C227">
        <v>94</v>
      </c>
      <c r="D227">
        <v>1.4E-3</v>
      </c>
      <c r="E227">
        <v>12.21231788169003</v>
      </c>
      <c r="F227">
        <v>1298.9489669723839</v>
      </c>
      <c r="G227">
        <v>3.605</v>
      </c>
      <c r="H227">
        <v>7.7999999999999996E-3</v>
      </c>
      <c r="I227">
        <v>79.456850000000003</v>
      </c>
    </row>
    <row r="228" spans="1:9" x14ac:dyDescent="0.3">
      <c r="A228" t="s">
        <v>45</v>
      </c>
      <c r="B228" t="s">
        <v>272</v>
      </c>
      <c r="C228">
        <v>94</v>
      </c>
      <c r="D228">
        <v>7.4999999999999997E-3</v>
      </c>
      <c r="E228">
        <v>12.69343041647074</v>
      </c>
      <c r="F228">
        <v>1344.606546523074</v>
      </c>
      <c r="G228">
        <v>3.605</v>
      </c>
      <c r="H228">
        <v>1.52E-2</v>
      </c>
      <c r="I228">
        <v>79.654790000000006</v>
      </c>
    </row>
    <row r="229" spans="1:9" x14ac:dyDescent="0.3">
      <c r="A229" t="s">
        <v>45</v>
      </c>
      <c r="B229" t="s">
        <v>273</v>
      </c>
      <c r="C229">
        <v>94</v>
      </c>
      <c r="D229">
        <v>1.44E-2</v>
      </c>
      <c r="E229">
        <v>13.282498322016821</v>
      </c>
      <c r="F229">
        <v>1400.509090759396</v>
      </c>
      <c r="G229">
        <v>3.605</v>
      </c>
      <c r="H229">
        <v>2.4400000000000002E-2</v>
      </c>
      <c r="I229">
        <v>79.855189999999993</v>
      </c>
    </row>
    <row r="230" spans="1:9" x14ac:dyDescent="0.3">
      <c r="A230" t="s">
        <v>45</v>
      </c>
      <c r="B230" t="s">
        <v>274</v>
      </c>
      <c r="C230">
        <v>94</v>
      </c>
      <c r="D230">
        <v>2.0299999999999999E-2</v>
      </c>
      <c r="E230">
        <v>13.912797331714369</v>
      </c>
      <c r="F230">
        <v>1460.3244667796939</v>
      </c>
      <c r="G230">
        <v>3.605</v>
      </c>
      <c r="H230">
        <v>3.4200000000000001E-2</v>
      </c>
      <c r="I230">
        <v>80.054429999999996</v>
      </c>
    </row>
    <row r="231" spans="1:9" x14ac:dyDescent="0.3">
      <c r="A231" t="s">
        <v>45</v>
      </c>
      <c r="B231" t="s">
        <v>275</v>
      </c>
      <c r="C231">
        <v>94</v>
      </c>
      <c r="D231">
        <v>2.8400000000000002E-2</v>
      </c>
      <c r="E231">
        <v>14.533542234130559</v>
      </c>
      <c r="F231">
        <v>1519.23315801899</v>
      </c>
      <c r="G231">
        <v>3.605</v>
      </c>
      <c r="H231">
        <v>4.3799999999999999E-2</v>
      </c>
      <c r="I231">
        <v>80.256140000000002</v>
      </c>
    </row>
    <row r="232" spans="1:9" x14ac:dyDescent="0.3">
      <c r="A232" t="s">
        <v>45</v>
      </c>
      <c r="B232" t="s">
        <v>276</v>
      </c>
      <c r="C232">
        <v>94</v>
      </c>
      <c r="D232">
        <v>3.61E-2</v>
      </c>
      <c r="E232">
        <v>15.067870372019391</v>
      </c>
      <c r="F232">
        <v>1569.940898304641</v>
      </c>
      <c r="G232">
        <v>3.605</v>
      </c>
      <c r="H232">
        <v>5.21E-2</v>
      </c>
      <c r="I232">
        <v>80.45478</v>
      </c>
    </row>
    <row r="233" spans="1:9" x14ac:dyDescent="0.3">
      <c r="A233" t="s">
        <v>45</v>
      </c>
      <c r="B233" t="s">
        <v>277</v>
      </c>
      <c r="C233">
        <v>94</v>
      </c>
      <c r="D233">
        <v>4.65E-2</v>
      </c>
      <c r="E233">
        <v>15.479367633738971</v>
      </c>
      <c r="F233">
        <v>1608.9919884418291</v>
      </c>
      <c r="G233">
        <v>3.605</v>
      </c>
      <c r="H233">
        <v>5.8500000000000003E-2</v>
      </c>
      <c r="I233">
        <v>80.656720000000007</v>
      </c>
    </row>
    <row r="234" spans="1:9" x14ac:dyDescent="0.3">
      <c r="A234" t="s">
        <v>45</v>
      </c>
      <c r="B234" t="s">
        <v>278</v>
      </c>
      <c r="C234">
        <v>94</v>
      </c>
      <c r="D234">
        <v>5.5899999999999998E-2</v>
      </c>
      <c r="E234">
        <v>15.714830580303669</v>
      </c>
      <c r="F234">
        <v>1631.337422070819</v>
      </c>
      <c r="G234">
        <v>3.605</v>
      </c>
      <c r="H234">
        <v>6.2199999999999998E-2</v>
      </c>
      <c r="I234">
        <v>80.855230000000006</v>
      </c>
    </row>
    <row r="235" spans="1:9" x14ac:dyDescent="0.3">
      <c r="A235" t="s">
        <v>45</v>
      </c>
      <c r="B235" t="s">
        <v>279</v>
      </c>
      <c r="C235">
        <v>94</v>
      </c>
      <c r="D235">
        <v>6.59E-2</v>
      </c>
      <c r="E235">
        <v>15.75920935388711</v>
      </c>
      <c r="F235">
        <v>1635.548967683887</v>
      </c>
      <c r="G235">
        <v>3.605</v>
      </c>
      <c r="H235">
        <v>6.2899999999999998E-2</v>
      </c>
      <c r="I235">
        <v>81.055909999999997</v>
      </c>
    </row>
    <row r="236" spans="1:9" x14ac:dyDescent="0.3">
      <c r="A236" t="s">
        <v>45</v>
      </c>
      <c r="B236" t="s">
        <v>280</v>
      </c>
      <c r="C236">
        <v>94</v>
      </c>
      <c r="D236">
        <v>6.9199999999999998E-2</v>
      </c>
      <c r="E236">
        <v>15.60709091997728</v>
      </c>
      <c r="F236">
        <v>1524.5808737418829</v>
      </c>
      <c r="G236">
        <v>3.605</v>
      </c>
      <c r="H236">
        <v>6.0499999999999998E-2</v>
      </c>
      <c r="I236">
        <v>81.254559999999998</v>
      </c>
    </row>
    <row r="237" spans="1:9" x14ac:dyDescent="0.3">
      <c r="A237" t="s">
        <v>45</v>
      </c>
      <c r="B237" t="s">
        <v>281</v>
      </c>
      <c r="C237">
        <v>94</v>
      </c>
      <c r="D237">
        <v>6.6000000000000003E-2</v>
      </c>
      <c r="E237">
        <v>15.26748605505062</v>
      </c>
      <c r="F237">
        <v>1492.9297003307181</v>
      </c>
      <c r="G237">
        <v>3.605</v>
      </c>
      <c r="H237">
        <v>5.5199999999999999E-2</v>
      </c>
      <c r="I237">
        <v>81.456630000000004</v>
      </c>
    </row>
    <row r="238" spans="1:9" x14ac:dyDescent="0.3">
      <c r="A238" t="s">
        <v>45</v>
      </c>
      <c r="B238" t="s">
        <v>282</v>
      </c>
      <c r="C238">
        <v>94</v>
      </c>
      <c r="D238">
        <v>5.8099999999999999E-2</v>
      </c>
      <c r="E238">
        <v>14.77349130907284</v>
      </c>
      <c r="F238">
        <v>1446.8893900055889</v>
      </c>
      <c r="G238">
        <v>3.605</v>
      </c>
      <c r="H238">
        <v>4.7600000000000003E-2</v>
      </c>
      <c r="I238">
        <v>81.65934</v>
      </c>
    </row>
    <row r="239" spans="1:9" x14ac:dyDescent="0.3">
      <c r="A239" t="s">
        <v>45</v>
      </c>
      <c r="B239" t="s">
        <v>283</v>
      </c>
      <c r="C239">
        <v>94</v>
      </c>
      <c r="D239">
        <v>5.2499999999999998E-2</v>
      </c>
      <c r="E239">
        <v>14.18207167317698</v>
      </c>
      <c r="F239">
        <v>1391.7690799400939</v>
      </c>
      <c r="G239">
        <v>3.605</v>
      </c>
      <c r="H239">
        <v>3.8399999999999997E-2</v>
      </c>
      <c r="I239">
        <v>81.859949999999998</v>
      </c>
    </row>
    <row r="240" spans="1:9" x14ac:dyDescent="0.3">
      <c r="A240" t="s">
        <v>45</v>
      </c>
      <c r="B240" t="s">
        <v>284</v>
      </c>
      <c r="C240">
        <v>94</v>
      </c>
      <c r="D240">
        <v>4.53E-2</v>
      </c>
      <c r="E240">
        <v>13.56476556819123</v>
      </c>
      <c r="F240">
        <v>1334.236150955423</v>
      </c>
      <c r="G240">
        <v>3.605</v>
      </c>
      <c r="H240">
        <v>2.8799999999999999E-2</v>
      </c>
      <c r="I240">
        <v>82.054990000000004</v>
      </c>
    </row>
    <row r="241" spans="1:9" x14ac:dyDescent="0.3">
      <c r="A241" t="s">
        <v>45</v>
      </c>
      <c r="B241" t="s">
        <v>285</v>
      </c>
      <c r="C241">
        <v>94</v>
      </c>
      <c r="D241">
        <v>3.8100000000000002E-2</v>
      </c>
      <c r="E241">
        <v>12.944555481694261</v>
      </c>
      <c r="F241">
        <v>1276.432570893905</v>
      </c>
      <c r="G241">
        <v>3.605</v>
      </c>
      <c r="H241">
        <v>1.9099999999999999E-2</v>
      </c>
      <c r="I241">
        <v>82.256569999999996</v>
      </c>
    </row>
    <row r="242" spans="1:9" x14ac:dyDescent="0.3">
      <c r="A242" t="s">
        <v>45</v>
      </c>
      <c r="B242" t="s">
        <v>286</v>
      </c>
      <c r="C242">
        <v>94</v>
      </c>
      <c r="D242">
        <v>3.0300000000000001E-2</v>
      </c>
      <c r="E242">
        <v>12.392451506127051</v>
      </c>
      <c r="F242">
        <v>1224.9764803710409</v>
      </c>
      <c r="G242">
        <v>3.605</v>
      </c>
      <c r="H242">
        <v>1.06E-2</v>
      </c>
      <c r="I242">
        <v>82.462720000000004</v>
      </c>
    </row>
    <row r="243" spans="1:9" x14ac:dyDescent="0.3">
      <c r="A243" t="s">
        <v>45</v>
      </c>
      <c r="B243" t="s">
        <v>287</v>
      </c>
      <c r="C243">
        <v>94</v>
      </c>
      <c r="D243">
        <v>2.24E-2</v>
      </c>
      <c r="E243">
        <v>12.00022298484012</v>
      </c>
      <c r="F243">
        <v>1188.4207821870989</v>
      </c>
      <c r="G243">
        <v>3.605</v>
      </c>
      <c r="H243">
        <v>4.4999999999999997E-3</v>
      </c>
      <c r="I243">
        <v>82.656570000000002</v>
      </c>
    </row>
    <row r="244" spans="1:9" x14ac:dyDescent="0.3">
      <c r="A244" t="s">
        <v>45</v>
      </c>
      <c r="B244" t="s">
        <v>288</v>
      </c>
      <c r="C244">
        <v>94</v>
      </c>
      <c r="D244">
        <v>1.41E-2</v>
      </c>
      <c r="E244">
        <v>11.761930866117559</v>
      </c>
      <c r="F244">
        <v>1166.2119567221571</v>
      </c>
      <c r="G244">
        <v>3.605</v>
      </c>
      <c r="H244">
        <v>8.0000000000000004E-4</v>
      </c>
      <c r="I244">
        <v>82.858860000000007</v>
      </c>
    </row>
    <row r="245" spans="1:9" x14ac:dyDescent="0.3">
      <c r="A245" t="s">
        <v>45</v>
      </c>
      <c r="B245" t="s">
        <v>289</v>
      </c>
      <c r="C245">
        <v>94</v>
      </c>
      <c r="D245">
        <v>7.0000000000000001E-3</v>
      </c>
      <c r="E245">
        <v>11.720467727274711</v>
      </c>
      <c r="F245">
        <v>1162.3475921820029</v>
      </c>
      <c r="G245">
        <v>3.605</v>
      </c>
      <c r="H245">
        <v>1E-4</v>
      </c>
      <c r="I245">
        <v>83.057109999999994</v>
      </c>
    </row>
    <row r="246" spans="1:9" x14ac:dyDescent="0.3">
      <c r="A246" t="s">
        <v>45</v>
      </c>
      <c r="B246" t="s">
        <v>290</v>
      </c>
      <c r="C246">
        <v>94</v>
      </c>
      <c r="D246">
        <v>-2.0000000000000001E-4</v>
      </c>
      <c r="E246">
        <v>11.8742956907417</v>
      </c>
      <c r="F246">
        <v>1266.870661051388</v>
      </c>
      <c r="G246">
        <v>3.605</v>
      </c>
      <c r="H246">
        <v>2.5000000000000001E-3</v>
      </c>
      <c r="I246">
        <v>83.256209999999996</v>
      </c>
    </row>
    <row r="247" spans="1:9" x14ac:dyDescent="0.3">
      <c r="A247" t="s">
        <v>45</v>
      </c>
      <c r="B247" t="s">
        <v>291</v>
      </c>
      <c r="C247">
        <v>94</v>
      </c>
      <c r="D247">
        <v>5.9999999999999995E-4</v>
      </c>
      <c r="E247">
        <v>12.21313531072196</v>
      </c>
      <c r="F247">
        <v>1299.026540987514</v>
      </c>
      <c r="G247">
        <v>3.605</v>
      </c>
      <c r="H247">
        <v>7.7999999999999996E-3</v>
      </c>
      <c r="I247">
        <v>83.457239999999999</v>
      </c>
    </row>
    <row r="248" spans="1:9" x14ac:dyDescent="0.3">
      <c r="A248" t="s">
        <v>45</v>
      </c>
      <c r="B248" t="s">
        <v>292</v>
      </c>
      <c r="C248">
        <v>94</v>
      </c>
      <c r="D248">
        <v>8.0999999999999996E-3</v>
      </c>
      <c r="E248">
        <v>12.69396482691919</v>
      </c>
      <c r="F248">
        <v>1344.657262074631</v>
      </c>
      <c r="G248">
        <v>3.605</v>
      </c>
      <c r="H248">
        <v>1.5299999999999999E-2</v>
      </c>
      <c r="I248">
        <v>83.654989999999998</v>
      </c>
    </row>
    <row r="249" spans="1:9" x14ac:dyDescent="0.3">
      <c r="A249" t="s">
        <v>45</v>
      </c>
      <c r="B249" t="s">
        <v>293</v>
      </c>
      <c r="C249">
        <v>94</v>
      </c>
      <c r="D249">
        <v>1.4200000000000001E-2</v>
      </c>
      <c r="E249">
        <v>13.36047278005918</v>
      </c>
      <c r="F249">
        <v>1407.908866827617</v>
      </c>
      <c r="G249">
        <v>3.605</v>
      </c>
      <c r="H249">
        <v>2.5600000000000001E-2</v>
      </c>
      <c r="I249">
        <v>83.880219999999994</v>
      </c>
    </row>
    <row r="250" spans="1:9" x14ac:dyDescent="0.3">
      <c r="A250" t="s">
        <v>45</v>
      </c>
      <c r="B250" t="s">
        <v>294</v>
      </c>
      <c r="C250">
        <v>94</v>
      </c>
      <c r="D250">
        <v>1.95E-2</v>
      </c>
      <c r="E250">
        <v>13.913819928945779</v>
      </c>
      <c r="F250">
        <v>1460.421511256955</v>
      </c>
      <c r="G250">
        <v>3.605</v>
      </c>
      <c r="H250">
        <v>3.4200000000000001E-2</v>
      </c>
      <c r="I250">
        <v>84.054749999999999</v>
      </c>
    </row>
    <row r="251" spans="1:9" x14ac:dyDescent="0.3">
      <c r="A251" t="s">
        <v>45</v>
      </c>
      <c r="B251" t="s">
        <v>295</v>
      </c>
      <c r="C251">
        <v>94</v>
      </c>
      <c r="D251">
        <v>2.8500000000000001E-2</v>
      </c>
      <c r="E251">
        <v>14.538582235552591</v>
      </c>
      <c r="F251">
        <v>1519.7114541539411</v>
      </c>
      <c r="G251">
        <v>3.605</v>
      </c>
      <c r="H251">
        <v>4.3900000000000002E-2</v>
      </c>
      <c r="I251">
        <v>84.257859999999994</v>
      </c>
    </row>
    <row r="252" spans="1:9" x14ac:dyDescent="0.3">
      <c r="A252" t="s">
        <v>45</v>
      </c>
      <c r="B252" t="s">
        <v>296</v>
      </c>
      <c r="C252">
        <v>94</v>
      </c>
      <c r="D252">
        <v>3.7699999999999997E-2</v>
      </c>
      <c r="E252">
        <v>15.07008180948969</v>
      </c>
      <c r="F252">
        <v>1570.1507637205709</v>
      </c>
      <c r="G252">
        <v>3.605</v>
      </c>
      <c r="H252">
        <v>5.2200000000000003E-2</v>
      </c>
      <c r="I252">
        <v>84.455699999999993</v>
      </c>
    </row>
    <row r="253" spans="1:9" x14ac:dyDescent="0.3">
      <c r="A253" t="s">
        <v>45</v>
      </c>
      <c r="B253" t="s">
        <v>297</v>
      </c>
      <c r="C253">
        <v>94</v>
      </c>
      <c r="D253">
        <v>4.7E-2</v>
      </c>
      <c r="E253">
        <v>15.479092319099751</v>
      </c>
      <c r="F253">
        <v>1608.9658610825661</v>
      </c>
      <c r="G253">
        <v>3.605</v>
      </c>
      <c r="H253">
        <v>5.8500000000000003E-2</v>
      </c>
      <c r="I253">
        <v>84.656559999999999</v>
      </c>
    </row>
    <row r="254" spans="1:9" x14ac:dyDescent="0.3">
      <c r="A254" t="s">
        <v>45</v>
      </c>
      <c r="B254" t="s">
        <v>298</v>
      </c>
      <c r="C254">
        <v>94</v>
      </c>
      <c r="D254">
        <v>5.62E-2</v>
      </c>
      <c r="E254">
        <v>15.715827632877829</v>
      </c>
      <c r="F254">
        <v>1631.4320423601059</v>
      </c>
      <c r="G254">
        <v>3.605</v>
      </c>
      <c r="H254">
        <v>6.2199999999999998E-2</v>
      </c>
      <c r="I254">
        <v>84.856629999999996</v>
      </c>
    </row>
    <row r="255" spans="1:9" x14ac:dyDescent="0.3">
      <c r="A255" t="s">
        <v>45</v>
      </c>
      <c r="B255" t="s">
        <v>299</v>
      </c>
      <c r="C255">
        <v>94</v>
      </c>
      <c r="D255">
        <v>6.6199999999999995E-2</v>
      </c>
      <c r="E255">
        <v>15.75800997140872</v>
      </c>
      <c r="F255">
        <v>1635.4351462866871</v>
      </c>
      <c r="G255">
        <v>3.605</v>
      </c>
      <c r="H255">
        <v>6.2899999999999998E-2</v>
      </c>
      <c r="I255">
        <v>85.060050000000004</v>
      </c>
    </row>
    <row r="256" spans="1:9" x14ac:dyDescent="0.3">
      <c r="A256" t="s">
        <v>45</v>
      </c>
      <c r="B256" t="s">
        <v>300</v>
      </c>
      <c r="C256">
        <v>94</v>
      </c>
      <c r="D256">
        <v>6.93E-2</v>
      </c>
      <c r="E256">
        <v>15.605434977434429</v>
      </c>
      <c r="F256">
        <v>1524.4265398968889</v>
      </c>
      <c r="G256">
        <v>3.605</v>
      </c>
      <c r="H256">
        <v>6.0499999999999998E-2</v>
      </c>
      <c r="I256">
        <v>85.255889999999994</v>
      </c>
    </row>
    <row r="257" spans="1:9" x14ac:dyDescent="0.3">
      <c r="A257" t="s">
        <v>45</v>
      </c>
      <c r="B257" t="s">
        <v>301</v>
      </c>
      <c r="C257">
        <v>94</v>
      </c>
      <c r="D257">
        <v>6.5100000000000005E-2</v>
      </c>
      <c r="E257">
        <v>15.266760667878939</v>
      </c>
      <c r="F257">
        <v>1492.8620942463169</v>
      </c>
      <c r="G257">
        <v>3.605</v>
      </c>
      <c r="H257">
        <v>5.5199999999999999E-2</v>
      </c>
      <c r="I257">
        <v>85.456969999999998</v>
      </c>
    </row>
    <row r="258" spans="1:9" x14ac:dyDescent="0.3">
      <c r="A258" t="s">
        <v>45</v>
      </c>
      <c r="B258" t="s">
        <v>302</v>
      </c>
      <c r="C258">
        <v>94</v>
      </c>
      <c r="D258">
        <v>5.79E-2</v>
      </c>
      <c r="E258">
        <v>14.784509571232331</v>
      </c>
      <c r="F258">
        <v>1447.916292038853</v>
      </c>
      <c r="G258">
        <v>3.605</v>
      </c>
      <c r="H258">
        <v>4.7699999999999999E-2</v>
      </c>
      <c r="I258">
        <v>85.655299999999997</v>
      </c>
    </row>
    <row r="259" spans="1:9" x14ac:dyDescent="0.3">
      <c r="A259" t="s">
        <v>45</v>
      </c>
      <c r="B259" t="s">
        <v>303</v>
      </c>
      <c r="C259">
        <v>94</v>
      </c>
      <c r="D259">
        <v>5.2600000000000001E-2</v>
      </c>
      <c r="E259">
        <v>14.19190271698058</v>
      </c>
      <c r="F259">
        <v>1392.6853332225901</v>
      </c>
      <c r="G259">
        <v>3.605</v>
      </c>
      <c r="H259">
        <v>3.85E-2</v>
      </c>
      <c r="I259">
        <v>85.856780000000001</v>
      </c>
    </row>
    <row r="260" spans="1:9" x14ac:dyDescent="0.3">
      <c r="A260" t="s">
        <v>45</v>
      </c>
      <c r="B260" t="s">
        <v>304</v>
      </c>
      <c r="C260">
        <v>94</v>
      </c>
      <c r="D260">
        <v>4.6199999999999998E-2</v>
      </c>
      <c r="E260">
        <v>13.54898667395643</v>
      </c>
      <c r="F260">
        <v>1332.7655580127389</v>
      </c>
      <c r="G260">
        <v>3.605</v>
      </c>
      <c r="H260">
        <v>2.8500000000000001E-2</v>
      </c>
      <c r="I260">
        <v>86.059970000000007</v>
      </c>
    </row>
    <row r="261" spans="1:9" x14ac:dyDescent="0.3">
      <c r="A261" t="s">
        <v>45</v>
      </c>
      <c r="B261" t="s">
        <v>305</v>
      </c>
      <c r="C261">
        <v>94</v>
      </c>
      <c r="D261">
        <v>3.8600000000000002E-2</v>
      </c>
      <c r="E261">
        <v>12.94355477988335</v>
      </c>
      <c r="F261">
        <v>1276.3393054851281</v>
      </c>
      <c r="G261">
        <v>3.605</v>
      </c>
      <c r="H261">
        <v>1.9099999999999999E-2</v>
      </c>
      <c r="I261">
        <v>86.256900000000002</v>
      </c>
    </row>
    <row r="262" spans="1:9" x14ac:dyDescent="0.3">
      <c r="A262" t="s">
        <v>45</v>
      </c>
      <c r="B262" t="s">
        <v>306</v>
      </c>
      <c r="C262">
        <v>94</v>
      </c>
      <c r="D262">
        <v>2.9899999999999999E-2</v>
      </c>
      <c r="E262">
        <v>12.40910256794502</v>
      </c>
      <c r="F262">
        <v>1226.5283593324759</v>
      </c>
      <c r="G262">
        <v>3.605</v>
      </c>
      <c r="H262">
        <v>1.0800000000000001E-2</v>
      </c>
      <c r="I262">
        <v>86.455759999999998</v>
      </c>
    </row>
    <row r="263" spans="1:9" x14ac:dyDescent="0.3">
      <c r="A263" t="s">
        <v>45</v>
      </c>
      <c r="B263" t="s">
        <v>307</v>
      </c>
      <c r="C263">
        <v>94</v>
      </c>
      <c r="D263">
        <v>2.23E-2</v>
      </c>
      <c r="E263">
        <v>11.99820556512368</v>
      </c>
      <c r="F263">
        <v>1188.2327586695269</v>
      </c>
      <c r="G263">
        <v>3.605</v>
      </c>
      <c r="H263">
        <v>4.4000000000000003E-3</v>
      </c>
      <c r="I263">
        <v>86.657809999999998</v>
      </c>
    </row>
    <row r="264" spans="1:9" x14ac:dyDescent="0.3">
      <c r="A264" t="s">
        <v>45</v>
      </c>
      <c r="B264" t="s">
        <v>308</v>
      </c>
      <c r="C264">
        <v>94</v>
      </c>
      <c r="D264">
        <v>1.3299999999999999E-2</v>
      </c>
      <c r="E264">
        <v>11.7642132609691</v>
      </c>
      <c r="F264">
        <v>1166.4246759223199</v>
      </c>
      <c r="G264">
        <v>3.605</v>
      </c>
      <c r="H264">
        <v>8.0000000000000004E-4</v>
      </c>
      <c r="I264">
        <v>86.855639999999994</v>
      </c>
    </row>
    <row r="265" spans="1:9" ht="13.8" customHeight="1" x14ac:dyDescent="0.3">
      <c r="A265" t="s">
        <v>45</v>
      </c>
      <c r="B265" t="s">
        <v>309</v>
      </c>
      <c r="C265">
        <v>94</v>
      </c>
      <c r="D265">
        <v>6.3E-3</v>
      </c>
      <c r="E265">
        <v>11.72122212993326</v>
      </c>
      <c r="F265">
        <v>1162.4179025097801</v>
      </c>
      <c r="G265">
        <v>3.605</v>
      </c>
      <c r="H265">
        <v>1E-4</v>
      </c>
      <c r="I265">
        <v>87.059690000000003</v>
      </c>
    </row>
    <row r="266" spans="1:9" x14ac:dyDescent="0.3">
      <c r="A266" t="s">
        <v>45</v>
      </c>
      <c r="B266" t="s">
        <v>310</v>
      </c>
      <c r="C266">
        <v>94</v>
      </c>
      <c r="D266">
        <v>-2.0000000000000001E-4</v>
      </c>
      <c r="E266">
        <v>11.874418832208461</v>
      </c>
      <c r="F266">
        <v>1266.8823471765829</v>
      </c>
      <c r="G266">
        <v>3.605</v>
      </c>
      <c r="H266">
        <v>2.5000000000000001E-3</v>
      </c>
      <c r="I266">
        <v>87.256299999999996</v>
      </c>
    </row>
    <row r="267" spans="1:9" x14ac:dyDescent="0.3">
      <c r="A267" t="s">
        <v>45</v>
      </c>
      <c r="B267" t="s">
        <v>311</v>
      </c>
      <c r="C267">
        <v>94</v>
      </c>
      <c r="D267">
        <v>1E-3</v>
      </c>
      <c r="E267">
        <v>12.21403464484538</v>
      </c>
      <c r="F267">
        <v>1299.1118877958261</v>
      </c>
      <c r="G267">
        <v>3.605</v>
      </c>
      <c r="H267">
        <v>7.7999999999999996E-3</v>
      </c>
      <c r="I267">
        <v>87.457669999999993</v>
      </c>
    </row>
    <row r="268" spans="1:9" x14ac:dyDescent="0.3">
      <c r="A268" t="s">
        <v>45</v>
      </c>
      <c r="B268" t="s">
        <v>312</v>
      </c>
      <c r="C268">
        <v>94</v>
      </c>
      <c r="D268">
        <v>7.9000000000000008E-3</v>
      </c>
      <c r="E268">
        <v>12.701691477530479</v>
      </c>
      <c r="F268">
        <v>1345.390521217643</v>
      </c>
      <c r="G268">
        <v>3.605</v>
      </c>
      <c r="H268">
        <v>1.54E-2</v>
      </c>
      <c r="I268">
        <v>87.657809999999998</v>
      </c>
    </row>
    <row r="269" spans="1:9" x14ac:dyDescent="0.3">
      <c r="A269" t="s">
        <v>45</v>
      </c>
      <c r="B269" t="s">
        <v>313</v>
      </c>
      <c r="C269">
        <v>94</v>
      </c>
      <c r="D269">
        <v>1.3100000000000001E-2</v>
      </c>
      <c r="E269">
        <v>13.29713824891498</v>
      </c>
      <c r="F269">
        <v>1401.8984198220321</v>
      </c>
      <c r="G269">
        <v>3.605</v>
      </c>
      <c r="H269">
        <v>2.46E-2</v>
      </c>
      <c r="I269">
        <v>87.859909999999999</v>
      </c>
    </row>
    <row r="270" spans="1:9" x14ac:dyDescent="0.3">
      <c r="A270" t="s">
        <v>45</v>
      </c>
      <c r="B270" t="s">
        <v>314</v>
      </c>
      <c r="C270">
        <v>94</v>
      </c>
      <c r="D270">
        <v>2.07E-2</v>
      </c>
      <c r="E270">
        <v>13.91533517313839</v>
      </c>
      <c r="F270">
        <v>1460.565307930834</v>
      </c>
      <c r="G270">
        <v>3.605</v>
      </c>
      <c r="H270">
        <v>3.4200000000000001E-2</v>
      </c>
      <c r="I270">
        <v>88.055229999999995</v>
      </c>
    </row>
    <row r="271" spans="1:9" x14ac:dyDescent="0.3">
      <c r="A271" t="s">
        <v>45</v>
      </c>
      <c r="B271" t="s">
        <v>315</v>
      </c>
      <c r="C271">
        <v>94</v>
      </c>
      <c r="D271">
        <v>2.75E-2</v>
      </c>
      <c r="E271">
        <v>14.53568595798561</v>
      </c>
      <c r="F271">
        <v>1519.436597412835</v>
      </c>
      <c r="G271">
        <v>3.605</v>
      </c>
      <c r="H271">
        <v>4.3900000000000002E-2</v>
      </c>
      <c r="I271">
        <v>88.256870000000006</v>
      </c>
    </row>
    <row r="272" spans="1:9" x14ac:dyDescent="0.3">
      <c r="A272" t="s">
        <v>45</v>
      </c>
      <c r="B272" t="s">
        <v>316</v>
      </c>
      <c r="C272">
        <v>94</v>
      </c>
      <c r="D272">
        <v>3.6700000000000003E-2</v>
      </c>
      <c r="E272">
        <v>15.07418882271606</v>
      </c>
      <c r="F272">
        <v>1570.5405192757539</v>
      </c>
      <c r="G272">
        <v>3.605</v>
      </c>
      <c r="H272">
        <v>5.2200000000000003E-2</v>
      </c>
      <c r="I272">
        <v>88.457409999999996</v>
      </c>
    </row>
    <row r="273" spans="1:9" x14ac:dyDescent="0.3">
      <c r="A273" t="s">
        <v>45</v>
      </c>
      <c r="B273" t="s">
        <v>317</v>
      </c>
      <c r="C273">
        <v>94</v>
      </c>
      <c r="D273">
        <v>4.7199999999999999E-2</v>
      </c>
      <c r="E273">
        <v>15.47818893026883</v>
      </c>
      <c r="F273">
        <v>1608.8801294825121</v>
      </c>
      <c r="G273">
        <v>3.605</v>
      </c>
      <c r="H273">
        <v>5.8500000000000003E-2</v>
      </c>
      <c r="I273">
        <v>88.656009999999995</v>
      </c>
    </row>
    <row r="274" spans="1:9" x14ac:dyDescent="0.3">
      <c r="A274" t="s">
        <v>45</v>
      </c>
      <c r="B274" t="s">
        <v>318</v>
      </c>
      <c r="C274">
        <v>94</v>
      </c>
      <c r="D274">
        <v>5.7200000000000001E-2</v>
      </c>
      <c r="E274">
        <v>15.716928080493229</v>
      </c>
      <c r="F274">
        <v>1631.536474838807</v>
      </c>
      <c r="G274">
        <v>3.605</v>
      </c>
      <c r="H274">
        <v>6.2199999999999998E-2</v>
      </c>
      <c r="I274">
        <v>88.858180000000004</v>
      </c>
    </row>
    <row r="275" spans="1:9" x14ac:dyDescent="0.3">
      <c r="A275" t="s">
        <v>45</v>
      </c>
      <c r="B275" t="s">
        <v>319</v>
      </c>
      <c r="C275">
        <v>94</v>
      </c>
      <c r="D275">
        <v>6.6100000000000006E-2</v>
      </c>
      <c r="E275">
        <v>15.75877387830165</v>
      </c>
      <c r="F275">
        <v>1635.507641050827</v>
      </c>
      <c r="G275">
        <v>3.605</v>
      </c>
      <c r="H275">
        <v>6.2899999999999998E-2</v>
      </c>
      <c r="I275">
        <v>89.057450000000003</v>
      </c>
    </row>
    <row r="276" spans="1:9" x14ac:dyDescent="0.3">
      <c r="A276" t="s">
        <v>45</v>
      </c>
      <c r="B276" t="s">
        <v>320</v>
      </c>
      <c r="C276">
        <v>94</v>
      </c>
      <c r="D276">
        <v>6.9400000000000003E-2</v>
      </c>
      <c r="E276">
        <v>15.60503315592122</v>
      </c>
      <c r="F276">
        <v>1524.389090131858</v>
      </c>
      <c r="G276">
        <v>3.605</v>
      </c>
      <c r="H276">
        <v>6.0499999999999998E-2</v>
      </c>
      <c r="I276">
        <v>89.256209999999996</v>
      </c>
    </row>
    <row r="277" spans="1:9" x14ac:dyDescent="0.3">
      <c r="A277" t="s">
        <v>45</v>
      </c>
      <c r="B277" t="s">
        <v>321</v>
      </c>
      <c r="C277">
        <v>94</v>
      </c>
      <c r="D277">
        <v>6.6000000000000003E-2</v>
      </c>
      <c r="E277">
        <v>15.2611688207662</v>
      </c>
      <c r="F277">
        <v>1492.340934095409</v>
      </c>
      <c r="G277">
        <v>3.605</v>
      </c>
      <c r="H277">
        <v>5.5100000000000003E-2</v>
      </c>
      <c r="I277">
        <v>89.459630000000004</v>
      </c>
    </row>
    <row r="278" spans="1:9" x14ac:dyDescent="0.3">
      <c r="A278" t="s">
        <v>45</v>
      </c>
      <c r="B278" t="s">
        <v>322</v>
      </c>
      <c r="C278">
        <v>94</v>
      </c>
      <c r="D278">
        <v>5.91E-2</v>
      </c>
      <c r="E278">
        <v>14.78331181063694</v>
      </c>
      <c r="F278">
        <v>1447.8046607513629</v>
      </c>
      <c r="G278">
        <v>3.605</v>
      </c>
      <c r="H278">
        <v>4.7699999999999999E-2</v>
      </c>
      <c r="I278">
        <v>89.655749999999998</v>
      </c>
    </row>
    <row r="279" spans="1:9" x14ac:dyDescent="0.3">
      <c r="A279" t="s">
        <v>45</v>
      </c>
      <c r="B279" t="s">
        <v>323</v>
      </c>
      <c r="C279">
        <v>94</v>
      </c>
      <c r="D279">
        <v>5.2200000000000003E-2</v>
      </c>
      <c r="E279">
        <v>14.18903279501234</v>
      </c>
      <c r="F279">
        <v>1392.4178564951501</v>
      </c>
      <c r="G279">
        <v>3.605</v>
      </c>
      <c r="H279">
        <v>3.85E-2</v>
      </c>
      <c r="I279">
        <v>89.857709999999997</v>
      </c>
    </row>
    <row r="280" spans="1:9" x14ac:dyDescent="0.3">
      <c r="A280" t="s">
        <v>45</v>
      </c>
      <c r="B280" t="s">
        <v>324</v>
      </c>
      <c r="C280">
        <v>94</v>
      </c>
      <c r="D280">
        <v>4.5600000000000002E-2</v>
      </c>
      <c r="E280">
        <v>13.559146960009</v>
      </c>
      <c r="F280">
        <v>1333.7124966728391</v>
      </c>
      <c r="G280">
        <v>3.605</v>
      </c>
      <c r="H280">
        <v>2.87E-2</v>
      </c>
      <c r="I280">
        <v>90.056759999999997</v>
      </c>
    </row>
    <row r="281" spans="1:9" x14ac:dyDescent="0.3">
      <c r="A281" t="s">
        <v>45</v>
      </c>
      <c r="B281" t="s">
        <v>325</v>
      </c>
      <c r="C281">
        <v>94</v>
      </c>
      <c r="D281">
        <v>3.7100000000000001E-2</v>
      </c>
      <c r="E281">
        <v>12.930738254947769</v>
      </c>
      <c r="F281">
        <v>1275.1448053611321</v>
      </c>
      <c r="G281">
        <v>3.605</v>
      </c>
      <c r="H281">
        <v>1.89E-2</v>
      </c>
      <c r="I281">
        <v>90.261279999999999</v>
      </c>
    </row>
    <row r="282" spans="1:9" x14ac:dyDescent="0.3">
      <c r="A282" t="s">
        <v>45</v>
      </c>
      <c r="B282" t="s">
        <v>326</v>
      </c>
      <c r="C282">
        <v>94</v>
      </c>
      <c r="D282">
        <v>3.0300000000000001E-2</v>
      </c>
      <c r="E282">
        <v>12.409145547844521</v>
      </c>
      <c r="F282">
        <v>1226.532365059109</v>
      </c>
      <c r="G282">
        <v>3.605</v>
      </c>
      <c r="H282">
        <v>1.0800000000000001E-2</v>
      </c>
      <c r="I282">
        <v>90.455740000000006</v>
      </c>
    </row>
    <row r="283" spans="1:9" x14ac:dyDescent="0.3">
      <c r="A283" t="s">
        <v>45</v>
      </c>
      <c r="B283" t="s">
        <v>327</v>
      </c>
      <c r="C283">
        <v>94</v>
      </c>
      <c r="D283">
        <v>2.23E-2</v>
      </c>
      <c r="E283">
        <v>11.999391972538071</v>
      </c>
      <c r="F283">
        <v>1188.343331840548</v>
      </c>
      <c r="G283">
        <v>3.605</v>
      </c>
      <c r="H283">
        <v>4.4999999999999997E-3</v>
      </c>
      <c r="I283">
        <v>90.657079999999993</v>
      </c>
    </row>
    <row r="284" spans="1:9" x14ac:dyDescent="0.3">
      <c r="A284" t="s">
        <v>45</v>
      </c>
      <c r="B284" t="s">
        <v>328</v>
      </c>
      <c r="C284">
        <v>94</v>
      </c>
      <c r="D284">
        <v>1.4200000000000001E-2</v>
      </c>
      <c r="E284">
        <v>11.762392089095639</v>
      </c>
      <c r="F284">
        <v>1166.2549427037141</v>
      </c>
      <c r="G284">
        <v>3.605</v>
      </c>
      <c r="H284">
        <v>8.0000000000000004E-4</v>
      </c>
      <c r="I284">
        <v>90.85821</v>
      </c>
    </row>
    <row r="285" spans="1:9" x14ac:dyDescent="0.3">
      <c r="A285" t="s">
        <v>45</v>
      </c>
      <c r="B285" t="s">
        <v>329</v>
      </c>
      <c r="C285">
        <v>94</v>
      </c>
      <c r="D285">
        <v>6.1000000000000004E-3</v>
      </c>
      <c r="E285">
        <v>11.720782031981249</v>
      </c>
      <c r="F285">
        <v>1162.376885380653</v>
      </c>
      <c r="G285">
        <v>3.605</v>
      </c>
      <c r="H285">
        <v>1E-4</v>
      </c>
      <c r="I285">
        <v>91.058199999999999</v>
      </c>
    </row>
    <row r="286" spans="1:9" x14ac:dyDescent="0.3">
      <c r="A286" t="s">
        <v>45</v>
      </c>
      <c r="B286" t="s">
        <v>330</v>
      </c>
      <c r="C286">
        <v>94</v>
      </c>
      <c r="D286">
        <v>-1E-4</v>
      </c>
      <c r="E286">
        <v>11.87471186591946</v>
      </c>
      <c r="F286">
        <v>1266.910156075757</v>
      </c>
      <c r="G286">
        <v>3.605</v>
      </c>
      <c r="H286">
        <v>2.5000000000000001E-3</v>
      </c>
      <c r="I286">
        <v>91.256550000000004</v>
      </c>
    </row>
    <row r="287" spans="1:9" x14ac:dyDescent="0.3">
      <c r="A287" t="s">
        <v>45</v>
      </c>
      <c r="B287" t="s">
        <v>331</v>
      </c>
      <c r="C287">
        <v>94</v>
      </c>
      <c r="D287">
        <v>8.9999999999999998E-4</v>
      </c>
      <c r="E287">
        <v>12.215199967780769</v>
      </c>
      <c r="F287">
        <v>1299.2224769423949</v>
      </c>
      <c r="G287">
        <v>3.605</v>
      </c>
      <c r="H287">
        <v>7.7999999999999996E-3</v>
      </c>
      <c r="I287">
        <v>91.458219999999997</v>
      </c>
    </row>
    <row r="288" spans="1:9" x14ac:dyDescent="0.3">
      <c r="A288" t="s">
        <v>45</v>
      </c>
      <c r="B288" t="s">
        <v>332</v>
      </c>
      <c r="C288">
        <v>94</v>
      </c>
      <c r="D288">
        <v>9.7999999999999997E-3</v>
      </c>
      <c r="E288">
        <v>12.693231735803259</v>
      </c>
      <c r="F288">
        <v>1344.5876917277301</v>
      </c>
      <c r="G288">
        <v>3.605</v>
      </c>
      <c r="H288">
        <v>1.52E-2</v>
      </c>
      <c r="I288">
        <v>91.654719999999998</v>
      </c>
    </row>
    <row r="289" spans="1:9" x14ac:dyDescent="0.3">
      <c r="A289" t="s">
        <v>45</v>
      </c>
      <c r="B289" t="s">
        <v>333</v>
      </c>
      <c r="C289">
        <v>94</v>
      </c>
      <c r="D289">
        <v>1.14E-2</v>
      </c>
      <c r="E289">
        <v>13.290021426311631</v>
      </c>
      <c r="F289">
        <v>1401.2230333569739</v>
      </c>
      <c r="G289">
        <v>3.605</v>
      </c>
      <c r="H289">
        <v>2.4500000000000001E-2</v>
      </c>
      <c r="I289">
        <v>91.857619999999997</v>
      </c>
    </row>
    <row r="290" spans="1:9" x14ac:dyDescent="0.3">
      <c r="A290" t="s">
        <v>45</v>
      </c>
      <c r="B290" t="s">
        <v>334</v>
      </c>
      <c r="C290">
        <v>94</v>
      </c>
      <c r="D290">
        <v>2.01E-2</v>
      </c>
      <c r="E290">
        <v>13.928804100510661</v>
      </c>
      <c r="F290">
        <v>1461.843509138462</v>
      </c>
      <c r="G290">
        <v>3.605</v>
      </c>
      <c r="H290">
        <v>3.44E-2</v>
      </c>
      <c r="I290">
        <v>92.059479999999994</v>
      </c>
    </row>
    <row r="291" spans="1:9" x14ac:dyDescent="0.3">
      <c r="A291" t="s">
        <v>45</v>
      </c>
      <c r="B291" t="s">
        <v>335</v>
      </c>
      <c r="C291">
        <v>94</v>
      </c>
      <c r="D291">
        <v>2.8400000000000002E-2</v>
      </c>
      <c r="E291">
        <v>14.535292651358141</v>
      </c>
      <c r="F291">
        <v>1519.3992726138879</v>
      </c>
      <c r="G291">
        <v>3.605</v>
      </c>
      <c r="H291">
        <v>4.3900000000000002E-2</v>
      </c>
      <c r="I291">
        <v>92.256739999999994</v>
      </c>
    </row>
    <row r="292" spans="1:9" x14ac:dyDescent="0.3">
      <c r="A292" t="s">
        <v>45</v>
      </c>
      <c r="B292" t="s">
        <v>336</v>
      </c>
      <c r="C292">
        <v>94</v>
      </c>
      <c r="D292">
        <v>3.6499999999999998E-2</v>
      </c>
      <c r="E292">
        <v>15.072981330822669</v>
      </c>
      <c r="F292">
        <v>1570.425928295072</v>
      </c>
      <c r="G292">
        <v>3.605</v>
      </c>
      <c r="H292">
        <v>5.2200000000000003E-2</v>
      </c>
      <c r="I292">
        <v>92.456909999999993</v>
      </c>
    </row>
    <row r="293" spans="1:9" x14ac:dyDescent="0.3">
      <c r="A293" t="s">
        <v>45</v>
      </c>
      <c r="B293" t="s">
        <v>337</v>
      </c>
      <c r="C293">
        <v>94</v>
      </c>
      <c r="D293">
        <v>4.7699999999999999E-2</v>
      </c>
      <c r="E293">
        <v>15.47828705419032</v>
      </c>
      <c r="F293">
        <v>1608.889441442662</v>
      </c>
      <c r="G293">
        <v>3.605</v>
      </c>
      <c r="H293">
        <v>5.8500000000000003E-2</v>
      </c>
      <c r="I293">
        <v>92.65607</v>
      </c>
    </row>
    <row r="294" spans="1:9" x14ac:dyDescent="0.3">
      <c r="A294" t="s">
        <v>45</v>
      </c>
      <c r="B294" t="s">
        <v>338</v>
      </c>
      <c r="C294">
        <v>94</v>
      </c>
      <c r="D294">
        <v>5.79E-2</v>
      </c>
      <c r="E294">
        <v>15.71552555716911</v>
      </c>
      <c r="F294">
        <v>1631.4033753753481</v>
      </c>
      <c r="G294">
        <v>3.605</v>
      </c>
      <c r="H294">
        <v>6.2199999999999998E-2</v>
      </c>
      <c r="I294">
        <v>92.856200000000001</v>
      </c>
    </row>
    <row r="295" spans="1:9" x14ac:dyDescent="0.3">
      <c r="A295" t="s">
        <v>45</v>
      </c>
      <c r="B295" t="s">
        <v>339</v>
      </c>
      <c r="C295">
        <v>94</v>
      </c>
      <c r="D295">
        <v>6.54E-2</v>
      </c>
      <c r="E295">
        <v>15.759107175258119</v>
      </c>
      <c r="F295">
        <v>1635.5392709319949</v>
      </c>
      <c r="G295">
        <v>3.605</v>
      </c>
      <c r="H295">
        <v>6.2899999999999998E-2</v>
      </c>
      <c r="I295">
        <v>93.056269999999998</v>
      </c>
    </row>
    <row r="296" spans="1:9" x14ac:dyDescent="0.3">
      <c r="A296" t="s">
        <v>45</v>
      </c>
      <c r="B296" t="s">
        <v>340</v>
      </c>
      <c r="C296">
        <v>94</v>
      </c>
      <c r="D296">
        <v>6.9099999999999995E-2</v>
      </c>
      <c r="E296">
        <v>15.6063736422206</v>
      </c>
      <c r="F296">
        <v>1524.5140234549599</v>
      </c>
      <c r="G296">
        <v>3.605</v>
      </c>
      <c r="H296">
        <v>6.0499999999999998E-2</v>
      </c>
      <c r="I296">
        <v>93.255139999999997</v>
      </c>
    </row>
    <row r="297" spans="1:9" x14ac:dyDescent="0.3">
      <c r="A297" t="s">
        <v>45</v>
      </c>
      <c r="B297" t="s">
        <v>341</v>
      </c>
      <c r="C297">
        <v>94</v>
      </c>
      <c r="D297">
        <v>6.5600000000000006E-2</v>
      </c>
      <c r="E297">
        <v>15.26481927392811</v>
      </c>
      <c r="F297">
        <v>1492.6811563301001</v>
      </c>
      <c r="G297">
        <v>3.605</v>
      </c>
      <c r="H297">
        <v>5.5199999999999999E-2</v>
      </c>
      <c r="I297">
        <v>93.457899999999995</v>
      </c>
    </row>
    <row r="298" spans="1:9" x14ac:dyDescent="0.3">
      <c r="A298" t="s">
        <v>45</v>
      </c>
      <c r="B298" t="s">
        <v>342</v>
      </c>
      <c r="C298">
        <v>94</v>
      </c>
      <c r="D298">
        <v>5.8400000000000001E-2</v>
      </c>
      <c r="E298">
        <v>14.7848453010133</v>
      </c>
      <c r="F298">
        <v>1447.947582054439</v>
      </c>
      <c r="G298">
        <v>3.605</v>
      </c>
      <c r="H298">
        <v>4.7699999999999999E-2</v>
      </c>
      <c r="I298">
        <v>93.655180000000001</v>
      </c>
    </row>
    <row r="299" spans="1:9" x14ac:dyDescent="0.3">
      <c r="A299" t="s">
        <v>45</v>
      </c>
      <c r="B299" t="s">
        <v>343</v>
      </c>
      <c r="C299">
        <v>94</v>
      </c>
      <c r="D299">
        <v>5.1299999999999998E-2</v>
      </c>
      <c r="E299">
        <v>14.191169220393901</v>
      </c>
      <c r="F299">
        <v>1392.616971340711</v>
      </c>
      <c r="G299">
        <v>3.605</v>
      </c>
      <c r="H299">
        <v>3.85E-2</v>
      </c>
      <c r="I299">
        <v>93.857020000000006</v>
      </c>
    </row>
    <row r="300" spans="1:9" x14ac:dyDescent="0.3">
      <c r="A300" t="s">
        <v>45</v>
      </c>
      <c r="B300" t="s">
        <v>344</v>
      </c>
      <c r="C300">
        <v>94</v>
      </c>
      <c r="D300">
        <v>4.6899999999999997E-2</v>
      </c>
      <c r="E300">
        <v>13.52865961431929</v>
      </c>
      <c r="F300">
        <v>1330.871076054558</v>
      </c>
      <c r="G300">
        <v>3.605</v>
      </c>
      <c r="H300">
        <v>2.8199999999999999E-2</v>
      </c>
      <c r="I300">
        <v>94.066379999999995</v>
      </c>
    </row>
    <row r="301" spans="1:9" x14ac:dyDescent="0.3">
      <c r="A301" t="s">
        <v>45</v>
      </c>
      <c r="B301" t="s">
        <v>345</v>
      </c>
      <c r="C301">
        <v>94</v>
      </c>
      <c r="D301">
        <v>3.7999999999999999E-2</v>
      </c>
      <c r="E301">
        <v>12.94428503270403</v>
      </c>
      <c r="F301">
        <v>1276.4073650480159</v>
      </c>
      <c r="G301">
        <v>3.605</v>
      </c>
      <c r="H301">
        <v>1.9099999999999999E-2</v>
      </c>
      <c r="I301">
        <v>94.256649999999993</v>
      </c>
    </row>
    <row r="302" spans="1:9" x14ac:dyDescent="0.3">
      <c r="A302" t="s">
        <v>45</v>
      </c>
      <c r="B302" t="s">
        <v>346</v>
      </c>
      <c r="C302">
        <v>95</v>
      </c>
      <c r="D302">
        <v>2.98E-2</v>
      </c>
      <c r="E302">
        <v>12.404363425819451</v>
      </c>
      <c r="F302">
        <v>1226.0866712863731</v>
      </c>
      <c r="G302">
        <v>3.605</v>
      </c>
      <c r="H302">
        <v>1.0800000000000001E-2</v>
      </c>
      <c r="I302">
        <v>94.457740000000001</v>
      </c>
    </row>
    <row r="303" spans="1:9" x14ac:dyDescent="0.3">
      <c r="A303" t="s">
        <v>45</v>
      </c>
      <c r="B303" t="s">
        <v>347</v>
      </c>
      <c r="C303">
        <v>95</v>
      </c>
      <c r="D303">
        <v>2.18E-2</v>
      </c>
      <c r="E303">
        <v>12.0015989903772</v>
      </c>
      <c r="F303">
        <v>1188.5490259031551</v>
      </c>
      <c r="G303">
        <v>3.605</v>
      </c>
      <c r="H303">
        <v>4.4999999999999997E-3</v>
      </c>
      <c r="I303">
        <v>94.655730000000005</v>
      </c>
    </row>
    <row r="304" spans="1:9" x14ac:dyDescent="0.3">
      <c r="A304" t="s">
        <v>45</v>
      </c>
      <c r="B304" t="s">
        <v>348</v>
      </c>
      <c r="C304">
        <v>95</v>
      </c>
      <c r="D304">
        <v>1.38E-2</v>
      </c>
      <c r="E304">
        <v>11.76430136976307</v>
      </c>
      <c r="F304">
        <v>1166.4328876619179</v>
      </c>
      <c r="G304">
        <v>3.605</v>
      </c>
      <c r="H304">
        <v>8.0000000000000004E-4</v>
      </c>
      <c r="I304">
        <v>94.855509999999995</v>
      </c>
    </row>
    <row r="305" spans="1:9" x14ac:dyDescent="0.3">
      <c r="A305" t="s">
        <v>45</v>
      </c>
      <c r="B305" t="s">
        <v>349</v>
      </c>
      <c r="C305">
        <v>95</v>
      </c>
      <c r="D305">
        <v>6.6E-3</v>
      </c>
      <c r="E305">
        <v>11.72009106927624</v>
      </c>
      <c r="F305">
        <v>1162.312487656546</v>
      </c>
      <c r="G305">
        <v>3.605</v>
      </c>
      <c r="H305">
        <v>1E-4</v>
      </c>
      <c r="I305">
        <v>95.055769999999995</v>
      </c>
    </row>
    <row r="306" spans="1:9" x14ac:dyDescent="0.3">
      <c r="A306" t="s">
        <v>45</v>
      </c>
      <c r="B306" t="s">
        <v>350</v>
      </c>
      <c r="C306">
        <v>95</v>
      </c>
      <c r="D306">
        <v>-1.4E-3</v>
      </c>
      <c r="E306">
        <v>11.873805314416691</v>
      </c>
      <c r="F306">
        <v>1266.824124338144</v>
      </c>
      <c r="G306">
        <v>3.605</v>
      </c>
      <c r="H306">
        <v>2.5000000000000001E-3</v>
      </c>
      <c r="I306">
        <v>95.255809999999997</v>
      </c>
    </row>
    <row r="307" spans="1:9" x14ac:dyDescent="0.3">
      <c r="A307" t="s">
        <v>45</v>
      </c>
      <c r="B307" t="s">
        <v>351</v>
      </c>
      <c r="C307">
        <v>95</v>
      </c>
      <c r="D307">
        <v>-1.1999999999999999E-3</v>
      </c>
      <c r="E307">
        <v>12.212596034624511</v>
      </c>
      <c r="F307">
        <v>1298.9753636858659</v>
      </c>
      <c r="G307">
        <v>3.605</v>
      </c>
      <c r="H307">
        <v>7.7999999999999996E-3</v>
      </c>
      <c r="I307">
        <v>95.456990000000005</v>
      </c>
    </row>
    <row r="308" spans="1:9" x14ac:dyDescent="0.3">
      <c r="A308" t="s">
        <v>45</v>
      </c>
      <c r="B308" t="s">
        <v>352</v>
      </c>
      <c r="C308">
        <v>95</v>
      </c>
      <c r="D308">
        <v>9.4000000000000004E-3</v>
      </c>
      <c r="E308">
        <v>12.70345486982208</v>
      </c>
      <c r="F308">
        <v>1345.5578671461151</v>
      </c>
      <c r="G308">
        <v>3.605</v>
      </c>
      <c r="H308">
        <v>1.54E-2</v>
      </c>
      <c r="I308">
        <v>95.658460000000005</v>
      </c>
    </row>
    <row r="309" spans="1:9" x14ac:dyDescent="0.3">
      <c r="A309" t="s">
        <v>45</v>
      </c>
      <c r="B309" t="s">
        <v>353</v>
      </c>
      <c r="C309">
        <v>95</v>
      </c>
      <c r="D309">
        <v>1.1299999999999999E-2</v>
      </c>
      <c r="E309">
        <v>13.28667872544894</v>
      </c>
      <c r="F309">
        <v>1400.905811045104</v>
      </c>
      <c r="G309">
        <v>3.605</v>
      </c>
      <c r="H309">
        <v>2.4500000000000001E-2</v>
      </c>
      <c r="I309">
        <v>95.856539999999995</v>
      </c>
    </row>
    <row r="310" spans="1:9" x14ac:dyDescent="0.3">
      <c r="A310" t="s">
        <v>45</v>
      </c>
      <c r="B310" t="s">
        <v>354</v>
      </c>
      <c r="C310">
        <v>95</v>
      </c>
      <c r="D310">
        <v>1.89E-2</v>
      </c>
      <c r="E310">
        <v>13.917810572066919</v>
      </c>
      <c r="F310">
        <v>1460.8002232891499</v>
      </c>
      <c r="G310">
        <v>3.605</v>
      </c>
      <c r="H310">
        <v>3.4299999999999997E-2</v>
      </c>
      <c r="I310">
        <v>96.056010000000001</v>
      </c>
    </row>
    <row r="311" spans="1:9" x14ac:dyDescent="0.3">
      <c r="A311" t="s">
        <v>45</v>
      </c>
      <c r="B311" t="s">
        <v>355</v>
      </c>
      <c r="C311">
        <v>95</v>
      </c>
      <c r="D311">
        <v>2.87E-2</v>
      </c>
      <c r="E311">
        <v>14.53566730633111</v>
      </c>
      <c r="F311">
        <v>1519.4348273708219</v>
      </c>
      <c r="G311">
        <v>3.605</v>
      </c>
      <c r="H311">
        <v>4.3900000000000002E-2</v>
      </c>
      <c r="I311">
        <v>96.256870000000006</v>
      </c>
    </row>
    <row r="312" spans="1:9" x14ac:dyDescent="0.3">
      <c r="A312" t="s">
        <v>45</v>
      </c>
      <c r="B312" t="s">
        <v>356</v>
      </c>
      <c r="C312">
        <v>95</v>
      </c>
      <c r="D312">
        <v>3.7600000000000001E-2</v>
      </c>
      <c r="E312">
        <v>15.074499818781289</v>
      </c>
      <c r="F312">
        <v>1570.570032802344</v>
      </c>
      <c r="G312">
        <v>3.605</v>
      </c>
      <c r="H312">
        <v>5.2200000000000003E-2</v>
      </c>
      <c r="I312">
        <v>96.457530000000006</v>
      </c>
    </row>
    <row r="313" spans="1:9" x14ac:dyDescent="0.3">
      <c r="A313" t="s">
        <v>45</v>
      </c>
      <c r="B313" t="s">
        <v>357</v>
      </c>
      <c r="C313">
        <v>95</v>
      </c>
      <c r="D313">
        <v>4.6600000000000003E-2</v>
      </c>
      <c r="E313">
        <v>15.48011653821416</v>
      </c>
      <c r="F313">
        <v>1609.063059476523</v>
      </c>
      <c r="G313">
        <v>3.605</v>
      </c>
      <c r="H313">
        <v>5.8500000000000003E-2</v>
      </c>
      <c r="I313">
        <v>96.657179999999997</v>
      </c>
    </row>
    <row r="314" spans="1:9" x14ac:dyDescent="0.3">
      <c r="A314" t="s">
        <v>45</v>
      </c>
      <c r="B314" t="s">
        <v>358</v>
      </c>
      <c r="C314">
        <v>95</v>
      </c>
      <c r="D314">
        <v>5.7099999999999998E-2</v>
      </c>
      <c r="E314">
        <v>15.716086323216309</v>
      </c>
      <c r="F314">
        <v>1631.456592073228</v>
      </c>
      <c r="G314">
        <v>3.605</v>
      </c>
      <c r="H314">
        <v>6.2199999999999998E-2</v>
      </c>
      <c r="I314">
        <v>96.856989999999996</v>
      </c>
    </row>
    <row r="315" spans="1:9" x14ac:dyDescent="0.3">
      <c r="A315" t="s">
        <v>45</v>
      </c>
      <c r="B315" t="s">
        <v>359</v>
      </c>
      <c r="C315">
        <v>95</v>
      </c>
      <c r="D315">
        <v>6.6299999999999998E-2</v>
      </c>
      <c r="E315">
        <v>15.7571228014078</v>
      </c>
      <c r="F315">
        <v>1635.3509538536</v>
      </c>
      <c r="G315">
        <v>3.605</v>
      </c>
      <c r="H315">
        <v>6.2799999999999995E-2</v>
      </c>
      <c r="I315">
        <v>97.062939999999998</v>
      </c>
    </row>
    <row r="316" spans="1:9" x14ac:dyDescent="0.3">
      <c r="A316" t="s">
        <v>45</v>
      </c>
      <c r="B316" t="s">
        <v>360</v>
      </c>
      <c r="C316">
        <v>95</v>
      </c>
      <c r="D316">
        <v>6.9000000000000006E-2</v>
      </c>
      <c r="E316">
        <v>15.603718214279089</v>
      </c>
      <c r="F316">
        <v>1524.2665375708109</v>
      </c>
      <c r="G316">
        <v>3.605</v>
      </c>
      <c r="H316">
        <v>6.0499999999999998E-2</v>
      </c>
      <c r="I316">
        <v>97.257260000000002</v>
      </c>
    </row>
    <row r="317" spans="1:9" x14ac:dyDescent="0.3">
      <c r="A317" t="s">
        <v>45</v>
      </c>
      <c r="B317" t="s">
        <v>361</v>
      </c>
      <c r="C317">
        <v>95</v>
      </c>
      <c r="D317">
        <v>6.6000000000000003E-2</v>
      </c>
      <c r="E317">
        <v>15.261509416196169</v>
      </c>
      <c r="F317">
        <v>1492.3726775894829</v>
      </c>
      <c r="G317">
        <v>3.605</v>
      </c>
      <c r="H317">
        <v>5.5100000000000003E-2</v>
      </c>
      <c r="I317">
        <v>97.459469999999996</v>
      </c>
    </row>
    <row r="318" spans="1:9" x14ac:dyDescent="0.3">
      <c r="A318" t="s">
        <v>45</v>
      </c>
      <c r="B318" t="s">
        <v>362</v>
      </c>
      <c r="C318">
        <v>95</v>
      </c>
      <c r="D318">
        <v>5.8599999999999999E-2</v>
      </c>
      <c r="E318">
        <v>14.776133356479599</v>
      </c>
      <c r="F318">
        <v>1447.135628823899</v>
      </c>
      <c r="G318">
        <v>3.605</v>
      </c>
      <c r="H318">
        <v>4.7600000000000003E-2</v>
      </c>
      <c r="I318">
        <v>97.658370000000005</v>
      </c>
    </row>
    <row r="319" spans="1:9" x14ac:dyDescent="0.3">
      <c r="A319" t="s">
        <v>45</v>
      </c>
      <c r="B319" t="s">
        <v>363</v>
      </c>
      <c r="C319">
        <v>95</v>
      </c>
      <c r="D319">
        <v>5.2699999999999997E-2</v>
      </c>
      <c r="E319">
        <v>14.18582430496788</v>
      </c>
      <c r="F319">
        <v>1392.118825223007</v>
      </c>
      <c r="G319">
        <v>3.605</v>
      </c>
      <c r="H319">
        <v>3.8399999999999997E-2</v>
      </c>
      <c r="I319">
        <v>97.858739999999997</v>
      </c>
    </row>
    <row r="320" spans="1:9" x14ac:dyDescent="0.3">
      <c r="A320" t="s">
        <v>45</v>
      </c>
      <c r="B320" t="s">
        <v>364</v>
      </c>
      <c r="C320">
        <v>95</v>
      </c>
      <c r="D320">
        <v>4.58E-2</v>
      </c>
      <c r="E320">
        <v>13.561755758814259</v>
      </c>
      <c r="F320">
        <v>1333.9556367214891</v>
      </c>
      <c r="G320">
        <v>3.605</v>
      </c>
      <c r="H320">
        <v>2.87E-2</v>
      </c>
      <c r="I320">
        <v>98.055940000000007</v>
      </c>
    </row>
    <row r="321" spans="1:9" x14ac:dyDescent="0.3">
      <c r="A321" t="s">
        <v>45</v>
      </c>
      <c r="B321" t="s">
        <v>365</v>
      </c>
      <c r="C321">
        <v>95</v>
      </c>
      <c r="D321">
        <v>3.73E-2</v>
      </c>
      <c r="E321">
        <v>12.93774032932888</v>
      </c>
      <c r="F321">
        <v>1275.797398693451</v>
      </c>
      <c r="G321">
        <v>3.605</v>
      </c>
      <c r="H321">
        <v>1.9E-2</v>
      </c>
      <c r="I321">
        <v>98.258889999999994</v>
      </c>
    </row>
    <row r="322" spans="1:9" x14ac:dyDescent="0.3">
      <c r="A322" t="s">
        <v>45</v>
      </c>
      <c r="B322" t="s">
        <v>366</v>
      </c>
      <c r="C322">
        <v>95</v>
      </c>
      <c r="D322">
        <v>2.98E-2</v>
      </c>
      <c r="E322">
        <v>12.400151395668839</v>
      </c>
      <c r="F322">
        <v>1225.6941100763361</v>
      </c>
      <c r="G322">
        <v>3.605</v>
      </c>
      <c r="H322">
        <v>1.0699999999999999E-2</v>
      </c>
      <c r="I322">
        <v>98.459500000000006</v>
      </c>
    </row>
    <row r="323" spans="1:9" x14ac:dyDescent="0.3">
      <c r="A323" t="s">
        <v>45</v>
      </c>
      <c r="B323" t="s">
        <v>367</v>
      </c>
      <c r="C323">
        <v>95</v>
      </c>
      <c r="D323">
        <v>2.1700000000000001E-2</v>
      </c>
      <c r="E323">
        <v>12.00010118142683</v>
      </c>
      <c r="F323">
        <v>1188.409430108981</v>
      </c>
      <c r="G323">
        <v>3.605</v>
      </c>
      <c r="H323">
        <v>4.4999999999999997E-3</v>
      </c>
      <c r="I323">
        <v>98.656639999999996</v>
      </c>
    </row>
    <row r="324" spans="1:9" x14ac:dyDescent="0.3">
      <c r="A324" t="s">
        <v>45</v>
      </c>
      <c r="B324" t="s">
        <v>368</v>
      </c>
      <c r="C324">
        <v>95</v>
      </c>
      <c r="D324">
        <v>1.37E-2</v>
      </c>
      <c r="E324">
        <v>11.763730994059101</v>
      </c>
      <c r="F324">
        <v>1166.379728646308</v>
      </c>
      <c r="G324">
        <v>3.605</v>
      </c>
      <c r="H324">
        <v>8.0000000000000004E-4</v>
      </c>
      <c r="I324">
        <v>98.856319999999997</v>
      </c>
    </row>
    <row r="325" spans="1:9" x14ac:dyDescent="0.3">
      <c r="A325" t="s">
        <v>45</v>
      </c>
      <c r="B325" t="s">
        <v>369</v>
      </c>
      <c r="C325">
        <v>95</v>
      </c>
      <c r="D325">
        <v>6.0000000000000001E-3</v>
      </c>
      <c r="E325">
        <v>11.72219283501809</v>
      </c>
      <c r="F325">
        <v>1162.5083722236859</v>
      </c>
      <c r="G325">
        <v>3.605</v>
      </c>
      <c r="H325">
        <v>2.0000000000000001E-4</v>
      </c>
      <c r="I325">
        <v>99.062870000000004</v>
      </c>
    </row>
    <row r="326" spans="1:9" x14ac:dyDescent="0.3">
      <c r="A326" t="s">
        <v>45</v>
      </c>
      <c r="B326" t="s">
        <v>370</v>
      </c>
      <c r="C326">
        <v>95</v>
      </c>
      <c r="D326">
        <v>-1E-4</v>
      </c>
      <c r="E326">
        <v>11.875785268635839</v>
      </c>
      <c r="F326">
        <v>1267.0120219935411</v>
      </c>
      <c r="G326">
        <v>3.605</v>
      </c>
      <c r="H326">
        <v>2.5000000000000001E-3</v>
      </c>
      <c r="I326">
        <v>99.257400000000004</v>
      </c>
    </row>
    <row r="327" spans="1:9" x14ac:dyDescent="0.3">
      <c r="A327" t="s">
        <v>45</v>
      </c>
      <c r="B327" t="s">
        <v>371</v>
      </c>
      <c r="C327">
        <v>95</v>
      </c>
      <c r="D327">
        <v>1.6999999999999999E-3</v>
      </c>
      <c r="E327">
        <v>12.23641987400933</v>
      </c>
      <c r="F327">
        <v>1301.2362460434849</v>
      </c>
      <c r="G327">
        <v>3.605</v>
      </c>
      <c r="H327">
        <v>8.0999999999999996E-3</v>
      </c>
      <c r="I327">
        <v>99.468239999999994</v>
      </c>
    </row>
    <row r="328" spans="1:9" x14ac:dyDescent="0.3">
      <c r="A328" t="s">
        <v>45</v>
      </c>
      <c r="B328" t="s">
        <v>372</v>
      </c>
      <c r="C328">
        <v>95</v>
      </c>
      <c r="D328">
        <v>7.4999999999999997E-3</v>
      </c>
      <c r="E328">
        <v>12.698252680100049</v>
      </c>
      <c r="F328">
        <v>1345.064179341495</v>
      </c>
      <c r="G328">
        <v>3.605</v>
      </c>
      <c r="H328">
        <v>1.5299999999999999E-2</v>
      </c>
      <c r="I328">
        <v>99.656559999999999</v>
      </c>
    </row>
    <row r="329" spans="1:9" x14ac:dyDescent="0.3">
      <c r="A329" t="s">
        <v>45</v>
      </c>
      <c r="B329" t="s">
        <v>373</v>
      </c>
      <c r="C329">
        <v>95</v>
      </c>
      <c r="D329">
        <v>1.4E-2</v>
      </c>
      <c r="E329">
        <v>13.303797295041621</v>
      </c>
      <c r="F329">
        <v>1402.5303632994501</v>
      </c>
      <c r="G329">
        <v>3.605</v>
      </c>
      <c r="H329">
        <v>2.47E-2</v>
      </c>
      <c r="I329">
        <v>99.862049999999996</v>
      </c>
    </row>
    <row r="330" spans="1:9" x14ac:dyDescent="0.3">
      <c r="A330" t="s">
        <v>45</v>
      </c>
      <c r="B330" t="s">
        <v>374</v>
      </c>
      <c r="C330">
        <v>95</v>
      </c>
      <c r="D330">
        <v>2.0899999999999998E-2</v>
      </c>
      <c r="E330">
        <v>13.9174768696397</v>
      </c>
      <c r="F330">
        <v>1460.7685549288069</v>
      </c>
      <c r="G330">
        <v>3.605</v>
      </c>
      <c r="H330">
        <v>3.4299999999999997E-2</v>
      </c>
      <c r="I330">
        <v>100.05589999999999</v>
      </c>
    </row>
    <row r="331" spans="1:9" x14ac:dyDescent="0.3">
      <c r="A331" t="s">
        <v>45</v>
      </c>
      <c r="B331" t="s">
        <v>375</v>
      </c>
      <c r="C331">
        <v>95</v>
      </c>
      <c r="D331">
        <v>2.8400000000000002E-2</v>
      </c>
      <c r="E331">
        <v>14.539653083803239</v>
      </c>
      <c r="F331">
        <v>1519.8130776529281</v>
      </c>
      <c r="G331">
        <v>3.605</v>
      </c>
      <c r="H331">
        <v>4.3900000000000002E-2</v>
      </c>
      <c r="I331">
        <v>100.2582</v>
      </c>
    </row>
    <row r="332" spans="1:9" x14ac:dyDescent="0.3">
      <c r="A332" t="s">
        <v>45</v>
      </c>
      <c r="B332" t="s">
        <v>376</v>
      </c>
      <c r="C332">
        <v>95</v>
      </c>
      <c r="D332">
        <v>3.8199999999999998E-2</v>
      </c>
      <c r="E332">
        <v>15.096321038132039</v>
      </c>
      <c r="F332">
        <v>1572.6408665187309</v>
      </c>
      <c r="G332">
        <v>3.605</v>
      </c>
      <c r="H332">
        <v>5.2600000000000001E-2</v>
      </c>
      <c r="I332">
        <v>100.4667</v>
      </c>
    </row>
    <row r="333" spans="1:9" x14ac:dyDescent="0.3">
      <c r="A333" t="s">
        <v>45</v>
      </c>
      <c r="B333" t="s">
        <v>377</v>
      </c>
      <c r="C333">
        <v>95</v>
      </c>
      <c r="D333">
        <v>4.7800000000000002E-2</v>
      </c>
      <c r="E333">
        <v>15.483142160950379</v>
      </c>
      <c r="F333">
        <v>1609.3501910741909</v>
      </c>
      <c r="G333">
        <v>3.605</v>
      </c>
      <c r="H333">
        <v>5.8599999999999999E-2</v>
      </c>
      <c r="I333">
        <v>100.65900000000001</v>
      </c>
    </row>
    <row r="334" spans="1:9" x14ac:dyDescent="0.3">
      <c r="A334" t="s">
        <v>45</v>
      </c>
      <c r="B334" t="s">
        <v>378</v>
      </c>
      <c r="C334">
        <v>95</v>
      </c>
      <c r="D334">
        <v>5.79E-2</v>
      </c>
      <c r="E334">
        <v>15.716032395606559</v>
      </c>
      <c r="F334">
        <v>1631.451474343063</v>
      </c>
      <c r="G334">
        <v>3.605</v>
      </c>
      <c r="H334">
        <v>6.2199999999999998E-2</v>
      </c>
      <c r="I334">
        <v>100.8569</v>
      </c>
    </row>
    <row r="335" spans="1:9" x14ac:dyDescent="0.3">
      <c r="A335" t="s">
        <v>45</v>
      </c>
      <c r="B335" t="s">
        <v>379</v>
      </c>
      <c r="C335">
        <v>95</v>
      </c>
      <c r="D335">
        <v>6.5799999999999997E-2</v>
      </c>
      <c r="E335">
        <v>15.75824554991445</v>
      </c>
      <c r="F335">
        <v>1635.4575026868811</v>
      </c>
      <c r="G335">
        <v>3.605</v>
      </c>
      <c r="H335">
        <v>6.2899999999999998E-2</v>
      </c>
      <c r="I335">
        <v>101.05929999999999</v>
      </c>
    </row>
    <row r="336" spans="1:9" x14ac:dyDescent="0.3">
      <c r="A336" t="s">
        <v>45</v>
      </c>
      <c r="B336" t="s">
        <v>380</v>
      </c>
      <c r="C336">
        <v>95</v>
      </c>
      <c r="D336">
        <v>6.9099999999999995E-2</v>
      </c>
      <c r="E336">
        <v>15.605596354792921</v>
      </c>
      <c r="F336">
        <v>1524.4415802666999</v>
      </c>
      <c r="G336">
        <v>3.605</v>
      </c>
      <c r="H336">
        <v>6.0499999999999998E-2</v>
      </c>
      <c r="I336">
        <v>101.25579999999999</v>
      </c>
    </row>
    <row r="337" spans="1:9" x14ac:dyDescent="0.3">
      <c r="A337" t="s">
        <v>45</v>
      </c>
      <c r="B337" t="s">
        <v>381</v>
      </c>
      <c r="C337">
        <v>95</v>
      </c>
      <c r="D337">
        <v>6.6600000000000006E-2</v>
      </c>
      <c r="E337">
        <v>11.712315275610051</v>
      </c>
      <c r="F337">
        <v>1161.5877836868569</v>
      </c>
      <c r="G337">
        <v>3.605</v>
      </c>
      <c r="H337">
        <v>0</v>
      </c>
      <c r="I337">
        <v>101.4579</v>
      </c>
    </row>
    <row r="338" spans="1:9" x14ac:dyDescent="0.3">
      <c r="A338" t="s">
        <v>45</v>
      </c>
      <c r="B338" t="s">
        <v>382</v>
      </c>
      <c r="C338">
        <v>95</v>
      </c>
      <c r="D338">
        <v>5.16E-2</v>
      </c>
      <c r="E338">
        <v>11.712315275610051</v>
      </c>
      <c r="F338">
        <v>1161.5877836868569</v>
      </c>
      <c r="G338">
        <v>3.605</v>
      </c>
      <c r="H338">
        <v>0</v>
      </c>
      <c r="I338">
        <v>101.66630000000001</v>
      </c>
    </row>
    <row r="339" spans="1:9" x14ac:dyDescent="0.3">
      <c r="A339" t="s">
        <v>45</v>
      </c>
      <c r="B339" t="s">
        <v>383</v>
      </c>
      <c r="C339">
        <v>95</v>
      </c>
      <c r="D339">
        <v>3.7499999999999999E-2</v>
      </c>
      <c r="E339">
        <v>11.712315275610051</v>
      </c>
      <c r="F339">
        <v>1161.5877836868569</v>
      </c>
      <c r="G339">
        <v>3.605</v>
      </c>
      <c r="H339">
        <v>0</v>
      </c>
      <c r="I339">
        <v>101.8579</v>
      </c>
    </row>
    <row r="340" spans="1:9" x14ac:dyDescent="0.3">
      <c r="A340" t="s">
        <v>45</v>
      </c>
      <c r="B340" t="s">
        <v>384</v>
      </c>
      <c r="C340">
        <v>95</v>
      </c>
      <c r="D340">
        <v>2.2800000000000001E-2</v>
      </c>
      <c r="E340">
        <v>15.767022775238891</v>
      </c>
      <c r="F340">
        <v>1636.290461370171</v>
      </c>
      <c r="G340">
        <v>3.605</v>
      </c>
      <c r="H340">
        <v>6.3E-2</v>
      </c>
      <c r="I340">
        <v>102.0562</v>
      </c>
    </row>
    <row r="341" spans="1:9" x14ac:dyDescent="0.3">
      <c r="A341" t="s">
        <v>45</v>
      </c>
      <c r="B341" t="s">
        <v>385</v>
      </c>
      <c r="C341">
        <v>95</v>
      </c>
      <c r="D341">
        <v>3.3599999999999998E-2</v>
      </c>
      <c r="E341">
        <v>15.767022775238891</v>
      </c>
      <c r="F341">
        <v>1539.486522652265</v>
      </c>
      <c r="G341">
        <v>3.605</v>
      </c>
      <c r="H341">
        <v>6.3E-2</v>
      </c>
      <c r="I341">
        <v>102.2595</v>
      </c>
    </row>
    <row r="342" spans="1:9" x14ac:dyDescent="0.3">
      <c r="A342" t="s">
        <v>45</v>
      </c>
      <c r="B342" t="s">
        <v>386</v>
      </c>
      <c r="C342">
        <v>95</v>
      </c>
      <c r="D342">
        <v>4.9299999999999997E-2</v>
      </c>
      <c r="E342">
        <v>15.767022775238891</v>
      </c>
      <c r="F342">
        <v>1539.486522652265</v>
      </c>
      <c r="G342">
        <v>3.605</v>
      </c>
      <c r="H342">
        <v>6.3E-2</v>
      </c>
      <c r="I342">
        <v>102.4554</v>
      </c>
    </row>
    <row r="343" spans="1:9" x14ac:dyDescent="0.3">
      <c r="A343" t="s">
        <v>45</v>
      </c>
      <c r="B343" t="s">
        <v>387</v>
      </c>
      <c r="C343">
        <v>95</v>
      </c>
      <c r="D343">
        <v>5.1299999999999998E-2</v>
      </c>
      <c r="E343">
        <v>15.767022775238891</v>
      </c>
      <c r="F343">
        <v>1539.486522652265</v>
      </c>
      <c r="G343">
        <v>3.605</v>
      </c>
      <c r="H343">
        <v>6.3E-2</v>
      </c>
      <c r="I343">
        <v>102.65730000000001</v>
      </c>
    </row>
    <row r="344" spans="1:9" x14ac:dyDescent="0.3">
      <c r="A344" t="s">
        <v>45</v>
      </c>
      <c r="B344" t="s">
        <v>388</v>
      </c>
      <c r="C344">
        <v>95</v>
      </c>
      <c r="D344">
        <v>5.1200000000000002E-2</v>
      </c>
      <c r="E344">
        <v>15.767022775238891</v>
      </c>
      <c r="F344">
        <v>1539.486522652265</v>
      </c>
      <c r="G344">
        <v>3.605</v>
      </c>
      <c r="H344">
        <v>6.3E-2</v>
      </c>
      <c r="I344">
        <v>102.8566</v>
      </c>
    </row>
    <row r="345" spans="1:9" x14ac:dyDescent="0.3">
      <c r="A345" t="s">
        <v>45</v>
      </c>
      <c r="B345" t="s">
        <v>389</v>
      </c>
      <c r="C345">
        <v>95</v>
      </c>
      <c r="D345">
        <v>5.1200000000000002E-2</v>
      </c>
      <c r="E345">
        <v>15.767022775238891</v>
      </c>
      <c r="F345">
        <v>1539.486522652265</v>
      </c>
      <c r="G345">
        <v>3.605</v>
      </c>
      <c r="H345">
        <v>6.3E-2</v>
      </c>
      <c r="I345">
        <v>103.04989999999999</v>
      </c>
    </row>
    <row r="346" spans="1:9" x14ac:dyDescent="0.3">
      <c r="A346" t="s">
        <v>45</v>
      </c>
      <c r="B346" t="s">
        <v>390</v>
      </c>
      <c r="C346">
        <v>95</v>
      </c>
      <c r="D346">
        <v>5.1200000000000002E-2</v>
      </c>
      <c r="E346">
        <v>15.767022775238891</v>
      </c>
      <c r="F346">
        <v>1539.486522652265</v>
      </c>
      <c r="G346">
        <v>3.605</v>
      </c>
      <c r="H346">
        <v>6.3E-2</v>
      </c>
      <c r="I346">
        <v>103.2559</v>
      </c>
    </row>
    <row r="347" spans="1:9" x14ac:dyDescent="0.3">
      <c r="A347" t="s">
        <v>45</v>
      </c>
      <c r="B347" t="s">
        <v>391</v>
      </c>
      <c r="C347">
        <v>95</v>
      </c>
      <c r="D347">
        <v>5.1200000000000002E-2</v>
      </c>
      <c r="E347">
        <v>15.767022775238891</v>
      </c>
      <c r="F347">
        <v>1539.486522652265</v>
      </c>
      <c r="G347">
        <v>3.605</v>
      </c>
      <c r="H347">
        <v>6.3E-2</v>
      </c>
      <c r="I347">
        <v>103.45699999999999</v>
      </c>
    </row>
    <row r="348" spans="1:9" x14ac:dyDescent="0.3">
      <c r="A348" t="s">
        <v>45</v>
      </c>
      <c r="B348" t="s">
        <v>392</v>
      </c>
      <c r="C348">
        <v>95</v>
      </c>
      <c r="D348">
        <v>5.1200000000000002E-2</v>
      </c>
      <c r="E348">
        <v>15.767022775238891</v>
      </c>
      <c r="F348">
        <v>1539.486522652265</v>
      </c>
      <c r="G348">
        <v>3.605</v>
      </c>
      <c r="H348">
        <v>6.3E-2</v>
      </c>
      <c r="I348">
        <v>103.6561</v>
      </c>
    </row>
    <row r="349" spans="1:9" x14ac:dyDescent="0.3">
      <c r="A349" t="s">
        <v>45</v>
      </c>
      <c r="B349" t="s">
        <v>393</v>
      </c>
      <c r="C349">
        <v>95</v>
      </c>
      <c r="D349">
        <v>5.1200000000000002E-2</v>
      </c>
      <c r="E349">
        <v>15.767022775238891</v>
      </c>
      <c r="F349">
        <v>1539.486522652265</v>
      </c>
      <c r="G349">
        <v>3.605</v>
      </c>
      <c r="H349">
        <v>6.3E-2</v>
      </c>
      <c r="I349">
        <v>103.8595</v>
      </c>
    </row>
    <row r="350" spans="1:9" x14ac:dyDescent="0.3">
      <c r="A350" t="s">
        <v>45</v>
      </c>
      <c r="B350" t="s">
        <v>394</v>
      </c>
      <c r="C350">
        <v>95</v>
      </c>
      <c r="D350">
        <v>5.1200000000000002E-2</v>
      </c>
      <c r="E350">
        <v>11.712315275610051</v>
      </c>
      <c r="F350">
        <v>1161.5877836868569</v>
      </c>
      <c r="G350">
        <v>3.605</v>
      </c>
      <c r="H350">
        <v>0</v>
      </c>
      <c r="I350">
        <v>104.0566</v>
      </c>
    </row>
    <row r="351" spans="1:9" x14ac:dyDescent="0.3">
      <c r="A351" t="s">
        <v>45</v>
      </c>
      <c r="B351" t="s">
        <v>395</v>
      </c>
      <c r="C351">
        <v>95</v>
      </c>
      <c r="D351">
        <v>4.2500000000000003E-2</v>
      </c>
      <c r="E351">
        <v>11.712315275610051</v>
      </c>
      <c r="F351">
        <v>1161.5877836868569</v>
      </c>
      <c r="G351">
        <v>3.605</v>
      </c>
      <c r="H351">
        <v>0</v>
      </c>
      <c r="I351">
        <v>104.2574</v>
      </c>
    </row>
    <row r="352" spans="1:9" x14ac:dyDescent="0.3">
      <c r="A352" t="s">
        <v>45</v>
      </c>
      <c r="B352" t="s">
        <v>396</v>
      </c>
      <c r="C352">
        <v>95</v>
      </c>
      <c r="D352">
        <v>2.5700000000000001E-2</v>
      </c>
      <c r="E352">
        <v>11.712315275610051</v>
      </c>
      <c r="F352">
        <v>1161.5877836868569</v>
      </c>
      <c r="G352">
        <v>3.605</v>
      </c>
      <c r="H352">
        <v>0</v>
      </c>
      <c r="I352">
        <v>104.4567</v>
      </c>
    </row>
    <row r="353" spans="1:9" x14ac:dyDescent="0.3">
      <c r="A353" t="s">
        <v>45</v>
      </c>
      <c r="B353" t="s">
        <v>397</v>
      </c>
      <c r="C353">
        <v>95</v>
      </c>
      <c r="D353">
        <v>1.06E-2</v>
      </c>
      <c r="E353">
        <v>11.712315275610051</v>
      </c>
      <c r="F353">
        <v>1161.5877836868569</v>
      </c>
      <c r="G353">
        <v>3.605</v>
      </c>
      <c r="H353">
        <v>0</v>
      </c>
      <c r="I353">
        <v>104.66160000000001</v>
      </c>
    </row>
    <row r="354" spans="1:9" x14ac:dyDescent="0.3">
      <c r="A354" t="s">
        <v>45</v>
      </c>
      <c r="B354" t="s">
        <v>398</v>
      </c>
      <c r="C354">
        <v>95</v>
      </c>
      <c r="D354">
        <v>2.0999999999999999E-3</v>
      </c>
      <c r="E354">
        <v>11.712315275610051</v>
      </c>
      <c r="F354">
        <v>1161.5877836868569</v>
      </c>
      <c r="G354">
        <v>3.605</v>
      </c>
      <c r="H354">
        <v>0</v>
      </c>
      <c r="I354">
        <v>104.85550000000001</v>
      </c>
    </row>
    <row r="355" spans="1:9" x14ac:dyDescent="0.3">
      <c r="A355" t="s">
        <v>45</v>
      </c>
      <c r="B355" t="s">
        <v>399</v>
      </c>
      <c r="C355">
        <v>95</v>
      </c>
      <c r="D355">
        <v>-1.6999999999999999E-3</v>
      </c>
      <c r="E355">
        <v>11.712315275610051</v>
      </c>
      <c r="F355">
        <v>1161.5877836868569</v>
      </c>
      <c r="G355">
        <v>3.605</v>
      </c>
      <c r="H355">
        <v>0</v>
      </c>
      <c r="I355">
        <v>105.05759999999999</v>
      </c>
    </row>
    <row r="356" spans="1:9" x14ac:dyDescent="0.3">
      <c r="A356" t="s">
        <v>45</v>
      </c>
      <c r="B356" t="s">
        <v>400</v>
      </c>
      <c r="C356">
        <v>95</v>
      </c>
      <c r="D356">
        <v>-1.9E-3</v>
      </c>
      <c r="E356">
        <v>11.712315275610051</v>
      </c>
      <c r="F356">
        <v>1161.5877836868569</v>
      </c>
      <c r="G356">
        <v>3.605</v>
      </c>
      <c r="H356">
        <v>0</v>
      </c>
      <c r="I356">
        <v>105.2577</v>
      </c>
    </row>
    <row r="357" spans="1:9" x14ac:dyDescent="0.3">
      <c r="A357" t="s">
        <v>45</v>
      </c>
      <c r="B357" t="s">
        <v>401</v>
      </c>
      <c r="C357">
        <v>95</v>
      </c>
      <c r="D357">
        <v>-2E-3</v>
      </c>
      <c r="E357">
        <v>11.712315275610051</v>
      </c>
      <c r="F357">
        <v>1161.5877836868569</v>
      </c>
      <c r="G357">
        <v>3.605</v>
      </c>
      <c r="H357">
        <v>0</v>
      </c>
      <c r="I357">
        <v>105.4569</v>
      </c>
    </row>
    <row r="358" spans="1:9" x14ac:dyDescent="0.3">
      <c r="A358" t="s">
        <v>45</v>
      </c>
      <c r="B358" t="s">
        <v>402</v>
      </c>
      <c r="C358">
        <v>95</v>
      </c>
      <c r="D358">
        <v>-1.9E-3</v>
      </c>
      <c r="E358">
        <v>11.712315275610051</v>
      </c>
      <c r="F358">
        <v>1161.5877836868569</v>
      </c>
      <c r="G358">
        <v>3.605</v>
      </c>
      <c r="H358">
        <v>0</v>
      </c>
      <c r="I358">
        <v>105.6636</v>
      </c>
    </row>
    <row r="359" spans="1:9" x14ac:dyDescent="0.3">
      <c r="A359" t="s">
        <v>45</v>
      </c>
      <c r="B359" t="s">
        <v>403</v>
      </c>
      <c r="C359">
        <v>95</v>
      </c>
      <c r="D359">
        <v>-2E-3</v>
      </c>
      <c r="E359">
        <v>11.712315275610051</v>
      </c>
      <c r="F359">
        <v>1161.5877836868569</v>
      </c>
      <c r="G359">
        <v>3.605</v>
      </c>
      <c r="H359">
        <v>0</v>
      </c>
      <c r="I359">
        <v>105.8584</v>
      </c>
    </row>
    <row r="360" spans="1:9" x14ac:dyDescent="0.3">
      <c r="A360" t="s">
        <v>45</v>
      </c>
      <c r="B360" t="s">
        <v>404</v>
      </c>
      <c r="C360">
        <v>95</v>
      </c>
      <c r="D360">
        <v>-1.9E-3</v>
      </c>
      <c r="E360">
        <v>15.767022775238891</v>
      </c>
      <c r="F360">
        <v>1636.290461370171</v>
      </c>
      <c r="G360">
        <v>3.605</v>
      </c>
      <c r="H360">
        <v>6.3E-2</v>
      </c>
      <c r="I360">
        <v>106.05629999999999</v>
      </c>
    </row>
    <row r="361" spans="1:9" x14ac:dyDescent="0.3">
      <c r="A361" t="s">
        <v>45</v>
      </c>
      <c r="B361" t="s">
        <v>405</v>
      </c>
      <c r="C361">
        <v>95</v>
      </c>
      <c r="D361">
        <v>2.3800000000000002E-2</v>
      </c>
      <c r="E361">
        <v>15.767022775238891</v>
      </c>
      <c r="F361">
        <v>1539.486522652265</v>
      </c>
      <c r="G361">
        <v>3.605</v>
      </c>
      <c r="H361">
        <v>6.3E-2</v>
      </c>
      <c r="I361">
        <v>106.25709999999999</v>
      </c>
    </row>
    <row r="362" spans="1:9" x14ac:dyDescent="0.3">
      <c r="A362" t="s">
        <v>45</v>
      </c>
      <c r="B362" t="s">
        <v>406</v>
      </c>
      <c r="C362">
        <v>95</v>
      </c>
      <c r="D362">
        <v>4.7199999999999999E-2</v>
      </c>
      <c r="E362">
        <v>15.767022775238891</v>
      </c>
      <c r="F362">
        <v>1539.486522652265</v>
      </c>
      <c r="G362">
        <v>3.605</v>
      </c>
      <c r="H362">
        <v>6.3E-2</v>
      </c>
      <c r="I362">
        <v>106.4555</v>
      </c>
    </row>
    <row r="363" spans="1:9" x14ac:dyDescent="0.3">
      <c r="A363" t="s">
        <v>45</v>
      </c>
      <c r="B363" t="s">
        <v>407</v>
      </c>
      <c r="C363">
        <v>95</v>
      </c>
      <c r="D363">
        <v>5.11E-2</v>
      </c>
      <c r="E363">
        <v>15.767022775238891</v>
      </c>
      <c r="F363">
        <v>1539.486522652265</v>
      </c>
      <c r="G363">
        <v>3.605</v>
      </c>
      <c r="H363">
        <v>6.3E-2</v>
      </c>
      <c r="I363">
        <v>106.6587</v>
      </c>
    </row>
    <row r="364" spans="1:9" x14ac:dyDescent="0.3">
      <c r="A364" t="s">
        <v>45</v>
      </c>
      <c r="B364" t="s">
        <v>408</v>
      </c>
      <c r="C364">
        <v>95</v>
      </c>
      <c r="D364">
        <v>5.1700000000000003E-2</v>
      </c>
      <c r="E364">
        <v>15.767022775238891</v>
      </c>
      <c r="F364">
        <v>1539.486522652265</v>
      </c>
      <c r="G364">
        <v>3.605</v>
      </c>
      <c r="H364">
        <v>6.3E-2</v>
      </c>
      <c r="I364">
        <v>106.8557</v>
      </c>
    </row>
    <row r="365" spans="1:9" x14ac:dyDescent="0.3">
      <c r="A365" t="s">
        <v>45</v>
      </c>
      <c r="B365" t="s">
        <v>409</v>
      </c>
      <c r="C365">
        <v>95</v>
      </c>
      <c r="D365">
        <v>5.1700000000000003E-2</v>
      </c>
      <c r="E365">
        <v>15.767022775238891</v>
      </c>
      <c r="F365">
        <v>1539.486522652265</v>
      </c>
      <c r="G365">
        <v>3.605</v>
      </c>
      <c r="H365">
        <v>6.3E-2</v>
      </c>
      <c r="I365">
        <v>107.056</v>
      </c>
    </row>
    <row r="366" spans="1:9" x14ac:dyDescent="0.3">
      <c r="A366" t="s">
        <v>45</v>
      </c>
      <c r="B366" t="s">
        <v>410</v>
      </c>
      <c r="C366">
        <v>95</v>
      </c>
      <c r="D366">
        <v>5.1700000000000003E-2</v>
      </c>
      <c r="E366">
        <v>15.767022775238891</v>
      </c>
      <c r="F366">
        <v>1539.486522652265</v>
      </c>
      <c r="G366">
        <v>3.605</v>
      </c>
      <c r="H366">
        <v>6.3E-2</v>
      </c>
      <c r="I366">
        <v>107.2559</v>
      </c>
    </row>
    <row r="367" spans="1:9" x14ac:dyDescent="0.3">
      <c r="A367" t="s">
        <v>45</v>
      </c>
      <c r="B367" t="s">
        <v>411</v>
      </c>
      <c r="C367">
        <v>95</v>
      </c>
      <c r="D367">
        <v>5.1700000000000003E-2</v>
      </c>
      <c r="E367">
        <v>15.767022775238891</v>
      </c>
      <c r="F367">
        <v>1539.486522652265</v>
      </c>
      <c r="G367">
        <v>3.605</v>
      </c>
      <c r="H367">
        <v>6.3E-2</v>
      </c>
      <c r="I367">
        <v>107.4571</v>
      </c>
    </row>
    <row r="368" spans="1:9" x14ac:dyDescent="0.3">
      <c r="A368" t="s">
        <v>45</v>
      </c>
      <c r="B368" t="s">
        <v>412</v>
      </c>
      <c r="C368">
        <v>95</v>
      </c>
      <c r="D368">
        <v>5.1700000000000003E-2</v>
      </c>
      <c r="E368">
        <v>15.767022775238891</v>
      </c>
      <c r="F368">
        <v>1539.486522652265</v>
      </c>
      <c r="G368">
        <v>3.605</v>
      </c>
      <c r="H368">
        <v>6.3E-2</v>
      </c>
      <c r="I368">
        <v>107.65900000000001</v>
      </c>
    </row>
    <row r="369" spans="1:9" x14ac:dyDescent="0.3">
      <c r="A369" t="s">
        <v>45</v>
      </c>
      <c r="B369" t="s">
        <v>413</v>
      </c>
      <c r="C369">
        <v>95</v>
      </c>
      <c r="D369">
        <v>5.1700000000000003E-2</v>
      </c>
      <c r="E369">
        <v>15.767022775238891</v>
      </c>
      <c r="F369">
        <v>1539.486522652265</v>
      </c>
      <c r="G369">
        <v>3.605</v>
      </c>
      <c r="H369">
        <v>6.3E-2</v>
      </c>
      <c r="I369">
        <v>107.8618</v>
      </c>
    </row>
    <row r="370" spans="1:9" x14ac:dyDescent="0.3">
      <c r="A370" t="s">
        <v>45</v>
      </c>
      <c r="B370" t="s">
        <v>414</v>
      </c>
      <c r="C370">
        <v>95</v>
      </c>
      <c r="D370">
        <v>5.1700000000000003E-2</v>
      </c>
      <c r="E370">
        <v>11.712315275610051</v>
      </c>
      <c r="F370">
        <v>1161.5877836868569</v>
      </c>
      <c r="G370">
        <v>3.605</v>
      </c>
      <c r="H370">
        <v>0</v>
      </c>
      <c r="I370">
        <v>108.056</v>
      </c>
    </row>
    <row r="371" spans="1:9" x14ac:dyDescent="0.3">
      <c r="A371" t="s">
        <v>45</v>
      </c>
      <c r="B371" t="s">
        <v>415</v>
      </c>
      <c r="C371">
        <v>95</v>
      </c>
      <c r="D371">
        <v>4.3299999999999998E-2</v>
      </c>
      <c r="E371">
        <v>11.712315275610051</v>
      </c>
      <c r="F371">
        <v>1161.5877836868569</v>
      </c>
      <c r="G371">
        <v>3.605</v>
      </c>
      <c r="H371">
        <v>0</v>
      </c>
      <c r="I371">
        <v>108.2568</v>
      </c>
    </row>
    <row r="372" spans="1:9" x14ac:dyDescent="0.3">
      <c r="A372" t="s">
        <v>45</v>
      </c>
      <c r="B372" t="s">
        <v>416</v>
      </c>
      <c r="C372">
        <v>95</v>
      </c>
      <c r="D372">
        <v>2.5700000000000001E-2</v>
      </c>
      <c r="E372">
        <v>11.712315275610051</v>
      </c>
      <c r="F372">
        <v>1161.5877836868569</v>
      </c>
      <c r="G372">
        <v>3.605</v>
      </c>
      <c r="H372">
        <v>0</v>
      </c>
      <c r="I372">
        <v>108.456</v>
      </c>
    </row>
    <row r="373" spans="1:9" x14ac:dyDescent="0.3">
      <c r="A373" t="s">
        <v>45</v>
      </c>
      <c r="B373" t="s">
        <v>417</v>
      </c>
      <c r="C373">
        <v>95</v>
      </c>
      <c r="D373">
        <v>1.14E-2</v>
      </c>
      <c r="E373">
        <v>11.712315275610051</v>
      </c>
      <c r="F373">
        <v>1161.5877836868569</v>
      </c>
      <c r="G373">
        <v>3.605</v>
      </c>
      <c r="H373">
        <v>0</v>
      </c>
      <c r="I373">
        <v>108.657</v>
      </c>
    </row>
    <row r="374" spans="1:9" x14ac:dyDescent="0.3">
      <c r="A374" t="s">
        <v>45</v>
      </c>
      <c r="B374" t="s">
        <v>418</v>
      </c>
      <c r="C374">
        <v>95</v>
      </c>
      <c r="D374">
        <v>2.2000000000000001E-3</v>
      </c>
      <c r="E374">
        <v>11.712315275610051</v>
      </c>
      <c r="F374">
        <v>1161.5877836868569</v>
      </c>
      <c r="G374">
        <v>3.605</v>
      </c>
      <c r="H374">
        <v>0</v>
      </c>
      <c r="I374">
        <v>108.8567</v>
      </c>
    </row>
    <row r="375" spans="1:9" x14ac:dyDescent="0.3">
      <c r="A375" t="s">
        <v>45</v>
      </c>
      <c r="B375" t="s">
        <v>419</v>
      </c>
      <c r="C375">
        <v>95</v>
      </c>
      <c r="D375">
        <v>-1.9E-3</v>
      </c>
      <c r="E375">
        <v>11.712315275610051</v>
      </c>
      <c r="F375">
        <v>1161.5877836868569</v>
      </c>
      <c r="G375">
        <v>3.605</v>
      </c>
      <c r="H375">
        <v>0</v>
      </c>
      <c r="I375">
        <v>109.0617</v>
      </c>
    </row>
    <row r="376" spans="1:9" x14ac:dyDescent="0.3">
      <c r="A376" t="s">
        <v>45</v>
      </c>
      <c r="B376" t="s">
        <v>420</v>
      </c>
      <c r="C376">
        <v>95</v>
      </c>
      <c r="D376">
        <v>-2.2000000000000001E-3</v>
      </c>
      <c r="E376">
        <v>11.712315275610051</v>
      </c>
      <c r="F376">
        <v>1161.5877836868569</v>
      </c>
      <c r="G376">
        <v>3.605</v>
      </c>
      <c r="H376">
        <v>0</v>
      </c>
      <c r="I376">
        <v>109.2556</v>
      </c>
    </row>
    <row r="377" spans="1:9" x14ac:dyDescent="0.3">
      <c r="A377" t="s">
        <v>45</v>
      </c>
      <c r="B377" t="s">
        <v>421</v>
      </c>
      <c r="C377">
        <v>95</v>
      </c>
      <c r="D377">
        <v>-2.2000000000000001E-3</v>
      </c>
      <c r="E377">
        <v>11.712315275610051</v>
      </c>
      <c r="F377">
        <v>1161.5877836868569</v>
      </c>
      <c r="G377">
        <v>3.605</v>
      </c>
      <c r="H377">
        <v>0</v>
      </c>
      <c r="I377">
        <v>109.458</v>
      </c>
    </row>
    <row r="378" spans="1:9" x14ac:dyDescent="0.3">
      <c r="A378" t="s">
        <v>45</v>
      </c>
      <c r="B378" t="s">
        <v>422</v>
      </c>
      <c r="C378">
        <v>95</v>
      </c>
      <c r="D378">
        <v>-2.2000000000000001E-3</v>
      </c>
      <c r="E378">
        <v>11.712315275610051</v>
      </c>
      <c r="F378">
        <v>1161.5877836868569</v>
      </c>
      <c r="G378">
        <v>3.605</v>
      </c>
      <c r="H378">
        <v>0</v>
      </c>
      <c r="I378">
        <v>109.6542</v>
      </c>
    </row>
    <row r="379" spans="1:9" x14ac:dyDescent="0.3">
      <c r="A379" t="s">
        <v>45</v>
      </c>
      <c r="B379" t="s">
        <v>423</v>
      </c>
      <c r="C379">
        <v>95</v>
      </c>
      <c r="D379">
        <v>-2.2000000000000001E-3</v>
      </c>
      <c r="E379">
        <v>11.712315275610051</v>
      </c>
      <c r="F379">
        <v>1161.5877836868569</v>
      </c>
      <c r="G379">
        <v>3.605</v>
      </c>
      <c r="H379">
        <v>0</v>
      </c>
      <c r="I379">
        <v>109.85680000000001</v>
      </c>
    </row>
    <row r="380" spans="1:9" x14ac:dyDescent="0.3">
      <c r="A380" t="s">
        <v>45</v>
      </c>
      <c r="B380" t="s">
        <v>424</v>
      </c>
      <c r="C380">
        <v>95</v>
      </c>
      <c r="D380">
        <v>-2.2000000000000001E-3</v>
      </c>
      <c r="E380">
        <v>15.767022775238891</v>
      </c>
      <c r="F380">
        <v>1636.290461370171</v>
      </c>
      <c r="G380">
        <v>3.605</v>
      </c>
      <c r="H380">
        <v>6.3E-2</v>
      </c>
      <c r="I380">
        <v>110.0561</v>
      </c>
    </row>
    <row r="381" spans="1:9" x14ac:dyDescent="0.3">
      <c r="A381" t="s">
        <v>45</v>
      </c>
      <c r="B381" t="s">
        <v>425</v>
      </c>
      <c r="C381">
        <v>95</v>
      </c>
      <c r="D381">
        <v>2.8799999999999999E-2</v>
      </c>
      <c r="E381">
        <v>15.767022775238891</v>
      </c>
      <c r="F381">
        <v>1539.486522652265</v>
      </c>
      <c r="G381">
        <v>3.605</v>
      </c>
      <c r="H381">
        <v>6.3E-2</v>
      </c>
      <c r="I381">
        <v>110.2595</v>
      </c>
    </row>
    <row r="382" spans="1:9" x14ac:dyDescent="0.3">
      <c r="A382" t="s">
        <v>45</v>
      </c>
      <c r="B382" t="s">
        <v>426</v>
      </c>
      <c r="C382">
        <v>95</v>
      </c>
      <c r="D382">
        <v>4.99E-2</v>
      </c>
      <c r="E382">
        <v>15.767022775238891</v>
      </c>
      <c r="F382">
        <v>1539.486522652265</v>
      </c>
      <c r="G382">
        <v>3.605</v>
      </c>
      <c r="H382">
        <v>6.3E-2</v>
      </c>
      <c r="I382">
        <v>110.4559</v>
      </c>
    </row>
    <row r="383" spans="1:9" x14ac:dyDescent="0.3">
      <c r="A383" t="s">
        <v>45</v>
      </c>
      <c r="B383" t="s">
        <v>427</v>
      </c>
      <c r="C383">
        <v>95</v>
      </c>
      <c r="D383">
        <v>5.1999999999999998E-2</v>
      </c>
      <c r="E383">
        <v>15.767022775238891</v>
      </c>
      <c r="F383">
        <v>1539.486522652265</v>
      </c>
      <c r="G383">
        <v>3.605</v>
      </c>
      <c r="H383">
        <v>6.3E-2</v>
      </c>
      <c r="I383">
        <v>110.657</v>
      </c>
    </row>
    <row r="384" spans="1:9" x14ac:dyDescent="0.3">
      <c r="A384" t="s">
        <v>45</v>
      </c>
      <c r="B384" t="s">
        <v>428</v>
      </c>
      <c r="C384">
        <v>95</v>
      </c>
      <c r="D384">
        <v>5.21E-2</v>
      </c>
      <c r="E384">
        <v>15.767022775238891</v>
      </c>
      <c r="F384">
        <v>1539.486522652265</v>
      </c>
      <c r="G384">
        <v>3.605</v>
      </c>
      <c r="H384">
        <v>6.3E-2</v>
      </c>
      <c r="I384">
        <v>110.8574</v>
      </c>
    </row>
    <row r="385" spans="1:9" x14ac:dyDescent="0.3">
      <c r="A385" t="s">
        <v>45</v>
      </c>
      <c r="B385" t="s">
        <v>429</v>
      </c>
      <c r="C385">
        <v>95</v>
      </c>
      <c r="D385">
        <v>5.21E-2</v>
      </c>
      <c r="E385">
        <v>15.767022775238891</v>
      </c>
      <c r="F385">
        <v>1539.486522652265</v>
      </c>
      <c r="G385">
        <v>3.605</v>
      </c>
      <c r="H385">
        <v>6.3E-2</v>
      </c>
      <c r="I385">
        <v>111.05589999999999</v>
      </c>
    </row>
    <row r="386" spans="1:9" x14ac:dyDescent="0.3">
      <c r="A386" t="s">
        <v>45</v>
      </c>
      <c r="B386" t="s">
        <v>430</v>
      </c>
      <c r="C386">
        <v>95</v>
      </c>
      <c r="D386">
        <v>5.21E-2</v>
      </c>
      <c r="E386">
        <v>15.767022775238891</v>
      </c>
      <c r="F386">
        <v>1539.486522652265</v>
      </c>
      <c r="G386">
        <v>3.605</v>
      </c>
      <c r="H386">
        <v>6.3E-2</v>
      </c>
      <c r="I386">
        <v>111.2557</v>
      </c>
    </row>
    <row r="387" spans="1:9" x14ac:dyDescent="0.3">
      <c r="A387" t="s">
        <v>45</v>
      </c>
      <c r="B387" t="s">
        <v>431</v>
      </c>
      <c r="C387">
        <v>95</v>
      </c>
      <c r="D387">
        <v>5.1999999999999998E-2</v>
      </c>
      <c r="E387">
        <v>15.767022775238891</v>
      </c>
      <c r="F387">
        <v>1539.486522652265</v>
      </c>
      <c r="G387">
        <v>3.605</v>
      </c>
      <c r="H387">
        <v>6.3E-2</v>
      </c>
      <c r="I387">
        <v>111.4588</v>
      </c>
    </row>
    <row r="388" spans="1:9" x14ac:dyDescent="0.3">
      <c r="A388" t="s">
        <v>45</v>
      </c>
      <c r="B388" t="s">
        <v>432</v>
      </c>
      <c r="C388">
        <v>95</v>
      </c>
      <c r="D388">
        <v>5.21E-2</v>
      </c>
      <c r="E388">
        <v>15.767022775238891</v>
      </c>
      <c r="F388">
        <v>1539.486522652265</v>
      </c>
      <c r="G388">
        <v>3.605</v>
      </c>
      <c r="H388">
        <v>6.3E-2</v>
      </c>
      <c r="I388">
        <v>111.65730000000001</v>
      </c>
    </row>
    <row r="389" spans="1:9" x14ac:dyDescent="0.3">
      <c r="A389" t="s">
        <v>45</v>
      </c>
      <c r="B389" t="s">
        <v>433</v>
      </c>
      <c r="C389">
        <v>95</v>
      </c>
      <c r="D389">
        <v>5.21E-2</v>
      </c>
      <c r="E389">
        <v>15.767022775238891</v>
      </c>
      <c r="F389">
        <v>1539.486522652265</v>
      </c>
      <c r="G389">
        <v>3.605</v>
      </c>
      <c r="H389">
        <v>6.3E-2</v>
      </c>
      <c r="I389">
        <v>111.861</v>
      </c>
    </row>
    <row r="390" spans="1:9" x14ac:dyDescent="0.3">
      <c r="A390" t="s">
        <v>45</v>
      </c>
      <c r="B390" t="s">
        <v>434</v>
      </c>
      <c r="C390">
        <v>95</v>
      </c>
      <c r="D390">
        <v>5.21E-2</v>
      </c>
      <c r="E390">
        <v>11.712315275610051</v>
      </c>
      <c r="F390">
        <v>1161.5877836868569</v>
      </c>
      <c r="G390">
        <v>3.605</v>
      </c>
      <c r="H390">
        <v>0</v>
      </c>
      <c r="I390">
        <v>112.0569</v>
      </c>
    </row>
    <row r="391" spans="1:9" x14ac:dyDescent="0.3">
      <c r="A391" t="s">
        <v>45</v>
      </c>
      <c r="B391" t="s">
        <v>435</v>
      </c>
      <c r="C391">
        <v>95</v>
      </c>
      <c r="D391">
        <v>4.3400000000000001E-2</v>
      </c>
      <c r="E391">
        <v>11.712315275610051</v>
      </c>
      <c r="F391">
        <v>1161.5877836868569</v>
      </c>
      <c r="G391">
        <v>3.605</v>
      </c>
      <c r="H391">
        <v>0</v>
      </c>
      <c r="I391">
        <v>112.2572</v>
      </c>
    </row>
    <row r="392" spans="1:9" x14ac:dyDescent="0.3">
      <c r="A392" t="s">
        <v>45</v>
      </c>
      <c r="B392" t="s">
        <v>436</v>
      </c>
      <c r="C392">
        <v>95</v>
      </c>
      <c r="D392">
        <v>2.5499999999999998E-2</v>
      </c>
      <c r="E392">
        <v>11.712315275610051</v>
      </c>
      <c r="F392">
        <v>1161.5877836868569</v>
      </c>
      <c r="G392">
        <v>3.605</v>
      </c>
      <c r="H392">
        <v>0</v>
      </c>
      <c r="I392">
        <v>112.4593</v>
      </c>
    </row>
    <row r="393" spans="1:9" x14ac:dyDescent="0.3">
      <c r="A393" t="s">
        <v>45</v>
      </c>
      <c r="B393" t="s">
        <v>437</v>
      </c>
      <c r="C393">
        <v>95</v>
      </c>
      <c r="D393">
        <v>1.0699999999999999E-2</v>
      </c>
      <c r="E393">
        <v>11.712315275610051</v>
      </c>
      <c r="F393">
        <v>1161.5877836868569</v>
      </c>
      <c r="G393">
        <v>3.605</v>
      </c>
      <c r="H393">
        <v>0</v>
      </c>
      <c r="I393">
        <v>112.6575</v>
      </c>
    </row>
    <row r="394" spans="1:9" x14ac:dyDescent="0.3">
      <c r="A394" t="s">
        <v>45</v>
      </c>
      <c r="B394" t="s">
        <v>438</v>
      </c>
      <c r="C394">
        <v>95</v>
      </c>
      <c r="D394">
        <v>2.2000000000000001E-3</v>
      </c>
      <c r="E394">
        <v>11.712315275610051</v>
      </c>
      <c r="F394">
        <v>1161.5877836868569</v>
      </c>
      <c r="G394">
        <v>3.605</v>
      </c>
      <c r="H394">
        <v>0</v>
      </c>
      <c r="I394">
        <v>112.85980000000001</v>
      </c>
    </row>
    <row r="395" spans="1:9" x14ac:dyDescent="0.3">
      <c r="A395" t="s">
        <v>45</v>
      </c>
      <c r="B395" t="s">
        <v>439</v>
      </c>
      <c r="C395">
        <v>95</v>
      </c>
      <c r="D395">
        <v>-1.8E-3</v>
      </c>
      <c r="E395">
        <v>11.712315275610051</v>
      </c>
      <c r="F395">
        <v>1161.5877836868569</v>
      </c>
      <c r="G395">
        <v>3.605</v>
      </c>
      <c r="H395">
        <v>0</v>
      </c>
      <c r="I395">
        <v>113.0568</v>
      </c>
    </row>
    <row r="396" spans="1:9" x14ac:dyDescent="0.3">
      <c r="A396" t="s">
        <v>45</v>
      </c>
      <c r="B396" t="s">
        <v>440</v>
      </c>
      <c r="C396">
        <v>95</v>
      </c>
      <c r="D396">
        <v>-2.3999999999999998E-3</v>
      </c>
      <c r="E396">
        <v>11.712315275610051</v>
      </c>
      <c r="F396">
        <v>1161.5877836868569</v>
      </c>
      <c r="G396">
        <v>3.605</v>
      </c>
      <c r="H396">
        <v>0</v>
      </c>
      <c r="I396">
        <v>113.2578</v>
      </c>
    </row>
    <row r="397" spans="1:9" x14ac:dyDescent="0.3">
      <c r="A397" t="s">
        <v>45</v>
      </c>
      <c r="B397" t="s">
        <v>441</v>
      </c>
      <c r="C397">
        <v>95</v>
      </c>
      <c r="D397">
        <v>-2.5000000000000001E-3</v>
      </c>
      <c r="E397">
        <v>11.712315275610051</v>
      </c>
      <c r="F397">
        <v>1161.5877836868569</v>
      </c>
      <c r="G397">
        <v>3.605</v>
      </c>
      <c r="H397">
        <v>0</v>
      </c>
      <c r="I397">
        <v>113.45780000000001</v>
      </c>
    </row>
    <row r="398" spans="1:9" x14ac:dyDescent="0.3">
      <c r="A398" t="s">
        <v>45</v>
      </c>
      <c r="B398" t="s">
        <v>442</v>
      </c>
      <c r="C398">
        <v>95</v>
      </c>
      <c r="D398">
        <v>-2.3999999999999998E-3</v>
      </c>
      <c r="E398">
        <v>11.712315275610051</v>
      </c>
      <c r="F398">
        <v>1161.5877836868569</v>
      </c>
      <c r="G398">
        <v>3.605</v>
      </c>
      <c r="H398">
        <v>0</v>
      </c>
      <c r="I398">
        <v>113.6597</v>
      </c>
    </row>
    <row r="399" spans="1:9" x14ac:dyDescent="0.3">
      <c r="A399" t="s">
        <v>45</v>
      </c>
      <c r="B399" t="s">
        <v>443</v>
      </c>
      <c r="C399">
        <v>95</v>
      </c>
      <c r="D399">
        <v>-2.3999999999999998E-3</v>
      </c>
      <c r="E399">
        <v>11.712315275610051</v>
      </c>
      <c r="F399">
        <v>1161.5877836868569</v>
      </c>
      <c r="G399">
        <v>3.605</v>
      </c>
      <c r="H399">
        <v>0</v>
      </c>
      <c r="I399">
        <v>113.8618</v>
      </c>
    </row>
    <row r="400" spans="1:9" x14ac:dyDescent="0.3">
      <c r="A400" t="s">
        <v>45</v>
      </c>
      <c r="B400" t="s">
        <v>444</v>
      </c>
      <c r="C400">
        <v>95</v>
      </c>
      <c r="D400">
        <v>-2.3999999999999998E-3</v>
      </c>
      <c r="E400">
        <v>15.767022775238891</v>
      </c>
      <c r="F400">
        <v>1636.290461370171</v>
      </c>
      <c r="G400">
        <v>3.605</v>
      </c>
      <c r="H400">
        <v>6.3E-2</v>
      </c>
      <c r="I400">
        <v>114.05540000000001</v>
      </c>
    </row>
    <row r="401" spans="1:9" x14ac:dyDescent="0.3">
      <c r="A401" t="s">
        <v>45</v>
      </c>
      <c r="B401" t="s">
        <v>445</v>
      </c>
      <c r="C401">
        <v>95</v>
      </c>
      <c r="D401">
        <v>2.3599999999999999E-2</v>
      </c>
      <c r="E401">
        <v>15.767022775238891</v>
      </c>
      <c r="F401">
        <v>1539.486522652265</v>
      </c>
      <c r="G401">
        <v>3.605</v>
      </c>
      <c r="H401">
        <v>6.3E-2</v>
      </c>
      <c r="I401">
        <v>114.2564</v>
      </c>
    </row>
    <row r="402" spans="1:9" x14ac:dyDescent="0.3">
      <c r="A402" t="s">
        <v>45</v>
      </c>
      <c r="B402" t="s">
        <v>446</v>
      </c>
      <c r="C402">
        <v>95</v>
      </c>
      <c r="D402">
        <v>4.8000000000000001E-2</v>
      </c>
      <c r="E402">
        <v>15.767022775238891</v>
      </c>
      <c r="F402">
        <v>1539.486522652265</v>
      </c>
      <c r="G402">
        <v>3.605</v>
      </c>
      <c r="H402">
        <v>6.3E-2</v>
      </c>
      <c r="I402">
        <v>114.4572</v>
      </c>
    </row>
    <row r="403" spans="1:9" x14ac:dyDescent="0.3">
      <c r="A403" t="s">
        <v>45</v>
      </c>
      <c r="B403" t="s">
        <v>447</v>
      </c>
      <c r="C403">
        <v>95</v>
      </c>
      <c r="D403">
        <v>5.1299999999999998E-2</v>
      </c>
      <c r="E403">
        <v>15.767022775238891</v>
      </c>
      <c r="F403">
        <v>1539.486522652265</v>
      </c>
      <c r="G403">
        <v>3.605</v>
      </c>
      <c r="H403">
        <v>6.3E-2</v>
      </c>
      <c r="I403">
        <v>114.6579</v>
      </c>
    </row>
    <row r="404" spans="1:9" x14ac:dyDescent="0.3">
      <c r="A404" t="s">
        <v>45</v>
      </c>
      <c r="B404" t="s">
        <v>448</v>
      </c>
      <c r="C404">
        <v>95</v>
      </c>
      <c r="D404">
        <v>5.16E-2</v>
      </c>
      <c r="E404">
        <v>15.767022775238891</v>
      </c>
      <c r="F404">
        <v>1539.486522652265</v>
      </c>
      <c r="G404">
        <v>3.605</v>
      </c>
      <c r="H404">
        <v>6.3E-2</v>
      </c>
      <c r="I404">
        <v>114.85720000000001</v>
      </c>
    </row>
    <row r="405" spans="1:9" x14ac:dyDescent="0.3">
      <c r="A405" t="s">
        <v>45</v>
      </c>
      <c r="B405" t="s">
        <v>449</v>
      </c>
      <c r="C405">
        <v>95</v>
      </c>
      <c r="D405">
        <v>5.1499999999999997E-2</v>
      </c>
      <c r="E405">
        <v>15.767022775238891</v>
      </c>
      <c r="F405">
        <v>1539.486522652265</v>
      </c>
      <c r="G405">
        <v>3.605</v>
      </c>
      <c r="H405">
        <v>6.3E-2</v>
      </c>
      <c r="I405">
        <v>115.05710000000001</v>
      </c>
    </row>
    <row r="406" spans="1:9" x14ac:dyDescent="0.3">
      <c r="A406" t="s">
        <v>45</v>
      </c>
      <c r="B406" t="s">
        <v>450</v>
      </c>
      <c r="C406">
        <v>95</v>
      </c>
      <c r="D406">
        <v>5.16E-2</v>
      </c>
      <c r="E406">
        <v>15.767022775238891</v>
      </c>
      <c r="F406">
        <v>1539.486522652265</v>
      </c>
      <c r="G406">
        <v>3.605</v>
      </c>
      <c r="H406">
        <v>6.3E-2</v>
      </c>
      <c r="I406">
        <v>115.2563</v>
      </c>
    </row>
    <row r="407" spans="1:9" x14ac:dyDescent="0.3">
      <c r="A407" t="s">
        <v>45</v>
      </c>
      <c r="B407" t="s">
        <v>451</v>
      </c>
      <c r="C407">
        <v>95</v>
      </c>
      <c r="D407">
        <v>5.16E-2</v>
      </c>
      <c r="E407">
        <v>15.767022775238891</v>
      </c>
      <c r="F407">
        <v>1539.486522652265</v>
      </c>
      <c r="G407">
        <v>3.605</v>
      </c>
      <c r="H407">
        <v>6.3E-2</v>
      </c>
      <c r="I407">
        <v>115.4589</v>
      </c>
    </row>
    <row r="408" spans="1:9" x14ac:dyDescent="0.3">
      <c r="A408" t="s">
        <v>45</v>
      </c>
      <c r="B408" t="s">
        <v>452</v>
      </c>
      <c r="C408">
        <v>95</v>
      </c>
      <c r="D408">
        <v>5.1499999999999997E-2</v>
      </c>
      <c r="E408">
        <v>15.767022775238891</v>
      </c>
      <c r="F408">
        <v>1539.486522652265</v>
      </c>
      <c r="G408">
        <v>3.605</v>
      </c>
      <c r="H408">
        <v>6.3E-2</v>
      </c>
      <c r="I408">
        <v>115.6563</v>
      </c>
    </row>
    <row r="409" spans="1:9" x14ac:dyDescent="0.3">
      <c r="A409" t="s">
        <v>45</v>
      </c>
      <c r="B409" t="s">
        <v>453</v>
      </c>
      <c r="C409">
        <v>95</v>
      </c>
      <c r="D409">
        <v>5.16E-2</v>
      </c>
      <c r="E409">
        <v>15.767022775238891</v>
      </c>
      <c r="F409">
        <v>1539.486522652265</v>
      </c>
      <c r="G409">
        <v>3.605</v>
      </c>
      <c r="H409">
        <v>6.3E-2</v>
      </c>
      <c r="I409">
        <v>115.8579</v>
      </c>
    </row>
    <row r="410" spans="1:9" x14ac:dyDescent="0.3">
      <c r="A410" t="s">
        <v>45</v>
      </c>
      <c r="B410" t="s">
        <v>454</v>
      </c>
      <c r="C410">
        <v>95</v>
      </c>
      <c r="D410">
        <v>5.16E-2</v>
      </c>
      <c r="E410">
        <v>11.712315275610051</v>
      </c>
      <c r="F410">
        <v>1161.5877836868569</v>
      </c>
      <c r="G410">
        <v>3.605</v>
      </c>
      <c r="H410">
        <v>0</v>
      </c>
      <c r="I410">
        <v>116.0582</v>
      </c>
    </row>
    <row r="411" spans="1:9" x14ac:dyDescent="0.3">
      <c r="A411" t="s">
        <v>45</v>
      </c>
      <c r="B411" t="s">
        <v>455</v>
      </c>
      <c r="C411">
        <v>95</v>
      </c>
      <c r="D411">
        <v>4.1599999999999998E-2</v>
      </c>
      <c r="E411">
        <v>11.712315275610051</v>
      </c>
      <c r="F411">
        <v>1161.5877836868569</v>
      </c>
      <c r="G411">
        <v>3.605</v>
      </c>
      <c r="H411">
        <v>0</v>
      </c>
      <c r="I411">
        <v>116.26009999999999</v>
      </c>
    </row>
    <row r="412" spans="1:9" x14ac:dyDescent="0.3">
      <c r="A412" t="s">
        <v>45</v>
      </c>
      <c r="B412" t="s">
        <v>456</v>
      </c>
      <c r="C412">
        <v>95</v>
      </c>
      <c r="D412">
        <v>2.5700000000000001E-2</v>
      </c>
      <c r="E412">
        <v>11.712315275610051</v>
      </c>
      <c r="F412">
        <v>1161.5877836868569</v>
      </c>
      <c r="G412">
        <v>3.605</v>
      </c>
      <c r="H412">
        <v>0</v>
      </c>
      <c r="I412">
        <v>116.4563</v>
      </c>
    </row>
    <row r="413" spans="1:9" x14ac:dyDescent="0.3">
      <c r="A413" t="s">
        <v>45</v>
      </c>
      <c r="B413" t="s">
        <v>457</v>
      </c>
      <c r="C413">
        <v>95</v>
      </c>
      <c r="D413">
        <v>1.06E-2</v>
      </c>
      <c r="E413">
        <v>11.712315275610051</v>
      </c>
      <c r="F413">
        <v>1161.5877836868569</v>
      </c>
      <c r="G413">
        <v>3.605</v>
      </c>
      <c r="H413">
        <v>0</v>
      </c>
      <c r="I413">
        <v>116.6581</v>
      </c>
    </row>
    <row r="414" spans="1:9" x14ac:dyDescent="0.3">
      <c r="A414" t="s">
        <v>45</v>
      </c>
      <c r="B414" t="s">
        <v>458</v>
      </c>
      <c r="C414">
        <v>95</v>
      </c>
      <c r="D414">
        <v>1.8E-3</v>
      </c>
      <c r="E414">
        <v>11.712315275610051</v>
      </c>
      <c r="F414">
        <v>1161.5877836868569</v>
      </c>
      <c r="G414">
        <v>3.605</v>
      </c>
      <c r="H414">
        <v>0</v>
      </c>
      <c r="I414">
        <v>116.8578</v>
      </c>
    </row>
    <row r="415" spans="1:9" x14ac:dyDescent="0.3">
      <c r="A415" t="s">
        <v>45</v>
      </c>
      <c r="B415" t="s">
        <v>459</v>
      </c>
      <c r="C415">
        <v>95</v>
      </c>
      <c r="D415">
        <v>-2.3E-3</v>
      </c>
      <c r="E415">
        <v>11.712315275610051</v>
      </c>
      <c r="F415">
        <v>1161.5877836868569</v>
      </c>
      <c r="G415">
        <v>3.605</v>
      </c>
      <c r="H415">
        <v>0</v>
      </c>
      <c r="I415">
        <v>117.05670000000001</v>
      </c>
    </row>
    <row r="416" spans="1:9" x14ac:dyDescent="0.3">
      <c r="A416" t="s">
        <v>45</v>
      </c>
      <c r="B416" t="s">
        <v>460</v>
      </c>
      <c r="C416">
        <v>95</v>
      </c>
      <c r="D416">
        <v>-2.5000000000000001E-3</v>
      </c>
      <c r="E416">
        <v>11.712315275610051</v>
      </c>
      <c r="F416">
        <v>1161.5877836868569</v>
      </c>
      <c r="G416">
        <v>3.605</v>
      </c>
      <c r="H416">
        <v>0</v>
      </c>
      <c r="I416">
        <v>117.2555</v>
      </c>
    </row>
    <row r="417" spans="1:9" x14ac:dyDescent="0.3">
      <c r="A417" t="s">
        <v>45</v>
      </c>
      <c r="B417" t="s">
        <v>461</v>
      </c>
      <c r="C417">
        <v>95</v>
      </c>
      <c r="D417">
        <v>-2.5000000000000001E-3</v>
      </c>
      <c r="E417">
        <v>11.712315275610051</v>
      </c>
      <c r="F417">
        <v>1161.5877836868569</v>
      </c>
      <c r="G417">
        <v>3.605</v>
      </c>
      <c r="H417">
        <v>0</v>
      </c>
      <c r="I417">
        <v>117.4602</v>
      </c>
    </row>
    <row r="418" spans="1:9" x14ac:dyDescent="0.3">
      <c r="A418" t="s">
        <v>45</v>
      </c>
      <c r="B418" t="s">
        <v>462</v>
      </c>
      <c r="C418">
        <v>95</v>
      </c>
      <c r="D418">
        <v>-2.3999999999999998E-3</v>
      </c>
      <c r="E418">
        <v>11.712315275610051</v>
      </c>
      <c r="F418">
        <v>1161.5877836868569</v>
      </c>
      <c r="G418">
        <v>3.605</v>
      </c>
      <c r="H418">
        <v>0</v>
      </c>
      <c r="I418">
        <v>117.6546</v>
      </c>
    </row>
    <row r="419" spans="1:9" x14ac:dyDescent="0.3">
      <c r="A419" t="s">
        <v>45</v>
      </c>
      <c r="B419" t="s">
        <v>463</v>
      </c>
      <c r="C419">
        <v>95</v>
      </c>
      <c r="D419">
        <v>-2.5000000000000001E-3</v>
      </c>
      <c r="E419">
        <v>11.712315275610051</v>
      </c>
      <c r="F419">
        <v>1161.5877836868569</v>
      </c>
      <c r="G419">
        <v>3.605</v>
      </c>
      <c r="H419">
        <v>0</v>
      </c>
      <c r="I419">
        <v>117.8574</v>
      </c>
    </row>
    <row r="420" spans="1:9" x14ac:dyDescent="0.3">
      <c r="A420" t="s">
        <v>45</v>
      </c>
      <c r="B420" t="s">
        <v>464</v>
      </c>
      <c r="C420">
        <v>95</v>
      </c>
      <c r="D420">
        <v>-2.3999999999999998E-3</v>
      </c>
      <c r="E420">
        <v>15.767022775238891</v>
      </c>
      <c r="F420">
        <v>1636.290461370171</v>
      </c>
      <c r="G420">
        <v>3.605</v>
      </c>
      <c r="H420">
        <v>6.3E-2</v>
      </c>
      <c r="I420">
        <v>118.0561</v>
      </c>
    </row>
    <row r="421" spans="1:9" x14ac:dyDescent="0.3">
      <c r="A421" t="s">
        <v>45</v>
      </c>
      <c r="B421" t="s">
        <v>465</v>
      </c>
      <c r="C421">
        <v>95</v>
      </c>
      <c r="D421">
        <v>2.29E-2</v>
      </c>
      <c r="E421">
        <v>15.767022775238891</v>
      </c>
      <c r="F421">
        <v>1539.486522652265</v>
      </c>
      <c r="G421">
        <v>3.605</v>
      </c>
      <c r="H421">
        <v>6.3E-2</v>
      </c>
      <c r="I421">
        <v>118.25660000000001</v>
      </c>
    </row>
    <row r="422" spans="1:9" x14ac:dyDescent="0.3">
      <c r="A422" t="s">
        <v>45</v>
      </c>
      <c r="B422" t="s">
        <v>466</v>
      </c>
      <c r="C422">
        <v>95</v>
      </c>
      <c r="D422">
        <v>4.8099999999999997E-2</v>
      </c>
      <c r="E422">
        <v>15.767022775238891</v>
      </c>
      <c r="F422">
        <v>1539.486522652265</v>
      </c>
      <c r="G422">
        <v>3.605</v>
      </c>
      <c r="H422">
        <v>6.3E-2</v>
      </c>
      <c r="I422">
        <v>118.4577</v>
      </c>
    </row>
    <row r="423" spans="1:9" x14ac:dyDescent="0.3">
      <c r="A423" t="s">
        <v>45</v>
      </c>
      <c r="B423" t="s">
        <v>467</v>
      </c>
      <c r="C423">
        <v>95</v>
      </c>
      <c r="D423">
        <v>5.1200000000000002E-2</v>
      </c>
      <c r="E423">
        <v>15.767022775238891</v>
      </c>
      <c r="F423">
        <v>1539.486522652265</v>
      </c>
      <c r="G423">
        <v>3.605</v>
      </c>
      <c r="H423">
        <v>6.3E-2</v>
      </c>
      <c r="I423">
        <v>118.6567</v>
      </c>
    </row>
    <row r="424" spans="1:9" x14ac:dyDescent="0.3">
      <c r="A424" t="s">
        <v>45</v>
      </c>
      <c r="B424" t="s">
        <v>468</v>
      </c>
      <c r="C424">
        <v>95</v>
      </c>
      <c r="D424">
        <v>5.1299999999999998E-2</v>
      </c>
      <c r="E424">
        <v>15.767022775238891</v>
      </c>
      <c r="F424">
        <v>1539.486522652265</v>
      </c>
      <c r="G424">
        <v>3.605</v>
      </c>
      <c r="H424">
        <v>6.3E-2</v>
      </c>
      <c r="I424">
        <v>118.85720000000001</v>
      </c>
    </row>
    <row r="425" spans="1:9" x14ac:dyDescent="0.3">
      <c r="A425" t="s">
        <v>45</v>
      </c>
      <c r="B425" t="s">
        <v>469</v>
      </c>
      <c r="C425">
        <v>95</v>
      </c>
      <c r="D425">
        <v>5.1299999999999998E-2</v>
      </c>
      <c r="E425">
        <v>15.767022775238891</v>
      </c>
      <c r="F425">
        <v>1539.486522652265</v>
      </c>
      <c r="G425">
        <v>3.605</v>
      </c>
      <c r="H425">
        <v>6.3E-2</v>
      </c>
      <c r="I425">
        <v>119.0628</v>
      </c>
    </row>
    <row r="426" spans="1:9" x14ac:dyDescent="0.3">
      <c r="A426" t="s">
        <v>45</v>
      </c>
      <c r="B426" t="s">
        <v>470</v>
      </c>
      <c r="C426">
        <v>95</v>
      </c>
      <c r="D426">
        <v>5.1299999999999998E-2</v>
      </c>
      <c r="E426">
        <v>15.767022775238891</v>
      </c>
      <c r="F426">
        <v>1539.486522652265</v>
      </c>
      <c r="G426">
        <v>3.605</v>
      </c>
      <c r="H426">
        <v>6.3E-2</v>
      </c>
      <c r="I426">
        <v>119.2556</v>
      </c>
    </row>
    <row r="427" spans="1:9" x14ac:dyDescent="0.3">
      <c r="A427" t="s">
        <v>45</v>
      </c>
      <c r="B427" t="s">
        <v>471</v>
      </c>
      <c r="C427">
        <v>95</v>
      </c>
      <c r="D427">
        <v>5.1299999999999998E-2</v>
      </c>
      <c r="E427">
        <v>15.767022775238891</v>
      </c>
      <c r="F427">
        <v>1539.486522652265</v>
      </c>
      <c r="G427">
        <v>3.605</v>
      </c>
      <c r="H427">
        <v>6.3E-2</v>
      </c>
      <c r="I427">
        <v>119.45699999999999</v>
      </c>
    </row>
    <row r="428" spans="1:9" x14ac:dyDescent="0.3">
      <c r="A428" t="s">
        <v>45</v>
      </c>
      <c r="B428" t="s">
        <v>472</v>
      </c>
      <c r="C428">
        <v>95</v>
      </c>
      <c r="D428">
        <v>5.1299999999999998E-2</v>
      </c>
      <c r="E428">
        <v>15.767022775238891</v>
      </c>
      <c r="F428">
        <v>1539.486522652265</v>
      </c>
      <c r="G428">
        <v>3.605</v>
      </c>
      <c r="H428">
        <v>6.3E-2</v>
      </c>
      <c r="I428">
        <v>119.6581</v>
      </c>
    </row>
    <row r="429" spans="1:9" x14ac:dyDescent="0.3">
      <c r="A429" t="s">
        <v>45</v>
      </c>
      <c r="B429" t="s">
        <v>473</v>
      </c>
      <c r="C429">
        <v>95</v>
      </c>
      <c r="D429">
        <v>5.1299999999999998E-2</v>
      </c>
      <c r="E429">
        <v>15.767022775238891</v>
      </c>
      <c r="F429">
        <v>1539.486522652265</v>
      </c>
      <c r="G429">
        <v>3.605</v>
      </c>
      <c r="H429">
        <v>6.3E-2</v>
      </c>
      <c r="I429">
        <v>119.858</v>
      </c>
    </row>
    <row r="430" spans="1:9" x14ac:dyDescent="0.3">
      <c r="A430" t="s">
        <v>45</v>
      </c>
      <c r="B430" t="s">
        <v>474</v>
      </c>
      <c r="C430">
        <v>95</v>
      </c>
      <c r="D430">
        <v>5.1299999999999998E-2</v>
      </c>
      <c r="E430">
        <v>11.712315275610051</v>
      </c>
      <c r="F430">
        <v>1161.5877836868569</v>
      </c>
      <c r="G430">
        <v>3.605</v>
      </c>
      <c r="H430">
        <v>0</v>
      </c>
      <c r="I430">
        <v>120.0585</v>
      </c>
    </row>
    <row r="431" spans="1:9" x14ac:dyDescent="0.3">
      <c r="A431" t="s">
        <v>45</v>
      </c>
      <c r="B431" t="s">
        <v>475</v>
      </c>
      <c r="C431">
        <v>95</v>
      </c>
      <c r="D431">
        <v>4.2900000000000001E-2</v>
      </c>
      <c r="E431">
        <v>11.712315275610051</v>
      </c>
      <c r="F431">
        <v>1161.5877836868569</v>
      </c>
      <c r="G431">
        <v>3.605</v>
      </c>
      <c r="H431">
        <v>0</v>
      </c>
      <c r="I431">
        <v>120.2586</v>
      </c>
    </row>
    <row r="432" spans="1:9" x14ac:dyDescent="0.3">
      <c r="A432" t="s">
        <v>45</v>
      </c>
      <c r="B432" t="s">
        <v>476</v>
      </c>
      <c r="C432">
        <v>95</v>
      </c>
      <c r="D432">
        <v>2.5000000000000001E-2</v>
      </c>
      <c r="E432">
        <v>11.712315275610051</v>
      </c>
      <c r="F432">
        <v>1161.5877836868569</v>
      </c>
      <c r="G432">
        <v>3.605</v>
      </c>
      <c r="H432">
        <v>0</v>
      </c>
      <c r="I432">
        <v>120.4563</v>
      </c>
    </row>
    <row r="433" spans="1:9" x14ac:dyDescent="0.3">
      <c r="A433" t="s">
        <v>45</v>
      </c>
      <c r="B433" t="s">
        <v>477</v>
      </c>
      <c r="C433">
        <v>95</v>
      </c>
      <c r="D433">
        <v>1.03E-2</v>
      </c>
      <c r="E433">
        <v>11.712315275610051</v>
      </c>
      <c r="F433">
        <v>1161.5877836868569</v>
      </c>
      <c r="G433">
        <v>3.605</v>
      </c>
      <c r="H433">
        <v>0</v>
      </c>
      <c r="I433">
        <v>120.6601</v>
      </c>
    </row>
    <row r="434" spans="1:9" x14ac:dyDescent="0.3">
      <c r="A434" t="s">
        <v>45</v>
      </c>
      <c r="B434" t="s">
        <v>478</v>
      </c>
      <c r="C434">
        <v>95</v>
      </c>
      <c r="D434">
        <v>6.9999999999999999E-4</v>
      </c>
      <c r="E434">
        <v>11.712315275610051</v>
      </c>
      <c r="F434">
        <v>1161.5877836868569</v>
      </c>
      <c r="G434">
        <v>3.605</v>
      </c>
      <c r="H434">
        <v>0</v>
      </c>
      <c r="I434">
        <v>120.8571</v>
      </c>
    </row>
    <row r="435" spans="1:9" x14ac:dyDescent="0.3">
      <c r="A435" t="s">
        <v>45</v>
      </c>
      <c r="B435" t="s">
        <v>479</v>
      </c>
      <c r="C435">
        <v>95</v>
      </c>
      <c r="D435">
        <v>-2.3E-3</v>
      </c>
      <c r="E435">
        <v>11.712315275610051</v>
      </c>
      <c r="F435">
        <v>1161.5877836868569</v>
      </c>
      <c r="G435">
        <v>3.605</v>
      </c>
      <c r="H435">
        <v>0</v>
      </c>
      <c r="I435">
        <v>121.0578</v>
      </c>
    </row>
    <row r="436" spans="1:9" x14ac:dyDescent="0.3">
      <c r="A436" t="s">
        <v>45</v>
      </c>
      <c r="B436" t="s">
        <v>480</v>
      </c>
      <c r="C436">
        <v>95</v>
      </c>
      <c r="D436">
        <v>-2.3999999999999998E-3</v>
      </c>
      <c r="E436">
        <v>11.712315275610051</v>
      </c>
      <c r="F436">
        <v>1161.5877836868569</v>
      </c>
      <c r="G436">
        <v>3.605</v>
      </c>
      <c r="H436">
        <v>0</v>
      </c>
      <c r="I436">
        <v>121.2563</v>
      </c>
    </row>
    <row r="437" spans="1:9" x14ac:dyDescent="0.3">
      <c r="A437" t="s">
        <v>45</v>
      </c>
      <c r="B437" t="s">
        <v>481</v>
      </c>
      <c r="C437">
        <v>95</v>
      </c>
      <c r="D437">
        <v>-2.3999999999999998E-3</v>
      </c>
      <c r="E437">
        <v>11.712315275610051</v>
      </c>
      <c r="F437">
        <v>1161.5877836868569</v>
      </c>
      <c r="G437">
        <v>3.605</v>
      </c>
      <c r="H437">
        <v>0</v>
      </c>
      <c r="I437">
        <v>121.4594</v>
      </c>
    </row>
    <row r="438" spans="1:9" x14ac:dyDescent="0.3">
      <c r="A438" t="s">
        <v>45</v>
      </c>
      <c r="B438" t="s">
        <v>482</v>
      </c>
      <c r="C438">
        <v>95</v>
      </c>
      <c r="D438">
        <v>-2.3999999999999998E-3</v>
      </c>
      <c r="E438">
        <v>11.712315275610051</v>
      </c>
      <c r="F438">
        <v>1161.5877836868569</v>
      </c>
      <c r="G438">
        <v>3.605</v>
      </c>
      <c r="H438">
        <v>0</v>
      </c>
      <c r="I438">
        <v>121.6574</v>
      </c>
    </row>
    <row r="439" spans="1:9" x14ac:dyDescent="0.3">
      <c r="A439" t="s">
        <v>45</v>
      </c>
      <c r="B439" t="s">
        <v>483</v>
      </c>
      <c r="C439">
        <v>95</v>
      </c>
      <c r="D439">
        <v>-2.3999999999999998E-3</v>
      </c>
      <c r="E439">
        <v>11.712315275610051</v>
      </c>
      <c r="F439">
        <v>1161.5877836868569</v>
      </c>
      <c r="G439">
        <v>3.605</v>
      </c>
      <c r="H439">
        <v>0</v>
      </c>
      <c r="I439">
        <v>121.8578</v>
      </c>
    </row>
    <row r="440" spans="1:9" x14ac:dyDescent="0.3">
      <c r="A440" t="s">
        <v>45</v>
      </c>
      <c r="B440" t="s">
        <v>484</v>
      </c>
      <c r="C440">
        <v>95</v>
      </c>
      <c r="D440">
        <v>-2.3999999999999998E-3</v>
      </c>
      <c r="E440">
        <v>15.767022775238891</v>
      </c>
      <c r="F440">
        <v>1636.290461370171</v>
      </c>
      <c r="G440">
        <v>3.605</v>
      </c>
      <c r="H440">
        <v>6.3E-2</v>
      </c>
      <c r="I440">
        <v>122.06570000000001</v>
      </c>
    </row>
    <row r="441" spans="1:9" x14ac:dyDescent="0.3">
      <c r="A441" t="s">
        <v>45</v>
      </c>
      <c r="B441" t="s">
        <v>485</v>
      </c>
      <c r="C441">
        <v>95</v>
      </c>
      <c r="D441">
        <v>2.58E-2</v>
      </c>
      <c r="E441">
        <v>15.767022775238891</v>
      </c>
      <c r="F441">
        <v>1539.486522652265</v>
      </c>
      <c r="G441">
        <v>3.605</v>
      </c>
      <c r="H441">
        <v>6.3E-2</v>
      </c>
      <c r="I441">
        <v>122.25749999999999</v>
      </c>
    </row>
    <row r="442" spans="1:9" x14ac:dyDescent="0.3">
      <c r="A442" t="s">
        <v>45</v>
      </c>
      <c r="B442" t="s">
        <v>486</v>
      </c>
      <c r="C442">
        <v>95</v>
      </c>
      <c r="D442">
        <v>4.8599999999999997E-2</v>
      </c>
      <c r="E442">
        <v>15.767022775238891</v>
      </c>
      <c r="F442">
        <v>1539.486522652265</v>
      </c>
      <c r="G442">
        <v>3.605</v>
      </c>
      <c r="H442">
        <v>6.3E-2</v>
      </c>
      <c r="I442">
        <v>122.4555</v>
      </c>
    </row>
    <row r="443" spans="1:9" x14ac:dyDescent="0.3">
      <c r="A443" t="s">
        <v>45</v>
      </c>
      <c r="B443" t="s">
        <v>487</v>
      </c>
      <c r="C443">
        <v>95</v>
      </c>
      <c r="D443">
        <v>5.1299999999999998E-2</v>
      </c>
      <c r="E443">
        <v>15.767022775238891</v>
      </c>
      <c r="F443">
        <v>1539.486522652265</v>
      </c>
      <c r="G443">
        <v>3.605</v>
      </c>
      <c r="H443">
        <v>6.3E-2</v>
      </c>
      <c r="I443">
        <v>122.6563</v>
      </c>
    </row>
    <row r="444" spans="1:9" x14ac:dyDescent="0.3">
      <c r="A444" t="s">
        <v>45</v>
      </c>
      <c r="B444" t="s">
        <v>488</v>
      </c>
      <c r="C444">
        <v>95</v>
      </c>
      <c r="D444">
        <v>5.1400000000000001E-2</v>
      </c>
      <c r="E444">
        <v>15.767022775238891</v>
      </c>
      <c r="F444">
        <v>1539.486522652265</v>
      </c>
      <c r="G444">
        <v>3.605</v>
      </c>
      <c r="H444">
        <v>6.3E-2</v>
      </c>
      <c r="I444">
        <v>122.8583</v>
      </c>
    </row>
    <row r="445" spans="1:9" x14ac:dyDescent="0.3">
      <c r="A445" t="s">
        <v>45</v>
      </c>
      <c r="B445" t="s">
        <v>489</v>
      </c>
      <c r="C445">
        <v>95</v>
      </c>
      <c r="D445">
        <v>5.1400000000000001E-2</v>
      </c>
      <c r="E445">
        <v>15.767022775238891</v>
      </c>
      <c r="F445">
        <v>1539.486522652265</v>
      </c>
      <c r="G445">
        <v>3.605</v>
      </c>
      <c r="H445">
        <v>6.3E-2</v>
      </c>
      <c r="I445">
        <v>123.0634</v>
      </c>
    </row>
    <row r="446" spans="1:9" x14ac:dyDescent="0.3">
      <c r="A446" t="s">
        <v>45</v>
      </c>
      <c r="B446" t="s">
        <v>490</v>
      </c>
      <c r="C446">
        <v>95</v>
      </c>
      <c r="D446">
        <v>5.1400000000000001E-2</v>
      </c>
      <c r="E446">
        <v>15.767022775238891</v>
      </c>
      <c r="F446">
        <v>1539.486522652265</v>
      </c>
      <c r="G446">
        <v>3.605</v>
      </c>
      <c r="H446">
        <v>6.3E-2</v>
      </c>
      <c r="I446">
        <v>123.25539999999999</v>
      </c>
    </row>
    <row r="447" spans="1:9" x14ac:dyDescent="0.3">
      <c r="A447" t="s">
        <v>45</v>
      </c>
      <c r="B447" t="s">
        <v>491</v>
      </c>
      <c r="C447">
        <v>95</v>
      </c>
      <c r="D447">
        <v>5.1400000000000001E-2</v>
      </c>
      <c r="E447">
        <v>15.767022775238891</v>
      </c>
      <c r="F447">
        <v>1539.486522652265</v>
      </c>
      <c r="G447">
        <v>3.605</v>
      </c>
      <c r="H447">
        <v>6.3E-2</v>
      </c>
      <c r="I447">
        <v>123.4584</v>
      </c>
    </row>
    <row r="448" spans="1:9" x14ac:dyDescent="0.3">
      <c r="A448" t="s">
        <v>45</v>
      </c>
      <c r="B448" t="s">
        <v>492</v>
      </c>
      <c r="C448">
        <v>95</v>
      </c>
      <c r="D448">
        <v>5.1400000000000001E-2</v>
      </c>
      <c r="E448">
        <v>15.767022775238891</v>
      </c>
      <c r="F448">
        <v>1539.486522652265</v>
      </c>
      <c r="G448">
        <v>3.605</v>
      </c>
      <c r="H448">
        <v>6.3E-2</v>
      </c>
      <c r="I448">
        <v>123.65730000000001</v>
      </c>
    </row>
    <row r="449" spans="1:9" x14ac:dyDescent="0.3">
      <c r="A449" t="s">
        <v>45</v>
      </c>
      <c r="B449" t="s">
        <v>493</v>
      </c>
      <c r="C449">
        <v>95</v>
      </c>
      <c r="D449">
        <v>5.1400000000000001E-2</v>
      </c>
      <c r="E449">
        <v>15.767022775238891</v>
      </c>
      <c r="F449">
        <v>1539.486522652265</v>
      </c>
      <c r="G449">
        <v>3.605</v>
      </c>
      <c r="H449">
        <v>6.3E-2</v>
      </c>
      <c r="I449">
        <v>123.85590000000001</v>
      </c>
    </row>
    <row r="450" spans="1:9" x14ac:dyDescent="0.3">
      <c r="A450" t="s">
        <v>45</v>
      </c>
      <c r="B450" t="s">
        <v>494</v>
      </c>
      <c r="C450">
        <v>95</v>
      </c>
      <c r="D450">
        <v>5.1400000000000001E-2</v>
      </c>
      <c r="E450">
        <v>11.712315275610051</v>
      </c>
      <c r="F450">
        <v>1161.5877836868569</v>
      </c>
      <c r="G450">
        <v>3.605</v>
      </c>
      <c r="H450">
        <v>0</v>
      </c>
      <c r="I450">
        <v>124.056</v>
      </c>
    </row>
    <row r="451" spans="1:9" x14ac:dyDescent="0.3">
      <c r="A451" t="s">
        <v>45</v>
      </c>
      <c r="B451" t="s">
        <v>495</v>
      </c>
      <c r="C451">
        <v>95</v>
      </c>
      <c r="D451">
        <v>4.3799999999999999E-2</v>
      </c>
      <c r="E451">
        <v>11.712315275610051</v>
      </c>
      <c r="F451">
        <v>1161.5877836868569</v>
      </c>
      <c r="G451">
        <v>3.605</v>
      </c>
      <c r="H451">
        <v>0</v>
      </c>
      <c r="I451">
        <v>124.25790000000001</v>
      </c>
    </row>
    <row r="452" spans="1:9" x14ac:dyDescent="0.3">
      <c r="A452" t="s">
        <v>45</v>
      </c>
      <c r="B452" t="s">
        <v>496</v>
      </c>
      <c r="C452">
        <v>95</v>
      </c>
      <c r="D452">
        <v>2.8000000000000001E-2</v>
      </c>
      <c r="E452">
        <v>11.712315275610051</v>
      </c>
      <c r="F452">
        <v>1161.5877836868569</v>
      </c>
      <c r="G452">
        <v>3.605</v>
      </c>
      <c r="H452">
        <v>0</v>
      </c>
      <c r="I452">
        <v>124.45740000000001</v>
      </c>
    </row>
    <row r="453" spans="1:9" x14ac:dyDescent="0.3">
      <c r="A453" t="s">
        <v>45</v>
      </c>
      <c r="B453" t="s">
        <v>497</v>
      </c>
      <c r="C453">
        <v>95</v>
      </c>
      <c r="D453">
        <v>1.01E-2</v>
      </c>
      <c r="E453">
        <v>11.712315275610051</v>
      </c>
      <c r="F453">
        <v>1161.5877836868569</v>
      </c>
      <c r="G453">
        <v>3.605</v>
      </c>
      <c r="H453">
        <v>0</v>
      </c>
      <c r="I453">
        <v>124.6574</v>
      </c>
    </row>
    <row r="454" spans="1:9" x14ac:dyDescent="0.3">
      <c r="A454" t="s">
        <v>45</v>
      </c>
      <c r="B454" t="s">
        <v>498</v>
      </c>
      <c r="C454">
        <v>95</v>
      </c>
      <c r="D454">
        <v>2.7000000000000001E-3</v>
      </c>
      <c r="E454">
        <v>11.712315275610051</v>
      </c>
      <c r="F454">
        <v>1161.5877836868569</v>
      </c>
      <c r="G454">
        <v>3.605</v>
      </c>
      <c r="H454">
        <v>0</v>
      </c>
      <c r="I454">
        <v>124.857</v>
      </c>
    </row>
    <row r="455" spans="1:9" x14ac:dyDescent="0.3">
      <c r="A455" t="s">
        <v>45</v>
      </c>
      <c r="B455" t="s">
        <v>499</v>
      </c>
      <c r="C455">
        <v>95</v>
      </c>
      <c r="D455">
        <v>-2.2000000000000001E-3</v>
      </c>
      <c r="E455">
        <v>11.712315275610051</v>
      </c>
      <c r="F455">
        <v>1161.5877836868569</v>
      </c>
      <c r="G455">
        <v>3.605</v>
      </c>
      <c r="H455">
        <v>0</v>
      </c>
      <c r="I455">
        <v>125.0599</v>
      </c>
    </row>
    <row r="456" spans="1:9" x14ac:dyDescent="0.3">
      <c r="A456" t="s">
        <v>45</v>
      </c>
      <c r="B456" t="s">
        <v>500</v>
      </c>
      <c r="C456">
        <v>95</v>
      </c>
      <c r="D456">
        <v>-2.5000000000000001E-3</v>
      </c>
      <c r="E456">
        <v>11.712315275610051</v>
      </c>
      <c r="F456">
        <v>1161.5877836868569</v>
      </c>
      <c r="G456">
        <v>3.605</v>
      </c>
      <c r="H456">
        <v>0</v>
      </c>
      <c r="I456">
        <v>125.2555</v>
      </c>
    </row>
    <row r="457" spans="1:9" x14ac:dyDescent="0.3">
      <c r="A457" t="s">
        <v>45</v>
      </c>
      <c r="B457" t="s">
        <v>501</v>
      </c>
      <c r="C457">
        <v>95</v>
      </c>
      <c r="D457">
        <v>-2.5000000000000001E-3</v>
      </c>
      <c r="E457">
        <v>11.712315275610051</v>
      </c>
      <c r="F457">
        <v>1161.5877836868569</v>
      </c>
      <c r="G457">
        <v>3.605</v>
      </c>
      <c r="H457">
        <v>0</v>
      </c>
      <c r="I457">
        <v>125.45699999999999</v>
      </c>
    </row>
    <row r="458" spans="1:9" x14ac:dyDescent="0.3">
      <c r="A458" t="s">
        <v>45</v>
      </c>
      <c r="B458" t="s">
        <v>502</v>
      </c>
      <c r="C458">
        <v>95</v>
      </c>
      <c r="D458">
        <v>-2.5000000000000001E-3</v>
      </c>
      <c r="E458">
        <v>11.712315275610051</v>
      </c>
      <c r="F458">
        <v>1161.5877836868569</v>
      </c>
      <c r="G458">
        <v>3.605</v>
      </c>
      <c r="H458">
        <v>0</v>
      </c>
      <c r="I458">
        <v>125.6597</v>
      </c>
    </row>
    <row r="459" spans="1:9" x14ac:dyDescent="0.3">
      <c r="A459" t="s">
        <v>45</v>
      </c>
      <c r="B459" t="s">
        <v>503</v>
      </c>
      <c r="C459">
        <v>95</v>
      </c>
      <c r="D459">
        <v>-2.5000000000000001E-3</v>
      </c>
      <c r="E459">
        <v>11.712315275610051</v>
      </c>
      <c r="F459">
        <v>1161.5877836868569</v>
      </c>
      <c r="G459">
        <v>3.605</v>
      </c>
      <c r="H459">
        <v>0</v>
      </c>
      <c r="I459">
        <v>125.85720000000001</v>
      </c>
    </row>
    <row r="460" spans="1:9" x14ac:dyDescent="0.3">
      <c r="A460" t="s">
        <v>45</v>
      </c>
      <c r="B460" t="s">
        <v>504</v>
      </c>
      <c r="C460">
        <v>95</v>
      </c>
      <c r="D460">
        <v>-2.5000000000000001E-3</v>
      </c>
      <c r="E460">
        <v>15.767022775238891</v>
      </c>
      <c r="F460">
        <v>1636.290461370171</v>
      </c>
      <c r="G460">
        <v>3.605</v>
      </c>
      <c r="H460">
        <v>6.3E-2</v>
      </c>
      <c r="I460">
        <v>126.0565</v>
      </c>
    </row>
    <row r="461" spans="1:9" x14ac:dyDescent="0.3">
      <c r="A461" t="s">
        <v>45</v>
      </c>
      <c r="B461" t="s">
        <v>505</v>
      </c>
      <c r="C461">
        <v>95</v>
      </c>
      <c r="D461">
        <v>2.18E-2</v>
      </c>
      <c r="E461">
        <v>15.767022775238891</v>
      </c>
      <c r="F461">
        <v>1539.486522652265</v>
      </c>
      <c r="G461">
        <v>3.605</v>
      </c>
      <c r="H461">
        <v>6.3E-2</v>
      </c>
      <c r="I461">
        <v>126.2572</v>
      </c>
    </row>
    <row r="462" spans="1:9" x14ac:dyDescent="0.3">
      <c r="A462" t="s">
        <v>45</v>
      </c>
      <c r="B462" t="s">
        <v>506</v>
      </c>
      <c r="C462">
        <v>95</v>
      </c>
      <c r="D462">
        <v>4.8000000000000001E-2</v>
      </c>
      <c r="E462">
        <v>15.767022775238891</v>
      </c>
      <c r="F462">
        <v>1539.486522652265</v>
      </c>
      <c r="G462">
        <v>3.605</v>
      </c>
      <c r="H462">
        <v>6.3E-2</v>
      </c>
      <c r="I462">
        <v>126.4567</v>
      </c>
    </row>
    <row r="463" spans="1:9" x14ac:dyDescent="0.3">
      <c r="A463" t="s">
        <v>45</v>
      </c>
      <c r="B463" t="s">
        <v>507</v>
      </c>
      <c r="C463">
        <v>95</v>
      </c>
      <c r="D463">
        <v>5.0900000000000001E-2</v>
      </c>
      <c r="E463">
        <v>15.767022775238891</v>
      </c>
      <c r="F463">
        <v>1539.486522652265</v>
      </c>
      <c r="G463">
        <v>3.605</v>
      </c>
      <c r="H463">
        <v>6.3E-2</v>
      </c>
      <c r="I463">
        <v>126.6572</v>
      </c>
    </row>
    <row r="464" spans="1:9" x14ac:dyDescent="0.3">
      <c r="A464" t="s">
        <v>45</v>
      </c>
      <c r="B464" t="s">
        <v>508</v>
      </c>
      <c r="C464">
        <v>95</v>
      </c>
      <c r="D464">
        <v>5.11E-2</v>
      </c>
      <c r="E464">
        <v>15.767022775238891</v>
      </c>
      <c r="F464">
        <v>1539.486522652265</v>
      </c>
      <c r="G464">
        <v>3.605</v>
      </c>
      <c r="H464">
        <v>6.3E-2</v>
      </c>
      <c r="I464">
        <v>126.85809999999999</v>
      </c>
    </row>
    <row r="465" spans="1:9" x14ac:dyDescent="0.3">
      <c r="A465" t="s">
        <v>45</v>
      </c>
      <c r="B465" t="s">
        <v>509</v>
      </c>
      <c r="C465">
        <v>95</v>
      </c>
      <c r="D465">
        <v>5.11E-2</v>
      </c>
      <c r="E465">
        <v>15.767022775238891</v>
      </c>
      <c r="F465">
        <v>1539.486522652265</v>
      </c>
      <c r="G465">
        <v>3.605</v>
      </c>
      <c r="H465">
        <v>6.3E-2</v>
      </c>
      <c r="I465">
        <v>127.05840000000001</v>
      </c>
    </row>
    <row r="466" spans="1:9" x14ac:dyDescent="0.3">
      <c r="A466" t="s">
        <v>45</v>
      </c>
      <c r="B466" t="s">
        <v>510</v>
      </c>
      <c r="C466">
        <v>95</v>
      </c>
      <c r="D466">
        <v>5.11E-2</v>
      </c>
      <c r="E466">
        <v>15.767022775238891</v>
      </c>
      <c r="F466">
        <v>1539.486522652265</v>
      </c>
      <c r="G466">
        <v>3.605</v>
      </c>
      <c r="H466">
        <v>6.3E-2</v>
      </c>
      <c r="I466">
        <v>127.259</v>
      </c>
    </row>
    <row r="467" spans="1:9" x14ac:dyDescent="0.3">
      <c r="A467" t="s">
        <v>45</v>
      </c>
      <c r="B467" t="s">
        <v>511</v>
      </c>
      <c r="C467">
        <v>95</v>
      </c>
      <c r="D467">
        <v>5.11E-2</v>
      </c>
      <c r="E467">
        <v>15.767022775238891</v>
      </c>
      <c r="F467">
        <v>1539.486522652265</v>
      </c>
      <c r="G467">
        <v>3.605</v>
      </c>
      <c r="H467">
        <v>6.3E-2</v>
      </c>
      <c r="I467">
        <v>127.4581</v>
      </c>
    </row>
    <row r="468" spans="1:9" x14ac:dyDescent="0.3">
      <c r="A468" t="s">
        <v>45</v>
      </c>
      <c r="B468" t="s">
        <v>512</v>
      </c>
      <c r="C468">
        <v>95</v>
      </c>
      <c r="D468">
        <v>5.11E-2</v>
      </c>
      <c r="E468">
        <v>15.767022775238891</v>
      </c>
      <c r="F468">
        <v>1539.486522652265</v>
      </c>
      <c r="G468">
        <v>3.605</v>
      </c>
      <c r="H468">
        <v>6.3E-2</v>
      </c>
      <c r="I468">
        <v>127.65819999999999</v>
      </c>
    </row>
    <row r="469" spans="1:9" x14ac:dyDescent="0.3">
      <c r="A469" t="s">
        <v>45</v>
      </c>
      <c r="B469" t="s">
        <v>513</v>
      </c>
      <c r="C469">
        <v>95</v>
      </c>
      <c r="D469">
        <v>5.11E-2</v>
      </c>
      <c r="E469">
        <v>15.767022775238891</v>
      </c>
      <c r="F469">
        <v>1539.486522652265</v>
      </c>
      <c r="G469">
        <v>3.605</v>
      </c>
      <c r="H469">
        <v>6.3E-2</v>
      </c>
      <c r="I469">
        <v>127.8574</v>
      </c>
    </row>
    <row r="470" spans="1:9" x14ac:dyDescent="0.3">
      <c r="A470" t="s">
        <v>45</v>
      </c>
      <c r="B470" t="s">
        <v>514</v>
      </c>
      <c r="C470">
        <v>95</v>
      </c>
      <c r="D470">
        <v>5.11E-2</v>
      </c>
      <c r="E470">
        <v>11.712315275610051</v>
      </c>
      <c r="F470">
        <v>1161.5877836868569</v>
      </c>
      <c r="G470">
        <v>3.605</v>
      </c>
      <c r="H470">
        <v>0</v>
      </c>
      <c r="I470">
        <v>128.06610000000001</v>
      </c>
    </row>
    <row r="471" spans="1:9" x14ac:dyDescent="0.3">
      <c r="A471" t="s">
        <v>45</v>
      </c>
      <c r="B471" t="s">
        <v>515</v>
      </c>
      <c r="C471">
        <v>95</v>
      </c>
      <c r="D471">
        <v>4.3200000000000002E-2</v>
      </c>
      <c r="E471">
        <v>11.712315275610051</v>
      </c>
      <c r="F471">
        <v>1161.5877836868569</v>
      </c>
      <c r="G471">
        <v>3.605</v>
      </c>
      <c r="H471">
        <v>0</v>
      </c>
      <c r="I471">
        <v>128.25819999999999</v>
      </c>
    </row>
    <row r="472" spans="1:9" x14ac:dyDescent="0.3">
      <c r="A472" t="s">
        <v>45</v>
      </c>
      <c r="B472" t="s">
        <v>516</v>
      </c>
      <c r="C472">
        <v>95</v>
      </c>
      <c r="D472">
        <v>2.6499999999999999E-2</v>
      </c>
      <c r="E472">
        <v>11.712315275610051</v>
      </c>
      <c r="F472">
        <v>1161.5877836868569</v>
      </c>
      <c r="G472">
        <v>3.605</v>
      </c>
      <c r="H472">
        <v>0</v>
      </c>
      <c r="I472">
        <v>128.4571</v>
      </c>
    </row>
    <row r="473" spans="1:9" x14ac:dyDescent="0.3">
      <c r="A473" t="s">
        <v>45</v>
      </c>
      <c r="B473" t="s">
        <v>517</v>
      </c>
      <c r="C473">
        <v>95</v>
      </c>
      <c r="D473">
        <v>1.09E-2</v>
      </c>
      <c r="E473">
        <v>11.712315275610051</v>
      </c>
      <c r="F473">
        <v>1161.5877836868569</v>
      </c>
      <c r="G473">
        <v>3.605</v>
      </c>
      <c r="H473">
        <v>0</v>
      </c>
      <c r="I473">
        <v>128.65889999999999</v>
      </c>
    </row>
    <row r="474" spans="1:9" x14ac:dyDescent="0.3">
      <c r="A474" t="s">
        <v>45</v>
      </c>
      <c r="B474" t="s">
        <v>518</v>
      </c>
      <c r="C474">
        <v>95</v>
      </c>
      <c r="D474">
        <v>1.8E-3</v>
      </c>
      <c r="E474">
        <v>11.712315275610051</v>
      </c>
      <c r="F474">
        <v>1161.5877836868569</v>
      </c>
      <c r="G474">
        <v>3.605</v>
      </c>
      <c r="H474">
        <v>0</v>
      </c>
      <c r="I474">
        <v>128.8588</v>
      </c>
    </row>
    <row r="475" spans="1:9" x14ac:dyDescent="0.3">
      <c r="A475" t="s">
        <v>45</v>
      </c>
      <c r="B475" t="s">
        <v>519</v>
      </c>
      <c r="C475">
        <v>95</v>
      </c>
      <c r="D475">
        <v>-2.3999999999999998E-3</v>
      </c>
      <c r="E475">
        <v>11.712315275610051</v>
      </c>
      <c r="F475">
        <v>1161.5877836868569</v>
      </c>
      <c r="G475">
        <v>3.605</v>
      </c>
      <c r="H475">
        <v>0</v>
      </c>
      <c r="I475">
        <v>129.06399999999999</v>
      </c>
    </row>
    <row r="476" spans="1:9" x14ac:dyDescent="0.3">
      <c r="A476" t="s">
        <v>45</v>
      </c>
      <c r="B476" t="s">
        <v>520</v>
      </c>
      <c r="C476">
        <v>95</v>
      </c>
      <c r="D476">
        <v>-2.5000000000000001E-3</v>
      </c>
      <c r="E476">
        <v>11.712315275610051</v>
      </c>
      <c r="F476">
        <v>1161.5877836868569</v>
      </c>
      <c r="G476">
        <v>3.605</v>
      </c>
      <c r="H476">
        <v>0</v>
      </c>
      <c r="I476">
        <v>129.2577</v>
      </c>
    </row>
    <row r="477" spans="1:9" x14ac:dyDescent="0.3">
      <c r="A477" t="s">
        <v>45</v>
      </c>
      <c r="B477" t="s">
        <v>521</v>
      </c>
      <c r="C477">
        <v>95</v>
      </c>
      <c r="D477">
        <v>-2.5999999999999999E-3</v>
      </c>
      <c r="E477">
        <v>11.712315275610051</v>
      </c>
      <c r="F477">
        <v>1161.5877836868569</v>
      </c>
      <c r="G477">
        <v>3.605</v>
      </c>
      <c r="H477">
        <v>0</v>
      </c>
      <c r="I477">
        <v>129.4579</v>
      </c>
    </row>
    <row r="478" spans="1:9" x14ac:dyDescent="0.3">
      <c r="A478" t="s">
        <v>45</v>
      </c>
      <c r="B478" t="s">
        <v>522</v>
      </c>
      <c r="C478">
        <v>95</v>
      </c>
      <c r="D478">
        <v>-2.5999999999999999E-3</v>
      </c>
      <c r="E478">
        <v>11.712315275610051</v>
      </c>
      <c r="F478">
        <v>1161.5877836868569</v>
      </c>
      <c r="G478">
        <v>3.605</v>
      </c>
      <c r="H478">
        <v>0</v>
      </c>
      <c r="I478">
        <v>129.65729999999999</v>
      </c>
    </row>
    <row r="479" spans="1:9" x14ac:dyDescent="0.3">
      <c r="A479" t="s">
        <v>45</v>
      </c>
      <c r="B479" t="s">
        <v>523</v>
      </c>
      <c r="C479">
        <v>95</v>
      </c>
      <c r="D479">
        <v>-2.5999999999999999E-3</v>
      </c>
      <c r="E479">
        <v>11.712315275610051</v>
      </c>
      <c r="F479">
        <v>1161.5877836868569</v>
      </c>
      <c r="G479">
        <v>3.605</v>
      </c>
      <c r="H479">
        <v>0</v>
      </c>
      <c r="I479">
        <v>129.86680000000001</v>
      </c>
    </row>
    <row r="480" spans="1:9" x14ac:dyDescent="0.3">
      <c r="A480" t="s">
        <v>45</v>
      </c>
      <c r="B480" t="s">
        <v>524</v>
      </c>
      <c r="C480">
        <v>95</v>
      </c>
      <c r="D480">
        <v>-2.5999999999999999E-3</v>
      </c>
      <c r="E480">
        <v>14.49328588166199</v>
      </c>
      <c r="F480">
        <v>1515.4128301697231</v>
      </c>
      <c r="G480">
        <v>3.605</v>
      </c>
      <c r="H480">
        <v>4.3200000000000002E-2</v>
      </c>
      <c r="I480">
        <v>130.05760000000001</v>
      </c>
    </row>
    <row r="481" spans="1:9" x14ac:dyDescent="0.3">
      <c r="A481" t="s">
        <v>45</v>
      </c>
      <c r="B481" t="s">
        <v>525</v>
      </c>
      <c r="C481">
        <v>95</v>
      </c>
      <c r="D481">
        <v>1.47E-2</v>
      </c>
      <c r="E481">
        <v>14.765101308314611</v>
      </c>
      <c r="F481">
        <v>1541.2081141590561</v>
      </c>
      <c r="G481">
        <v>3.605</v>
      </c>
      <c r="H481">
        <v>4.7399999999999998E-2</v>
      </c>
      <c r="I481">
        <v>130.2587</v>
      </c>
    </row>
    <row r="482" spans="1:9" x14ac:dyDescent="0.3">
      <c r="A482" t="s">
        <v>45</v>
      </c>
      <c r="B482" t="s">
        <v>526</v>
      </c>
      <c r="C482">
        <v>95</v>
      </c>
      <c r="D482">
        <v>3.9E-2</v>
      </c>
      <c r="E482">
        <v>15.03534918504787</v>
      </c>
      <c r="F482">
        <v>1566.8546376610429</v>
      </c>
      <c r="G482">
        <v>3.605</v>
      </c>
      <c r="H482">
        <v>5.16E-2</v>
      </c>
      <c r="I482">
        <v>130.45859999999999</v>
      </c>
    </row>
    <row r="483" spans="1:9" x14ac:dyDescent="0.3">
      <c r="A483" t="s">
        <v>45</v>
      </c>
      <c r="B483" t="s">
        <v>527</v>
      </c>
      <c r="C483">
        <v>95</v>
      </c>
      <c r="D483">
        <v>4.9200000000000001E-2</v>
      </c>
      <c r="E483">
        <v>15.30468921277197</v>
      </c>
      <c r="F483">
        <v>1592.4150062920601</v>
      </c>
      <c r="G483">
        <v>3.605</v>
      </c>
      <c r="H483">
        <v>5.5800000000000002E-2</v>
      </c>
      <c r="I483">
        <v>130.65790000000001</v>
      </c>
    </row>
    <row r="484" spans="1:9" x14ac:dyDescent="0.3">
      <c r="A484" t="s">
        <v>45</v>
      </c>
      <c r="B484" t="s">
        <v>528</v>
      </c>
      <c r="C484">
        <v>95</v>
      </c>
      <c r="D484">
        <v>5.57E-2</v>
      </c>
      <c r="E484">
        <v>15.57262752811344</v>
      </c>
      <c r="F484">
        <v>1617.842352417965</v>
      </c>
      <c r="G484">
        <v>3.605</v>
      </c>
      <c r="H484">
        <v>0.06</v>
      </c>
      <c r="I484">
        <v>130.8562</v>
      </c>
    </row>
    <row r="485" spans="1:9" x14ac:dyDescent="0.3">
      <c r="A485" t="s">
        <v>45</v>
      </c>
      <c r="B485" t="s">
        <v>529</v>
      </c>
      <c r="C485">
        <v>95</v>
      </c>
      <c r="D485">
        <v>6.4399999999999999E-2</v>
      </c>
      <c r="E485">
        <v>11.712315275610051</v>
      </c>
      <c r="F485">
        <v>1161.5877836868569</v>
      </c>
      <c r="G485">
        <v>3.605</v>
      </c>
      <c r="H485">
        <v>0</v>
      </c>
      <c r="I485">
        <v>131.05789999999999</v>
      </c>
    </row>
    <row r="486" spans="1:9" x14ac:dyDescent="0.3">
      <c r="A486" t="s">
        <v>45</v>
      </c>
      <c r="B486" t="s">
        <v>530</v>
      </c>
      <c r="C486">
        <v>95</v>
      </c>
      <c r="D486">
        <v>5.6500000000000002E-2</v>
      </c>
      <c r="E486">
        <v>11.712315275610051</v>
      </c>
      <c r="F486">
        <v>1161.5877836868569</v>
      </c>
      <c r="G486">
        <v>3.605</v>
      </c>
      <c r="H486">
        <v>0</v>
      </c>
      <c r="I486">
        <v>131.2569</v>
      </c>
    </row>
    <row r="487" spans="1:9" x14ac:dyDescent="0.3">
      <c r="A487" t="s">
        <v>45</v>
      </c>
      <c r="B487" t="s">
        <v>531</v>
      </c>
      <c r="C487">
        <v>95</v>
      </c>
      <c r="D487">
        <v>4.2200000000000001E-2</v>
      </c>
      <c r="E487">
        <v>11.712315275610051</v>
      </c>
      <c r="F487">
        <v>1161.5877836868569</v>
      </c>
      <c r="G487">
        <v>3.605</v>
      </c>
      <c r="H487">
        <v>0</v>
      </c>
      <c r="I487">
        <v>131.4571</v>
      </c>
    </row>
    <row r="488" spans="1:9" x14ac:dyDescent="0.3">
      <c r="A488" t="s">
        <v>45</v>
      </c>
      <c r="B488" t="s">
        <v>532</v>
      </c>
      <c r="C488">
        <v>95</v>
      </c>
      <c r="D488">
        <v>2.41E-2</v>
      </c>
      <c r="E488">
        <v>11.712315275610051</v>
      </c>
      <c r="F488">
        <v>1161.5877836868569</v>
      </c>
      <c r="G488">
        <v>3.605</v>
      </c>
      <c r="H488">
        <v>0</v>
      </c>
      <c r="I488">
        <v>131.65780000000001</v>
      </c>
    </row>
    <row r="489" spans="1:9" x14ac:dyDescent="0.3">
      <c r="A489" t="s">
        <v>45</v>
      </c>
      <c r="B489" t="s">
        <v>533</v>
      </c>
      <c r="C489">
        <v>95</v>
      </c>
      <c r="D489">
        <v>9.1999999999999998E-3</v>
      </c>
      <c r="E489">
        <v>11.712315275610051</v>
      </c>
      <c r="F489">
        <v>1161.5877836868569</v>
      </c>
      <c r="G489">
        <v>3.605</v>
      </c>
      <c r="H489">
        <v>0</v>
      </c>
      <c r="I489">
        <v>131.8571</v>
      </c>
    </row>
    <row r="490" spans="1:9" x14ac:dyDescent="0.3">
      <c r="A490" t="s">
        <v>45</v>
      </c>
      <c r="B490" t="s">
        <v>534</v>
      </c>
      <c r="C490">
        <v>95</v>
      </c>
      <c r="D490">
        <v>2.0999999999999999E-3</v>
      </c>
      <c r="E490">
        <v>11.7879409632391</v>
      </c>
      <c r="F490">
        <v>1258.675597411391</v>
      </c>
      <c r="G490">
        <v>3.605</v>
      </c>
      <c r="H490">
        <v>1.1999999999999999E-3</v>
      </c>
      <c r="I490">
        <v>132.05600000000001</v>
      </c>
    </row>
    <row r="491" spans="1:9" x14ac:dyDescent="0.3">
      <c r="A491" t="s">
        <v>45</v>
      </c>
      <c r="B491" t="s">
        <v>535</v>
      </c>
      <c r="C491">
        <v>95</v>
      </c>
      <c r="D491">
        <v>1E-3</v>
      </c>
      <c r="E491">
        <v>12.061612229514299</v>
      </c>
      <c r="F491">
        <v>1284.6470005809069</v>
      </c>
      <c r="G491">
        <v>3.605</v>
      </c>
      <c r="H491">
        <v>5.4000000000000003E-3</v>
      </c>
      <c r="I491">
        <v>132.25839999999999</v>
      </c>
    </row>
    <row r="492" spans="1:9" x14ac:dyDescent="0.3">
      <c r="A492" t="s">
        <v>45</v>
      </c>
      <c r="B492" t="s">
        <v>536</v>
      </c>
      <c r="C492">
        <v>95</v>
      </c>
      <c r="D492">
        <v>6.1000000000000004E-3</v>
      </c>
      <c r="E492">
        <v>12.33074656192694</v>
      </c>
      <c r="F492">
        <v>1310.1878487268671</v>
      </c>
      <c r="G492">
        <v>3.605</v>
      </c>
      <c r="H492">
        <v>9.5999999999999992E-3</v>
      </c>
      <c r="I492">
        <v>132.45760000000001</v>
      </c>
    </row>
    <row r="493" spans="1:9" x14ac:dyDescent="0.3">
      <c r="A493" t="s">
        <v>45</v>
      </c>
      <c r="B493" t="s">
        <v>537</v>
      </c>
      <c r="C493">
        <v>95</v>
      </c>
      <c r="D493">
        <v>1.04E-2</v>
      </c>
      <c r="E493">
        <v>12.60062302745324</v>
      </c>
      <c r="F493">
        <v>1335.7991253053119</v>
      </c>
      <c r="G493">
        <v>3.605</v>
      </c>
      <c r="H493">
        <v>1.38E-2</v>
      </c>
      <c r="I493">
        <v>132.65719999999999</v>
      </c>
    </row>
    <row r="494" spans="1:9" x14ac:dyDescent="0.3">
      <c r="A494" t="s">
        <v>45</v>
      </c>
      <c r="B494" t="s">
        <v>538</v>
      </c>
      <c r="C494">
        <v>95</v>
      </c>
      <c r="D494">
        <v>1.3899999999999999E-2</v>
      </c>
      <c r="E494">
        <v>12.87212907992363</v>
      </c>
      <c r="F494">
        <v>1361.5650496847529</v>
      </c>
      <c r="G494">
        <v>3.605</v>
      </c>
      <c r="H494">
        <v>1.7999999999999999E-2</v>
      </c>
      <c r="I494">
        <v>132.85810000000001</v>
      </c>
    </row>
    <row r="495" spans="1:9" x14ac:dyDescent="0.3">
      <c r="A495" t="s">
        <v>45</v>
      </c>
      <c r="B495" t="s">
        <v>539</v>
      </c>
      <c r="C495">
        <v>95</v>
      </c>
      <c r="D495">
        <v>1.7999999999999999E-2</v>
      </c>
      <c r="E495">
        <v>13.142397230194399</v>
      </c>
      <c r="F495">
        <v>1387.2134971454479</v>
      </c>
      <c r="G495">
        <v>3.605</v>
      </c>
      <c r="H495">
        <v>2.2200000000000001E-2</v>
      </c>
      <c r="I495">
        <v>133.0581</v>
      </c>
    </row>
    <row r="496" spans="1:9" x14ac:dyDescent="0.3">
      <c r="A496" t="s">
        <v>45</v>
      </c>
      <c r="B496" t="s">
        <v>540</v>
      </c>
      <c r="C496">
        <v>95</v>
      </c>
      <c r="D496">
        <v>2.1000000000000001E-2</v>
      </c>
      <c r="E496">
        <v>13.409696118163181</v>
      </c>
      <c r="F496">
        <v>1412.580161613686</v>
      </c>
      <c r="G496">
        <v>3.605</v>
      </c>
      <c r="H496">
        <v>2.64E-2</v>
      </c>
      <c r="I496">
        <v>133.2559</v>
      </c>
    </row>
    <row r="497" spans="1:9" x14ac:dyDescent="0.3">
      <c r="A497" t="s">
        <v>45</v>
      </c>
      <c r="B497" t="s">
        <v>541</v>
      </c>
      <c r="C497">
        <v>95</v>
      </c>
      <c r="D497">
        <v>2.5399999999999999E-2</v>
      </c>
      <c r="E497">
        <v>13.681428828782799</v>
      </c>
      <c r="F497">
        <v>1438.367595851488</v>
      </c>
      <c r="G497">
        <v>3.605</v>
      </c>
      <c r="H497">
        <v>3.0599999999999999E-2</v>
      </c>
      <c r="I497">
        <v>133.45689999999999</v>
      </c>
    </row>
    <row r="498" spans="1:9" x14ac:dyDescent="0.3">
      <c r="A498" t="s">
        <v>45</v>
      </c>
      <c r="B498" t="s">
        <v>542</v>
      </c>
      <c r="C498">
        <v>95</v>
      </c>
      <c r="D498">
        <v>3.0099999999999998E-2</v>
      </c>
      <c r="E498">
        <v>13.950171192621459</v>
      </c>
      <c r="F498">
        <v>1463.8712461797761</v>
      </c>
      <c r="G498">
        <v>3.605</v>
      </c>
      <c r="H498">
        <v>3.4799999999999998E-2</v>
      </c>
      <c r="I498">
        <v>133.6557</v>
      </c>
    </row>
    <row r="499" spans="1:9" x14ac:dyDescent="0.3">
      <c r="A499" t="s">
        <v>45</v>
      </c>
      <c r="B499" t="s">
        <v>543</v>
      </c>
      <c r="C499">
        <v>95</v>
      </c>
      <c r="D499">
        <v>3.3599999999999998E-2</v>
      </c>
      <c r="E499">
        <v>14.23114336522049</v>
      </c>
      <c r="F499">
        <v>1490.535505359424</v>
      </c>
      <c r="G499">
        <v>3.605</v>
      </c>
      <c r="H499">
        <v>3.9100000000000003E-2</v>
      </c>
      <c r="I499">
        <v>133.86359999999999</v>
      </c>
    </row>
    <row r="500" spans="1:9" x14ac:dyDescent="0.3">
      <c r="A500" t="s">
        <v>45</v>
      </c>
      <c r="B500" t="s">
        <v>544</v>
      </c>
      <c r="C500">
        <v>95</v>
      </c>
      <c r="D500">
        <v>3.8300000000000001E-2</v>
      </c>
      <c r="E500">
        <v>14.49050191949274</v>
      </c>
      <c r="F500">
        <v>1515.1486321598611</v>
      </c>
      <c r="G500">
        <v>3.605</v>
      </c>
      <c r="H500">
        <v>4.3200000000000002E-2</v>
      </c>
      <c r="I500">
        <v>134.05549999999999</v>
      </c>
    </row>
    <row r="501" spans="1:9" x14ac:dyDescent="0.3">
      <c r="A501" t="s">
        <v>45</v>
      </c>
      <c r="B501" t="s">
        <v>545</v>
      </c>
      <c r="C501">
        <v>95</v>
      </c>
      <c r="D501">
        <v>4.1399999999999999E-2</v>
      </c>
      <c r="E501">
        <v>14.76180158735141</v>
      </c>
      <c r="F501">
        <v>1540.894970639649</v>
      </c>
      <c r="G501">
        <v>3.605</v>
      </c>
      <c r="H501">
        <v>4.7399999999999998E-2</v>
      </c>
      <c r="I501">
        <v>134.25630000000001</v>
      </c>
    </row>
    <row r="502" spans="1:9" x14ac:dyDescent="0.3">
      <c r="A502" t="s">
        <v>45</v>
      </c>
      <c r="B502" t="s">
        <v>546</v>
      </c>
      <c r="C502">
        <v>95</v>
      </c>
      <c r="D502">
        <v>4.6699999999999998E-2</v>
      </c>
      <c r="E502">
        <v>15.03151302628247</v>
      </c>
      <c r="F502">
        <v>1566.490586194207</v>
      </c>
      <c r="G502">
        <v>3.605</v>
      </c>
      <c r="H502">
        <v>5.16E-2</v>
      </c>
      <c r="I502">
        <v>134.45580000000001</v>
      </c>
    </row>
    <row r="503" spans="1:9" x14ac:dyDescent="0.3">
      <c r="A503" t="s">
        <v>45</v>
      </c>
      <c r="B503" t="s">
        <v>547</v>
      </c>
      <c r="C503">
        <v>95</v>
      </c>
      <c r="D503">
        <v>5.1299999999999998E-2</v>
      </c>
      <c r="E503">
        <v>15.303843806258291</v>
      </c>
      <c r="F503">
        <v>1592.334777213912</v>
      </c>
      <c r="G503">
        <v>3.605</v>
      </c>
      <c r="H503">
        <v>5.5800000000000002E-2</v>
      </c>
      <c r="I503">
        <v>134.65729999999999</v>
      </c>
    </row>
    <row r="504" spans="1:9" x14ac:dyDescent="0.3">
      <c r="A504" t="s">
        <v>45</v>
      </c>
      <c r="B504" t="s">
        <v>548</v>
      </c>
      <c r="C504">
        <v>95</v>
      </c>
      <c r="D504">
        <v>5.6500000000000002E-2</v>
      </c>
      <c r="E504">
        <v>15.57431834114078</v>
      </c>
      <c r="F504">
        <v>1618.0028105742599</v>
      </c>
      <c r="G504">
        <v>3.605</v>
      </c>
      <c r="H504">
        <v>0.06</v>
      </c>
      <c r="I504">
        <v>134.85740000000001</v>
      </c>
    </row>
    <row r="505" spans="1:9" x14ac:dyDescent="0.3">
      <c r="A505" t="s">
        <v>45</v>
      </c>
      <c r="B505" t="s">
        <v>549</v>
      </c>
      <c r="C505">
        <v>95</v>
      </c>
      <c r="D505">
        <v>6.3299999999999995E-2</v>
      </c>
      <c r="E505">
        <v>11.712315275610051</v>
      </c>
      <c r="F505">
        <v>1161.5877836868569</v>
      </c>
      <c r="G505">
        <v>3.605</v>
      </c>
      <c r="H505">
        <v>0</v>
      </c>
      <c r="I505">
        <v>135.05879999999999</v>
      </c>
    </row>
    <row r="506" spans="1:9" x14ac:dyDescent="0.3">
      <c r="A506" t="s">
        <v>45</v>
      </c>
      <c r="B506" t="s">
        <v>550</v>
      </c>
      <c r="C506">
        <v>95</v>
      </c>
      <c r="D506">
        <v>4.9000000000000002E-2</v>
      </c>
      <c r="E506">
        <v>11.712315275610051</v>
      </c>
      <c r="F506">
        <v>1161.5877836868569</v>
      </c>
      <c r="G506">
        <v>3.605</v>
      </c>
      <c r="H506">
        <v>0</v>
      </c>
      <c r="I506">
        <v>135.25720000000001</v>
      </c>
    </row>
    <row r="507" spans="1:9" x14ac:dyDescent="0.3">
      <c r="A507" t="s">
        <v>45</v>
      </c>
      <c r="B507" t="s">
        <v>551</v>
      </c>
      <c r="C507">
        <v>95</v>
      </c>
      <c r="D507">
        <v>3.8100000000000002E-2</v>
      </c>
      <c r="E507">
        <v>11.712315275610051</v>
      </c>
      <c r="F507">
        <v>1161.5877836868569</v>
      </c>
      <c r="G507">
        <v>3.605</v>
      </c>
      <c r="H507">
        <v>0</v>
      </c>
      <c r="I507">
        <v>135.45679999999999</v>
      </c>
    </row>
    <row r="508" spans="1:9" x14ac:dyDescent="0.3">
      <c r="A508" t="s">
        <v>45</v>
      </c>
      <c r="B508" t="s">
        <v>552</v>
      </c>
      <c r="C508">
        <v>95</v>
      </c>
      <c r="D508">
        <v>2.35E-2</v>
      </c>
      <c r="E508">
        <v>11.712315275610051</v>
      </c>
      <c r="F508">
        <v>1161.5877836868569</v>
      </c>
      <c r="G508">
        <v>3.605</v>
      </c>
      <c r="H508">
        <v>0</v>
      </c>
      <c r="I508">
        <v>135.65459999999999</v>
      </c>
    </row>
    <row r="509" spans="1:9" x14ac:dyDescent="0.3">
      <c r="A509" t="s">
        <v>45</v>
      </c>
      <c r="B509" t="s">
        <v>553</v>
      </c>
      <c r="C509">
        <v>95</v>
      </c>
      <c r="D509">
        <v>7.0000000000000001E-3</v>
      </c>
      <c r="E509">
        <v>11.712315275610051</v>
      </c>
      <c r="F509">
        <v>1161.5877836868569</v>
      </c>
      <c r="G509">
        <v>3.605</v>
      </c>
      <c r="H509">
        <v>0</v>
      </c>
      <c r="I509">
        <v>135.85769999999999</v>
      </c>
    </row>
    <row r="510" spans="1:9" x14ac:dyDescent="0.3">
      <c r="A510" t="s">
        <v>45</v>
      </c>
      <c r="B510" t="s">
        <v>554</v>
      </c>
      <c r="C510">
        <v>95</v>
      </c>
      <c r="D510">
        <v>2.9999999999999997E-4</v>
      </c>
      <c r="E510">
        <v>11.79089007364481</v>
      </c>
      <c r="F510">
        <v>1258.955467988892</v>
      </c>
      <c r="G510">
        <v>3.605</v>
      </c>
      <c r="H510">
        <v>1.1999999999999999E-3</v>
      </c>
      <c r="I510">
        <v>136.0581</v>
      </c>
    </row>
    <row r="511" spans="1:9" x14ac:dyDescent="0.3">
      <c r="A511" t="s">
        <v>45</v>
      </c>
      <c r="B511" t="s">
        <v>555</v>
      </c>
      <c r="C511">
        <v>95</v>
      </c>
      <c r="D511">
        <v>4.0000000000000002E-4</v>
      </c>
      <c r="E511">
        <v>12.059302465387139</v>
      </c>
      <c r="F511">
        <v>1284.4278039652399</v>
      </c>
      <c r="G511">
        <v>3.605</v>
      </c>
      <c r="H511">
        <v>5.4000000000000003E-3</v>
      </c>
      <c r="I511">
        <v>136.2567</v>
      </c>
    </row>
    <row r="512" spans="1:9" x14ac:dyDescent="0.3">
      <c r="A512" t="s">
        <v>45</v>
      </c>
      <c r="B512" t="s">
        <v>556</v>
      </c>
      <c r="C512">
        <v>95</v>
      </c>
      <c r="D512">
        <v>6.4999999999999997E-3</v>
      </c>
      <c r="E512">
        <v>12.32988047640502</v>
      </c>
      <c r="F512">
        <v>1310.1056572108371</v>
      </c>
      <c r="G512">
        <v>3.605</v>
      </c>
      <c r="H512">
        <v>9.5999999999999992E-3</v>
      </c>
      <c r="I512">
        <v>136.45689999999999</v>
      </c>
    </row>
    <row r="513" spans="1:9" x14ac:dyDescent="0.3">
      <c r="A513" t="s">
        <v>45</v>
      </c>
      <c r="B513" t="s">
        <v>557</v>
      </c>
      <c r="C513">
        <v>95</v>
      </c>
      <c r="D513">
        <v>0.01</v>
      </c>
      <c r="E513">
        <v>12.598993845979891</v>
      </c>
      <c r="F513">
        <v>1335.6445159834909</v>
      </c>
      <c r="G513">
        <v>3.605</v>
      </c>
      <c r="H513">
        <v>1.38E-2</v>
      </c>
      <c r="I513">
        <v>136.65600000000001</v>
      </c>
    </row>
    <row r="514" spans="1:9" x14ac:dyDescent="0.3">
      <c r="A514" t="s">
        <v>45</v>
      </c>
      <c r="B514" t="s">
        <v>558</v>
      </c>
      <c r="C514">
        <v>95</v>
      </c>
      <c r="D514">
        <v>1.35E-2</v>
      </c>
      <c r="E514">
        <v>12.870643840566521</v>
      </c>
      <c r="F514">
        <v>1361.4241004697631</v>
      </c>
      <c r="G514">
        <v>3.605</v>
      </c>
      <c r="H514">
        <v>1.7999999999999999E-2</v>
      </c>
      <c r="I514">
        <v>136.857</v>
      </c>
    </row>
    <row r="515" spans="1:9" x14ac:dyDescent="0.3">
      <c r="A515" t="s">
        <v>45</v>
      </c>
      <c r="B515" t="s">
        <v>559</v>
      </c>
      <c r="C515">
        <v>95</v>
      </c>
      <c r="D515">
        <v>1.78E-2</v>
      </c>
      <c r="E515">
        <v>13.1417991608382</v>
      </c>
      <c r="F515">
        <v>1387.1567403635449</v>
      </c>
      <c r="G515">
        <v>3.605</v>
      </c>
      <c r="H515">
        <v>2.2200000000000001E-2</v>
      </c>
      <c r="I515">
        <v>137.05760000000001</v>
      </c>
    </row>
    <row r="516" spans="1:9" x14ac:dyDescent="0.3">
      <c r="A516" t="s">
        <v>45</v>
      </c>
      <c r="B516" t="s">
        <v>560</v>
      </c>
      <c r="C516">
        <v>95</v>
      </c>
      <c r="D516">
        <v>2.1700000000000001E-2</v>
      </c>
      <c r="E516">
        <v>13.40961380760093</v>
      </c>
      <c r="F516">
        <v>1412.572350341329</v>
      </c>
      <c r="G516">
        <v>3.605</v>
      </c>
      <c r="H516">
        <v>2.64E-2</v>
      </c>
      <c r="I516">
        <v>137.25579999999999</v>
      </c>
    </row>
    <row r="517" spans="1:9" x14ac:dyDescent="0.3">
      <c r="A517" t="s">
        <v>45</v>
      </c>
      <c r="B517" t="s">
        <v>561</v>
      </c>
      <c r="C517">
        <v>95</v>
      </c>
      <c r="D517">
        <v>2.5499999999999998E-2</v>
      </c>
      <c r="E517">
        <v>13.6864400417816</v>
      </c>
      <c r="F517">
        <v>1438.8431599650739</v>
      </c>
      <c r="G517">
        <v>3.605</v>
      </c>
      <c r="H517">
        <v>3.0700000000000002E-2</v>
      </c>
      <c r="I517">
        <v>137.4606</v>
      </c>
    </row>
    <row r="518" spans="1:9" x14ac:dyDescent="0.3">
      <c r="A518" t="s">
        <v>45</v>
      </c>
      <c r="B518" t="s">
        <v>562</v>
      </c>
      <c r="C518">
        <v>95</v>
      </c>
      <c r="D518">
        <v>2.93E-2</v>
      </c>
      <c r="E518">
        <v>13.94922239106654</v>
      </c>
      <c r="F518">
        <v>1463.7812049122149</v>
      </c>
      <c r="G518">
        <v>3.605</v>
      </c>
      <c r="H518">
        <v>3.4799999999999998E-2</v>
      </c>
      <c r="I518">
        <v>137.655</v>
      </c>
    </row>
    <row r="519" spans="1:9" x14ac:dyDescent="0.3">
      <c r="A519" t="s">
        <v>45</v>
      </c>
      <c r="B519" t="s">
        <v>563</v>
      </c>
      <c r="C519">
        <v>95</v>
      </c>
      <c r="D519">
        <v>3.3799999999999997E-2</v>
      </c>
      <c r="E519">
        <v>14.22369811130967</v>
      </c>
      <c r="F519">
        <v>1489.8289507632869</v>
      </c>
      <c r="G519">
        <v>3.605</v>
      </c>
      <c r="H519">
        <v>3.9E-2</v>
      </c>
      <c r="I519">
        <v>137.85810000000001</v>
      </c>
    </row>
    <row r="520" spans="1:9" x14ac:dyDescent="0.3">
      <c r="A520" t="s">
        <v>45</v>
      </c>
      <c r="B520" t="s">
        <v>564</v>
      </c>
      <c r="C520">
        <v>95</v>
      </c>
      <c r="D520">
        <v>3.7499999999999999E-2</v>
      </c>
      <c r="E520">
        <v>14.492522785710561</v>
      </c>
      <c r="F520">
        <v>1515.340412363932</v>
      </c>
      <c r="G520">
        <v>3.605</v>
      </c>
      <c r="H520">
        <v>4.3200000000000002E-2</v>
      </c>
      <c r="I520">
        <v>138.05699999999999</v>
      </c>
    </row>
    <row r="521" spans="1:9" x14ac:dyDescent="0.3">
      <c r="A521" t="s">
        <v>45</v>
      </c>
      <c r="B521" t="s">
        <v>565</v>
      </c>
      <c r="C521">
        <v>95</v>
      </c>
      <c r="D521">
        <v>4.2500000000000003E-2</v>
      </c>
      <c r="E521">
        <v>14.767060542978429</v>
      </c>
      <c r="F521">
        <v>1541.3940455286529</v>
      </c>
      <c r="G521">
        <v>3.605</v>
      </c>
      <c r="H521">
        <v>4.7500000000000001E-2</v>
      </c>
      <c r="I521">
        <v>138.26009999999999</v>
      </c>
    </row>
    <row r="522" spans="1:9" x14ac:dyDescent="0.3">
      <c r="A522" t="s">
        <v>45</v>
      </c>
      <c r="B522" t="s">
        <v>566</v>
      </c>
      <c r="C522">
        <v>95</v>
      </c>
      <c r="D522">
        <v>4.7399999999999998E-2</v>
      </c>
      <c r="E522">
        <v>15.033720003574521</v>
      </c>
      <c r="F522">
        <v>1566.7000283392219</v>
      </c>
      <c r="G522">
        <v>3.605</v>
      </c>
      <c r="H522">
        <v>5.16E-2</v>
      </c>
      <c r="I522">
        <v>138.45740000000001</v>
      </c>
    </row>
    <row r="523" spans="1:9" x14ac:dyDescent="0.3">
      <c r="A523" t="s">
        <v>45</v>
      </c>
      <c r="B523" t="s">
        <v>567</v>
      </c>
      <c r="C523">
        <v>95</v>
      </c>
      <c r="D523">
        <v>5.2400000000000002E-2</v>
      </c>
      <c r="E523">
        <v>15.307349911833221</v>
      </c>
      <c r="F523">
        <v>1592.6675066329731</v>
      </c>
      <c r="G523">
        <v>3.605</v>
      </c>
      <c r="H523">
        <v>5.5899999999999998E-2</v>
      </c>
      <c r="I523">
        <v>138.65989999999999</v>
      </c>
    </row>
    <row r="524" spans="1:9" x14ac:dyDescent="0.3">
      <c r="A524" t="s">
        <v>45</v>
      </c>
      <c r="B524" t="s">
        <v>568</v>
      </c>
      <c r="C524">
        <v>95</v>
      </c>
      <c r="D524">
        <v>5.6000000000000001E-2</v>
      </c>
      <c r="E524">
        <v>15.572483180526451</v>
      </c>
      <c r="F524">
        <v>1617.828653831961</v>
      </c>
      <c r="G524">
        <v>3.605</v>
      </c>
      <c r="H524">
        <v>0.06</v>
      </c>
      <c r="I524">
        <v>138.8561</v>
      </c>
    </row>
    <row r="525" spans="1:9" x14ac:dyDescent="0.3">
      <c r="A525" t="s">
        <v>45</v>
      </c>
      <c r="B525" t="s">
        <v>569</v>
      </c>
      <c r="C525">
        <v>95</v>
      </c>
      <c r="D525">
        <v>6.3799999999999996E-2</v>
      </c>
      <c r="E525">
        <v>11.712315275610051</v>
      </c>
      <c r="F525">
        <v>1161.5877836868569</v>
      </c>
      <c r="G525">
        <v>3.605</v>
      </c>
      <c r="H525">
        <v>0</v>
      </c>
      <c r="I525">
        <v>139.06549999999999</v>
      </c>
    </row>
    <row r="526" spans="1:9" x14ac:dyDescent="0.3">
      <c r="A526" t="s">
        <v>45</v>
      </c>
      <c r="B526" t="s">
        <v>570</v>
      </c>
      <c r="C526">
        <v>95</v>
      </c>
      <c r="D526">
        <v>5.4899999999999997E-2</v>
      </c>
      <c r="E526">
        <v>11.712315275610051</v>
      </c>
      <c r="F526">
        <v>1161.5877836868569</v>
      </c>
      <c r="G526">
        <v>3.605</v>
      </c>
      <c r="H526">
        <v>0</v>
      </c>
      <c r="I526">
        <v>139.25710000000001</v>
      </c>
    </row>
    <row r="527" spans="1:9" x14ac:dyDescent="0.3">
      <c r="A527" t="s">
        <v>45</v>
      </c>
      <c r="B527" t="s">
        <v>571</v>
      </c>
      <c r="C527">
        <v>95</v>
      </c>
      <c r="D527">
        <v>3.8199999999999998E-2</v>
      </c>
      <c r="E527">
        <v>11.712315275610051</v>
      </c>
      <c r="F527">
        <v>1161.5877836868569</v>
      </c>
      <c r="G527">
        <v>3.605</v>
      </c>
      <c r="H527">
        <v>0</v>
      </c>
      <c r="I527">
        <v>139.4667</v>
      </c>
    </row>
    <row r="528" spans="1:9" x14ac:dyDescent="0.3">
      <c r="A528" t="s">
        <v>45</v>
      </c>
      <c r="B528" t="s">
        <v>572</v>
      </c>
      <c r="C528">
        <v>95</v>
      </c>
      <c r="D528">
        <v>2.3199999999999998E-2</v>
      </c>
      <c r="E528">
        <v>11.712315275610051</v>
      </c>
      <c r="F528">
        <v>1161.5877836868569</v>
      </c>
      <c r="G528">
        <v>3.605</v>
      </c>
      <c r="H528">
        <v>0</v>
      </c>
      <c r="I528">
        <v>139.65690000000001</v>
      </c>
    </row>
    <row r="529" spans="1:9" x14ac:dyDescent="0.3">
      <c r="A529" t="s">
        <v>45</v>
      </c>
      <c r="B529" t="s">
        <v>573</v>
      </c>
      <c r="C529">
        <v>95</v>
      </c>
      <c r="D529">
        <v>8.6999999999999994E-3</v>
      </c>
      <c r="E529">
        <v>11.712315275610051</v>
      </c>
      <c r="F529">
        <v>1161.5877836868569</v>
      </c>
      <c r="G529">
        <v>3.605</v>
      </c>
      <c r="H529">
        <v>0</v>
      </c>
      <c r="I529">
        <v>139.863</v>
      </c>
    </row>
    <row r="530" spans="1:9" x14ac:dyDescent="0.3">
      <c r="A530" t="s">
        <v>45</v>
      </c>
      <c r="B530" t="s">
        <v>574</v>
      </c>
      <c r="C530">
        <v>95</v>
      </c>
      <c r="D530">
        <v>1.9E-3</v>
      </c>
      <c r="E530">
        <v>11.78783781148031</v>
      </c>
      <c r="F530">
        <v>1258.6658083094819</v>
      </c>
      <c r="G530">
        <v>3.605</v>
      </c>
      <c r="H530">
        <v>1.1999999999999999E-3</v>
      </c>
      <c r="I530">
        <v>140.05590000000001</v>
      </c>
    </row>
    <row r="531" spans="1:9" x14ac:dyDescent="0.3">
      <c r="A531" t="s">
        <v>45</v>
      </c>
      <c r="B531" t="s">
        <v>575</v>
      </c>
      <c r="C531">
        <v>95</v>
      </c>
      <c r="D531">
        <v>1.1999999999999999E-3</v>
      </c>
      <c r="E531">
        <v>12.05928182692597</v>
      </c>
      <c r="F531">
        <v>1284.4258453752741</v>
      </c>
      <c r="G531">
        <v>3.605</v>
      </c>
      <c r="H531">
        <v>5.4000000000000003E-3</v>
      </c>
      <c r="I531">
        <v>140.2567</v>
      </c>
    </row>
    <row r="532" spans="1:9" x14ac:dyDescent="0.3">
      <c r="A532" t="s">
        <v>45</v>
      </c>
      <c r="B532" t="s">
        <v>576</v>
      </c>
      <c r="C532">
        <v>95</v>
      </c>
      <c r="D532">
        <v>6.1000000000000004E-3</v>
      </c>
      <c r="E532">
        <v>12.328663658684381</v>
      </c>
      <c r="F532">
        <v>1309.990181209148</v>
      </c>
      <c r="G532">
        <v>3.605</v>
      </c>
      <c r="H532">
        <v>9.5999999999999992E-3</v>
      </c>
      <c r="I532">
        <v>140.45599999999999</v>
      </c>
    </row>
    <row r="533" spans="1:9" x14ac:dyDescent="0.3">
      <c r="A533" t="s">
        <v>45</v>
      </c>
      <c r="B533" t="s">
        <v>577</v>
      </c>
      <c r="C533">
        <v>95</v>
      </c>
      <c r="D533">
        <v>1.04E-2</v>
      </c>
      <c r="E533">
        <v>12.59971558391482</v>
      </c>
      <c r="F533">
        <v>1335.713008913516</v>
      </c>
      <c r="G533">
        <v>3.605</v>
      </c>
      <c r="H533">
        <v>1.38E-2</v>
      </c>
      <c r="I533">
        <v>140.6566</v>
      </c>
    </row>
    <row r="534" spans="1:9" x14ac:dyDescent="0.3">
      <c r="A534" t="s">
        <v>45</v>
      </c>
      <c r="B534" t="s">
        <v>578</v>
      </c>
      <c r="C534">
        <v>95</v>
      </c>
      <c r="D534">
        <v>1.41E-2</v>
      </c>
      <c r="E534">
        <v>12.86913832767191</v>
      </c>
      <c r="F534">
        <v>1361.2812272960639</v>
      </c>
      <c r="G534">
        <v>3.605</v>
      </c>
      <c r="H534">
        <v>1.7999999999999999E-2</v>
      </c>
      <c r="I534">
        <v>140.85589999999999</v>
      </c>
    </row>
    <row r="535" spans="1:9" x14ac:dyDescent="0.3">
      <c r="A535" t="s">
        <v>45</v>
      </c>
      <c r="B535" t="s">
        <v>579</v>
      </c>
      <c r="C535">
        <v>95</v>
      </c>
      <c r="D535">
        <v>1.7500000000000002E-2</v>
      </c>
      <c r="E535">
        <v>13.162195961444329</v>
      </c>
      <c r="F535">
        <v>1389.092396741067</v>
      </c>
      <c r="G535">
        <v>3.605</v>
      </c>
      <c r="H535">
        <v>2.2499999999999999E-2</v>
      </c>
      <c r="I535">
        <v>141.0727</v>
      </c>
    </row>
    <row r="536" spans="1:9" x14ac:dyDescent="0.3">
      <c r="A536" t="s">
        <v>45</v>
      </c>
      <c r="B536" t="s">
        <v>580</v>
      </c>
      <c r="C536">
        <v>95</v>
      </c>
      <c r="D536">
        <v>2.1299999999999999E-2</v>
      </c>
      <c r="E536">
        <v>13.40804625768158</v>
      </c>
      <c r="F536">
        <v>1412.4235898539821</v>
      </c>
      <c r="G536">
        <v>3.605</v>
      </c>
      <c r="H536">
        <v>2.63E-2</v>
      </c>
      <c r="I536">
        <v>141.25460000000001</v>
      </c>
    </row>
    <row r="537" spans="1:9" x14ac:dyDescent="0.3">
      <c r="A537" t="s">
        <v>45</v>
      </c>
      <c r="B537" t="s">
        <v>581</v>
      </c>
      <c r="C537">
        <v>95</v>
      </c>
      <c r="D537">
        <v>2.58E-2</v>
      </c>
      <c r="E537">
        <v>13.682315593312969</v>
      </c>
      <c r="F537">
        <v>1438.4517498054011</v>
      </c>
      <c r="G537">
        <v>3.605</v>
      </c>
      <c r="H537">
        <v>3.0599999999999999E-2</v>
      </c>
      <c r="I537">
        <v>141.45760000000001</v>
      </c>
    </row>
    <row r="538" spans="1:9" x14ac:dyDescent="0.3">
      <c r="A538" t="s">
        <v>45</v>
      </c>
      <c r="B538" t="s">
        <v>582</v>
      </c>
      <c r="C538">
        <v>95</v>
      </c>
      <c r="D538">
        <v>2.93E-2</v>
      </c>
      <c r="E538">
        <v>13.950253908654449</v>
      </c>
      <c r="F538">
        <v>1463.8790959313069</v>
      </c>
      <c r="G538">
        <v>3.605</v>
      </c>
      <c r="H538">
        <v>3.4799999999999998E-2</v>
      </c>
      <c r="I538">
        <v>141.6558</v>
      </c>
    </row>
    <row r="539" spans="1:9" x14ac:dyDescent="0.3">
      <c r="A539" t="s">
        <v>45</v>
      </c>
      <c r="B539" t="s">
        <v>583</v>
      </c>
      <c r="C539">
        <v>95</v>
      </c>
      <c r="D539">
        <v>3.3500000000000002E-2</v>
      </c>
      <c r="E539">
        <v>14.222439935572529</v>
      </c>
      <c r="F539">
        <v>1489.709549885833</v>
      </c>
      <c r="G539">
        <v>3.605</v>
      </c>
      <c r="H539">
        <v>3.9E-2</v>
      </c>
      <c r="I539">
        <v>141.85720000000001</v>
      </c>
    </row>
    <row r="540" spans="1:9" x14ac:dyDescent="0.3">
      <c r="A540" t="s">
        <v>45</v>
      </c>
      <c r="B540" t="s">
        <v>584</v>
      </c>
      <c r="C540">
        <v>95</v>
      </c>
      <c r="D540">
        <v>3.8199999999999998E-2</v>
      </c>
      <c r="E540">
        <v>14.495039137184831</v>
      </c>
      <c r="F540">
        <v>1515.5792141188399</v>
      </c>
      <c r="G540">
        <v>3.605</v>
      </c>
      <c r="H540">
        <v>4.3200000000000002E-2</v>
      </c>
      <c r="I540">
        <v>142.05889999999999</v>
      </c>
    </row>
    <row r="541" spans="1:9" x14ac:dyDescent="0.3">
      <c r="A541" t="s">
        <v>45</v>
      </c>
      <c r="B541" t="s">
        <v>585</v>
      </c>
      <c r="C541">
        <v>95</v>
      </c>
      <c r="D541">
        <v>4.2500000000000003E-2</v>
      </c>
      <c r="E541">
        <v>14.76332737378352</v>
      </c>
      <c r="F541">
        <v>1541.0397677720559</v>
      </c>
      <c r="G541">
        <v>3.605</v>
      </c>
      <c r="H541">
        <v>4.7399999999999998E-2</v>
      </c>
      <c r="I541">
        <v>142.25739999999999</v>
      </c>
    </row>
    <row r="542" spans="1:9" x14ac:dyDescent="0.3">
      <c r="A542" t="s">
        <v>45</v>
      </c>
      <c r="B542" t="s">
        <v>586</v>
      </c>
      <c r="C542">
        <v>95</v>
      </c>
      <c r="D542">
        <v>4.6899999999999997E-2</v>
      </c>
      <c r="E542">
        <v>15.03107998352151</v>
      </c>
      <c r="F542">
        <v>1566.4494904361909</v>
      </c>
      <c r="G542">
        <v>3.605</v>
      </c>
      <c r="H542">
        <v>5.16E-2</v>
      </c>
      <c r="I542">
        <v>142.4555</v>
      </c>
    </row>
    <row r="543" spans="1:9" x14ac:dyDescent="0.3">
      <c r="A543" t="s">
        <v>45</v>
      </c>
      <c r="B543" t="s">
        <v>587</v>
      </c>
      <c r="C543">
        <v>95</v>
      </c>
      <c r="D543">
        <v>5.1900000000000002E-2</v>
      </c>
      <c r="E543">
        <v>15.30675184247702</v>
      </c>
      <c r="F543">
        <v>1592.6107498510701</v>
      </c>
      <c r="G543">
        <v>3.605</v>
      </c>
      <c r="H543">
        <v>5.5800000000000002E-2</v>
      </c>
      <c r="I543">
        <v>142.65950000000001</v>
      </c>
    </row>
    <row r="544" spans="1:9" x14ac:dyDescent="0.3">
      <c r="A544" t="s">
        <v>45</v>
      </c>
      <c r="B544" t="s">
        <v>588</v>
      </c>
      <c r="C544">
        <v>95</v>
      </c>
      <c r="D544">
        <v>5.6599999999999998E-2</v>
      </c>
      <c r="E544">
        <v>15.574442415190269</v>
      </c>
      <c r="F544">
        <v>1618.0145852015571</v>
      </c>
      <c r="G544">
        <v>3.605</v>
      </c>
      <c r="H544">
        <v>0.06</v>
      </c>
      <c r="I544">
        <v>142.85749999999999</v>
      </c>
    </row>
    <row r="545" spans="1:9" x14ac:dyDescent="0.3">
      <c r="A545" t="s">
        <v>45</v>
      </c>
      <c r="B545" t="s">
        <v>589</v>
      </c>
      <c r="C545">
        <v>95</v>
      </c>
      <c r="D545">
        <v>6.4299999999999996E-2</v>
      </c>
      <c r="E545">
        <v>11.712315275610051</v>
      </c>
      <c r="F545">
        <v>1161.5877836868569</v>
      </c>
      <c r="G545">
        <v>3.605</v>
      </c>
      <c r="H545">
        <v>0</v>
      </c>
      <c r="I545">
        <v>143.06639999999999</v>
      </c>
    </row>
    <row r="546" spans="1:9" x14ac:dyDescent="0.3">
      <c r="A546" t="s">
        <v>45</v>
      </c>
      <c r="B546" t="s">
        <v>590</v>
      </c>
      <c r="C546">
        <v>95</v>
      </c>
      <c r="D546">
        <v>5.5199999999999999E-2</v>
      </c>
      <c r="E546">
        <v>11.712315275610051</v>
      </c>
      <c r="F546">
        <v>1161.5877836868569</v>
      </c>
      <c r="G546">
        <v>3.605</v>
      </c>
      <c r="H546">
        <v>0</v>
      </c>
      <c r="I546">
        <v>143.25540000000001</v>
      </c>
    </row>
    <row r="547" spans="1:9" x14ac:dyDescent="0.3">
      <c r="A547" t="s">
        <v>45</v>
      </c>
      <c r="B547" t="s">
        <v>591</v>
      </c>
      <c r="C547">
        <v>95</v>
      </c>
      <c r="D547">
        <v>3.9699999999999999E-2</v>
      </c>
      <c r="E547">
        <v>11.712315275610051</v>
      </c>
      <c r="F547">
        <v>1161.5877836868569</v>
      </c>
      <c r="G547">
        <v>3.605</v>
      </c>
      <c r="H547">
        <v>0</v>
      </c>
      <c r="I547">
        <v>143.45689999999999</v>
      </c>
    </row>
    <row r="548" spans="1:9" x14ac:dyDescent="0.3">
      <c r="A548" t="s">
        <v>45</v>
      </c>
      <c r="B548" t="s">
        <v>592</v>
      </c>
      <c r="C548">
        <v>95</v>
      </c>
      <c r="D548">
        <v>2.52E-2</v>
      </c>
      <c r="E548">
        <v>11.712315275610051</v>
      </c>
      <c r="F548">
        <v>1161.5877836868569</v>
      </c>
      <c r="G548">
        <v>3.605</v>
      </c>
      <c r="H548">
        <v>0</v>
      </c>
      <c r="I548">
        <v>143.6557</v>
      </c>
    </row>
    <row r="549" spans="1:9" x14ac:dyDescent="0.3">
      <c r="A549" t="s">
        <v>45</v>
      </c>
      <c r="B549" t="s">
        <v>593</v>
      </c>
      <c r="C549">
        <v>95</v>
      </c>
      <c r="D549">
        <v>8.3000000000000001E-3</v>
      </c>
      <c r="E549">
        <v>11.712315275610051</v>
      </c>
      <c r="F549">
        <v>1161.5877836868569</v>
      </c>
      <c r="G549">
        <v>3.605</v>
      </c>
      <c r="H549">
        <v>0</v>
      </c>
      <c r="I549">
        <v>143.8603</v>
      </c>
    </row>
    <row r="550" spans="1:9" x14ac:dyDescent="0.3">
      <c r="A550" t="s">
        <v>45</v>
      </c>
      <c r="B550" t="s">
        <v>594</v>
      </c>
      <c r="C550">
        <v>95</v>
      </c>
      <c r="D550">
        <v>1.4E-3</v>
      </c>
      <c r="E550">
        <v>11.814771854799799</v>
      </c>
      <c r="F550">
        <v>1261.2218490205009</v>
      </c>
      <c r="G550">
        <v>3.605</v>
      </c>
      <c r="H550">
        <v>1.6000000000000001E-3</v>
      </c>
      <c r="I550">
        <v>144.07579999999999</v>
      </c>
    </row>
    <row r="551" spans="1:9" x14ac:dyDescent="0.3">
      <c r="A551" t="s">
        <v>45</v>
      </c>
      <c r="B551" t="s">
        <v>595</v>
      </c>
      <c r="C551">
        <v>95</v>
      </c>
      <c r="D551">
        <v>1.2999999999999999E-3</v>
      </c>
      <c r="E551">
        <v>12.072047668017801</v>
      </c>
      <c r="F551">
        <v>1285.6373236948889</v>
      </c>
      <c r="G551">
        <v>3.605</v>
      </c>
      <c r="H551">
        <v>5.5999999999999999E-3</v>
      </c>
      <c r="I551">
        <v>144.2662</v>
      </c>
    </row>
    <row r="552" spans="1:9" x14ac:dyDescent="0.3">
      <c r="A552" t="s">
        <v>45</v>
      </c>
      <c r="B552" t="s">
        <v>596</v>
      </c>
      <c r="C552">
        <v>95</v>
      </c>
      <c r="D552">
        <v>7.4999999999999997E-3</v>
      </c>
      <c r="E552">
        <v>12.424231898038389</v>
      </c>
      <c r="F552">
        <v>1319.0596071238431</v>
      </c>
      <c r="G552">
        <v>3.605</v>
      </c>
      <c r="H552">
        <v>1.11E-2</v>
      </c>
      <c r="I552">
        <v>144.52670000000001</v>
      </c>
    </row>
    <row r="553" spans="1:9" x14ac:dyDescent="0.3">
      <c r="A553" t="s">
        <v>45</v>
      </c>
      <c r="B553" t="s">
        <v>597</v>
      </c>
      <c r="C553">
        <v>95</v>
      </c>
      <c r="D553">
        <v>9.2999999999999992E-3</v>
      </c>
      <c r="E553">
        <v>12.603015304878021</v>
      </c>
      <c r="F553">
        <v>1336.0261524329239</v>
      </c>
      <c r="G553">
        <v>3.605</v>
      </c>
      <c r="H553">
        <v>1.38E-2</v>
      </c>
      <c r="I553">
        <v>144.65899999999999</v>
      </c>
    </row>
    <row r="554" spans="1:9" x14ac:dyDescent="0.3">
      <c r="A554" t="s">
        <v>45</v>
      </c>
      <c r="B554" t="s">
        <v>598</v>
      </c>
      <c r="C554">
        <v>95</v>
      </c>
      <c r="D554">
        <v>1.3299999999999999E-2</v>
      </c>
      <c r="E554">
        <v>12.874686383943651</v>
      </c>
      <c r="F554">
        <v>1361.807737836253</v>
      </c>
      <c r="G554">
        <v>3.605</v>
      </c>
      <c r="H554">
        <v>1.8100000000000002E-2</v>
      </c>
      <c r="I554">
        <v>144.86000000000001</v>
      </c>
    </row>
    <row r="555" spans="1:9" x14ac:dyDescent="0.3">
      <c r="A555" t="s">
        <v>45</v>
      </c>
      <c r="B555" t="s">
        <v>599</v>
      </c>
      <c r="C555">
        <v>95</v>
      </c>
      <c r="D555">
        <v>1.7399999999999999E-2</v>
      </c>
      <c r="E555">
        <v>13.150543543031899</v>
      </c>
      <c r="F555">
        <v>1387.9865822337269</v>
      </c>
      <c r="G555">
        <v>3.605</v>
      </c>
      <c r="H555">
        <v>2.23E-2</v>
      </c>
      <c r="I555">
        <v>145.0641</v>
      </c>
    </row>
    <row r="556" spans="1:9" x14ac:dyDescent="0.3">
      <c r="A556" t="s">
        <v>45</v>
      </c>
      <c r="B556" t="s">
        <v>600</v>
      </c>
      <c r="C556">
        <v>95</v>
      </c>
      <c r="D556">
        <v>2.1600000000000001E-2</v>
      </c>
      <c r="E556">
        <v>13.411263262611779</v>
      </c>
      <c r="F556">
        <v>1412.7288836218579</v>
      </c>
      <c r="G556">
        <v>3.605</v>
      </c>
      <c r="H556">
        <v>2.64E-2</v>
      </c>
      <c r="I556">
        <v>145.25700000000001</v>
      </c>
    </row>
    <row r="557" spans="1:9" x14ac:dyDescent="0.3">
      <c r="A557" t="s">
        <v>45</v>
      </c>
      <c r="B557" t="s">
        <v>601</v>
      </c>
      <c r="C557">
        <v>95</v>
      </c>
      <c r="D557">
        <v>2.5600000000000001E-2</v>
      </c>
      <c r="E557">
        <v>13.683223036851389</v>
      </c>
      <c r="F557">
        <v>1438.537866197197</v>
      </c>
      <c r="G557">
        <v>3.605</v>
      </c>
      <c r="H557">
        <v>3.0599999999999999E-2</v>
      </c>
      <c r="I557">
        <v>145.45820000000001</v>
      </c>
    </row>
    <row r="558" spans="1:9" x14ac:dyDescent="0.3">
      <c r="A558" t="s">
        <v>45</v>
      </c>
      <c r="B558" t="s">
        <v>602</v>
      </c>
      <c r="C558">
        <v>95</v>
      </c>
      <c r="D558">
        <v>2.9899999999999999E-2</v>
      </c>
      <c r="E558">
        <v>13.95262550707098</v>
      </c>
      <c r="F558">
        <v>1464.104160621036</v>
      </c>
      <c r="G558">
        <v>3.605</v>
      </c>
      <c r="H558">
        <v>3.4799999999999998E-2</v>
      </c>
      <c r="I558">
        <v>145.6576</v>
      </c>
    </row>
    <row r="559" spans="1:9" x14ac:dyDescent="0.3">
      <c r="A559" t="s">
        <v>45</v>
      </c>
      <c r="B559" t="s">
        <v>603</v>
      </c>
      <c r="C559">
        <v>95</v>
      </c>
      <c r="D559">
        <v>3.3599999999999998E-2</v>
      </c>
      <c r="E559">
        <v>14.21982099999852</v>
      </c>
      <c r="F559">
        <v>1489.46101289986</v>
      </c>
      <c r="G559">
        <v>3.605</v>
      </c>
      <c r="H559">
        <v>3.9E-2</v>
      </c>
      <c r="I559">
        <v>145.8553</v>
      </c>
    </row>
    <row r="560" spans="1:9" x14ac:dyDescent="0.3">
      <c r="A560" t="s">
        <v>45</v>
      </c>
      <c r="B560" t="s">
        <v>604</v>
      </c>
      <c r="C560">
        <v>95</v>
      </c>
      <c r="D560">
        <v>3.7699999999999997E-2</v>
      </c>
      <c r="E560">
        <v>14.49470908399436</v>
      </c>
      <c r="F560">
        <v>1515.547892071065</v>
      </c>
      <c r="G560">
        <v>3.605</v>
      </c>
      <c r="H560">
        <v>4.3200000000000002E-2</v>
      </c>
      <c r="I560">
        <v>146.05860000000001</v>
      </c>
    </row>
    <row r="561" spans="1:9" x14ac:dyDescent="0.3">
      <c r="A561" t="s">
        <v>45</v>
      </c>
      <c r="B561" t="s">
        <v>605</v>
      </c>
      <c r="C561">
        <v>95</v>
      </c>
      <c r="D561">
        <v>4.2500000000000003E-2</v>
      </c>
      <c r="E561">
        <v>14.77052529053686</v>
      </c>
      <c r="F561">
        <v>1541.722850071948</v>
      </c>
      <c r="G561">
        <v>3.605</v>
      </c>
      <c r="H561">
        <v>4.7500000000000001E-2</v>
      </c>
      <c r="I561">
        <v>146.2627</v>
      </c>
    </row>
    <row r="562" spans="1:9" x14ac:dyDescent="0.3">
      <c r="A562" t="s">
        <v>45</v>
      </c>
      <c r="B562" t="s">
        <v>606</v>
      </c>
      <c r="C562">
        <v>95</v>
      </c>
      <c r="D562">
        <v>4.7E-2</v>
      </c>
      <c r="E562">
        <v>15.03143071572023</v>
      </c>
      <c r="F562">
        <v>1566.48277492185</v>
      </c>
      <c r="G562">
        <v>3.605</v>
      </c>
      <c r="H562">
        <v>5.16E-2</v>
      </c>
      <c r="I562">
        <v>146.45570000000001</v>
      </c>
    </row>
    <row r="563" spans="1:9" x14ac:dyDescent="0.3">
      <c r="A563" t="s">
        <v>45</v>
      </c>
      <c r="B563" t="s">
        <v>607</v>
      </c>
      <c r="C563">
        <v>95</v>
      </c>
      <c r="D563">
        <v>5.1799999999999999E-2</v>
      </c>
      <c r="E563">
        <v>15.305349319152899</v>
      </c>
      <c r="F563">
        <v>1592.4776503876101</v>
      </c>
      <c r="G563">
        <v>3.605</v>
      </c>
      <c r="H563">
        <v>5.5800000000000002E-2</v>
      </c>
      <c r="I563">
        <v>146.6584</v>
      </c>
    </row>
    <row r="564" spans="1:9" x14ac:dyDescent="0.3">
      <c r="A564" t="s">
        <v>45</v>
      </c>
      <c r="B564" t="s">
        <v>608</v>
      </c>
      <c r="C564">
        <v>95</v>
      </c>
      <c r="D564">
        <v>5.6500000000000002E-2</v>
      </c>
      <c r="E564">
        <v>15.571596415996281</v>
      </c>
      <c r="F564">
        <v>1617.744499878047</v>
      </c>
      <c r="G564">
        <v>3.605</v>
      </c>
      <c r="H564">
        <v>0.06</v>
      </c>
      <c r="I564">
        <v>146.8554</v>
      </c>
    </row>
    <row r="565" spans="1:9" x14ac:dyDescent="0.3">
      <c r="A565" t="s">
        <v>45</v>
      </c>
      <c r="B565" t="s">
        <v>609</v>
      </c>
      <c r="C565">
        <v>95</v>
      </c>
      <c r="D565">
        <v>6.3399999999999998E-2</v>
      </c>
      <c r="E565">
        <v>11.712315275610051</v>
      </c>
      <c r="F565">
        <v>1161.5877836868569</v>
      </c>
      <c r="G565">
        <v>3.605</v>
      </c>
      <c r="H565">
        <v>0</v>
      </c>
      <c r="I565">
        <v>147.05760000000001</v>
      </c>
    </row>
    <row r="566" spans="1:9" x14ac:dyDescent="0.3">
      <c r="A566" t="s">
        <v>45</v>
      </c>
      <c r="B566" t="s">
        <v>610</v>
      </c>
      <c r="C566">
        <v>95</v>
      </c>
      <c r="D566">
        <v>5.2400000000000002E-2</v>
      </c>
      <c r="E566">
        <v>11.712315275610051</v>
      </c>
      <c r="F566">
        <v>1161.5877836868569</v>
      </c>
      <c r="G566">
        <v>3.605</v>
      </c>
      <c r="H566">
        <v>0</v>
      </c>
      <c r="I566">
        <v>147.25739999999999</v>
      </c>
    </row>
    <row r="567" spans="1:9" x14ac:dyDescent="0.3">
      <c r="A567" t="s">
        <v>45</v>
      </c>
      <c r="B567" t="s">
        <v>611</v>
      </c>
      <c r="C567">
        <v>95</v>
      </c>
      <c r="D567">
        <v>3.5099999999999999E-2</v>
      </c>
      <c r="E567">
        <v>11.712315275610051</v>
      </c>
      <c r="F567">
        <v>1161.5877836868569</v>
      </c>
      <c r="G567">
        <v>3.605</v>
      </c>
      <c r="H567">
        <v>0</v>
      </c>
      <c r="I567">
        <v>147.4572</v>
      </c>
    </row>
    <row r="568" spans="1:9" x14ac:dyDescent="0.3">
      <c r="A568" t="s">
        <v>45</v>
      </c>
      <c r="B568" t="s">
        <v>612</v>
      </c>
      <c r="C568">
        <v>95</v>
      </c>
      <c r="D568">
        <v>2.12E-2</v>
      </c>
      <c r="E568">
        <v>11.712315275610051</v>
      </c>
      <c r="F568">
        <v>1161.5877836868569</v>
      </c>
      <c r="G568">
        <v>3.605</v>
      </c>
      <c r="H568">
        <v>0</v>
      </c>
      <c r="I568">
        <v>147.65639999999999</v>
      </c>
    </row>
    <row r="569" spans="1:9" x14ac:dyDescent="0.3">
      <c r="A569" t="s">
        <v>45</v>
      </c>
      <c r="B569" t="s">
        <v>613</v>
      </c>
      <c r="C569">
        <v>95</v>
      </c>
      <c r="D569">
        <v>7.3000000000000001E-3</v>
      </c>
      <c r="E569">
        <v>11.712315275610051</v>
      </c>
      <c r="F569">
        <v>1161.5877836868569</v>
      </c>
      <c r="G569">
        <v>3.605</v>
      </c>
      <c r="H569">
        <v>0</v>
      </c>
      <c r="I569">
        <v>147.85839999999999</v>
      </c>
    </row>
    <row r="570" spans="1:9" x14ac:dyDescent="0.3">
      <c r="A570" t="s">
        <v>45</v>
      </c>
      <c r="B570" t="s">
        <v>614</v>
      </c>
      <c r="C570">
        <v>95</v>
      </c>
      <c r="D570">
        <v>5.0000000000000001E-4</v>
      </c>
      <c r="E570">
        <v>11.797407042820661</v>
      </c>
      <c r="F570">
        <v>1259.573928363681</v>
      </c>
      <c r="G570">
        <v>3.605</v>
      </c>
      <c r="H570">
        <v>1.2999999999999999E-3</v>
      </c>
      <c r="I570">
        <v>148.06299999999999</v>
      </c>
    </row>
    <row r="571" spans="1:9" x14ac:dyDescent="0.3">
      <c r="A571" t="s">
        <v>45</v>
      </c>
      <c r="B571" t="s">
        <v>615</v>
      </c>
      <c r="C571">
        <v>95</v>
      </c>
      <c r="D571">
        <v>4.0000000000000002E-4</v>
      </c>
      <c r="E571">
        <v>12.05816816096412</v>
      </c>
      <c r="F571">
        <v>1284.320158475495</v>
      </c>
      <c r="G571">
        <v>3.605</v>
      </c>
      <c r="H571">
        <v>5.4000000000000003E-3</v>
      </c>
      <c r="I571">
        <v>148.2559</v>
      </c>
    </row>
    <row r="572" spans="1:9" x14ac:dyDescent="0.3">
      <c r="A572" t="s">
        <v>45</v>
      </c>
      <c r="B572" t="s">
        <v>616</v>
      </c>
      <c r="C572">
        <v>95</v>
      </c>
      <c r="D572">
        <v>5.7999999999999996E-3</v>
      </c>
      <c r="E572">
        <v>12.331963379647579</v>
      </c>
      <c r="F572">
        <v>1310.303324728555</v>
      </c>
      <c r="G572">
        <v>3.605</v>
      </c>
      <c r="H572">
        <v>9.5999999999999992E-3</v>
      </c>
      <c r="I572">
        <v>148.45849999999999</v>
      </c>
    </row>
    <row r="573" spans="1:9" x14ac:dyDescent="0.3">
      <c r="A573" t="s">
        <v>45</v>
      </c>
      <c r="B573" t="s">
        <v>617</v>
      </c>
      <c r="C573">
        <v>95</v>
      </c>
      <c r="D573">
        <v>0.01</v>
      </c>
      <c r="E573">
        <v>12.607387495974869</v>
      </c>
      <c r="F573">
        <v>1336.4410733680149</v>
      </c>
      <c r="G573">
        <v>3.605</v>
      </c>
      <c r="H573">
        <v>1.3899999999999999E-2</v>
      </c>
      <c r="I573">
        <v>148.66220000000001</v>
      </c>
    </row>
    <row r="574" spans="1:9" x14ac:dyDescent="0.3">
      <c r="A574" t="s">
        <v>45</v>
      </c>
      <c r="B574" t="s">
        <v>618</v>
      </c>
      <c r="C574">
        <v>95</v>
      </c>
      <c r="D574">
        <v>1.35E-2</v>
      </c>
      <c r="E574">
        <v>12.873345492173531</v>
      </c>
      <c r="F574">
        <v>1361.680487207268</v>
      </c>
      <c r="G574">
        <v>3.605</v>
      </c>
      <c r="H574">
        <v>1.7999999999999999E-2</v>
      </c>
      <c r="I574">
        <v>148.85900000000001</v>
      </c>
    </row>
    <row r="575" spans="1:9" x14ac:dyDescent="0.3">
      <c r="A575" t="s">
        <v>45</v>
      </c>
      <c r="B575" t="s">
        <v>619</v>
      </c>
      <c r="C575">
        <v>95</v>
      </c>
      <c r="D575">
        <v>1.78E-2</v>
      </c>
      <c r="E575">
        <v>13.15338954222589</v>
      </c>
      <c r="F575">
        <v>1388.2566675572371</v>
      </c>
      <c r="G575">
        <v>3.605</v>
      </c>
      <c r="H575">
        <v>2.24E-2</v>
      </c>
      <c r="I575">
        <v>149.06620000000001</v>
      </c>
    </row>
    <row r="576" spans="1:9" x14ac:dyDescent="0.3">
      <c r="A576" t="s">
        <v>45</v>
      </c>
      <c r="B576" t="s">
        <v>620</v>
      </c>
      <c r="C576">
        <v>95</v>
      </c>
      <c r="D576">
        <v>2.1299999999999999E-2</v>
      </c>
      <c r="E576">
        <v>13.412253422183189</v>
      </c>
      <c r="F576">
        <v>1412.8228497651851</v>
      </c>
      <c r="G576">
        <v>3.605</v>
      </c>
      <c r="H576">
        <v>2.64E-2</v>
      </c>
      <c r="I576">
        <v>149.2578</v>
      </c>
    </row>
    <row r="577" spans="1:9" x14ac:dyDescent="0.3">
      <c r="A577" t="s">
        <v>45</v>
      </c>
      <c r="B577" t="s">
        <v>621</v>
      </c>
      <c r="C577">
        <v>95</v>
      </c>
      <c r="D577">
        <v>2.5600000000000001E-2</v>
      </c>
      <c r="E577">
        <v>13.683511732025369</v>
      </c>
      <c r="F577">
        <v>1438.5652633692071</v>
      </c>
      <c r="G577">
        <v>3.605</v>
      </c>
      <c r="H577">
        <v>3.0599999999999999E-2</v>
      </c>
      <c r="I577">
        <v>149.45849999999999</v>
      </c>
    </row>
    <row r="578" spans="1:9" x14ac:dyDescent="0.3">
      <c r="A578" t="s">
        <v>45</v>
      </c>
      <c r="B578" t="s">
        <v>622</v>
      </c>
      <c r="C578">
        <v>95</v>
      </c>
      <c r="D578">
        <v>2.9399999999999999E-2</v>
      </c>
      <c r="E578">
        <v>13.952212737847519</v>
      </c>
      <c r="F578">
        <v>1464.0649888217299</v>
      </c>
      <c r="G578">
        <v>3.605</v>
      </c>
      <c r="H578">
        <v>3.4799999999999998E-2</v>
      </c>
      <c r="I578">
        <v>149.65729999999999</v>
      </c>
    </row>
    <row r="579" spans="1:9" x14ac:dyDescent="0.3">
      <c r="A579" t="s">
        <v>45</v>
      </c>
      <c r="B579" t="s">
        <v>623</v>
      </c>
      <c r="C579">
        <v>95</v>
      </c>
      <c r="D579">
        <v>3.4200000000000001E-2</v>
      </c>
      <c r="E579">
        <v>14.22169751862935</v>
      </c>
      <c r="F579">
        <v>1489.6390945179251</v>
      </c>
      <c r="G579">
        <v>3.605</v>
      </c>
      <c r="H579">
        <v>3.9E-2</v>
      </c>
      <c r="I579">
        <v>149.85659999999999</v>
      </c>
    </row>
    <row r="580" spans="1:9" x14ac:dyDescent="0.3">
      <c r="A580" t="s">
        <v>45</v>
      </c>
      <c r="B580" t="s">
        <v>624</v>
      </c>
      <c r="C580">
        <v>95</v>
      </c>
      <c r="D580">
        <v>3.7699999999999997E-2</v>
      </c>
      <c r="E580">
        <v>14.49223409053659</v>
      </c>
      <c r="F580">
        <v>1515.313015191922</v>
      </c>
      <c r="G580">
        <v>3.605</v>
      </c>
      <c r="H580">
        <v>4.3200000000000002E-2</v>
      </c>
      <c r="I580">
        <v>150.05680000000001</v>
      </c>
    </row>
    <row r="581" spans="1:9" x14ac:dyDescent="0.3">
      <c r="A581" t="s">
        <v>45</v>
      </c>
      <c r="B581" t="s">
        <v>625</v>
      </c>
      <c r="C581">
        <v>95</v>
      </c>
      <c r="D581">
        <v>4.24E-2</v>
      </c>
      <c r="E581">
        <v>14.7641525067597</v>
      </c>
      <c r="F581">
        <v>1541.1180728914951</v>
      </c>
      <c r="G581">
        <v>3.605</v>
      </c>
      <c r="H581">
        <v>4.7399999999999998E-2</v>
      </c>
      <c r="I581">
        <v>150.25800000000001</v>
      </c>
    </row>
    <row r="582" spans="1:9" x14ac:dyDescent="0.3">
      <c r="A582" t="s">
        <v>45</v>
      </c>
      <c r="B582" t="s">
        <v>626</v>
      </c>
      <c r="C582">
        <v>95</v>
      </c>
      <c r="D582">
        <v>4.7500000000000001E-2</v>
      </c>
      <c r="E582">
        <v>15.03297758663134</v>
      </c>
      <c r="F582">
        <v>1566.629572971314</v>
      </c>
      <c r="G582">
        <v>3.605</v>
      </c>
      <c r="H582">
        <v>5.16E-2</v>
      </c>
      <c r="I582">
        <v>150.45689999999999</v>
      </c>
    </row>
    <row r="583" spans="1:9" x14ac:dyDescent="0.3">
      <c r="A583" t="s">
        <v>45</v>
      </c>
      <c r="B583" t="s">
        <v>627</v>
      </c>
      <c r="C583">
        <v>95</v>
      </c>
      <c r="D583">
        <v>5.21E-2</v>
      </c>
      <c r="E583">
        <v>15.30693754808051</v>
      </c>
      <c r="F583">
        <v>1592.62837331284</v>
      </c>
      <c r="G583">
        <v>3.605</v>
      </c>
      <c r="H583">
        <v>5.5899999999999998E-2</v>
      </c>
      <c r="I583">
        <v>150.65960000000001</v>
      </c>
    </row>
    <row r="584" spans="1:9" x14ac:dyDescent="0.3">
      <c r="A584" t="s">
        <v>45</v>
      </c>
      <c r="B584" t="s">
        <v>628</v>
      </c>
      <c r="C584">
        <v>95</v>
      </c>
      <c r="D584">
        <v>5.6599999999999998E-2</v>
      </c>
      <c r="E584">
        <v>15.572111769319481</v>
      </c>
      <c r="F584">
        <v>1617.793406908419</v>
      </c>
      <c r="G584">
        <v>3.605</v>
      </c>
      <c r="H584">
        <v>0.06</v>
      </c>
      <c r="I584">
        <v>150.85579999999999</v>
      </c>
    </row>
    <row r="585" spans="1:9" x14ac:dyDescent="0.3">
      <c r="A585" t="s">
        <v>45</v>
      </c>
      <c r="B585" t="s">
        <v>629</v>
      </c>
      <c r="C585">
        <v>95</v>
      </c>
      <c r="D585">
        <v>6.3600000000000004E-2</v>
      </c>
      <c r="E585">
        <v>11.712315275610051</v>
      </c>
      <c r="F585">
        <v>1161.5877836868569</v>
      </c>
      <c r="G585">
        <v>3.605</v>
      </c>
      <c r="H585">
        <v>0</v>
      </c>
      <c r="I585">
        <v>151.06010000000001</v>
      </c>
    </row>
    <row r="586" spans="1:9" x14ac:dyDescent="0.3">
      <c r="A586" t="s">
        <v>45</v>
      </c>
      <c r="B586" t="s">
        <v>630</v>
      </c>
      <c r="C586">
        <v>95</v>
      </c>
      <c r="D586">
        <v>5.3600000000000002E-2</v>
      </c>
      <c r="E586">
        <v>11.712315275610051</v>
      </c>
      <c r="F586">
        <v>1161.5877836868569</v>
      </c>
      <c r="G586">
        <v>3.605</v>
      </c>
      <c r="H586">
        <v>0</v>
      </c>
      <c r="I586">
        <v>151.2576</v>
      </c>
    </row>
    <row r="587" spans="1:9" x14ac:dyDescent="0.3">
      <c r="A587" t="s">
        <v>45</v>
      </c>
      <c r="B587" t="s">
        <v>631</v>
      </c>
      <c r="C587">
        <v>95</v>
      </c>
      <c r="D587">
        <v>3.6200000000000003E-2</v>
      </c>
      <c r="E587">
        <v>11.712315275610051</v>
      </c>
      <c r="F587">
        <v>1161.5877836868569</v>
      </c>
      <c r="G587">
        <v>3.605</v>
      </c>
      <c r="H587">
        <v>0</v>
      </c>
      <c r="I587">
        <v>151.45830000000001</v>
      </c>
    </row>
    <row r="588" spans="1:9" x14ac:dyDescent="0.3">
      <c r="A588" t="s">
        <v>45</v>
      </c>
      <c r="B588" t="s">
        <v>632</v>
      </c>
      <c r="C588">
        <v>95</v>
      </c>
      <c r="D588">
        <v>2.0299999999999999E-2</v>
      </c>
      <c r="E588">
        <v>11.712315275610051</v>
      </c>
      <c r="F588">
        <v>1161.5877836868569</v>
      </c>
      <c r="G588">
        <v>3.605</v>
      </c>
      <c r="H588">
        <v>0</v>
      </c>
      <c r="I588">
        <v>151.65600000000001</v>
      </c>
    </row>
    <row r="589" spans="1:9" x14ac:dyDescent="0.3">
      <c r="A589" t="s">
        <v>45</v>
      </c>
      <c r="B589" t="s">
        <v>633</v>
      </c>
      <c r="C589">
        <v>95</v>
      </c>
      <c r="D589">
        <v>8.0999999999999996E-3</v>
      </c>
      <c r="E589">
        <v>11.712315275610051</v>
      </c>
      <c r="F589">
        <v>1161.5877836868569</v>
      </c>
      <c r="G589">
        <v>3.605</v>
      </c>
      <c r="H589">
        <v>0</v>
      </c>
      <c r="I589">
        <v>151.85810000000001</v>
      </c>
    </row>
    <row r="590" spans="1:9" x14ac:dyDescent="0.3">
      <c r="A590" t="s">
        <v>45</v>
      </c>
      <c r="B590" t="s">
        <v>634</v>
      </c>
      <c r="C590">
        <v>95</v>
      </c>
      <c r="D590">
        <v>5.9999999999999995E-4</v>
      </c>
      <c r="E590">
        <v>11.793653600088261</v>
      </c>
      <c r="F590">
        <v>1259.2177266483759</v>
      </c>
      <c r="G590">
        <v>3.605</v>
      </c>
      <c r="H590">
        <v>1.2999999999999999E-3</v>
      </c>
      <c r="I590">
        <v>152.06020000000001</v>
      </c>
    </row>
    <row r="591" spans="1:9" x14ac:dyDescent="0.3">
      <c r="A591" t="s">
        <v>45</v>
      </c>
      <c r="B591" t="s">
        <v>635</v>
      </c>
      <c r="C591">
        <v>95</v>
      </c>
      <c r="D591">
        <v>4.0000000000000002E-4</v>
      </c>
      <c r="E591">
        <v>12.059384938137679</v>
      </c>
      <c r="F591">
        <v>1284.4356306292659</v>
      </c>
      <c r="G591">
        <v>3.605</v>
      </c>
      <c r="H591">
        <v>5.4000000000000003E-3</v>
      </c>
      <c r="I591">
        <v>152.2568</v>
      </c>
    </row>
    <row r="592" spans="1:9" x14ac:dyDescent="0.3">
      <c r="A592" t="s">
        <v>45</v>
      </c>
      <c r="B592" t="s">
        <v>636</v>
      </c>
      <c r="C592">
        <v>95</v>
      </c>
      <c r="D592">
        <v>5.4000000000000003E-3</v>
      </c>
      <c r="E592">
        <v>12.32769417812122</v>
      </c>
      <c r="F592">
        <v>1309.8981775037039</v>
      </c>
      <c r="G592">
        <v>3.605</v>
      </c>
      <c r="H592">
        <v>9.5999999999999992E-3</v>
      </c>
      <c r="I592">
        <v>152.45529999999999</v>
      </c>
    </row>
    <row r="593" spans="1:9" x14ac:dyDescent="0.3">
      <c r="A593" t="s">
        <v>45</v>
      </c>
      <c r="B593" t="s">
        <v>637</v>
      </c>
      <c r="C593">
        <v>95</v>
      </c>
      <c r="D593">
        <v>1.0500000000000001E-2</v>
      </c>
      <c r="E593">
        <v>12.60089104361897</v>
      </c>
      <c r="F593">
        <v>1335.82456003944</v>
      </c>
      <c r="G593">
        <v>3.605</v>
      </c>
      <c r="H593">
        <v>1.38E-2</v>
      </c>
      <c r="I593">
        <v>152.6574</v>
      </c>
    </row>
    <row r="594" spans="1:9" x14ac:dyDescent="0.3">
      <c r="A594" t="s">
        <v>45</v>
      </c>
      <c r="B594" t="s">
        <v>638</v>
      </c>
      <c r="C594">
        <v>95</v>
      </c>
      <c r="D594">
        <v>1.3899999999999999E-2</v>
      </c>
      <c r="E594">
        <v>12.869056017109671</v>
      </c>
      <c r="F594">
        <v>1361.273416023708</v>
      </c>
      <c r="G594">
        <v>3.605</v>
      </c>
      <c r="H594">
        <v>1.7999999999999999E-2</v>
      </c>
      <c r="I594">
        <v>152.85589999999999</v>
      </c>
    </row>
    <row r="595" spans="1:9" x14ac:dyDescent="0.3">
      <c r="A595" t="s">
        <v>45</v>
      </c>
      <c r="B595" t="s">
        <v>639</v>
      </c>
      <c r="C595">
        <v>95</v>
      </c>
      <c r="D595">
        <v>1.7500000000000002E-2</v>
      </c>
      <c r="E595">
        <v>13.13134328660891</v>
      </c>
      <c r="F595">
        <v>1386.1644778991849</v>
      </c>
      <c r="G595">
        <v>3.605</v>
      </c>
      <c r="H595">
        <v>2.1999999999999999E-2</v>
      </c>
      <c r="I595">
        <v>153.04990000000001</v>
      </c>
    </row>
    <row r="596" spans="1:9" x14ac:dyDescent="0.3">
      <c r="A596" t="s">
        <v>45</v>
      </c>
      <c r="B596" t="s">
        <v>640</v>
      </c>
      <c r="C596">
        <v>95</v>
      </c>
      <c r="D596">
        <v>2.12E-2</v>
      </c>
      <c r="E596">
        <v>13.41400627223528</v>
      </c>
      <c r="F596">
        <v>1412.9891952351279</v>
      </c>
      <c r="G596">
        <v>3.605</v>
      </c>
      <c r="H596">
        <v>2.64E-2</v>
      </c>
      <c r="I596">
        <v>153.25899999999999</v>
      </c>
    </row>
    <row r="597" spans="1:9" x14ac:dyDescent="0.3">
      <c r="A597" t="s">
        <v>45</v>
      </c>
      <c r="B597" t="s">
        <v>641</v>
      </c>
      <c r="C597">
        <v>95</v>
      </c>
      <c r="D597">
        <v>2.5899999999999999E-2</v>
      </c>
      <c r="E597">
        <v>13.692730514996519</v>
      </c>
      <c r="F597">
        <v>1439.44012587317</v>
      </c>
      <c r="G597">
        <v>3.605</v>
      </c>
      <c r="H597">
        <v>3.0800000000000001E-2</v>
      </c>
      <c r="I597">
        <v>153.46530000000001</v>
      </c>
    </row>
    <row r="598" spans="1:9" x14ac:dyDescent="0.3">
      <c r="A598" t="s">
        <v>45</v>
      </c>
      <c r="B598" t="s">
        <v>642</v>
      </c>
      <c r="C598">
        <v>95</v>
      </c>
      <c r="D598">
        <v>2.9499999999999998E-2</v>
      </c>
      <c r="E598">
        <v>13.95268713862497</v>
      </c>
      <c r="F598">
        <v>1464.11000945551</v>
      </c>
      <c r="G598">
        <v>3.605</v>
      </c>
      <c r="H598">
        <v>3.4799999999999998E-2</v>
      </c>
      <c r="I598">
        <v>153.6576</v>
      </c>
    </row>
    <row r="599" spans="1:9" x14ac:dyDescent="0.3">
      <c r="A599" t="s">
        <v>45</v>
      </c>
      <c r="B599" t="s">
        <v>643</v>
      </c>
      <c r="C599">
        <v>95</v>
      </c>
      <c r="D599">
        <v>3.3500000000000002E-2</v>
      </c>
      <c r="E599">
        <v>14.224337538682359</v>
      </c>
      <c r="F599">
        <v>1489.8896324209561</v>
      </c>
      <c r="G599">
        <v>3.605</v>
      </c>
      <c r="H599">
        <v>3.9E-2</v>
      </c>
      <c r="I599">
        <v>153.8586</v>
      </c>
    </row>
    <row r="600" spans="1:9" x14ac:dyDescent="0.3">
      <c r="A600" t="s">
        <v>45</v>
      </c>
      <c r="B600" t="s">
        <v>644</v>
      </c>
      <c r="C600">
        <v>95</v>
      </c>
      <c r="D600">
        <v>3.8199999999999998E-2</v>
      </c>
      <c r="E600">
        <v>14.506484765514781</v>
      </c>
      <c r="F600">
        <v>1516.6654042473531</v>
      </c>
      <c r="G600">
        <v>3.605</v>
      </c>
      <c r="H600">
        <v>4.3400000000000001E-2</v>
      </c>
      <c r="I600">
        <v>154.06739999999999</v>
      </c>
    </row>
    <row r="601" spans="1:9" x14ac:dyDescent="0.3">
      <c r="A601" t="s">
        <v>45</v>
      </c>
      <c r="B601" t="s">
        <v>645</v>
      </c>
      <c r="C601">
        <v>95</v>
      </c>
      <c r="D601">
        <v>4.2799999999999998E-2</v>
      </c>
      <c r="E601">
        <v>14.76390516960222</v>
      </c>
      <c r="F601">
        <v>1541.094600595251</v>
      </c>
      <c r="G601">
        <v>3.605</v>
      </c>
      <c r="H601">
        <v>4.7399999999999998E-2</v>
      </c>
      <c r="I601">
        <v>154.2578</v>
      </c>
    </row>
    <row r="602" spans="1:9" x14ac:dyDescent="0.3">
      <c r="A602" t="s">
        <v>45</v>
      </c>
      <c r="B602" t="s">
        <v>646</v>
      </c>
      <c r="C602">
        <v>96</v>
      </c>
      <c r="D602">
        <v>4.7800000000000002E-2</v>
      </c>
      <c r="E602">
        <v>15.04295906008317</v>
      </c>
      <c r="F602">
        <v>1567.5768148018931</v>
      </c>
      <c r="G602">
        <v>3.605</v>
      </c>
      <c r="H602">
        <v>5.1700000000000003E-2</v>
      </c>
      <c r="I602">
        <v>154.46430000000001</v>
      </c>
    </row>
    <row r="603" spans="1:9" x14ac:dyDescent="0.3">
      <c r="A603" t="s">
        <v>45</v>
      </c>
      <c r="B603" t="s">
        <v>647</v>
      </c>
      <c r="C603">
        <v>96</v>
      </c>
      <c r="D603">
        <v>5.2200000000000003E-2</v>
      </c>
      <c r="E603">
        <v>15.302957041728121</v>
      </c>
      <c r="F603">
        <v>1592.250623259999</v>
      </c>
      <c r="G603">
        <v>3.605</v>
      </c>
      <c r="H603">
        <v>5.5800000000000002E-2</v>
      </c>
      <c r="I603">
        <v>154.6566</v>
      </c>
    </row>
    <row r="604" spans="1:9" x14ac:dyDescent="0.3">
      <c r="A604" t="s">
        <v>45</v>
      </c>
      <c r="B604" t="s">
        <v>648</v>
      </c>
      <c r="C604">
        <v>96</v>
      </c>
      <c r="D604">
        <v>5.7200000000000001E-2</v>
      </c>
      <c r="E604">
        <v>15.573885298379819</v>
      </c>
      <c r="F604">
        <v>1617.9617148162449</v>
      </c>
      <c r="G604">
        <v>3.605</v>
      </c>
      <c r="H604">
        <v>0.06</v>
      </c>
      <c r="I604">
        <v>154.8571</v>
      </c>
    </row>
    <row r="605" spans="1:9" x14ac:dyDescent="0.3">
      <c r="A605" t="s">
        <v>45</v>
      </c>
      <c r="B605" t="s">
        <v>649</v>
      </c>
      <c r="C605">
        <v>96</v>
      </c>
      <c r="D605">
        <v>6.2799999999999995E-2</v>
      </c>
      <c r="E605">
        <v>11.712315275610051</v>
      </c>
      <c r="F605">
        <v>1161.5877836868569</v>
      </c>
      <c r="G605">
        <v>3.605</v>
      </c>
      <c r="H605">
        <v>0</v>
      </c>
      <c r="I605">
        <v>155.05539999999999</v>
      </c>
    </row>
    <row r="606" spans="1:9" x14ac:dyDescent="0.3">
      <c r="A606" t="s">
        <v>45</v>
      </c>
      <c r="B606" t="s">
        <v>650</v>
      </c>
      <c r="C606">
        <v>96</v>
      </c>
      <c r="D606">
        <v>4.1000000000000002E-2</v>
      </c>
      <c r="E606">
        <v>11.712315275610051</v>
      </c>
      <c r="F606">
        <v>1161.5877836868569</v>
      </c>
      <c r="G606">
        <v>3.605</v>
      </c>
      <c r="H606">
        <v>0</v>
      </c>
      <c r="I606">
        <v>155.25559999999999</v>
      </c>
    </row>
    <row r="607" spans="1:9" x14ac:dyDescent="0.3">
      <c r="A607" t="s">
        <v>45</v>
      </c>
      <c r="B607" t="s">
        <v>651</v>
      </c>
      <c r="C607">
        <v>96</v>
      </c>
      <c r="D607">
        <v>3.5999999999999997E-2</v>
      </c>
      <c r="E607">
        <v>11.712315275610051</v>
      </c>
      <c r="F607">
        <v>1161.5877836868569</v>
      </c>
      <c r="G607">
        <v>3.605</v>
      </c>
      <c r="H607">
        <v>0</v>
      </c>
      <c r="I607">
        <v>155.4547</v>
      </c>
    </row>
    <row r="608" spans="1:9" x14ac:dyDescent="0.3">
      <c r="A608" t="s">
        <v>45</v>
      </c>
      <c r="B608" t="s">
        <v>652</v>
      </c>
      <c r="C608">
        <v>96</v>
      </c>
      <c r="D608">
        <v>2.1999999999999999E-2</v>
      </c>
      <c r="E608">
        <v>11.712315275610051</v>
      </c>
      <c r="F608">
        <v>1161.5877836868569</v>
      </c>
      <c r="G608">
        <v>3.605</v>
      </c>
      <c r="H608">
        <v>0</v>
      </c>
      <c r="I608">
        <v>155.65369999999999</v>
      </c>
    </row>
    <row r="609" spans="1:9" x14ac:dyDescent="0.3">
      <c r="A609" t="s">
        <v>45</v>
      </c>
      <c r="B609" t="s">
        <v>653</v>
      </c>
      <c r="C609">
        <v>96</v>
      </c>
      <c r="D609">
        <v>7.9000000000000008E-3</v>
      </c>
      <c r="E609">
        <v>11.712315275610051</v>
      </c>
      <c r="F609">
        <v>1161.5877836868569</v>
      </c>
      <c r="G609">
        <v>3.605</v>
      </c>
      <c r="H609">
        <v>0</v>
      </c>
      <c r="I609">
        <v>155.85419999999999</v>
      </c>
    </row>
    <row r="610" spans="1:9" x14ac:dyDescent="0.3">
      <c r="A610" t="s">
        <v>45</v>
      </c>
      <c r="B610" t="s">
        <v>654</v>
      </c>
      <c r="C610">
        <v>96</v>
      </c>
      <c r="D610">
        <v>1.1999999999999999E-3</v>
      </c>
      <c r="E610">
        <v>11.78579610406595</v>
      </c>
      <c r="F610">
        <v>1258.4720502758589</v>
      </c>
      <c r="G610">
        <v>3.605</v>
      </c>
      <c r="H610">
        <v>1.1000000000000001E-3</v>
      </c>
      <c r="I610">
        <v>156.05439999999999</v>
      </c>
    </row>
    <row r="611" spans="1:9" x14ac:dyDescent="0.3">
      <c r="A611" t="s">
        <v>45</v>
      </c>
      <c r="B611" t="s">
        <v>655</v>
      </c>
      <c r="C611">
        <v>96</v>
      </c>
      <c r="D611">
        <v>8.0000000000000004E-4</v>
      </c>
      <c r="E611">
        <v>12.05583775837578</v>
      </c>
      <c r="F611">
        <v>1284.0990032698619</v>
      </c>
      <c r="G611">
        <v>3.605</v>
      </c>
      <c r="H611">
        <v>5.3E-3</v>
      </c>
      <c r="I611">
        <v>156.2542</v>
      </c>
    </row>
    <row r="612" spans="1:9" x14ac:dyDescent="0.3">
      <c r="A612" t="s">
        <v>45</v>
      </c>
      <c r="B612" t="s">
        <v>656</v>
      </c>
      <c r="C612">
        <v>96</v>
      </c>
      <c r="D612">
        <v>5.7000000000000002E-3</v>
      </c>
      <c r="E612">
        <v>12.326230023243109</v>
      </c>
      <c r="F612">
        <v>1309.7592292057709</v>
      </c>
      <c r="G612">
        <v>3.605</v>
      </c>
      <c r="H612">
        <v>9.4999999999999998E-3</v>
      </c>
      <c r="I612">
        <v>156.45419999999999</v>
      </c>
    </row>
    <row r="613" spans="1:9" x14ac:dyDescent="0.3">
      <c r="A613" t="s">
        <v>45</v>
      </c>
      <c r="B613" t="s">
        <v>657</v>
      </c>
      <c r="C613">
        <v>96</v>
      </c>
      <c r="D613">
        <v>1.0200000000000001E-2</v>
      </c>
      <c r="E613">
        <v>12.596539531530359</v>
      </c>
      <c r="F613">
        <v>1335.411601542231</v>
      </c>
      <c r="G613">
        <v>3.605</v>
      </c>
      <c r="H613">
        <v>1.37E-2</v>
      </c>
      <c r="I613">
        <v>156.6542</v>
      </c>
    </row>
    <row r="614" spans="1:9" x14ac:dyDescent="0.3">
      <c r="A614" t="s">
        <v>45</v>
      </c>
      <c r="B614" t="s">
        <v>658</v>
      </c>
      <c r="C614">
        <v>96</v>
      </c>
      <c r="D614">
        <v>1.32E-2</v>
      </c>
      <c r="E614">
        <v>12.86664306067664</v>
      </c>
      <c r="F614">
        <v>1361.0444264582129</v>
      </c>
      <c r="G614">
        <v>3.605</v>
      </c>
      <c r="H614">
        <v>1.7899999999999999E-2</v>
      </c>
      <c r="I614">
        <v>156.85409999999999</v>
      </c>
    </row>
    <row r="615" spans="1:9" x14ac:dyDescent="0.3">
      <c r="A615" t="s">
        <v>45</v>
      </c>
      <c r="B615" t="s">
        <v>659</v>
      </c>
      <c r="C615">
        <v>96</v>
      </c>
      <c r="D615">
        <v>1.7399999999999999E-2</v>
      </c>
      <c r="E615">
        <v>13.13691161641815</v>
      </c>
      <c r="F615">
        <v>1386.6929123980819</v>
      </c>
      <c r="G615">
        <v>3.605</v>
      </c>
      <c r="H615">
        <v>2.2100000000000002E-2</v>
      </c>
      <c r="I615">
        <v>157.054</v>
      </c>
    </row>
    <row r="616" spans="1:9" x14ac:dyDescent="0.3">
      <c r="A616" t="s">
        <v>45</v>
      </c>
      <c r="B616" t="s">
        <v>660</v>
      </c>
      <c r="C616">
        <v>96</v>
      </c>
      <c r="D616">
        <v>2.1499999999999998E-2</v>
      </c>
      <c r="E616">
        <v>13.411263262611779</v>
      </c>
      <c r="F616">
        <v>1412.7288836218579</v>
      </c>
      <c r="G616">
        <v>3.605</v>
      </c>
      <c r="H616">
        <v>2.64E-2</v>
      </c>
      <c r="I616">
        <v>157.25700000000001</v>
      </c>
    </row>
    <row r="617" spans="1:9" x14ac:dyDescent="0.3">
      <c r="A617" t="s">
        <v>45</v>
      </c>
      <c r="B617" t="s">
        <v>661</v>
      </c>
      <c r="C617">
        <v>96</v>
      </c>
      <c r="D617">
        <v>2.5499999999999998E-2</v>
      </c>
      <c r="E617">
        <v>13.679923315888191</v>
      </c>
      <c r="F617">
        <v>1438.2247226777899</v>
      </c>
      <c r="G617">
        <v>3.605</v>
      </c>
      <c r="H617">
        <v>3.0599999999999999E-2</v>
      </c>
      <c r="I617">
        <v>157.45580000000001</v>
      </c>
    </row>
    <row r="618" spans="1:9" x14ac:dyDescent="0.3">
      <c r="A618" t="s">
        <v>45</v>
      </c>
      <c r="B618" t="s">
        <v>662</v>
      </c>
      <c r="C618">
        <v>96</v>
      </c>
      <c r="D618">
        <v>2.9600000000000001E-2</v>
      </c>
      <c r="E618">
        <v>13.95107863615987</v>
      </c>
      <c r="F618">
        <v>1463.957362571572</v>
      </c>
      <c r="G618">
        <v>3.605</v>
      </c>
      <c r="H618">
        <v>3.4799999999999998E-2</v>
      </c>
      <c r="I618">
        <v>157.65639999999999</v>
      </c>
    </row>
    <row r="619" spans="1:9" x14ac:dyDescent="0.3">
      <c r="A619" t="s">
        <v>45</v>
      </c>
      <c r="B619" t="s">
        <v>663</v>
      </c>
      <c r="C619">
        <v>96</v>
      </c>
      <c r="D619">
        <v>3.3599999999999998E-2</v>
      </c>
      <c r="E619">
        <v>14.21963529439504</v>
      </c>
      <c r="F619">
        <v>1489.4433894380891</v>
      </c>
      <c r="G619">
        <v>3.605</v>
      </c>
      <c r="H619">
        <v>3.9E-2</v>
      </c>
      <c r="I619">
        <v>157.85509999999999</v>
      </c>
    </row>
    <row r="620" spans="1:9" x14ac:dyDescent="0.3">
      <c r="A620" t="s">
        <v>45</v>
      </c>
      <c r="B620" t="s">
        <v>664</v>
      </c>
      <c r="C620">
        <v>96</v>
      </c>
      <c r="D620">
        <v>3.8199999999999998E-2</v>
      </c>
      <c r="E620">
        <v>14.48967678651657</v>
      </c>
      <c r="F620">
        <v>1515.0703270404219</v>
      </c>
      <c r="G620">
        <v>3.605</v>
      </c>
      <c r="H620">
        <v>4.3200000000000002E-2</v>
      </c>
      <c r="I620">
        <v>158.0549</v>
      </c>
    </row>
    <row r="621" spans="1:9" x14ac:dyDescent="0.3">
      <c r="A621" t="s">
        <v>45</v>
      </c>
      <c r="B621" t="s">
        <v>665</v>
      </c>
      <c r="C621">
        <v>96</v>
      </c>
      <c r="D621">
        <v>4.2999999999999997E-2</v>
      </c>
      <c r="E621">
        <v>14.761223791532711</v>
      </c>
      <c r="F621">
        <v>1540.840137816454</v>
      </c>
      <c r="G621">
        <v>3.605</v>
      </c>
      <c r="H621">
        <v>4.7399999999999998E-2</v>
      </c>
      <c r="I621">
        <v>158.25579999999999</v>
      </c>
    </row>
    <row r="622" spans="1:9" x14ac:dyDescent="0.3">
      <c r="A622" t="s">
        <v>45</v>
      </c>
      <c r="B622" t="s">
        <v>666</v>
      </c>
      <c r="C622">
        <v>96</v>
      </c>
      <c r="D622">
        <v>4.7199999999999999E-2</v>
      </c>
      <c r="E622">
        <v>15.03143071572023</v>
      </c>
      <c r="F622">
        <v>1566.48277492185</v>
      </c>
      <c r="G622">
        <v>3.605</v>
      </c>
      <c r="H622">
        <v>5.16E-2</v>
      </c>
      <c r="I622">
        <v>158.45570000000001</v>
      </c>
    </row>
    <row r="623" spans="1:9" x14ac:dyDescent="0.3">
      <c r="A623" t="s">
        <v>45</v>
      </c>
      <c r="B623" t="s">
        <v>667</v>
      </c>
      <c r="C623">
        <v>96</v>
      </c>
      <c r="D623">
        <v>5.1799999999999999E-2</v>
      </c>
      <c r="E623">
        <v>15.30147220784176</v>
      </c>
      <c r="F623">
        <v>1592.1097125241829</v>
      </c>
      <c r="G623">
        <v>3.605</v>
      </c>
      <c r="H623">
        <v>5.5800000000000002E-2</v>
      </c>
      <c r="I623">
        <v>158.65549999999999</v>
      </c>
    </row>
    <row r="624" spans="1:9" x14ac:dyDescent="0.3">
      <c r="A624" t="s">
        <v>45</v>
      </c>
      <c r="B624" t="s">
        <v>668</v>
      </c>
      <c r="C624">
        <v>96</v>
      </c>
      <c r="D624">
        <v>5.7000000000000002E-2</v>
      </c>
      <c r="E624">
        <v>15.57075100948261</v>
      </c>
      <c r="F624">
        <v>1617.6642707998999</v>
      </c>
      <c r="G624">
        <v>3.605</v>
      </c>
      <c r="H624">
        <v>0.06</v>
      </c>
      <c r="I624">
        <v>158.85480000000001</v>
      </c>
    </row>
    <row r="625" spans="1:9" x14ac:dyDescent="0.3">
      <c r="A625" t="s">
        <v>45</v>
      </c>
      <c r="B625" t="s">
        <v>669</v>
      </c>
      <c r="C625">
        <v>96</v>
      </c>
      <c r="D625">
        <v>6.3200000000000006E-2</v>
      </c>
      <c r="E625">
        <v>11.712315275610051</v>
      </c>
      <c r="F625">
        <v>1161.5877836868569</v>
      </c>
      <c r="G625">
        <v>3.605</v>
      </c>
      <c r="H625">
        <v>0</v>
      </c>
      <c r="I625">
        <v>159.0547</v>
      </c>
    </row>
    <row r="626" spans="1:9" x14ac:dyDescent="0.3">
      <c r="A626" t="s">
        <v>45</v>
      </c>
      <c r="B626" t="s">
        <v>670</v>
      </c>
      <c r="C626">
        <v>96</v>
      </c>
      <c r="D626">
        <v>5.4600000000000003E-2</v>
      </c>
      <c r="E626">
        <v>11.712315275610051</v>
      </c>
      <c r="F626">
        <v>1161.5877836868569</v>
      </c>
      <c r="G626">
        <v>3.605</v>
      </c>
      <c r="H626">
        <v>0</v>
      </c>
      <c r="I626">
        <v>159.2552</v>
      </c>
    </row>
    <row r="627" spans="1:9" x14ac:dyDescent="0.3">
      <c r="A627" t="s">
        <v>45</v>
      </c>
      <c r="B627" t="s">
        <v>671</v>
      </c>
      <c r="C627">
        <v>96</v>
      </c>
      <c r="D627">
        <v>3.8199999999999998E-2</v>
      </c>
      <c r="E627">
        <v>11.712315275610051</v>
      </c>
      <c r="F627">
        <v>1161.5877836868569</v>
      </c>
      <c r="G627">
        <v>3.605</v>
      </c>
      <c r="H627">
        <v>0</v>
      </c>
      <c r="I627">
        <v>159.45689999999999</v>
      </c>
    </row>
    <row r="628" spans="1:9" x14ac:dyDescent="0.3">
      <c r="A628" t="s">
        <v>45</v>
      </c>
      <c r="B628" t="s">
        <v>672</v>
      </c>
      <c r="C628">
        <v>96</v>
      </c>
      <c r="D628">
        <v>2.23E-2</v>
      </c>
      <c r="E628">
        <v>11.712315275610051</v>
      </c>
      <c r="F628">
        <v>1161.5877836868569</v>
      </c>
      <c r="G628">
        <v>3.605</v>
      </c>
      <c r="H628">
        <v>0</v>
      </c>
      <c r="I628">
        <v>159.65620000000001</v>
      </c>
    </row>
    <row r="629" spans="1:9" x14ac:dyDescent="0.3">
      <c r="A629" t="s">
        <v>45</v>
      </c>
      <c r="B629" t="s">
        <v>673</v>
      </c>
      <c r="C629">
        <v>96</v>
      </c>
      <c r="D629">
        <v>8.8000000000000005E-3</v>
      </c>
      <c r="E629">
        <v>11.712315275610051</v>
      </c>
      <c r="F629">
        <v>1161.5877836868569</v>
      </c>
      <c r="G629">
        <v>3.605</v>
      </c>
      <c r="H629">
        <v>0</v>
      </c>
      <c r="I629">
        <v>159.8571</v>
      </c>
    </row>
    <row r="630" spans="1:9" x14ac:dyDescent="0.3">
      <c r="A630" t="s">
        <v>45</v>
      </c>
      <c r="B630" t="s">
        <v>674</v>
      </c>
      <c r="C630">
        <v>96</v>
      </c>
      <c r="D630">
        <v>1.5E-3</v>
      </c>
      <c r="E630">
        <v>11.78668290914319</v>
      </c>
      <c r="F630">
        <v>1258.556208077689</v>
      </c>
      <c r="G630">
        <v>3.605</v>
      </c>
      <c r="H630">
        <v>1.1999999999999999E-3</v>
      </c>
      <c r="I630">
        <v>160.05500000000001</v>
      </c>
    </row>
    <row r="631" spans="1:9" x14ac:dyDescent="0.3">
      <c r="A631" t="s">
        <v>45</v>
      </c>
      <c r="B631" t="s">
        <v>675</v>
      </c>
      <c r="C631">
        <v>96</v>
      </c>
      <c r="D631">
        <v>1E-3</v>
      </c>
      <c r="E631">
        <v>12.060374854426639</v>
      </c>
      <c r="F631">
        <v>1284.529573685089</v>
      </c>
      <c r="G631">
        <v>3.605</v>
      </c>
      <c r="H631">
        <v>5.4000000000000003E-3</v>
      </c>
      <c r="I631">
        <v>160.25749999999999</v>
      </c>
    </row>
    <row r="632" spans="1:9" x14ac:dyDescent="0.3">
      <c r="A632" t="s">
        <v>45</v>
      </c>
      <c r="B632" t="s">
        <v>676</v>
      </c>
      <c r="C632">
        <v>96</v>
      </c>
      <c r="D632">
        <v>5.4999999999999997E-3</v>
      </c>
      <c r="E632">
        <v>12.32924104903233</v>
      </c>
      <c r="F632">
        <v>1310.0449755531679</v>
      </c>
      <c r="G632">
        <v>3.605</v>
      </c>
      <c r="H632">
        <v>9.5999999999999992E-3</v>
      </c>
      <c r="I632">
        <v>160.45650000000001</v>
      </c>
    </row>
    <row r="633" spans="1:9" x14ac:dyDescent="0.3">
      <c r="A633" t="s">
        <v>45</v>
      </c>
      <c r="B633" t="s">
        <v>677</v>
      </c>
      <c r="C633">
        <v>96</v>
      </c>
      <c r="D633">
        <v>9.9000000000000008E-3</v>
      </c>
      <c r="E633">
        <v>12.59963327335258</v>
      </c>
      <c r="F633">
        <v>1335.7051976411601</v>
      </c>
      <c r="G633">
        <v>3.605</v>
      </c>
      <c r="H633">
        <v>1.38E-2</v>
      </c>
      <c r="I633">
        <v>160.65649999999999</v>
      </c>
    </row>
    <row r="634" spans="1:9" x14ac:dyDescent="0.3">
      <c r="A634" t="s">
        <v>45</v>
      </c>
      <c r="B634" t="s">
        <v>678</v>
      </c>
      <c r="C634">
        <v>96</v>
      </c>
      <c r="D634">
        <v>1.37E-2</v>
      </c>
      <c r="E634">
        <v>12.86959204944112</v>
      </c>
      <c r="F634">
        <v>1361.324285491962</v>
      </c>
      <c r="G634">
        <v>3.605</v>
      </c>
      <c r="H634">
        <v>1.7999999999999999E-2</v>
      </c>
      <c r="I634">
        <v>160.8562</v>
      </c>
    </row>
    <row r="635" spans="1:9" x14ac:dyDescent="0.3">
      <c r="A635" t="s">
        <v>45</v>
      </c>
      <c r="B635" t="s">
        <v>679</v>
      </c>
      <c r="C635">
        <v>96</v>
      </c>
      <c r="D635">
        <v>1.7000000000000001E-2</v>
      </c>
      <c r="E635">
        <v>13.138355092288011</v>
      </c>
      <c r="F635">
        <v>1386.829898258133</v>
      </c>
      <c r="G635">
        <v>3.605</v>
      </c>
      <c r="H635">
        <v>2.2200000000000001E-2</v>
      </c>
      <c r="I635">
        <v>161.05510000000001</v>
      </c>
    </row>
    <row r="636" spans="1:9" x14ac:dyDescent="0.3">
      <c r="A636" t="s">
        <v>45</v>
      </c>
      <c r="B636" t="s">
        <v>680</v>
      </c>
      <c r="C636">
        <v>96</v>
      </c>
      <c r="D636">
        <v>2.1499999999999998E-2</v>
      </c>
      <c r="E636">
        <v>13.40893302221175</v>
      </c>
      <c r="F636">
        <v>1412.5077438078949</v>
      </c>
      <c r="G636">
        <v>3.605</v>
      </c>
      <c r="H636">
        <v>2.64E-2</v>
      </c>
      <c r="I636">
        <v>161.25530000000001</v>
      </c>
    </row>
    <row r="637" spans="1:9" x14ac:dyDescent="0.3">
      <c r="A637" t="s">
        <v>45</v>
      </c>
      <c r="B637" t="s">
        <v>681</v>
      </c>
      <c r="C637">
        <v>96</v>
      </c>
      <c r="D637">
        <v>2.58E-2</v>
      </c>
      <c r="E637">
        <v>13.680789401410109</v>
      </c>
      <c r="F637">
        <v>1438.3069141938199</v>
      </c>
      <c r="G637">
        <v>3.605</v>
      </c>
      <c r="H637">
        <v>3.0599999999999999E-2</v>
      </c>
      <c r="I637">
        <v>161.4564</v>
      </c>
    </row>
    <row r="638" spans="1:9" x14ac:dyDescent="0.3">
      <c r="A638" t="s">
        <v>45</v>
      </c>
      <c r="B638" t="s">
        <v>682</v>
      </c>
      <c r="C638">
        <v>96</v>
      </c>
      <c r="D638">
        <v>2.9399999999999999E-2</v>
      </c>
      <c r="E638">
        <v>13.95225409586401</v>
      </c>
      <c r="F638">
        <v>1464.068913697495</v>
      </c>
      <c r="G638">
        <v>3.605</v>
      </c>
      <c r="H638">
        <v>3.4799999999999998E-2</v>
      </c>
      <c r="I638">
        <v>161.65729999999999</v>
      </c>
    </row>
    <row r="639" spans="1:9" x14ac:dyDescent="0.3">
      <c r="A639" t="s">
        <v>45</v>
      </c>
      <c r="B639" t="s">
        <v>683</v>
      </c>
      <c r="C639">
        <v>96</v>
      </c>
      <c r="D639">
        <v>3.4000000000000002E-2</v>
      </c>
      <c r="E639">
        <v>14.21990331056076</v>
      </c>
      <c r="F639">
        <v>1489.468824172216</v>
      </c>
      <c r="G639">
        <v>3.605</v>
      </c>
      <c r="H639">
        <v>3.9E-2</v>
      </c>
      <c r="I639">
        <v>161.8553</v>
      </c>
    </row>
    <row r="640" spans="1:9" x14ac:dyDescent="0.3">
      <c r="A640" t="s">
        <v>45</v>
      </c>
      <c r="B640" t="s">
        <v>684</v>
      </c>
      <c r="C640">
        <v>96</v>
      </c>
      <c r="D640">
        <v>3.7999999999999999E-2</v>
      </c>
      <c r="E640">
        <v>14.491099988848941</v>
      </c>
      <c r="F640">
        <v>1515.2053889417641</v>
      </c>
      <c r="G640">
        <v>3.605</v>
      </c>
      <c r="H640">
        <v>4.3200000000000002E-2</v>
      </c>
      <c r="I640">
        <v>162.05600000000001</v>
      </c>
    </row>
    <row r="641" spans="1:9" x14ac:dyDescent="0.3">
      <c r="A641" t="s">
        <v>45</v>
      </c>
      <c r="B641" t="s">
        <v>685</v>
      </c>
      <c r="C641">
        <v>96</v>
      </c>
      <c r="D641">
        <v>4.2900000000000001E-2</v>
      </c>
      <c r="E641">
        <v>14.76487424469463</v>
      </c>
      <c r="F641">
        <v>1541.1865658215199</v>
      </c>
      <c r="G641">
        <v>3.605</v>
      </c>
      <c r="H641">
        <v>4.7399999999999998E-2</v>
      </c>
      <c r="I641">
        <v>162.2585</v>
      </c>
    </row>
    <row r="642" spans="1:9" x14ac:dyDescent="0.3">
      <c r="A642" t="s">
        <v>45</v>
      </c>
      <c r="B642" t="s">
        <v>686</v>
      </c>
      <c r="C642">
        <v>96</v>
      </c>
      <c r="D642">
        <v>4.7600000000000003E-2</v>
      </c>
      <c r="E642">
        <v>15.031265689124989</v>
      </c>
      <c r="F642">
        <v>1566.467113897962</v>
      </c>
      <c r="G642">
        <v>3.605</v>
      </c>
      <c r="H642">
        <v>5.16E-2</v>
      </c>
      <c r="I642">
        <v>162.4556</v>
      </c>
    </row>
    <row r="643" spans="1:9" x14ac:dyDescent="0.3">
      <c r="A643" t="s">
        <v>45</v>
      </c>
      <c r="B643" t="s">
        <v>687</v>
      </c>
      <c r="C643">
        <v>96</v>
      </c>
      <c r="D643">
        <v>5.2200000000000003E-2</v>
      </c>
      <c r="E643">
        <v>15.30252399896716</v>
      </c>
      <c r="F643">
        <v>1592.209527501984</v>
      </c>
      <c r="G643">
        <v>3.605</v>
      </c>
      <c r="H643">
        <v>5.5800000000000002E-2</v>
      </c>
      <c r="I643">
        <v>162.65629999999999</v>
      </c>
    </row>
    <row r="644" spans="1:9" x14ac:dyDescent="0.3">
      <c r="A644" t="s">
        <v>45</v>
      </c>
      <c r="B644" t="s">
        <v>688</v>
      </c>
      <c r="C644">
        <v>96</v>
      </c>
      <c r="D644">
        <v>5.7000000000000002E-2</v>
      </c>
      <c r="E644">
        <v>15.57367931923884</v>
      </c>
      <c r="F644">
        <v>1617.9421673957661</v>
      </c>
      <c r="G644">
        <v>3.605</v>
      </c>
      <c r="H644">
        <v>0.06</v>
      </c>
      <c r="I644">
        <v>162.8569</v>
      </c>
    </row>
    <row r="645" spans="1:9" x14ac:dyDescent="0.3">
      <c r="A645" t="s">
        <v>45</v>
      </c>
      <c r="B645" t="s">
        <v>689</v>
      </c>
      <c r="C645">
        <v>96</v>
      </c>
      <c r="D645">
        <v>6.2600000000000003E-2</v>
      </c>
      <c r="E645">
        <v>11.712315275610051</v>
      </c>
      <c r="F645">
        <v>1161.5877836868569</v>
      </c>
      <c r="G645">
        <v>3.605</v>
      </c>
      <c r="H645">
        <v>0</v>
      </c>
      <c r="I645">
        <v>163.05449999999999</v>
      </c>
    </row>
    <row r="646" spans="1:9" x14ac:dyDescent="0.3">
      <c r="A646" t="s">
        <v>45</v>
      </c>
      <c r="B646" t="s">
        <v>690</v>
      </c>
      <c r="C646">
        <v>96</v>
      </c>
      <c r="D646">
        <v>5.1999999999999998E-2</v>
      </c>
      <c r="E646">
        <v>11.712315275610051</v>
      </c>
      <c r="F646">
        <v>1161.5877836868569</v>
      </c>
      <c r="G646">
        <v>3.605</v>
      </c>
      <c r="H646">
        <v>0</v>
      </c>
      <c r="I646">
        <v>163.25540000000001</v>
      </c>
    </row>
    <row r="647" spans="1:9" x14ac:dyDescent="0.3">
      <c r="A647" t="s">
        <v>45</v>
      </c>
      <c r="B647" t="s">
        <v>691</v>
      </c>
      <c r="C647">
        <v>96</v>
      </c>
      <c r="D647">
        <v>3.7600000000000001E-2</v>
      </c>
      <c r="E647">
        <v>11.712315275610051</v>
      </c>
      <c r="F647">
        <v>1161.5877836868569</v>
      </c>
      <c r="G647">
        <v>3.605</v>
      </c>
      <c r="H647">
        <v>0</v>
      </c>
      <c r="I647">
        <v>163.4563</v>
      </c>
    </row>
    <row r="648" spans="1:9" x14ac:dyDescent="0.3">
      <c r="A648" t="s">
        <v>45</v>
      </c>
      <c r="B648" t="s">
        <v>692</v>
      </c>
      <c r="C648">
        <v>96</v>
      </c>
      <c r="D648">
        <v>2.0299999999999999E-2</v>
      </c>
      <c r="E648">
        <v>11.712315275610051</v>
      </c>
      <c r="F648">
        <v>1161.5877836868569</v>
      </c>
      <c r="G648">
        <v>3.605</v>
      </c>
      <c r="H648">
        <v>0</v>
      </c>
      <c r="I648">
        <v>163.65530000000001</v>
      </c>
    </row>
    <row r="649" spans="1:9" x14ac:dyDescent="0.3">
      <c r="A649" t="s">
        <v>45</v>
      </c>
      <c r="B649" t="s">
        <v>693</v>
      </c>
      <c r="C649">
        <v>96</v>
      </c>
      <c r="D649">
        <v>8.2000000000000007E-3</v>
      </c>
      <c r="E649">
        <v>11.712315275610051</v>
      </c>
      <c r="F649">
        <v>1161.5877836868569</v>
      </c>
      <c r="G649">
        <v>3.605</v>
      </c>
      <c r="H649">
        <v>0</v>
      </c>
      <c r="I649">
        <v>163.85550000000001</v>
      </c>
    </row>
    <row r="650" spans="1:9" x14ac:dyDescent="0.3">
      <c r="A650" t="s">
        <v>45</v>
      </c>
      <c r="B650" t="s">
        <v>694</v>
      </c>
      <c r="C650">
        <v>96</v>
      </c>
      <c r="D650">
        <v>1.4E-3</v>
      </c>
      <c r="E650">
        <v>11.78858026897057</v>
      </c>
      <c r="F650">
        <v>1258.7362675253071</v>
      </c>
      <c r="G650">
        <v>3.605</v>
      </c>
      <c r="H650">
        <v>1.1999999999999999E-3</v>
      </c>
      <c r="I650">
        <v>164.0564</v>
      </c>
    </row>
    <row r="651" spans="1:9" x14ac:dyDescent="0.3">
      <c r="A651" t="s">
        <v>45</v>
      </c>
      <c r="B651" t="s">
        <v>695</v>
      </c>
      <c r="C651">
        <v>96</v>
      </c>
      <c r="D651">
        <v>1E-3</v>
      </c>
      <c r="E651">
        <v>12.05559025903</v>
      </c>
      <c r="F651">
        <v>1284.075515581947</v>
      </c>
      <c r="G651">
        <v>3.605</v>
      </c>
      <c r="H651">
        <v>5.3E-3</v>
      </c>
      <c r="I651">
        <v>164.25399999999999</v>
      </c>
    </row>
    <row r="652" spans="1:9" x14ac:dyDescent="0.3">
      <c r="A652" t="s">
        <v>45</v>
      </c>
      <c r="B652" t="s">
        <v>696</v>
      </c>
      <c r="C652">
        <v>96</v>
      </c>
      <c r="D652">
        <v>6.0000000000000001E-3</v>
      </c>
      <c r="E652">
        <v>15.07144338026807</v>
      </c>
      <c r="F652">
        <v>1570.2799767874401</v>
      </c>
      <c r="G652">
        <v>3.605</v>
      </c>
      <c r="H652">
        <v>5.2200000000000003E-2</v>
      </c>
      <c r="I652">
        <v>164.4563</v>
      </c>
    </row>
    <row r="653" spans="1:9" x14ac:dyDescent="0.3">
      <c r="A653" t="s">
        <v>45</v>
      </c>
      <c r="B653" t="s">
        <v>697</v>
      </c>
      <c r="C653">
        <v>96</v>
      </c>
      <c r="D653">
        <v>2.5999999999999999E-2</v>
      </c>
      <c r="E653">
        <v>15.47866860216604</v>
      </c>
      <c r="F653">
        <v>1608.925650345557</v>
      </c>
      <c r="G653">
        <v>3.605</v>
      </c>
      <c r="H653">
        <v>5.8500000000000003E-2</v>
      </c>
      <c r="I653">
        <v>164.65629999999999</v>
      </c>
    </row>
    <row r="654" spans="1:9" x14ac:dyDescent="0.3">
      <c r="A654" t="s">
        <v>45</v>
      </c>
      <c r="B654" t="s">
        <v>698</v>
      </c>
      <c r="C654">
        <v>96</v>
      </c>
      <c r="D654">
        <v>4.99E-2</v>
      </c>
      <c r="E654">
        <v>15.715629763151849</v>
      </c>
      <c r="F654">
        <v>1631.4132645231109</v>
      </c>
      <c r="G654">
        <v>3.605</v>
      </c>
      <c r="H654">
        <v>6.2199999999999998E-2</v>
      </c>
      <c r="I654">
        <v>164.85640000000001</v>
      </c>
    </row>
    <row r="655" spans="1:9" x14ac:dyDescent="0.3">
      <c r="A655" t="s">
        <v>45</v>
      </c>
      <c r="B655" t="s">
        <v>699</v>
      </c>
      <c r="C655">
        <v>96</v>
      </c>
      <c r="D655">
        <v>6.5100000000000005E-2</v>
      </c>
      <c r="E655">
        <v>15.758728465577651</v>
      </c>
      <c r="F655">
        <v>1635.5033313833189</v>
      </c>
      <c r="G655">
        <v>3.605</v>
      </c>
      <c r="H655">
        <v>6.2899999999999998E-2</v>
      </c>
      <c r="I655">
        <v>165.05760000000001</v>
      </c>
    </row>
    <row r="656" spans="1:9" x14ac:dyDescent="0.3">
      <c r="A656" t="s">
        <v>45</v>
      </c>
      <c r="B656" t="s">
        <v>700</v>
      </c>
      <c r="C656">
        <v>96</v>
      </c>
      <c r="D656">
        <v>6.9800000000000001E-2</v>
      </c>
      <c r="E656">
        <v>15.605055456812471</v>
      </c>
      <c r="F656">
        <v>1524.3911685749219</v>
      </c>
      <c r="G656">
        <v>3.605</v>
      </c>
      <c r="H656">
        <v>6.0499999999999998E-2</v>
      </c>
      <c r="I656">
        <v>165.25620000000001</v>
      </c>
    </row>
    <row r="657" spans="1:9" x14ac:dyDescent="0.3">
      <c r="A657" t="s">
        <v>45</v>
      </c>
      <c r="B657" t="s">
        <v>701</v>
      </c>
      <c r="C657">
        <v>96</v>
      </c>
      <c r="D657">
        <v>6.5299999999999997E-2</v>
      </c>
      <c r="E657">
        <v>15.2666515962472</v>
      </c>
      <c r="F657">
        <v>1492.8519287702391</v>
      </c>
      <c r="G657">
        <v>3.605</v>
      </c>
      <c r="H657">
        <v>5.5199999999999999E-2</v>
      </c>
      <c r="I657">
        <v>165.45699999999999</v>
      </c>
    </row>
    <row r="658" spans="1:9" x14ac:dyDescent="0.3">
      <c r="A658" t="s">
        <v>45</v>
      </c>
      <c r="B658" t="s">
        <v>702</v>
      </c>
      <c r="C658">
        <v>96</v>
      </c>
      <c r="D658">
        <v>5.8000000000000003E-2</v>
      </c>
      <c r="E658">
        <v>14.78078653880617</v>
      </c>
      <c r="F658">
        <v>1447.569305416735</v>
      </c>
      <c r="G658">
        <v>3.605</v>
      </c>
      <c r="H658">
        <v>4.7699999999999999E-2</v>
      </c>
      <c r="I658">
        <v>165.6567</v>
      </c>
    </row>
    <row r="659" spans="1:9" x14ac:dyDescent="0.3">
      <c r="A659" t="s">
        <v>45</v>
      </c>
      <c r="B659" t="s">
        <v>703</v>
      </c>
      <c r="C659">
        <v>96</v>
      </c>
      <c r="D659">
        <v>5.21E-2</v>
      </c>
      <c r="E659">
        <v>14.19355055010843</v>
      </c>
      <c r="F659">
        <v>1392.838911270105</v>
      </c>
      <c r="G659">
        <v>3.605</v>
      </c>
      <c r="H659">
        <v>3.8600000000000002E-2</v>
      </c>
      <c r="I659">
        <v>165.8562</v>
      </c>
    </row>
    <row r="660" spans="1:9" x14ac:dyDescent="0.3">
      <c r="A660" t="s">
        <v>45</v>
      </c>
      <c r="B660" t="s">
        <v>704</v>
      </c>
      <c r="C660">
        <v>96</v>
      </c>
      <c r="D660">
        <v>4.6699999999999998E-2</v>
      </c>
      <c r="E660">
        <v>13.567307869793501</v>
      </c>
      <c r="F660">
        <v>1334.4730934647539</v>
      </c>
      <c r="G660">
        <v>3.605</v>
      </c>
      <c r="H660">
        <v>2.8799999999999999E-2</v>
      </c>
      <c r="I660">
        <v>166.05420000000001</v>
      </c>
    </row>
    <row r="661" spans="1:9" x14ac:dyDescent="0.3">
      <c r="A661" t="s">
        <v>45</v>
      </c>
      <c r="B661" t="s">
        <v>705</v>
      </c>
      <c r="C661">
        <v>96</v>
      </c>
      <c r="D661">
        <v>3.8600000000000002E-2</v>
      </c>
      <c r="E661">
        <v>12.94368696334784</v>
      </c>
      <c r="F661">
        <v>1276.3516249840179</v>
      </c>
      <c r="G661">
        <v>3.605</v>
      </c>
      <c r="H661">
        <v>1.9099999999999999E-2</v>
      </c>
      <c r="I661">
        <v>166.2569</v>
      </c>
    </row>
    <row r="662" spans="1:9" x14ac:dyDescent="0.3">
      <c r="A662" t="s">
        <v>45</v>
      </c>
      <c r="B662" t="s">
        <v>706</v>
      </c>
      <c r="C662">
        <v>96</v>
      </c>
      <c r="D662">
        <v>3.0099999999999998E-2</v>
      </c>
      <c r="E662">
        <v>12.40858113256057</v>
      </c>
      <c r="F662">
        <v>1226.4797615546449</v>
      </c>
      <c r="G662">
        <v>3.605</v>
      </c>
      <c r="H662">
        <v>1.0800000000000001E-2</v>
      </c>
      <c r="I662">
        <v>166.45599999999999</v>
      </c>
    </row>
    <row r="663" spans="1:9" x14ac:dyDescent="0.3">
      <c r="A663" t="s">
        <v>45</v>
      </c>
      <c r="B663" t="s">
        <v>707</v>
      </c>
      <c r="C663">
        <v>96</v>
      </c>
      <c r="D663">
        <v>2.0500000000000001E-2</v>
      </c>
      <c r="E663">
        <v>11.99907173173975</v>
      </c>
      <c r="F663">
        <v>1188.3134853981451</v>
      </c>
      <c r="G663">
        <v>3.605</v>
      </c>
      <c r="H663">
        <v>4.4999999999999997E-3</v>
      </c>
      <c r="I663">
        <v>166.65729999999999</v>
      </c>
    </row>
    <row r="664" spans="1:9" x14ac:dyDescent="0.3">
      <c r="A664" t="s">
        <v>45</v>
      </c>
      <c r="B664" t="s">
        <v>708</v>
      </c>
      <c r="C664">
        <v>96</v>
      </c>
      <c r="D664">
        <v>1.26E-2</v>
      </c>
      <c r="E664">
        <v>11.763221033496871</v>
      </c>
      <c r="F664">
        <v>1166.332200321908</v>
      </c>
      <c r="G664">
        <v>3.605</v>
      </c>
      <c r="H664">
        <v>8.0000000000000004E-4</v>
      </c>
      <c r="I664">
        <v>166.857</v>
      </c>
    </row>
    <row r="665" spans="1:9" x14ac:dyDescent="0.3">
      <c r="A665" t="s">
        <v>45</v>
      </c>
      <c r="B665" t="s">
        <v>709</v>
      </c>
      <c r="C665">
        <v>96</v>
      </c>
      <c r="D665">
        <v>5.8999999999999999E-3</v>
      </c>
      <c r="E665">
        <v>11.72041660957726</v>
      </c>
      <c r="F665">
        <v>1162.3428280126011</v>
      </c>
      <c r="G665">
        <v>3.605</v>
      </c>
      <c r="H665">
        <v>1E-4</v>
      </c>
      <c r="I665">
        <v>167.05690000000001</v>
      </c>
    </row>
    <row r="666" spans="1:9" x14ac:dyDescent="0.3">
      <c r="A666" t="s">
        <v>45</v>
      </c>
      <c r="B666" t="s">
        <v>710</v>
      </c>
      <c r="C666">
        <v>96</v>
      </c>
      <c r="D666">
        <v>1E-4</v>
      </c>
      <c r="E666">
        <v>11.87257373756076</v>
      </c>
      <c r="F666">
        <v>1266.7072476945159</v>
      </c>
      <c r="G666">
        <v>3.605</v>
      </c>
      <c r="H666">
        <v>2.5000000000000001E-3</v>
      </c>
      <c r="I666">
        <v>167.25479999999999</v>
      </c>
    </row>
    <row r="667" spans="1:9" x14ac:dyDescent="0.3">
      <c r="A667" t="s">
        <v>45</v>
      </c>
      <c r="B667" t="s">
        <v>711</v>
      </c>
      <c r="C667">
        <v>96</v>
      </c>
      <c r="D667">
        <v>1.1000000000000001E-3</v>
      </c>
      <c r="E667">
        <v>12.209690431230269</v>
      </c>
      <c r="F667">
        <v>1298.6996219237531</v>
      </c>
      <c r="G667">
        <v>3.605</v>
      </c>
      <c r="H667">
        <v>7.7000000000000002E-3</v>
      </c>
      <c r="I667">
        <v>167.4556</v>
      </c>
    </row>
    <row r="668" spans="1:9" x14ac:dyDescent="0.3">
      <c r="A668" t="s">
        <v>45</v>
      </c>
      <c r="B668" t="s">
        <v>712</v>
      </c>
      <c r="C668">
        <v>96</v>
      </c>
      <c r="D668">
        <v>7.7000000000000002E-3</v>
      </c>
      <c r="E668">
        <v>15.767022775238891</v>
      </c>
      <c r="F668">
        <v>1636.290461370171</v>
      </c>
      <c r="G668">
        <v>3.605</v>
      </c>
      <c r="H668">
        <v>6.3E-2</v>
      </c>
      <c r="I668">
        <v>167.6566</v>
      </c>
    </row>
    <row r="669" spans="1:9" x14ac:dyDescent="0.3">
      <c r="A669" t="s">
        <v>45</v>
      </c>
      <c r="B669" t="s">
        <v>713</v>
      </c>
      <c r="C669">
        <v>96</v>
      </c>
      <c r="D669">
        <v>3.73E-2</v>
      </c>
      <c r="E669">
        <v>15.767022775238891</v>
      </c>
      <c r="F669">
        <v>1539.486522652265</v>
      </c>
      <c r="G669">
        <v>3.605</v>
      </c>
      <c r="H669">
        <v>6.3E-2</v>
      </c>
      <c r="I669">
        <v>167.85640000000001</v>
      </c>
    </row>
    <row r="670" spans="1:9" x14ac:dyDescent="0.3">
      <c r="A670" t="s">
        <v>45</v>
      </c>
      <c r="B670" t="s">
        <v>714</v>
      </c>
      <c r="C670">
        <v>96</v>
      </c>
      <c r="D670">
        <v>5.1999999999999998E-2</v>
      </c>
      <c r="E670">
        <v>11.712315275610051</v>
      </c>
      <c r="F670">
        <v>1161.5877836868569</v>
      </c>
      <c r="G670">
        <v>3.605</v>
      </c>
      <c r="H670">
        <v>0</v>
      </c>
      <c r="I670">
        <v>168.0574</v>
      </c>
    </row>
    <row r="671" spans="1:9" x14ac:dyDescent="0.3">
      <c r="A671" t="s">
        <v>45</v>
      </c>
      <c r="B671" t="s">
        <v>715</v>
      </c>
      <c r="C671">
        <v>96</v>
      </c>
      <c r="D671">
        <v>4.41E-2</v>
      </c>
      <c r="E671">
        <v>11.712315275610051</v>
      </c>
      <c r="F671">
        <v>1161.5877836868569</v>
      </c>
      <c r="G671">
        <v>3.605</v>
      </c>
      <c r="H671">
        <v>0</v>
      </c>
      <c r="I671">
        <v>168.2551</v>
      </c>
    </row>
    <row r="672" spans="1:9" x14ac:dyDescent="0.3">
      <c r="A672" t="s">
        <v>45</v>
      </c>
      <c r="B672" t="s">
        <v>716</v>
      </c>
      <c r="C672">
        <v>96</v>
      </c>
      <c r="D672">
        <v>2.7300000000000001E-2</v>
      </c>
      <c r="E672">
        <v>11.712315275610051</v>
      </c>
      <c r="F672">
        <v>1161.5877836868569</v>
      </c>
      <c r="G672">
        <v>3.605</v>
      </c>
      <c r="H672">
        <v>0</v>
      </c>
      <c r="I672">
        <v>168.45570000000001</v>
      </c>
    </row>
    <row r="673" spans="1:9" x14ac:dyDescent="0.3">
      <c r="A673" t="s">
        <v>45</v>
      </c>
      <c r="B673" t="s">
        <v>717</v>
      </c>
      <c r="C673">
        <v>96</v>
      </c>
      <c r="D673">
        <v>1.06E-2</v>
      </c>
      <c r="E673">
        <v>11.712315275610051</v>
      </c>
      <c r="F673">
        <v>1161.5877836868569</v>
      </c>
      <c r="G673">
        <v>3.605</v>
      </c>
      <c r="H673">
        <v>0</v>
      </c>
      <c r="I673">
        <v>168.6557</v>
      </c>
    </row>
    <row r="674" spans="1:9" x14ac:dyDescent="0.3">
      <c r="A674" t="s">
        <v>45</v>
      </c>
      <c r="B674" t="s">
        <v>718</v>
      </c>
      <c r="C674">
        <v>96</v>
      </c>
      <c r="D674">
        <v>3.0999999999999999E-3</v>
      </c>
      <c r="E674">
        <v>11.712315275610051</v>
      </c>
      <c r="F674">
        <v>1161.5877836868569</v>
      </c>
      <c r="G674">
        <v>3.605</v>
      </c>
      <c r="H674">
        <v>0</v>
      </c>
      <c r="I674">
        <v>168.85589999999999</v>
      </c>
    </row>
    <row r="675" spans="1:9" x14ac:dyDescent="0.3">
      <c r="A675" t="s">
        <v>45</v>
      </c>
      <c r="B675" t="s">
        <v>719</v>
      </c>
      <c r="C675">
        <v>96</v>
      </c>
      <c r="D675">
        <v>-1.6000000000000001E-3</v>
      </c>
      <c r="E675">
        <v>11.712315275610051</v>
      </c>
      <c r="F675">
        <v>1161.5877836868569</v>
      </c>
      <c r="G675">
        <v>3.605</v>
      </c>
      <c r="H675">
        <v>0</v>
      </c>
      <c r="I675">
        <v>169.05600000000001</v>
      </c>
    </row>
    <row r="676" spans="1:9" x14ac:dyDescent="0.3">
      <c r="A676" t="s">
        <v>45</v>
      </c>
      <c r="B676" t="s">
        <v>720</v>
      </c>
      <c r="C676">
        <v>96</v>
      </c>
      <c r="D676">
        <v>-2.2000000000000001E-3</v>
      </c>
      <c r="E676">
        <v>11.712315275610051</v>
      </c>
      <c r="F676">
        <v>1161.5877836868569</v>
      </c>
      <c r="G676">
        <v>3.605</v>
      </c>
      <c r="H676">
        <v>0</v>
      </c>
      <c r="I676">
        <v>169.25630000000001</v>
      </c>
    </row>
    <row r="677" spans="1:9" x14ac:dyDescent="0.3">
      <c r="A677" t="s">
        <v>45</v>
      </c>
      <c r="B677" t="s">
        <v>721</v>
      </c>
      <c r="C677">
        <v>96</v>
      </c>
      <c r="D677">
        <v>-2.0999999999999999E-3</v>
      </c>
      <c r="E677">
        <v>11.712315275610051</v>
      </c>
      <c r="F677">
        <v>1161.5877836868569</v>
      </c>
      <c r="G677">
        <v>3.605</v>
      </c>
      <c r="H677">
        <v>0</v>
      </c>
      <c r="I677">
        <v>169.45609999999999</v>
      </c>
    </row>
    <row r="678" spans="1:9" x14ac:dyDescent="0.3">
      <c r="A678" t="s">
        <v>45</v>
      </c>
      <c r="B678" t="s">
        <v>722</v>
      </c>
      <c r="C678">
        <v>96</v>
      </c>
      <c r="D678">
        <v>-2.0999999999999999E-3</v>
      </c>
      <c r="E678">
        <v>11.712315275610051</v>
      </c>
      <c r="F678">
        <v>1161.5877836868569</v>
      </c>
      <c r="G678">
        <v>3.605</v>
      </c>
      <c r="H678">
        <v>0</v>
      </c>
      <c r="I678">
        <v>169.65530000000001</v>
      </c>
    </row>
    <row r="679" spans="1:9" x14ac:dyDescent="0.3">
      <c r="A679" t="s">
        <v>45</v>
      </c>
      <c r="B679" t="s">
        <v>723</v>
      </c>
      <c r="C679">
        <v>96</v>
      </c>
      <c r="D679">
        <v>-2.2000000000000001E-3</v>
      </c>
      <c r="E679">
        <v>11.712315275610051</v>
      </c>
      <c r="F679">
        <v>1161.5877836868569</v>
      </c>
      <c r="G679">
        <v>3.605</v>
      </c>
      <c r="H679">
        <v>0</v>
      </c>
      <c r="I679">
        <v>169.8553</v>
      </c>
    </row>
    <row r="680" spans="1:9" x14ac:dyDescent="0.3">
      <c r="A680" t="s">
        <v>45</v>
      </c>
      <c r="B680" t="s">
        <v>724</v>
      </c>
      <c r="C680">
        <v>96</v>
      </c>
      <c r="D680">
        <v>-2.2000000000000001E-3</v>
      </c>
      <c r="E680">
        <v>15.767022775238891</v>
      </c>
      <c r="F680">
        <v>1636.290461370171</v>
      </c>
      <c r="G680">
        <v>3.605</v>
      </c>
      <c r="H680">
        <v>6.3E-2</v>
      </c>
      <c r="I680">
        <v>170.0549</v>
      </c>
    </row>
    <row r="681" spans="1:9" x14ac:dyDescent="0.3">
      <c r="A681" t="s">
        <v>45</v>
      </c>
      <c r="B681" t="s">
        <v>725</v>
      </c>
      <c r="C681">
        <v>96</v>
      </c>
      <c r="D681">
        <v>2.87E-2</v>
      </c>
      <c r="E681">
        <v>15.767022775238891</v>
      </c>
      <c r="F681">
        <v>1539.486522652265</v>
      </c>
      <c r="G681">
        <v>3.605</v>
      </c>
      <c r="H681">
        <v>6.3E-2</v>
      </c>
      <c r="I681">
        <v>170.25559999999999</v>
      </c>
    </row>
    <row r="682" spans="1:9" x14ac:dyDescent="0.3">
      <c r="A682" t="s">
        <v>45</v>
      </c>
      <c r="B682" t="s">
        <v>726</v>
      </c>
      <c r="C682">
        <v>96</v>
      </c>
      <c r="D682">
        <v>5.0500000000000003E-2</v>
      </c>
      <c r="E682">
        <v>15.767022775238891</v>
      </c>
      <c r="F682">
        <v>1539.486522652265</v>
      </c>
      <c r="G682">
        <v>3.605</v>
      </c>
      <c r="H682">
        <v>6.3E-2</v>
      </c>
      <c r="I682">
        <v>170.45570000000001</v>
      </c>
    </row>
    <row r="683" spans="1:9" x14ac:dyDescent="0.3">
      <c r="A683" t="s">
        <v>45</v>
      </c>
      <c r="B683" t="s">
        <v>727</v>
      </c>
      <c r="C683">
        <v>96</v>
      </c>
      <c r="D683">
        <v>5.1900000000000002E-2</v>
      </c>
      <c r="E683">
        <v>15.767022775238891</v>
      </c>
      <c r="F683">
        <v>1539.486522652265</v>
      </c>
      <c r="G683">
        <v>3.605</v>
      </c>
      <c r="H683">
        <v>6.3E-2</v>
      </c>
      <c r="I683">
        <v>170.6557</v>
      </c>
    </row>
    <row r="684" spans="1:9" x14ac:dyDescent="0.3">
      <c r="A684" t="s">
        <v>45</v>
      </c>
      <c r="B684" t="s">
        <v>728</v>
      </c>
      <c r="C684">
        <v>96</v>
      </c>
      <c r="D684">
        <v>5.1999999999999998E-2</v>
      </c>
      <c r="E684">
        <v>15.767022775238891</v>
      </c>
      <c r="F684">
        <v>1539.486522652265</v>
      </c>
      <c r="G684">
        <v>3.605</v>
      </c>
      <c r="H684">
        <v>6.3E-2</v>
      </c>
      <c r="I684">
        <v>170.8554</v>
      </c>
    </row>
    <row r="685" spans="1:9" x14ac:dyDescent="0.3">
      <c r="A685" t="s">
        <v>45</v>
      </c>
      <c r="B685" t="s">
        <v>729</v>
      </c>
      <c r="C685">
        <v>96</v>
      </c>
      <c r="D685">
        <v>5.1999999999999998E-2</v>
      </c>
      <c r="E685">
        <v>15.767022775238891</v>
      </c>
      <c r="F685">
        <v>1539.486522652265</v>
      </c>
      <c r="G685">
        <v>3.605</v>
      </c>
      <c r="H685">
        <v>6.3E-2</v>
      </c>
      <c r="I685">
        <v>171.05410000000001</v>
      </c>
    </row>
    <row r="686" spans="1:9" x14ac:dyDescent="0.3">
      <c r="A686" t="s">
        <v>45</v>
      </c>
      <c r="B686" t="s">
        <v>730</v>
      </c>
      <c r="C686">
        <v>96</v>
      </c>
      <c r="D686">
        <v>5.1999999999999998E-2</v>
      </c>
      <c r="E686">
        <v>15.767022775238891</v>
      </c>
      <c r="F686">
        <v>1539.486522652265</v>
      </c>
      <c r="G686">
        <v>3.605</v>
      </c>
      <c r="H686">
        <v>6.3E-2</v>
      </c>
      <c r="I686">
        <v>171.2567</v>
      </c>
    </row>
    <row r="687" spans="1:9" x14ac:dyDescent="0.3">
      <c r="A687" t="s">
        <v>45</v>
      </c>
      <c r="B687" t="s">
        <v>731</v>
      </c>
      <c r="C687">
        <v>96</v>
      </c>
      <c r="D687">
        <v>5.1999999999999998E-2</v>
      </c>
      <c r="E687">
        <v>15.767022775238891</v>
      </c>
      <c r="F687">
        <v>1539.486522652265</v>
      </c>
      <c r="G687">
        <v>3.605</v>
      </c>
      <c r="H687">
        <v>6.3E-2</v>
      </c>
      <c r="I687">
        <v>171.4572</v>
      </c>
    </row>
    <row r="688" spans="1:9" x14ac:dyDescent="0.3">
      <c r="A688" t="s">
        <v>45</v>
      </c>
      <c r="B688" t="s">
        <v>732</v>
      </c>
      <c r="C688">
        <v>96</v>
      </c>
      <c r="D688">
        <v>5.1999999999999998E-2</v>
      </c>
      <c r="E688">
        <v>15.767022775238891</v>
      </c>
      <c r="F688">
        <v>1539.486522652265</v>
      </c>
      <c r="G688">
        <v>3.605</v>
      </c>
      <c r="H688">
        <v>6.3E-2</v>
      </c>
      <c r="I688">
        <v>171.6566</v>
      </c>
    </row>
    <row r="689" spans="1:9" x14ac:dyDescent="0.3">
      <c r="A689" t="s">
        <v>45</v>
      </c>
      <c r="B689" t="s">
        <v>733</v>
      </c>
      <c r="C689">
        <v>96</v>
      </c>
      <c r="D689">
        <v>5.1999999999999998E-2</v>
      </c>
      <c r="E689">
        <v>15.767022775238891</v>
      </c>
      <c r="F689">
        <v>1539.486522652265</v>
      </c>
      <c r="G689">
        <v>3.605</v>
      </c>
      <c r="H689">
        <v>6.3E-2</v>
      </c>
      <c r="I689">
        <v>171.85679999999999</v>
      </c>
    </row>
    <row r="690" spans="1:9" x14ac:dyDescent="0.3">
      <c r="A690" t="s">
        <v>45</v>
      </c>
      <c r="B690" t="s">
        <v>734</v>
      </c>
      <c r="C690">
        <v>96</v>
      </c>
      <c r="D690">
        <v>5.1999999999999998E-2</v>
      </c>
      <c r="E690">
        <v>11.712315275610051</v>
      </c>
      <c r="F690">
        <v>1161.5877836868569</v>
      </c>
      <c r="G690">
        <v>3.605</v>
      </c>
      <c r="H690">
        <v>0</v>
      </c>
      <c r="I690">
        <v>172.0549</v>
      </c>
    </row>
    <row r="691" spans="1:9" x14ac:dyDescent="0.3">
      <c r="A691" t="s">
        <v>45</v>
      </c>
      <c r="B691" t="s">
        <v>735</v>
      </c>
      <c r="C691">
        <v>96</v>
      </c>
      <c r="D691">
        <v>4.2200000000000001E-2</v>
      </c>
      <c r="E691">
        <v>11.712315275610051</v>
      </c>
      <c r="F691">
        <v>1161.5877836868569</v>
      </c>
      <c r="G691">
        <v>3.605</v>
      </c>
      <c r="H691">
        <v>0</v>
      </c>
      <c r="I691">
        <v>172.25559999999999</v>
      </c>
    </row>
    <row r="692" spans="1:9" x14ac:dyDescent="0.3">
      <c r="A692" t="s">
        <v>45</v>
      </c>
      <c r="B692" t="s">
        <v>736</v>
      </c>
      <c r="C692">
        <v>96</v>
      </c>
      <c r="D692">
        <v>2.63E-2</v>
      </c>
      <c r="E692">
        <v>11.712315275610051</v>
      </c>
      <c r="F692">
        <v>1161.5877836868569</v>
      </c>
      <c r="G692">
        <v>3.605</v>
      </c>
      <c r="H692">
        <v>0</v>
      </c>
      <c r="I692">
        <v>172.45529999999999</v>
      </c>
    </row>
    <row r="693" spans="1:9" x14ac:dyDescent="0.3">
      <c r="A693" t="s">
        <v>45</v>
      </c>
      <c r="B693" t="s">
        <v>737</v>
      </c>
      <c r="C693">
        <v>96</v>
      </c>
      <c r="D693">
        <v>9.4000000000000004E-3</v>
      </c>
      <c r="E693">
        <v>11.712315275610051</v>
      </c>
      <c r="F693">
        <v>1161.5877836868569</v>
      </c>
      <c r="G693">
        <v>3.605</v>
      </c>
      <c r="H693">
        <v>0</v>
      </c>
      <c r="I693">
        <v>172.6567</v>
      </c>
    </row>
    <row r="694" spans="1:9" x14ac:dyDescent="0.3">
      <c r="A694" t="s">
        <v>45</v>
      </c>
      <c r="B694" t="s">
        <v>738</v>
      </c>
      <c r="C694">
        <v>96</v>
      </c>
      <c r="D694">
        <v>2.2000000000000001E-3</v>
      </c>
      <c r="E694">
        <v>11.712315275610051</v>
      </c>
      <c r="F694">
        <v>1161.5877836868569</v>
      </c>
      <c r="G694">
        <v>3.605</v>
      </c>
      <c r="H694">
        <v>0</v>
      </c>
      <c r="I694">
        <v>172.8561</v>
      </c>
    </row>
    <row r="695" spans="1:9" x14ac:dyDescent="0.3">
      <c r="A695" t="s">
        <v>45</v>
      </c>
      <c r="B695" t="s">
        <v>739</v>
      </c>
      <c r="C695">
        <v>96</v>
      </c>
      <c r="D695">
        <v>-1.8E-3</v>
      </c>
      <c r="E695">
        <v>11.712315275610051</v>
      </c>
      <c r="F695">
        <v>1161.5877836868569</v>
      </c>
      <c r="G695">
        <v>3.605</v>
      </c>
      <c r="H695">
        <v>0</v>
      </c>
      <c r="I695">
        <v>173.05459999999999</v>
      </c>
    </row>
    <row r="696" spans="1:9" x14ac:dyDescent="0.3">
      <c r="A696" t="s">
        <v>45</v>
      </c>
      <c r="B696" t="s">
        <v>740</v>
      </c>
      <c r="C696">
        <v>96</v>
      </c>
      <c r="D696">
        <v>-2.2000000000000001E-3</v>
      </c>
      <c r="E696">
        <v>11.712315275610051</v>
      </c>
      <c r="F696">
        <v>1161.5877836868569</v>
      </c>
      <c r="G696">
        <v>3.605</v>
      </c>
      <c r="H696">
        <v>0</v>
      </c>
      <c r="I696">
        <v>173.25530000000001</v>
      </c>
    </row>
    <row r="697" spans="1:9" x14ac:dyDescent="0.3">
      <c r="A697" t="s">
        <v>45</v>
      </c>
      <c r="B697" t="s">
        <v>741</v>
      </c>
      <c r="C697">
        <v>96</v>
      </c>
      <c r="D697">
        <v>-2.2000000000000001E-3</v>
      </c>
      <c r="E697">
        <v>11.712315275610051</v>
      </c>
      <c r="F697">
        <v>1161.5877836868569</v>
      </c>
      <c r="G697">
        <v>3.605</v>
      </c>
      <c r="H697">
        <v>0</v>
      </c>
      <c r="I697">
        <v>173.4555</v>
      </c>
    </row>
    <row r="698" spans="1:9" x14ac:dyDescent="0.3">
      <c r="A698" t="s">
        <v>45</v>
      </c>
      <c r="B698" t="s">
        <v>742</v>
      </c>
      <c r="C698">
        <v>96</v>
      </c>
      <c r="D698">
        <v>-2.2000000000000001E-3</v>
      </c>
      <c r="E698">
        <v>11.712315275610051</v>
      </c>
      <c r="F698">
        <v>1161.5877836868569</v>
      </c>
      <c r="G698">
        <v>3.605</v>
      </c>
      <c r="H698">
        <v>0</v>
      </c>
      <c r="I698">
        <v>173.65629999999999</v>
      </c>
    </row>
    <row r="699" spans="1:9" x14ac:dyDescent="0.3">
      <c r="A699" t="s">
        <v>45</v>
      </c>
      <c r="B699" t="s">
        <v>743</v>
      </c>
      <c r="C699">
        <v>96</v>
      </c>
      <c r="D699">
        <v>-2.2000000000000001E-3</v>
      </c>
      <c r="E699">
        <v>11.712315275610051</v>
      </c>
      <c r="F699">
        <v>1161.5877836868569</v>
      </c>
      <c r="G699">
        <v>3.605</v>
      </c>
      <c r="H699">
        <v>0</v>
      </c>
      <c r="I699">
        <v>173.85550000000001</v>
      </c>
    </row>
    <row r="700" spans="1:9" x14ac:dyDescent="0.3">
      <c r="A700" t="s">
        <v>45</v>
      </c>
      <c r="B700" t="s">
        <v>744</v>
      </c>
      <c r="C700">
        <v>96</v>
      </c>
      <c r="D700">
        <v>-2.2000000000000001E-3</v>
      </c>
      <c r="E700">
        <v>15.767022775238891</v>
      </c>
      <c r="F700">
        <v>1636.290461370171</v>
      </c>
      <c r="G700">
        <v>3.605</v>
      </c>
      <c r="H700">
        <v>6.3E-2</v>
      </c>
      <c r="I700">
        <v>174.05549999999999</v>
      </c>
    </row>
    <row r="701" spans="1:9" x14ac:dyDescent="0.3">
      <c r="A701" t="s">
        <v>45</v>
      </c>
      <c r="B701" t="s">
        <v>745</v>
      </c>
      <c r="C701">
        <v>96</v>
      </c>
      <c r="D701">
        <v>2.2700000000000001E-2</v>
      </c>
      <c r="E701">
        <v>15.767022775238891</v>
      </c>
      <c r="F701">
        <v>1539.486522652265</v>
      </c>
      <c r="G701">
        <v>3.605</v>
      </c>
      <c r="H701">
        <v>6.3E-2</v>
      </c>
      <c r="I701">
        <v>174.2552</v>
      </c>
    </row>
    <row r="702" spans="1:9" x14ac:dyDescent="0.3">
      <c r="A702" t="s">
        <v>45</v>
      </c>
      <c r="B702" t="s">
        <v>746</v>
      </c>
      <c r="C702">
        <v>96</v>
      </c>
      <c r="D702">
        <v>4.8599999999999997E-2</v>
      </c>
      <c r="E702">
        <v>15.767022775238891</v>
      </c>
      <c r="F702">
        <v>1539.486522652265</v>
      </c>
      <c r="G702">
        <v>3.605</v>
      </c>
      <c r="H702">
        <v>6.3E-2</v>
      </c>
      <c r="I702">
        <v>174.45570000000001</v>
      </c>
    </row>
    <row r="703" spans="1:9" x14ac:dyDescent="0.3">
      <c r="A703" t="s">
        <v>45</v>
      </c>
      <c r="B703" t="s">
        <v>747</v>
      </c>
      <c r="C703">
        <v>96</v>
      </c>
      <c r="D703">
        <v>5.1400000000000001E-2</v>
      </c>
      <c r="E703">
        <v>15.767022775238891</v>
      </c>
      <c r="F703">
        <v>1539.486522652265</v>
      </c>
      <c r="G703">
        <v>3.605</v>
      </c>
      <c r="H703">
        <v>6.3E-2</v>
      </c>
      <c r="I703">
        <v>174.65600000000001</v>
      </c>
    </row>
    <row r="704" spans="1:9" x14ac:dyDescent="0.3">
      <c r="A704" t="s">
        <v>45</v>
      </c>
      <c r="B704" t="s">
        <v>748</v>
      </c>
      <c r="C704">
        <v>96</v>
      </c>
      <c r="D704">
        <v>5.1499999999999997E-2</v>
      </c>
      <c r="E704">
        <v>15.767022775238891</v>
      </c>
      <c r="F704">
        <v>1539.486522652265</v>
      </c>
      <c r="G704">
        <v>3.605</v>
      </c>
      <c r="H704">
        <v>6.3E-2</v>
      </c>
      <c r="I704">
        <v>174.8562</v>
      </c>
    </row>
    <row r="705" spans="1:9" x14ac:dyDescent="0.3">
      <c r="A705" t="s">
        <v>45</v>
      </c>
      <c r="B705" t="s">
        <v>749</v>
      </c>
      <c r="C705">
        <v>96</v>
      </c>
      <c r="D705">
        <v>5.1499999999999997E-2</v>
      </c>
      <c r="E705">
        <v>15.767022775238891</v>
      </c>
      <c r="F705">
        <v>1539.486522652265</v>
      </c>
      <c r="G705">
        <v>3.605</v>
      </c>
      <c r="H705">
        <v>6.3E-2</v>
      </c>
      <c r="I705">
        <v>175.0471</v>
      </c>
    </row>
    <row r="706" spans="1:9" x14ac:dyDescent="0.3">
      <c r="A706" t="s">
        <v>45</v>
      </c>
      <c r="B706" t="s">
        <v>750</v>
      </c>
      <c r="C706">
        <v>96</v>
      </c>
      <c r="D706">
        <v>5.1499999999999997E-2</v>
      </c>
      <c r="E706">
        <v>15.767022775238891</v>
      </c>
      <c r="F706">
        <v>1539.486522652265</v>
      </c>
      <c r="G706">
        <v>3.605</v>
      </c>
      <c r="H706">
        <v>6.3E-2</v>
      </c>
      <c r="I706">
        <v>175.2559</v>
      </c>
    </row>
    <row r="707" spans="1:9" x14ac:dyDescent="0.3">
      <c r="A707" t="s">
        <v>45</v>
      </c>
      <c r="B707" t="s">
        <v>751</v>
      </c>
      <c r="C707">
        <v>96</v>
      </c>
      <c r="D707">
        <v>5.1499999999999997E-2</v>
      </c>
      <c r="E707">
        <v>15.767022775238891</v>
      </c>
      <c r="F707">
        <v>1539.486522652265</v>
      </c>
      <c r="G707">
        <v>3.605</v>
      </c>
      <c r="H707">
        <v>6.3E-2</v>
      </c>
      <c r="I707">
        <v>175.4564</v>
      </c>
    </row>
    <row r="708" spans="1:9" x14ac:dyDescent="0.3">
      <c r="A708" t="s">
        <v>45</v>
      </c>
      <c r="B708" t="s">
        <v>752</v>
      </c>
      <c r="C708">
        <v>96</v>
      </c>
      <c r="D708">
        <v>5.1499999999999997E-2</v>
      </c>
      <c r="E708">
        <v>15.767022775238891</v>
      </c>
      <c r="F708">
        <v>1539.486522652265</v>
      </c>
      <c r="G708">
        <v>3.605</v>
      </c>
      <c r="H708">
        <v>6.3E-2</v>
      </c>
      <c r="I708">
        <v>175.65690000000001</v>
      </c>
    </row>
    <row r="709" spans="1:9" x14ac:dyDescent="0.3">
      <c r="A709" t="s">
        <v>45</v>
      </c>
      <c r="B709" t="s">
        <v>753</v>
      </c>
      <c r="C709">
        <v>96</v>
      </c>
      <c r="D709">
        <v>5.1499999999999997E-2</v>
      </c>
      <c r="E709">
        <v>15.767022775238891</v>
      </c>
      <c r="F709">
        <v>1539.486522652265</v>
      </c>
      <c r="G709">
        <v>3.605</v>
      </c>
      <c r="H709">
        <v>6.3E-2</v>
      </c>
      <c r="I709">
        <v>175.8561</v>
      </c>
    </row>
    <row r="710" spans="1:9" x14ac:dyDescent="0.3">
      <c r="A710" t="s">
        <v>45</v>
      </c>
      <c r="B710" t="s">
        <v>754</v>
      </c>
      <c r="C710">
        <v>96</v>
      </c>
      <c r="D710">
        <v>5.1499999999999997E-2</v>
      </c>
      <c r="E710">
        <v>11.712315275610051</v>
      </c>
      <c r="F710">
        <v>1161.5877836868569</v>
      </c>
      <c r="G710">
        <v>3.605</v>
      </c>
      <c r="H710">
        <v>0</v>
      </c>
      <c r="I710">
        <v>176.0548</v>
      </c>
    </row>
    <row r="711" spans="1:9" x14ac:dyDescent="0.3">
      <c r="A711" t="s">
        <v>45</v>
      </c>
      <c r="B711" t="s">
        <v>755</v>
      </c>
      <c r="C711">
        <v>96</v>
      </c>
      <c r="D711">
        <v>4.2700000000000002E-2</v>
      </c>
      <c r="E711">
        <v>11.712315275610051</v>
      </c>
      <c r="F711">
        <v>1161.5877836868569</v>
      </c>
      <c r="G711">
        <v>3.605</v>
      </c>
      <c r="H711">
        <v>0</v>
      </c>
      <c r="I711">
        <v>176.2567</v>
      </c>
    </row>
    <row r="712" spans="1:9" x14ac:dyDescent="0.3">
      <c r="A712" t="s">
        <v>45</v>
      </c>
      <c r="B712" t="s">
        <v>756</v>
      </c>
      <c r="C712">
        <v>96</v>
      </c>
      <c r="D712">
        <v>2.5999999999999999E-2</v>
      </c>
      <c r="E712">
        <v>11.712315275610051</v>
      </c>
      <c r="F712">
        <v>1161.5877836868569</v>
      </c>
      <c r="G712">
        <v>3.605</v>
      </c>
      <c r="H712">
        <v>0</v>
      </c>
      <c r="I712">
        <v>176.45699999999999</v>
      </c>
    </row>
    <row r="713" spans="1:9" x14ac:dyDescent="0.3">
      <c r="A713" t="s">
        <v>45</v>
      </c>
      <c r="B713" t="s">
        <v>757</v>
      </c>
      <c r="C713">
        <v>96</v>
      </c>
      <c r="D713">
        <v>1.04E-2</v>
      </c>
      <c r="E713">
        <v>11.712315275610051</v>
      </c>
      <c r="F713">
        <v>1161.5877836868569</v>
      </c>
      <c r="G713">
        <v>3.605</v>
      </c>
      <c r="H713">
        <v>0</v>
      </c>
      <c r="I713">
        <v>176.6574</v>
      </c>
    </row>
    <row r="714" spans="1:9" x14ac:dyDescent="0.3">
      <c r="A714" t="s">
        <v>45</v>
      </c>
      <c r="B714" t="s">
        <v>758</v>
      </c>
      <c r="C714">
        <v>96</v>
      </c>
      <c r="D714">
        <v>2E-3</v>
      </c>
      <c r="E714">
        <v>11.712315275610051</v>
      </c>
      <c r="F714">
        <v>1161.5877836868569</v>
      </c>
      <c r="G714">
        <v>3.605</v>
      </c>
      <c r="H714">
        <v>0</v>
      </c>
      <c r="I714">
        <v>176.85740000000001</v>
      </c>
    </row>
    <row r="715" spans="1:9" x14ac:dyDescent="0.3">
      <c r="A715" t="s">
        <v>45</v>
      </c>
      <c r="B715" t="s">
        <v>759</v>
      </c>
      <c r="C715">
        <v>96</v>
      </c>
      <c r="D715">
        <v>-1.9E-3</v>
      </c>
      <c r="E715">
        <v>11.712315275610051</v>
      </c>
      <c r="F715">
        <v>1161.5877836868569</v>
      </c>
      <c r="G715">
        <v>3.605</v>
      </c>
      <c r="H715">
        <v>0</v>
      </c>
      <c r="I715">
        <v>177.05549999999999</v>
      </c>
    </row>
    <row r="716" spans="1:9" x14ac:dyDescent="0.3">
      <c r="A716" t="s">
        <v>45</v>
      </c>
      <c r="B716" t="s">
        <v>760</v>
      </c>
      <c r="C716">
        <v>96</v>
      </c>
      <c r="D716">
        <v>-2.2000000000000001E-3</v>
      </c>
      <c r="E716">
        <v>11.712315275610051</v>
      </c>
      <c r="F716">
        <v>1161.5877836868569</v>
      </c>
      <c r="G716">
        <v>3.605</v>
      </c>
      <c r="H716">
        <v>0</v>
      </c>
      <c r="I716">
        <v>177.2567</v>
      </c>
    </row>
    <row r="717" spans="1:9" x14ac:dyDescent="0.3">
      <c r="A717" t="s">
        <v>45</v>
      </c>
      <c r="B717" t="s">
        <v>761</v>
      </c>
      <c r="C717">
        <v>96</v>
      </c>
      <c r="D717">
        <v>-2.2000000000000001E-3</v>
      </c>
      <c r="E717">
        <v>11.712315275610051</v>
      </c>
      <c r="F717">
        <v>1161.5877836868569</v>
      </c>
      <c r="G717">
        <v>3.605</v>
      </c>
      <c r="H717">
        <v>0</v>
      </c>
      <c r="I717">
        <v>177.45699999999999</v>
      </c>
    </row>
    <row r="718" spans="1:9" x14ac:dyDescent="0.3">
      <c r="A718" t="s">
        <v>45</v>
      </c>
      <c r="B718" t="s">
        <v>762</v>
      </c>
      <c r="C718">
        <v>96</v>
      </c>
      <c r="D718">
        <v>-2.2000000000000001E-3</v>
      </c>
      <c r="E718">
        <v>11.712315275610051</v>
      </c>
      <c r="F718">
        <v>1161.5877836868569</v>
      </c>
      <c r="G718">
        <v>3.605</v>
      </c>
      <c r="H718">
        <v>0</v>
      </c>
      <c r="I718">
        <v>177.65719999999999</v>
      </c>
    </row>
    <row r="719" spans="1:9" x14ac:dyDescent="0.3">
      <c r="A719" t="s">
        <v>45</v>
      </c>
      <c r="B719" t="s">
        <v>763</v>
      </c>
      <c r="C719">
        <v>96</v>
      </c>
      <c r="D719">
        <v>-2.2000000000000001E-3</v>
      </c>
      <c r="E719">
        <v>11.712315275610051</v>
      </c>
      <c r="F719">
        <v>1161.5877836868569</v>
      </c>
      <c r="G719">
        <v>3.605</v>
      </c>
      <c r="H719">
        <v>0</v>
      </c>
      <c r="I719">
        <v>177.858</v>
      </c>
    </row>
    <row r="720" spans="1:9" x14ac:dyDescent="0.3">
      <c r="A720" t="s">
        <v>45</v>
      </c>
      <c r="B720" t="s">
        <v>764</v>
      </c>
      <c r="C720">
        <v>96</v>
      </c>
      <c r="D720">
        <v>-2.2000000000000001E-3</v>
      </c>
      <c r="E720">
        <v>15.767022775238891</v>
      </c>
      <c r="F720">
        <v>1636.290461370171</v>
      </c>
      <c r="G720">
        <v>3.605</v>
      </c>
      <c r="H720">
        <v>6.3E-2</v>
      </c>
      <c r="I720">
        <v>178.0498</v>
      </c>
    </row>
    <row r="721" spans="1:9" x14ac:dyDescent="0.3">
      <c r="A721" t="s">
        <v>45</v>
      </c>
      <c r="B721" t="s">
        <v>765</v>
      </c>
      <c r="C721">
        <v>96</v>
      </c>
      <c r="D721">
        <v>2.63E-2</v>
      </c>
      <c r="E721">
        <v>15.767022775238891</v>
      </c>
      <c r="F721">
        <v>1539.486522652265</v>
      </c>
      <c r="G721">
        <v>3.605</v>
      </c>
      <c r="H721">
        <v>6.3E-2</v>
      </c>
      <c r="I721">
        <v>178.25550000000001</v>
      </c>
    </row>
    <row r="722" spans="1:9" x14ac:dyDescent="0.3">
      <c r="A722" t="s">
        <v>45</v>
      </c>
      <c r="B722" t="s">
        <v>766</v>
      </c>
      <c r="C722">
        <v>96</v>
      </c>
      <c r="D722">
        <v>4.87E-2</v>
      </c>
      <c r="E722">
        <v>15.767022775238891</v>
      </c>
      <c r="F722">
        <v>1539.486522652265</v>
      </c>
      <c r="G722">
        <v>3.605</v>
      </c>
      <c r="H722">
        <v>6.3E-2</v>
      </c>
      <c r="I722">
        <v>178.45519999999999</v>
      </c>
    </row>
    <row r="723" spans="1:9" x14ac:dyDescent="0.3">
      <c r="A723" t="s">
        <v>45</v>
      </c>
      <c r="B723" t="s">
        <v>767</v>
      </c>
      <c r="C723">
        <v>96</v>
      </c>
      <c r="D723">
        <v>5.1700000000000003E-2</v>
      </c>
      <c r="E723">
        <v>15.767022775238891</v>
      </c>
      <c r="F723">
        <v>1539.486522652265</v>
      </c>
      <c r="G723">
        <v>3.605</v>
      </c>
      <c r="H723">
        <v>6.3E-2</v>
      </c>
      <c r="I723">
        <v>178.655</v>
      </c>
    </row>
    <row r="724" spans="1:9" x14ac:dyDescent="0.3">
      <c r="A724" t="s">
        <v>45</v>
      </c>
      <c r="B724" t="s">
        <v>768</v>
      </c>
      <c r="C724">
        <v>96</v>
      </c>
      <c r="D724">
        <v>5.1799999999999999E-2</v>
      </c>
      <c r="E724">
        <v>15.767022775238891</v>
      </c>
      <c r="F724">
        <v>1539.486522652265</v>
      </c>
      <c r="G724">
        <v>3.605</v>
      </c>
      <c r="H724">
        <v>6.3E-2</v>
      </c>
      <c r="I724">
        <v>178.85599999999999</v>
      </c>
    </row>
    <row r="725" spans="1:9" x14ac:dyDescent="0.3">
      <c r="A725" t="s">
        <v>45</v>
      </c>
      <c r="B725" t="s">
        <v>769</v>
      </c>
      <c r="C725">
        <v>96</v>
      </c>
      <c r="D725">
        <v>5.1799999999999999E-2</v>
      </c>
      <c r="E725">
        <v>15.767022775238891</v>
      </c>
      <c r="F725">
        <v>1539.486522652265</v>
      </c>
      <c r="G725">
        <v>3.605</v>
      </c>
      <c r="H725">
        <v>6.3E-2</v>
      </c>
      <c r="I725">
        <v>179.05449999999999</v>
      </c>
    </row>
    <row r="726" spans="1:9" x14ac:dyDescent="0.3">
      <c r="A726" t="s">
        <v>45</v>
      </c>
      <c r="B726" t="s">
        <v>770</v>
      </c>
      <c r="C726">
        <v>96</v>
      </c>
      <c r="D726">
        <v>5.1799999999999999E-2</v>
      </c>
      <c r="E726">
        <v>15.767022775238891</v>
      </c>
      <c r="F726">
        <v>1539.486522652265</v>
      </c>
      <c r="G726">
        <v>3.605</v>
      </c>
      <c r="H726">
        <v>6.3E-2</v>
      </c>
      <c r="I726">
        <v>179.25530000000001</v>
      </c>
    </row>
    <row r="727" spans="1:9" x14ac:dyDescent="0.3">
      <c r="A727" t="s">
        <v>45</v>
      </c>
      <c r="B727" t="s">
        <v>771</v>
      </c>
      <c r="C727">
        <v>96</v>
      </c>
      <c r="D727">
        <v>5.1799999999999999E-2</v>
      </c>
      <c r="E727">
        <v>15.767022775238891</v>
      </c>
      <c r="F727">
        <v>1539.486522652265</v>
      </c>
      <c r="G727">
        <v>3.605</v>
      </c>
      <c r="H727">
        <v>6.3E-2</v>
      </c>
      <c r="I727">
        <v>179.4555</v>
      </c>
    </row>
    <row r="728" spans="1:9" x14ac:dyDescent="0.3">
      <c r="A728" t="s">
        <v>45</v>
      </c>
      <c r="B728" t="s">
        <v>772</v>
      </c>
      <c r="C728">
        <v>96</v>
      </c>
      <c r="D728">
        <v>5.1799999999999999E-2</v>
      </c>
      <c r="E728">
        <v>15.767022775238891</v>
      </c>
      <c r="F728">
        <v>1539.486522652265</v>
      </c>
      <c r="G728">
        <v>3.605</v>
      </c>
      <c r="H728">
        <v>6.3E-2</v>
      </c>
      <c r="I728">
        <v>179.6557</v>
      </c>
    </row>
    <row r="729" spans="1:9" x14ac:dyDescent="0.3">
      <c r="A729" t="s">
        <v>45</v>
      </c>
      <c r="B729" t="s">
        <v>773</v>
      </c>
      <c r="C729">
        <v>96</v>
      </c>
      <c r="D729">
        <v>5.1799999999999999E-2</v>
      </c>
      <c r="E729">
        <v>15.767022775238891</v>
      </c>
      <c r="F729">
        <v>1539.486522652265</v>
      </c>
      <c r="G729">
        <v>3.605</v>
      </c>
      <c r="H729">
        <v>6.3E-2</v>
      </c>
      <c r="I729">
        <v>179.8553</v>
      </c>
    </row>
    <row r="730" spans="1:9" x14ac:dyDescent="0.3">
      <c r="A730" t="s">
        <v>45</v>
      </c>
      <c r="B730" t="s">
        <v>774</v>
      </c>
      <c r="C730">
        <v>96</v>
      </c>
      <c r="D730">
        <v>5.1799999999999999E-2</v>
      </c>
      <c r="E730">
        <v>11.712315275610051</v>
      </c>
      <c r="F730">
        <v>1161.5877836868569</v>
      </c>
      <c r="G730">
        <v>3.605</v>
      </c>
      <c r="H730">
        <v>0</v>
      </c>
      <c r="I730">
        <v>180.04990000000001</v>
      </c>
    </row>
    <row r="731" spans="1:9" x14ac:dyDescent="0.3">
      <c r="A731" t="s">
        <v>45</v>
      </c>
      <c r="B731" t="s">
        <v>775</v>
      </c>
      <c r="C731">
        <v>96</v>
      </c>
      <c r="D731">
        <v>4.3700000000000003E-2</v>
      </c>
      <c r="E731">
        <v>11.712315275610051</v>
      </c>
      <c r="F731">
        <v>1161.5877836868569</v>
      </c>
      <c r="G731">
        <v>3.605</v>
      </c>
      <c r="H731">
        <v>0</v>
      </c>
      <c r="I731">
        <v>180.25479999999999</v>
      </c>
    </row>
    <row r="732" spans="1:9" x14ac:dyDescent="0.3">
      <c r="A732" t="s">
        <v>45</v>
      </c>
      <c r="B732" t="s">
        <v>776</v>
      </c>
      <c r="C732">
        <v>96</v>
      </c>
      <c r="D732">
        <v>2.6599999999999999E-2</v>
      </c>
      <c r="E732">
        <v>11.712315275610051</v>
      </c>
      <c r="F732">
        <v>1161.5877836868569</v>
      </c>
      <c r="G732">
        <v>3.605</v>
      </c>
      <c r="H732">
        <v>0</v>
      </c>
      <c r="I732">
        <v>180.45519999999999</v>
      </c>
    </row>
    <row r="733" spans="1:9" x14ac:dyDescent="0.3">
      <c r="A733" t="s">
        <v>45</v>
      </c>
      <c r="B733" t="s">
        <v>777</v>
      </c>
      <c r="C733">
        <v>96</v>
      </c>
      <c r="D733">
        <v>1.03E-2</v>
      </c>
      <c r="E733">
        <v>11.712315275610051</v>
      </c>
      <c r="F733">
        <v>1161.5877836868569</v>
      </c>
      <c r="G733">
        <v>3.605</v>
      </c>
      <c r="H733">
        <v>0</v>
      </c>
      <c r="I733">
        <v>180.65610000000001</v>
      </c>
    </row>
    <row r="734" spans="1:9" x14ac:dyDescent="0.3">
      <c r="A734" t="s">
        <v>45</v>
      </c>
      <c r="B734" t="s">
        <v>778</v>
      </c>
      <c r="C734">
        <v>96</v>
      </c>
      <c r="D734">
        <v>2.5000000000000001E-3</v>
      </c>
      <c r="E734">
        <v>11.712315275610051</v>
      </c>
      <c r="F734">
        <v>1161.5877836868569</v>
      </c>
      <c r="G734">
        <v>3.605</v>
      </c>
      <c r="H734">
        <v>0</v>
      </c>
      <c r="I734">
        <v>180.8562</v>
      </c>
    </row>
    <row r="735" spans="1:9" x14ac:dyDescent="0.3">
      <c r="A735" t="s">
        <v>45</v>
      </c>
      <c r="B735" t="s">
        <v>779</v>
      </c>
      <c r="C735">
        <v>96</v>
      </c>
      <c r="D735">
        <v>-2.0999999999999999E-3</v>
      </c>
      <c r="E735">
        <v>11.712315275610051</v>
      </c>
      <c r="F735">
        <v>1161.5877836868569</v>
      </c>
      <c r="G735">
        <v>3.605</v>
      </c>
      <c r="H735">
        <v>0</v>
      </c>
      <c r="I735">
        <v>181.0547</v>
      </c>
    </row>
    <row r="736" spans="1:9" x14ac:dyDescent="0.3">
      <c r="A736" t="s">
        <v>45</v>
      </c>
      <c r="B736" t="s">
        <v>780</v>
      </c>
      <c r="C736">
        <v>96</v>
      </c>
      <c r="D736">
        <v>-2.3999999999999998E-3</v>
      </c>
      <c r="E736">
        <v>11.712315275610051</v>
      </c>
      <c r="F736">
        <v>1161.5877836868569</v>
      </c>
      <c r="G736">
        <v>3.605</v>
      </c>
      <c r="H736">
        <v>0</v>
      </c>
      <c r="I736">
        <v>181.25550000000001</v>
      </c>
    </row>
    <row r="737" spans="1:9" x14ac:dyDescent="0.3">
      <c r="A737" t="s">
        <v>45</v>
      </c>
      <c r="B737" t="s">
        <v>781</v>
      </c>
      <c r="C737">
        <v>96</v>
      </c>
      <c r="D737">
        <v>-2.3E-3</v>
      </c>
      <c r="E737">
        <v>11.712315275610051</v>
      </c>
      <c r="F737">
        <v>1161.5877836868569</v>
      </c>
      <c r="G737">
        <v>3.605</v>
      </c>
      <c r="H737">
        <v>0</v>
      </c>
      <c r="I737">
        <v>181.45519999999999</v>
      </c>
    </row>
    <row r="738" spans="1:9" x14ac:dyDescent="0.3">
      <c r="A738" t="s">
        <v>45</v>
      </c>
      <c r="B738" t="s">
        <v>782</v>
      </c>
      <c r="C738">
        <v>96</v>
      </c>
      <c r="D738">
        <v>-2.3999999999999998E-3</v>
      </c>
      <c r="E738">
        <v>11.712315275610051</v>
      </c>
      <c r="F738">
        <v>1161.5877836868569</v>
      </c>
      <c r="G738">
        <v>3.605</v>
      </c>
      <c r="H738">
        <v>0</v>
      </c>
      <c r="I738">
        <v>181.65700000000001</v>
      </c>
    </row>
    <row r="739" spans="1:9" x14ac:dyDescent="0.3">
      <c r="A739" t="s">
        <v>45</v>
      </c>
      <c r="B739" t="s">
        <v>783</v>
      </c>
      <c r="C739">
        <v>96</v>
      </c>
      <c r="D739">
        <v>-2.3999999999999998E-3</v>
      </c>
      <c r="E739">
        <v>11.712315275610051</v>
      </c>
      <c r="F739">
        <v>1161.5877836868569</v>
      </c>
      <c r="G739">
        <v>3.605</v>
      </c>
      <c r="H739">
        <v>0</v>
      </c>
      <c r="I739">
        <v>181.85650000000001</v>
      </c>
    </row>
    <row r="740" spans="1:9" x14ac:dyDescent="0.3">
      <c r="A740" t="s">
        <v>45</v>
      </c>
      <c r="B740" t="s">
        <v>784</v>
      </c>
      <c r="C740">
        <v>96</v>
      </c>
      <c r="D740">
        <v>-2.3E-3</v>
      </c>
      <c r="E740">
        <v>15.767022775238891</v>
      </c>
      <c r="F740">
        <v>1636.290461370171</v>
      </c>
      <c r="G740">
        <v>3.605</v>
      </c>
      <c r="H740">
        <v>6.3E-2</v>
      </c>
      <c r="I740">
        <v>182.0515</v>
      </c>
    </row>
    <row r="741" spans="1:9" x14ac:dyDescent="0.3">
      <c r="A741" t="s">
        <v>45</v>
      </c>
      <c r="B741" t="s">
        <v>785</v>
      </c>
      <c r="C741">
        <v>96</v>
      </c>
      <c r="D741">
        <v>2.8899999999999999E-2</v>
      </c>
      <c r="E741">
        <v>15.767022775238891</v>
      </c>
      <c r="F741">
        <v>1539.486522652265</v>
      </c>
      <c r="G741">
        <v>3.605</v>
      </c>
      <c r="H741">
        <v>6.3E-2</v>
      </c>
      <c r="I741">
        <v>182.25630000000001</v>
      </c>
    </row>
    <row r="742" spans="1:9" x14ac:dyDescent="0.3">
      <c r="A742" t="s">
        <v>45</v>
      </c>
      <c r="B742" t="s">
        <v>786</v>
      </c>
      <c r="C742">
        <v>96</v>
      </c>
      <c r="D742">
        <v>5.0299999999999997E-2</v>
      </c>
      <c r="E742">
        <v>15.767022775238891</v>
      </c>
      <c r="F742">
        <v>1539.486522652265</v>
      </c>
      <c r="G742">
        <v>3.605</v>
      </c>
      <c r="H742">
        <v>6.3E-2</v>
      </c>
      <c r="I742">
        <v>182.4562</v>
      </c>
    </row>
    <row r="743" spans="1:9" x14ac:dyDescent="0.3">
      <c r="A743" t="s">
        <v>45</v>
      </c>
      <c r="B743" t="s">
        <v>787</v>
      </c>
      <c r="C743">
        <v>96</v>
      </c>
      <c r="D743">
        <v>5.1799999999999999E-2</v>
      </c>
      <c r="E743">
        <v>15.767022775238891</v>
      </c>
      <c r="F743">
        <v>1539.486522652265</v>
      </c>
      <c r="G743">
        <v>3.605</v>
      </c>
      <c r="H743">
        <v>6.3E-2</v>
      </c>
      <c r="I743">
        <v>182.65700000000001</v>
      </c>
    </row>
    <row r="744" spans="1:9" x14ac:dyDescent="0.3">
      <c r="A744" t="s">
        <v>45</v>
      </c>
      <c r="B744" t="s">
        <v>788</v>
      </c>
      <c r="C744">
        <v>96</v>
      </c>
      <c r="D744">
        <v>5.1799999999999999E-2</v>
      </c>
      <c r="E744">
        <v>15.767022775238891</v>
      </c>
      <c r="F744">
        <v>1539.486522652265</v>
      </c>
      <c r="G744">
        <v>3.605</v>
      </c>
      <c r="H744">
        <v>6.3E-2</v>
      </c>
      <c r="I744">
        <v>182.85499999999999</v>
      </c>
    </row>
    <row r="745" spans="1:9" x14ac:dyDescent="0.3">
      <c r="A745" t="s">
        <v>45</v>
      </c>
      <c r="B745" t="s">
        <v>789</v>
      </c>
      <c r="C745">
        <v>96</v>
      </c>
      <c r="D745">
        <v>5.1900000000000002E-2</v>
      </c>
      <c r="E745">
        <v>15.767022775238891</v>
      </c>
      <c r="F745">
        <v>1539.486522652265</v>
      </c>
      <c r="G745">
        <v>3.605</v>
      </c>
      <c r="H745">
        <v>6.3E-2</v>
      </c>
      <c r="I745">
        <v>183.05500000000001</v>
      </c>
    </row>
    <row r="746" spans="1:9" x14ac:dyDescent="0.3">
      <c r="A746" t="s">
        <v>45</v>
      </c>
      <c r="B746" t="s">
        <v>790</v>
      </c>
      <c r="C746">
        <v>96</v>
      </c>
      <c r="D746">
        <v>5.1900000000000002E-2</v>
      </c>
      <c r="E746">
        <v>15.767022775238891</v>
      </c>
      <c r="F746">
        <v>1539.486522652265</v>
      </c>
      <c r="G746">
        <v>3.605</v>
      </c>
      <c r="H746">
        <v>6.3E-2</v>
      </c>
      <c r="I746">
        <v>183.2544</v>
      </c>
    </row>
    <row r="747" spans="1:9" x14ac:dyDescent="0.3">
      <c r="A747" t="s">
        <v>45</v>
      </c>
      <c r="B747" t="s">
        <v>791</v>
      </c>
      <c r="C747">
        <v>96</v>
      </c>
      <c r="D747">
        <v>5.1900000000000002E-2</v>
      </c>
      <c r="E747">
        <v>15.767022775238891</v>
      </c>
      <c r="F747">
        <v>1539.486522652265</v>
      </c>
      <c r="G747">
        <v>3.605</v>
      </c>
      <c r="H747">
        <v>6.3E-2</v>
      </c>
      <c r="I747">
        <v>183.45590000000001</v>
      </c>
    </row>
    <row r="748" spans="1:9" x14ac:dyDescent="0.3">
      <c r="A748" t="s">
        <v>45</v>
      </c>
      <c r="B748" t="s">
        <v>792</v>
      </c>
      <c r="C748">
        <v>96</v>
      </c>
      <c r="D748">
        <v>5.1799999999999999E-2</v>
      </c>
      <c r="E748">
        <v>15.767022775238891</v>
      </c>
      <c r="F748">
        <v>1539.486522652265</v>
      </c>
      <c r="G748">
        <v>3.605</v>
      </c>
      <c r="H748">
        <v>6.3E-2</v>
      </c>
      <c r="I748">
        <v>183.65639999999999</v>
      </c>
    </row>
    <row r="749" spans="1:9" x14ac:dyDescent="0.3">
      <c r="A749" t="s">
        <v>45</v>
      </c>
      <c r="B749" t="s">
        <v>793</v>
      </c>
      <c r="C749">
        <v>96</v>
      </c>
      <c r="D749">
        <v>5.1799999999999999E-2</v>
      </c>
      <c r="E749">
        <v>15.767022775238891</v>
      </c>
      <c r="F749">
        <v>1539.486522652265</v>
      </c>
      <c r="G749">
        <v>3.605</v>
      </c>
      <c r="H749">
        <v>6.3E-2</v>
      </c>
      <c r="I749">
        <v>183.85640000000001</v>
      </c>
    </row>
    <row r="750" spans="1:9" x14ac:dyDescent="0.3">
      <c r="A750" t="s">
        <v>45</v>
      </c>
      <c r="B750" t="s">
        <v>794</v>
      </c>
      <c r="C750">
        <v>96</v>
      </c>
      <c r="D750">
        <v>5.1900000000000002E-2</v>
      </c>
      <c r="E750">
        <v>11.712315275610051</v>
      </c>
      <c r="F750">
        <v>1161.5877836868569</v>
      </c>
      <c r="G750">
        <v>3.605</v>
      </c>
      <c r="H750">
        <v>0</v>
      </c>
      <c r="I750">
        <v>184.05549999999999</v>
      </c>
    </row>
    <row r="751" spans="1:9" x14ac:dyDescent="0.3">
      <c r="A751" t="s">
        <v>45</v>
      </c>
      <c r="B751" t="s">
        <v>795</v>
      </c>
      <c r="C751">
        <v>96</v>
      </c>
      <c r="D751">
        <v>4.3400000000000001E-2</v>
      </c>
      <c r="E751">
        <v>11.712315275610051</v>
      </c>
      <c r="F751">
        <v>1161.5877836868569</v>
      </c>
      <c r="G751">
        <v>3.605</v>
      </c>
      <c r="H751">
        <v>0</v>
      </c>
      <c r="I751">
        <v>184.2561</v>
      </c>
    </row>
    <row r="752" spans="1:9" x14ac:dyDescent="0.3">
      <c r="A752" t="s">
        <v>45</v>
      </c>
      <c r="B752" t="s">
        <v>796</v>
      </c>
      <c r="C752">
        <v>96</v>
      </c>
      <c r="D752">
        <v>2.7900000000000001E-2</v>
      </c>
      <c r="E752">
        <v>11.712315275610051</v>
      </c>
      <c r="F752">
        <v>1161.5877836868569</v>
      </c>
      <c r="G752">
        <v>3.605</v>
      </c>
      <c r="H752">
        <v>0</v>
      </c>
      <c r="I752">
        <v>184.4555</v>
      </c>
    </row>
    <row r="753" spans="1:9" x14ac:dyDescent="0.3">
      <c r="A753" t="s">
        <v>45</v>
      </c>
      <c r="B753" t="s">
        <v>797</v>
      </c>
      <c r="C753">
        <v>96</v>
      </c>
      <c r="D753">
        <v>9.7999999999999997E-3</v>
      </c>
      <c r="E753">
        <v>11.712315275610051</v>
      </c>
      <c r="F753">
        <v>1161.5877836868569</v>
      </c>
      <c r="G753">
        <v>3.605</v>
      </c>
      <c r="H753">
        <v>0</v>
      </c>
      <c r="I753">
        <v>184.65639999999999</v>
      </c>
    </row>
    <row r="754" spans="1:9" x14ac:dyDescent="0.3">
      <c r="A754" t="s">
        <v>45</v>
      </c>
      <c r="B754" t="s">
        <v>798</v>
      </c>
      <c r="C754">
        <v>96</v>
      </c>
      <c r="D754">
        <v>2.8E-3</v>
      </c>
      <c r="E754">
        <v>11.712315275610051</v>
      </c>
      <c r="F754">
        <v>1161.5877836868569</v>
      </c>
      <c r="G754">
        <v>3.605</v>
      </c>
      <c r="H754">
        <v>0</v>
      </c>
      <c r="I754">
        <v>184.85589999999999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focus">
                <anchor moveWithCells="1" sizeWithCells="1">
                  <from>
                    <xdr:col>10</xdr:col>
                    <xdr:colOff>60960</xdr:colOff>
                    <xdr:row>5</xdr:row>
                    <xdr:rowOff>129540</xdr:rowOff>
                  </from>
                  <to>
                    <xdr:col>11</xdr:col>
                    <xdr:colOff>144780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focusError">
                <anchor moveWithCells="1" sizeWithCells="1">
                  <from>
                    <xdr:col>10</xdr:col>
                    <xdr:colOff>76200</xdr:colOff>
                    <xdr:row>8</xdr:row>
                    <xdr:rowOff>15240</xdr:rowOff>
                  </from>
                  <to>
                    <xdr:col>11</xdr:col>
                    <xdr:colOff>129540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focusStep">
                <anchor moveWithCells="1" sizeWithCells="1">
                  <from>
                    <xdr:col>10</xdr:col>
                    <xdr:colOff>129540</xdr:colOff>
                    <xdr:row>10</xdr:row>
                    <xdr:rowOff>22860</xdr:rowOff>
                  </from>
                  <to>
                    <xdr:col>11</xdr:col>
                    <xdr:colOff>175260</xdr:colOff>
                    <xdr:row>11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BCE3F-071A-4FB1-A54C-D01B86F3F84F}">
  <sheetPr codeName="Hoja2"/>
  <dimension ref="A1:AJ121"/>
  <sheetViews>
    <sheetView topLeftCell="K1" zoomScale="70" zoomScaleNormal="70" workbookViewId="0">
      <selection activeCell="J62" sqref="J62:R101"/>
    </sheetView>
  </sheetViews>
  <sheetFormatPr baseColWidth="10" defaultRowHeight="14.4" x14ac:dyDescent="0.3"/>
  <cols>
    <col min="1" max="1" width="10.109375" bestFit="1" customWidth="1"/>
    <col min="2" max="2" width="12.44140625" bestFit="1" customWidth="1"/>
    <col min="3" max="3" width="12" bestFit="1" customWidth="1"/>
    <col min="4" max="4" width="16.77734375" bestFit="1" customWidth="1"/>
    <col min="5" max="6" width="13.33203125" bestFit="1" customWidth="1"/>
    <col min="7" max="7" width="10.44140625" bestFit="1" customWidth="1"/>
    <col min="8" max="9" width="10" bestFit="1" customWidth="1"/>
    <col min="10" max="10" width="10.109375" bestFit="1" customWidth="1"/>
    <col min="11" max="11" width="12.44140625" bestFit="1" customWidth="1"/>
    <col min="12" max="12" width="12" bestFit="1" customWidth="1"/>
    <col min="13" max="13" width="16.77734375" bestFit="1" customWidth="1"/>
    <col min="14" max="15" width="13.33203125" bestFit="1" customWidth="1"/>
    <col min="16" max="16" width="10.44140625" bestFit="1" customWidth="1"/>
    <col min="17" max="18" width="10" bestFit="1" customWidth="1"/>
    <col min="19" max="19" width="10.109375" bestFit="1" customWidth="1"/>
    <col min="20" max="20" width="12.44140625" bestFit="1" customWidth="1"/>
    <col min="21" max="21" width="12" bestFit="1" customWidth="1"/>
    <col min="22" max="22" width="16.77734375" bestFit="1" customWidth="1"/>
    <col min="23" max="24" width="13.33203125" bestFit="1" customWidth="1"/>
    <col min="25" max="25" width="10.44140625" bestFit="1" customWidth="1"/>
    <col min="26" max="27" width="10" bestFit="1" customWidth="1"/>
    <col min="28" max="28" width="10.109375" bestFit="1" customWidth="1"/>
    <col min="29" max="29" width="12.44140625" bestFit="1" customWidth="1"/>
    <col min="30" max="30" width="12" bestFit="1" customWidth="1"/>
    <col min="31" max="31" width="16.77734375" bestFit="1" customWidth="1"/>
    <col min="32" max="33" width="13.33203125" bestFit="1" customWidth="1"/>
    <col min="34" max="34" width="10.44140625" bestFit="1" customWidth="1"/>
    <col min="35" max="36" width="10" bestFit="1" customWidth="1"/>
    <col min="37" max="37" width="10.109375" bestFit="1" customWidth="1"/>
    <col min="38" max="38" width="12.44140625" bestFit="1" customWidth="1"/>
    <col min="39" max="39" width="12" bestFit="1" customWidth="1"/>
    <col min="40" max="40" width="16.77734375" bestFit="1" customWidth="1"/>
    <col min="41" max="42" width="13.33203125" bestFit="1" customWidth="1"/>
    <col min="43" max="43" width="10.44140625" bestFit="1" customWidth="1"/>
    <col min="44" max="44" width="10" bestFit="1" customWidth="1"/>
    <col min="45" max="45" width="16.5546875" customWidth="1"/>
    <col min="46" max="46" width="13.33203125" bestFit="1" customWidth="1"/>
    <col min="47" max="47" width="10.44140625" bestFit="1" customWidth="1"/>
    <col min="48" max="49" width="10" bestFit="1" customWidth="1"/>
    <col min="50" max="50" width="10.109375" bestFit="1" customWidth="1"/>
    <col min="51" max="51" width="12.44140625" bestFit="1" customWidth="1"/>
    <col min="52" max="52" width="12" bestFit="1" customWidth="1"/>
    <col min="53" max="53" width="16.77734375" bestFit="1" customWidth="1"/>
    <col min="54" max="55" width="13.33203125" bestFit="1" customWidth="1"/>
    <col min="56" max="56" width="10.44140625" bestFit="1" customWidth="1"/>
    <col min="57" max="58" width="10" bestFit="1" customWidth="1"/>
    <col min="59" max="59" width="10.109375" bestFit="1" customWidth="1"/>
    <col min="60" max="60" width="12.44140625" bestFit="1" customWidth="1"/>
    <col min="61" max="61" width="12" bestFit="1" customWidth="1"/>
    <col min="62" max="62" width="16.77734375" bestFit="1" customWidth="1"/>
    <col min="63" max="64" width="13.33203125" bestFit="1" customWidth="1"/>
    <col min="65" max="65" width="10.44140625" bestFit="1" customWidth="1"/>
    <col min="66" max="67" width="10" bestFit="1" customWidth="1"/>
    <col min="68" max="68" width="10.88671875" bestFit="1" customWidth="1"/>
    <col min="69" max="69" width="12.44140625" bestFit="1" customWidth="1"/>
    <col min="70" max="70" width="13.109375" bestFit="1" customWidth="1"/>
    <col min="71" max="71" width="18" bestFit="1" customWidth="1"/>
    <col min="72" max="72" width="14.44140625" bestFit="1" customWidth="1"/>
    <col min="73" max="73" width="14.109375" bestFit="1" customWidth="1"/>
    <col min="74" max="74" width="11.5546875" bestFit="1" customWidth="1"/>
    <col min="75" max="75" width="11.109375" bestFit="1" customWidth="1"/>
    <col min="76" max="76" width="10.77734375" bestFit="1" customWidth="1"/>
    <col min="77" max="77" width="10.44140625" bestFit="1" customWidth="1"/>
    <col min="78" max="78" width="11.6640625" bestFit="1" customWidth="1"/>
    <col min="79" max="79" width="12.44140625" bestFit="1" customWidth="1"/>
    <col min="80" max="80" width="17.21875" bestFit="1" customWidth="1"/>
    <col min="81" max="81" width="13.88671875" bestFit="1" customWidth="1"/>
    <col min="82" max="82" width="13.33203125" bestFit="1" customWidth="1"/>
    <col min="83" max="83" width="11" bestFit="1" customWidth="1"/>
    <col min="84" max="84" width="10.44140625" bestFit="1" customWidth="1"/>
    <col min="85" max="85" width="10.21875" bestFit="1" customWidth="1"/>
    <col min="86" max="86" width="10.44140625" bestFit="1" customWidth="1"/>
    <col min="87" max="87" width="11.6640625" bestFit="1" customWidth="1"/>
    <col min="88" max="88" width="12.44140625" bestFit="1" customWidth="1"/>
    <col min="89" max="89" width="17.21875" bestFit="1" customWidth="1"/>
    <col min="90" max="90" width="13.88671875" bestFit="1" customWidth="1"/>
    <col min="91" max="91" width="13.33203125" bestFit="1" customWidth="1"/>
    <col min="92" max="92" width="11" bestFit="1" customWidth="1"/>
    <col min="93" max="93" width="10.44140625" bestFit="1" customWidth="1"/>
    <col min="94" max="94" width="10.21875" bestFit="1" customWidth="1"/>
    <col min="95" max="95" width="10.44140625" bestFit="1" customWidth="1"/>
    <col min="96" max="96" width="11.6640625" bestFit="1" customWidth="1"/>
    <col min="97" max="97" width="12.44140625" bestFit="1" customWidth="1"/>
    <col min="98" max="98" width="17.21875" bestFit="1" customWidth="1"/>
    <col min="99" max="99" width="13.88671875" bestFit="1" customWidth="1"/>
    <col min="100" max="100" width="13.33203125" bestFit="1" customWidth="1"/>
    <col min="101" max="101" width="11" bestFit="1" customWidth="1"/>
    <col min="102" max="102" width="10.44140625" bestFit="1" customWidth="1"/>
    <col min="103" max="103" width="10.21875" bestFit="1" customWidth="1"/>
  </cols>
  <sheetData>
    <row r="1" spans="1:36" x14ac:dyDescent="0.3">
      <c r="A1" t="s">
        <v>9</v>
      </c>
      <c r="B1" t="s">
        <v>13</v>
      </c>
      <c r="C1" t="s">
        <v>17</v>
      </c>
      <c r="D1" t="s">
        <v>21</v>
      </c>
      <c r="E1" t="s">
        <v>25</v>
      </c>
      <c r="F1" t="s">
        <v>29</v>
      </c>
      <c r="G1" t="s">
        <v>33</v>
      </c>
      <c r="H1" t="s">
        <v>37</v>
      </c>
      <c r="I1" t="s">
        <v>41</v>
      </c>
      <c r="J1" t="s">
        <v>10</v>
      </c>
      <c r="K1" t="s">
        <v>14</v>
      </c>
      <c r="L1" t="s">
        <v>18</v>
      </c>
      <c r="M1" t="s">
        <v>22</v>
      </c>
      <c r="N1" t="s">
        <v>26</v>
      </c>
      <c r="O1" t="s">
        <v>30</v>
      </c>
      <c r="P1" t="s">
        <v>34</v>
      </c>
      <c r="Q1" t="s">
        <v>38</v>
      </c>
      <c r="R1" t="s">
        <v>42</v>
      </c>
      <c r="S1" t="s">
        <v>11</v>
      </c>
      <c r="T1" t="s">
        <v>15</v>
      </c>
      <c r="U1" t="s">
        <v>19</v>
      </c>
      <c r="V1" t="s">
        <v>23</v>
      </c>
      <c r="W1" t="s">
        <v>27</v>
      </c>
      <c r="X1" t="s">
        <v>31</v>
      </c>
      <c r="Y1" t="s">
        <v>35</v>
      </c>
      <c r="Z1" t="s">
        <v>39</v>
      </c>
      <c r="AA1" t="s">
        <v>43</v>
      </c>
      <c r="AB1" t="s">
        <v>12</v>
      </c>
      <c r="AC1" t="s">
        <v>16</v>
      </c>
      <c r="AD1" t="s">
        <v>20</v>
      </c>
      <c r="AE1" t="s">
        <v>24</v>
      </c>
      <c r="AF1" t="s">
        <v>28</v>
      </c>
      <c r="AG1" t="s">
        <v>32</v>
      </c>
      <c r="AH1" t="s">
        <v>36</v>
      </c>
      <c r="AI1" t="s">
        <v>40</v>
      </c>
      <c r="AJ1" t="s">
        <v>44</v>
      </c>
    </row>
    <row r="2" spans="1:36" x14ac:dyDescent="0.3">
      <c r="A2" t="s">
        <v>45</v>
      </c>
      <c r="B2" t="s">
        <v>129</v>
      </c>
      <c r="C2">
        <v>94</v>
      </c>
      <c r="D2">
        <v>-8.6E-3</v>
      </c>
      <c r="E2">
        <v>11.71385189743701</v>
      </c>
      <c r="F2">
        <v>1161.73099684113</v>
      </c>
      <c r="G2">
        <v>3.605</v>
      </c>
      <c r="H2">
        <v>0</v>
      </c>
      <c r="I2">
        <v>0</v>
      </c>
      <c r="J2" t="s">
        <v>45</v>
      </c>
      <c r="K2" t="s">
        <v>249</v>
      </c>
      <c r="L2">
        <v>94</v>
      </c>
      <c r="M2">
        <v>5.1999999999999998E-3</v>
      </c>
      <c r="N2">
        <v>11.720479327792869</v>
      </c>
      <c r="O2">
        <v>1162.348673350295</v>
      </c>
      <c r="P2">
        <v>3.605</v>
      </c>
      <c r="Q2">
        <v>1E-4</v>
      </c>
      <c r="R2">
        <v>0</v>
      </c>
      <c r="S2" s="2"/>
      <c r="AB2" s="2"/>
    </row>
    <row r="3" spans="1:36" x14ac:dyDescent="0.3">
      <c r="A3" t="s">
        <v>45</v>
      </c>
      <c r="B3" t="s">
        <v>130</v>
      </c>
      <c r="C3">
        <v>94</v>
      </c>
      <c r="D3">
        <v>-8.2000000000000007E-3</v>
      </c>
      <c r="E3">
        <v>11.85734235047963</v>
      </c>
      <c r="F3">
        <v>1265.261789060517</v>
      </c>
      <c r="G3">
        <v>3.605</v>
      </c>
      <c r="H3">
        <v>2.3E-3</v>
      </c>
      <c r="I3">
        <v>0.20010000000000616</v>
      </c>
      <c r="J3" t="s">
        <v>45</v>
      </c>
      <c r="K3" t="s">
        <v>250</v>
      </c>
      <c r="L3">
        <v>94</v>
      </c>
      <c r="M3">
        <v>-5.9999999999999995E-4</v>
      </c>
      <c r="N3">
        <v>11.87307003375871</v>
      </c>
      <c r="O3">
        <v>1266.754346203702</v>
      </c>
      <c r="P3">
        <v>3.605</v>
      </c>
      <c r="Q3">
        <v>2.5000000000000001E-3</v>
      </c>
      <c r="R3">
        <v>0.19808000000000447</v>
      </c>
      <c r="S3" s="2"/>
      <c r="AB3" s="2"/>
    </row>
    <row r="4" spans="1:36" x14ac:dyDescent="0.3">
      <c r="A4" t="s">
        <v>45</v>
      </c>
      <c r="B4" t="s">
        <v>131</v>
      </c>
      <c r="C4">
        <v>94</v>
      </c>
      <c r="D4">
        <v>-8.2000000000000007E-3</v>
      </c>
      <c r="E4">
        <v>12.21087116205417</v>
      </c>
      <c r="F4">
        <v>1298.811673278941</v>
      </c>
      <c r="G4">
        <v>3.605</v>
      </c>
      <c r="H4">
        <v>7.7000000000000002E-3</v>
      </c>
      <c r="I4">
        <v>0.40071999999999974</v>
      </c>
      <c r="J4" t="s">
        <v>45</v>
      </c>
      <c r="K4" t="s">
        <v>251</v>
      </c>
      <c r="L4">
        <v>94</v>
      </c>
      <c r="M4">
        <v>2.9999999999999997E-4</v>
      </c>
      <c r="N4">
        <v>12.212843777252729</v>
      </c>
      <c r="O4">
        <v>1298.9988744612849</v>
      </c>
      <c r="P4">
        <v>3.605</v>
      </c>
      <c r="Q4">
        <v>7.7999999999999996E-3</v>
      </c>
      <c r="R4">
        <v>0.39995000000000402</v>
      </c>
      <c r="S4" s="2"/>
      <c r="AB4" s="2"/>
    </row>
    <row r="5" spans="1:36" x14ac:dyDescent="0.3">
      <c r="A5" t="s">
        <v>45</v>
      </c>
      <c r="B5" t="s">
        <v>132</v>
      </c>
      <c r="C5">
        <v>94</v>
      </c>
      <c r="D5">
        <v>-5.3E-3</v>
      </c>
      <c r="E5">
        <v>12.69455194856514</v>
      </c>
      <c r="F5">
        <v>1344.7129799188319</v>
      </c>
      <c r="G5">
        <v>3.605</v>
      </c>
      <c r="H5">
        <v>1.5299999999999999E-2</v>
      </c>
      <c r="I5">
        <v>0.5997600000000034</v>
      </c>
      <c r="J5" t="s">
        <v>45</v>
      </c>
      <c r="K5" t="s">
        <v>252</v>
      </c>
      <c r="L5">
        <v>94</v>
      </c>
      <c r="M5">
        <v>8.6E-3</v>
      </c>
      <c r="N5">
        <v>12.697323341141139</v>
      </c>
      <c r="O5">
        <v>1344.9759850742939</v>
      </c>
      <c r="P5">
        <v>3.605</v>
      </c>
      <c r="Q5">
        <v>1.5299999999999999E-2</v>
      </c>
      <c r="R5">
        <v>0.59907000000001176</v>
      </c>
      <c r="S5" s="2"/>
      <c r="AB5" s="2"/>
    </row>
    <row r="6" spans="1:36" x14ac:dyDescent="0.3">
      <c r="A6" t="s">
        <v>45</v>
      </c>
      <c r="B6" t="s">
        <v>133</v>
      </c>
      <c r="C6">
        <v>94</v>
      </c>
      <c r="D6">
        <v>4.0000000000000001E-3</v>
      </c>
      <c r="E6">
        <v>13.284015188092431</v>
      </c>
      <c r="F6">
        <v>1400.653041349972</v>
      </c>
      <c r="G6">
        <v>3.605</v>
      </c>
      <c r="H6">
        <v>2.4400000000000002E-2</v>
      </c>
      <c r="I6">
        <v>0.80024000000000228</v>
      </c>
      <c r="J6" t="s">
        <v>45</v>
      </c>
      <c r="K6" t="s">
        <v>253</v>
      </c>
      <c r="L6">
        <v>94</v>
      </c>
      <c r="M6">
        <v>1.37E-2</v>
      </c>
      <c r="N6">
        <v>13.28862863428551</v>
      </c>
      <c r="O6">
        <v>1401.0908573936949</v>
      </c>
      <c r="P6">
        <v>3.605</v>
      </c>
      <c r="Q6">
        <v>2.4500000000000001E-2</v>
      </c>
      <c r="R6">
        <v>0.80002000000000351</v>
      </c>
      <c r="S6" s="2"/>
      <c r="AB6" s="2"/>
    </row>
    <row r="7" spans="1:36" x14ac:dyDescent="0.3">
      <c r="A7" t="s">
        <v>45</v>
      </c>
      <c r="B7" t="s">
        <v>134</v>
      </c>
      <c r="C7">
        <v>94</v>
      </c>
      <c r="D7">
        <v>1.1900000000000001E-2</v>
      </c>
      <c r="E7">
        <v>13.926534680723121</v>
      </c>
      <c r="F7">
        <v>1461.628141200624</v>
      </c>
      <c r="G7">
        <v>3.605</v>
      </c>
      <c r="H7">
        <v>3.44E-2</v>
      </c>
      <c r="I7">
        <v>1.0033200000000022</v>
      </c>
      <c r="J7" t="s">
        <v>45</v>
      </c>
      <c r="K7" t="s">
        <v>254</v>
      </c>
      <c r="L7">
        <v>94</v>
      </c>
      <c r="M7">
        <v>1.9800000000000002E-2</v>
      </c>
      <c r="N7">
        <v>13.91829348773012</v>
      </c>
      <c r="O7">
        <v>1460.8460519855889</v>
      </c>
      <c r="P7">
        <v>3.605</v>
      </c>
      <c r="Q7">
        <v>3.4299999999999997E-2</v>
      </c>
      <c r="R7">
        <v>0.99901000000001261</v>
      </c>
      <c r="S7" s="2"/>
      <c r="AB7" s="2"/>
    </row>
    <row r="8" spans="1:36" x14ac:dyDescent="0.3">
      <c r="A8" t="s">
        <v>45</v>
      </c>
      <c r="B8" t="s">
        <v>135</v>
      </c>
      <c r="C8">
        <v>94</v>
      </c>
      <c r="D8">
        <v>1.8499999999999999E-2</v>
      </c>
      <c r="E8">
        <v>14.5362832164003</v>
      </c>
      <c r="F8">
        <v>1519.4932772363891</v>
      </c>
      <c r="G8">
        <v>3.605</v>
      </c>
      <c r="H8">
        <v>4.3900000000000002E-2</v>
      </c>
      <c r="I8">
        <v>1.2016400000000047</v>
      </c>
      <c r="J8" t="s">
        <v>45</v>
      </c>
      <c r="K8" t="s">
        <v>255</v>
      </c>
      <c r="L8">
        <v>94</v>
      </c>
      <c r="M8">
        <v>2.92E-2</v>
      </c>
      <c r="N8">
        <v>14.535486871847381</v>
      </c>
      <c r="O8">
        <v>1519.4177041383159</v>
      </c>
      <c r="P8">
        <v>3.605</v>
      </c>
      <c r="Q8">
        <v>4.3900000000000002E-2</v>
      </c>
      <c r="R8">
        <v>1.1996600000000086</v>
      </c>
      <c r="S8" s="2"/>
      <c r="AB8" s="2"/>
    </row>
    <row r="9" spans="1:36" x14ac:dyDescent="0.3">
      <c r="A9" t="s">
        <v>45</v>
      </c>
      <c r="B9" t="s">
        <v>136</v>
      </c>
      <c r="C9">
        <v>94</v>
      </c>
      <c r="D9">
        <v>3.0700000000000002E-2</v>
      </c>
      <c r="E9">
        <v>15.071543531543311</v>
      </c>
      <c r="F9">
        <v>1570.2894811434601</v>
      </c>
      <c r="G9">
        <v>3.605</v>
      </c>
      <c r="H9">
        <v>5.2200000000000003E-2</v>
      </c>
      <c r="I9">
        <v>1.4008700000000047</v>
      </c>
      <c r="J9" t="s">
        <v>45</v>
      </c>
      <c r="K9" t="s">
        <v>256</v>
      </c>
      <c r="L9">
        <v>94</v>
      </c>
      <c r="M9">
        <v>3.4500000000000003E-2</v>
      </c>
      <c r="N9">
        <v>15.071158739801589</v>
      </c>
      <c r="O9">
        <v>1570.252964407171</v>
      </c>
      <c r="P9">
        <v>3.605</v>
      </c>
      <c r="Q9">
        <v>5.2200000000000003E-2</v>
      </c>
      <c r="R9">
        <v>1.3990000000000009</v>
      </c>
      <c r="S9" s="2"/>
      <c r="AB9" s="2"/>
    </row>
    <row r="10" spans="1:36" x14ac:dyDescent="0.3">
      <c r="A10" t="s">
        <v>45</v>
      </c>
      <c r="B10" t="s">
        <v>137</v>
      </c>
      <c r="C10">
        <v>94</v>
      </c>
      <c r="D10">
        <v>3.7499999999999999E-2</v>
      </c>
      <c r="E10">
        <v>15.48334732914986</v>
      </c>
      <c r="F10">
        <v>1609.3696615363219</v>
      </c>
      <c r="G10">
        <v>3.605</v>
      </c>
      <c r="H10">
        <v>5.8599999999999999E-2</v>
      </c>
      <c r="I10">
        <v>1.6037300000000059</v>
      </c>
      <c r="J10" t="s">
        <v>45</v>
      </c>
      <c r="K10" t="s">
        <v>257</v>
      </c>
      <c r="L10">
        <v>94</v>
      </c>
      <c r="M10">
        <v>4.6100000000000002E-2</v>
      </c>
      <c r="N10">
        <v>15.487875626485449</v>
      </c>
      <c r="O10">
        <v>1609.7993969534691</v>
      </c>
      <c r="P10">
        <v>3.605</v>
      </c>
      <c r="Q10">
        <v>5.8700000000000002E-2</v>
      </c>
      <c r="R10">
        <v>1.6048100000000005</v>
      </c>
      <c r="S10" s="2"/>
      <c r="AB10" s="2"/>
    </row>
    <row r="11" spans="1:36" x14ac:dyDescent="0.3">
      <c r="A11" t="s">
        <v>45</v>
      </c>
      <c r="B11" t="s">
        <v>138</v>
      </c>
      <c r="C11">
        <v>94</v>
      </c>
      <c r="D11">
        <v>5.4100000000000002E-2</v>
      </c>
      <c r="E11">
        <v>15.71475597368568</v>
      </c>
      <c r="F11">
        <v>1631.3303419027709</v>
      </c>
      <c r="G11">
        <v>3.605</v>
      </c>
      <c r="H11">
        <v>6.2199999999999998E-2</v>
      </c>
      <c r="I11">
        <v>1.7996900000000053</v>
      </c>
      <c r="J11" t="s">
        <v>45</v>
      </c>
      <c r="K11" t="s">
        <v>258</v>
      </c>
      <c r="L11">
        <v>94</v>
      </c>
      <c r="M11">
        <v>5.79E-2</v>
      </c>
      <c r="N11">
        <v>15.71502439532216</v>
      </c>
      <c r="O11">
        <v>1631.355815116073</v>
      </c>
      <c r="P11">
        <v>3.605</v>
      </c>
      <c r="Q11">
        <v>6.2199999999999998E-2</v>
      </c>
      <c r="R11">
        <v>1.7983500000000134</v>
      </c>
      <c r="S11" s="2"/>
      <c r="AB11" s="2"/>
    </row>
    <row r="12" spans="1:36" x14ac:dyDescent="0.3">
      <c r="A12" t="s">
        <v>45</v>
      </c>
      <c r="B12" t="s">
        <v>139</v>
      </c>
      <c r="C12">
        <v>94</v>
      </c>
      <c r="D12">
        <v>6.2600000000000003E-2</v>
      </c>
      <c r="E12">
        <v>15.758303126760939</v>
      </c>
      <c r="F12">
        <v>1635.4629667296131</v>
      </c>
      <c r="G12">
        <v>3.605</v>
      </c>
      <c r="H12">
        <v>6.2899999999999998E-2</v>
      </c>
      <c r="I12">
        <v>2.0036300000000011</v>
      </c>
      <c r="J12" t="s">
        <v>45</v>
      </c>
      <c r="K12" t="s">
        <v>259</v>
      </c>
      <c r="L12">
        <v>94</v>
      </c>
      <c r="M12">
        <v>6.6199999999999995E-2</v>
      </c>
      <c r="N12">
        <v>15.757580983355259</v>
      </c>
      <c r="O12">
        <v>1635.394435320414</v>
      </c>
      <c r="P12">
        <v>3.605</v>
      </c>
      <c r="Q12">
        <v>6.2899999999999998E-2</v>
      </c>
      <c r="R12">
        <v>2.0043100000000038</v>
      </c>
      <c r="S12" s="2"/>
      <c r="AB12" s="2"/>
    </row>
    <row r="13" spans="1:36" x14ac:dyDescent="0.3">
      <c r="A13" t="s">
        <v>45</v>
      </c>
      <c r="B13" t="s">
        <v>140</v>
      </c>
      <c r="C13">
        <v>94</v>
      </c>
      <c r="D13">
        <v>6.9000000000000006E-2</v>
      </c>
      <c r="E13">
        <v>15.60706902455679</v>
      </c>
      <c r="F13">
        <v>1524.578833088693</v>
      </c>
      <c r="G13">
        <v>3.605</v>
      </c>
      <c r="H13">
        <v>6.0499999999999998E-2</v>
      </c>
      <c r="I13">
        <v>2.1991399999999999</v>
      </c>
      <c r="J13" t="s">
        <v>45</v>
      </c>
      <c r="K13" t="s">
        <v>260</v>
      </c>
      <c r="L13">
        <v>94</v>
      </c>
      <c r="M13">
        <v>6.9099999999999995E-2</v>
      </c>
      <c r="N13">
        <v>15.60562635962842</v>
      </c>
      <c r="O13">
        <v>1524.444376717368</v>
      </c>
      <c r="P13">
        <v>3.605</v>
      </c>
      <c r="Q13">
        <v>6.0499999999999998E-2</v>
      </c>
      <c r="R13">
        <v>2.19859000000001</v>
      </c>
      <c r="S13" s="2"/>
      <c r="AB13" s="2"/>
    </row>
    <row r="14" spans="1:36" x14ac:dyDescent="0.3">
      <c r="A14" t="s">
        <v>45</v>
      </c>
      <c r="B14" t="s">
        <v>141</v>
      </c>
      <c r="C14">
        <v>94</v>
      </c>
      <c r="D14">
        <v>6.6100000000000006E-2</v>
      </c>
      <c r="E14">
        <v>15.26966343297792</v>
      </c>
      <c r="F14">
        <v>1493.1326319535419</v>
      </c>
      <c r="G14">
        <v>3.605</v>
      </c>
      <c r="H14">
        <v>5.5300000000000002E-2</v>
      </c>
      <c r="I14">
        <v>2.4001500000000036</v>
      </c>
      <c r="J14" t="s">
        <v>45</v>
      </c>
      <c r="K14" t="s">
        <v>261</v>
      </c>
      <c r="L14">
        <v>94</v>
      </c>
      <c r="M14">
        <v>6.6000000000000003E-2</v>
      </c>
      <c r="N14">
        <v>15.258088054007979</v>
      </c>
      <c r="O14">
        <v>1492.0538066335439</v>
      </c>
      <c r="P14">
        <v>3.605</v>
      </c>
      <c r="Q14">
        <v>5.5100000000000003E-2</v>
      </c>
      <c r="R14">
        <v>2.4039500000000089</v>
      </c>
      <c r="S14" s="2"/>
      <c r="AB14" s="2"/>
    </row>
    <row r="15" spans="1:36" x14ac:dyDescent="0.3">
      <c r="A15" t="s">
        <v>45</v>
      </c>
      <c r="B15" t="s">
        <v>142</v>
      </c>
      <c r="C15">
        <v>94</v>
      </c>
      <c r="D15">
        <v>5.8599999999999999E-2</v>
      </c>
      <c r="E15">
        <v>14.785234552933259</v>
      </c>
      <c r="F15">
        <v>1447.9838603333801</v>
      </c>
      <c r="G15">
        <v>3.605</v>
      </c>
      <c r="H15">
        <v>4.7699999999999999E-2</v>
      </c>
      <c r="I15">
        <v>2.5996000000000024</v>
      </c>
      <c r="J15" t="s">
        <v>45</v>
      </c>
      <c r="K15" t="s">
        <v>262</v>
      </c>
      <c r="L15">
        <v>94</v>
      </c>
      <c r="M15">
        <v>5.8599999999999999E-2</v>
      </c>
      <c r="N15">
        <v>14.78006155710524</v>
      </c>
      <c r="O15">
        <v>1447.5017371222079</v>
      </c>
      <c r="P15">
        <v>3.605</v>
      </c>
      <c r="Q15">
        <v>4.7699999999999999E-2</v>
      </c>
      <c r="R15">
        <v>2.5997900000000129</v>
      </c>
      <c r="S15" s="2"/>
      <c r="AB15" s="2"/>
    </row>
    <row r="16" spans="1:36" x14ac:dyDescent="0.3">
      <c r="A16" t="s">
        <v>45</v>
      </c>
      <c r="B16" t="s">
        <v>143</v>
      </c>
      <c r="C16">
        <v>94</v>
      </c>
      <c r="D16">
        <v>5.2999999999999999E-2</v>
      </c>
      <c r="E16">
        <v>14.195003757276289</v>
      </c>
      <c r="F16">
        <v>1392.9743501781511</v>
      </c>
      <c r="G16">
        <v>3.605</v>
      </c>
      <c r="H16">
        <v>3.8600000000000002E-2</v>
      </c>
      <c r="I16">
        <v>2.8003500000000017</v>
      </c>
      <c r="J16" t="s">
        <v>45</v>
      </c>
      <c r="K16" t="s">
        <v>263</v>
      </c>
      <c r="L16">
        <v>94</v>
      </c>
      <c r="M16">
        <v>5.2999999999999999E-2</v>
      </c>
      <c r="N16">
        <v>14.19112907878965</v>
      </c>
      <c r="O16">
        <v>1392.6132301431951</v>
      </c>
      <c r="P16">
        <v>3.605</v>
      </c>
      <c r="Q16">
        <v>3.85E-2</v>
      </c>
      <c r="R16">
        <v>2.7998800000000017</v>
      </c>
      <c r="S16" s="2"/>
      <c r="AB16" s="2"/>
    </row>
    <row r="17" spans="1:28" x14ac:dyDescent="0.3">
      <c r="A17" t="s">
        <v>45</v>
      </c>
      <c r="B17" t="s">
        <v>144</v>
      </c>
      <c r="C17">
        <v>94</v>
      </c>
      <c r="D17">
        <v>4.6899999999999997E-2</v>
      </c>
      <c r="E17">
        <v>13.563168824377881</v>
      </c>
      <c r="F17">
        <v>1334.087334432018</v>
      </c>
      <c r="G17">
        <v>3.605</v>
      </c>
      <c r="H17">
        <v>2.8799999999999999E-2</v>
      </c>
      <c r="I17">
        <v>3.0000500000000017</v>
      </c>
      <c r="J17" t="s">
        <v>45</v>
      </c>
      <c r="K17" t="s">
        <v>264</v>
      </c>
      <c r="L17">
        <v>94</v>
      </c>
      <c r="M17">
        <v>4.3999999999999997E-2</v>
      </c>
      <c r="N17">
        <v>13.498952394352511</v>
      </c>
      <c r="O17">
        <v>1328.1023631536541</v>
      </c>
      <c r="P17">
        <v>3.605</v>
      </c>
      <c r="Q17">
        <v>2.7799999999999998E-2</v>
      </c>
      <c r="R17">
        <v>3.0186200000000127</v>
      </c>
      <c r="S17" s="2"/>
      <c r="AB17" s="2"/>
    </row>
    <row r="18" spans="1:28" x14ac:dyDescent="0.3">
      <c r="A18" t="s">
        <v>45</v>
      </c>
      <c r="B18" t="s">
        <v>145</v>
      </c>
      <c r="C18">
        <v>94</v>
      </c>
      <c r="D18">
        <v>3.7900000000000003E-2</v>
      </c>
      <c r="E18">
        <v>12.92327029467495</v>
      </c>
      <c r="F18">
        <v>1274.4487914637059</v>
      </c>
      <c r="G18">
        <v>3.605</v>
      </c>
      <c r="H18">
        <v>1.8800000000000001E-2</v>
      </c>
      <c r="I18">
        <v>3.2084100000000007</v>
      </c>
      <c r="J18" t="s">
        <v>45</v>
      </c>
      <c r="K18" t="s">
        <v>265</v>
      </c>
      <c r="L18">
        <v>94</v>
      </c>
      <c r="M18">
        <v>4.0399999999999998E-2</v>
      </c>
      <c r="N18">
        <v>12.943777788795829</v>
      </c>
      <c r="O18">
        <v>1276.3600899157709</v>
      </c>
      <c r="P18">
        <v>3.605</v>
      </c>
      <c r="Q18">
        <v>1.9099999999999999E-2</v>
      </c>
      <c r="R18">
        <v>3.1996800000000007</v>
      </c>
      <c r="S18" s="2"/>
      <c r="AB18" s="2"/>
    </row>
    <row r="19" spans="1:28" x14ac:dyDescent="0.3">
      <c r="A19" t="s">
        <v>45</v>
      </c>
      <c r="B19" t="s">
        <v>146</v>
      </c>
      <c r="C19">
        <v>94</v>
      </c>
      <c r="D19">
        <v>3.09E-2</v>
      </c>
      <c r="E19">
        <v>12.410138140240431</v>
      </c>
      <c r="F19">
        <v>1226.624874670408</v>
      </c>
      <c r="G19">
        <v>3.605</v>
      </c>
      <c r="H19">
        <v>1.0800000000000001E-2</v>
      </c>
      <c r="I19">
        <v>3.3998899999999992</v>
      </c>
      <c r="J19" t="s">
        <v>45</v>
      </c>
      <c r="K19" t="s">
        <v>266</v>
      </c>
      <c r="L19">
        <v>94</v>
      </c>
      <c r="M19">
        <v>3.1199999999999999E-2</v>
      </c>
      <c r="N19">
        <v>12.38921057842259</v>
      </c>
      <c r="O19">
        <v>1224.674425908986</v>
      </c>
      <c r="P19">
        <v>3.605</v>
      </c>
      <c r="Q19">
        <v>1.0500000000000001E-2</v>
      </c>
      <c r="R19">
        <v>3.4069400000000059</v>
      </c>
      <c r="S19" s="2"/>
      <c r="AB19" s="2"/>
    </row>
    <row r="20" spans="1:28" x14ac:dyDescent="0.3">
      <c r="A20" t="s">
        <v>45</v>
      </c>
      <c r="B20" t="s">
        <v>147</v>
      </c>
      <c r="C20">
        <v>94</v>
      </c>
      <c r="D20">
        <v>2.3199999999999998E-2</v>
      </c>
      <c r="E20">
        <v>12.00141073030799</v>
      </c>
      <c r="F20">
        <v>1188.531480064705</v>
      </c>
      <c r="G20">
        <v>3.605</v>
      </c>
      <c r="H20">
        <v>4.4999999999999997E-3</v>
      </c>
      <c r="I20">
        <v>3.6004100000000037</v>
      </c>
      <c r="J20" t="s">
        <v>45</v>
      </c>
      <c r="K20" t="s">
        <v>267</v>
      </c>
      <c r="L20">
        <v>94</v>
      </c>
      <c r="M20">
        <v>2.2800000000000001E-2</v>
      </c>
      <c r="N20">
        <v>11.99787835022846</v>
      </c>
      <c r="O20">
        <v>1188.2022622412931</v>
      </c>
      <c r="P20">
        <v>3.605</v>
      </c>
      <c r="Q20">
        <v>4.4000000000000003E-3</v>
      </c>
      <c r="R20">
        <v>3.6008500000000083</v>
      </c>
      <c r="S20" s="2"/>
      <c r="AB20" s="2"/>
    </row>
    <row r="21" spans="1:28" x14ac:dyDescent="0.3">
      <c r="A21" t="s">
        <v>45</v>
      </c>
      <c r="B21" t="s">
        <v>148</v>
      </c>
      <c r="C21">
        <v>94</v>
      </c>
      <c r="D21">
        <v>1.4999999999999999E-2</v>
      </c>
      <c r="E21">
        <v>11.764630287635439</v>
      </c>
      <c r="F21">
        <v>1166.4635428076231</v>
      </c>
      <c r="G21">
        <v>3.605</v>
      </c>
      <c r="H21">
        <v>8.0000000000000004E-4</v>
      </c>
      <c r="I21">
        <v>3.7996200000000044</v>
      </c>
      <c r="J21" t="s">
        <v>45</v>
      </c>
      <c r="K21" t="s">
        <v>268</v>
      </c>
      <c r="L21">
        <v>94</v>
      </c>
      <c r="M21">
        <v>1.4E-2</v>
      </c>
      <c r="N21">
        <v>11.764340862614119</v>
      </c>
      <c r="O21">
        <v>1166.436568395636</v>
      </c>
      <c r="P21">
        <v>3.605</v>
      </c>
      <c r="Q21">
        <v>8.0000000000000004E-4</v>
      </c>
      <c r="R21">
        <v>3.7983100000000007</v>
      </c>
      <c r="S21" s="2"/>
      <c r="AB21" s="2"/>
    </row>
    <row r="22" spans="1:28" x14ac:dyDescent="0.3">
      <c r="A22" t="s">
        <v>45</v>
      </c>
      <c r="B22" t="s">
        <v>149</v>
      </c>
      <c r="C22">
        <v>94</v>
      </c>
      <c r="D22">
        <v>7.3000000000000001E-3</v>
      </c>
      <c r="E22">
        <v>11.72017202962089</v>
      </c>
      <c r="F22">
        <v>1162.320033160667</v>
      </c>
      <c r="G22">
        <v>3.605</v>
      </c>
      <c r="H22">
        <v>1E-4</v>
      </c>
      <c r="I22">
        <v>4.0006200000000049</v>
      </c>
      <c r="J22" t="s">
        <v>45</v>
      </c>
      <c r="K22" t="s">
        <v>269</v>
      </c>
      <c r="L22">
        <v>94</v>
      </c>
      <c r="M22">
        <v>6.7000000000000002E-3</v>
      </c>
      <c r="N22">
        <v>11.72119216159013</v>
      </c>
      <c r="O22">
        <v>1162.4151094602</v>
      </c>
      <c r="P22">
        <v>3.605</v>
      </c>
      <c r="Q22">
        <v>1E-4</v>
      </c>
      <c r="R22">
        <v>4.0024400000000071</v>
      </c>
      <c r="S22" s="2"/>
      <c r="AB22" s="2"/>
    </row>
    <row r="23" spans="1:28" x14ac:dyDescent="0.3">
      <c r="A23" t="s">
        <v>45</v>
      </c>
      <c r="B23" t="s">
        <v>150</v>
      </c>
      <c r="C23">
        <v>94</v>
      </c>
      <c r="D23">
        <v>6.9999999999999999E-4</v>
      </c>
      <c r="E23">
        <v>11.87295727234315</v>
      </c>
      <c r="F23">
        <v>1266.743645145365</v>
      </c>
      <c r="G23">
        <v>3.605</v>
      </c>
      <c r="H23">
        <v>2.5000000000000001E-3</v>
      </c>
      <c r="I23">
        <v>4.1996900000000039</v>
      </c>
      <c r="J23" t="s">
        <v>45</v>
      </c>
      <c r="K23" t="s">
        <v>270</v>
      </c>
      <c r="L23">
        <v>94</v>
      </c>
      <c r="M23">
        <v>2.9999999999999997E-4</v>
      </c>
      <c r="N23">
        <v>11.87275234742612</v>
      </c>
      <c r="O23">
        <v>1266.724197770739</v>
      </c>
      <c r="P23">
        <v>3.605</v>
      </c>
      <c r="Q23">
        <v>2.5000000000000001E-3</v>
      </c>
      <c r="R23">
        <v>4.1978200000000072</v>
      </c>
      <c r="S23" s="2"/>
      <c r="AB23" s="2"/>
    </row>
    <row r="24" spans="1:28" x14ac:dyDescent="0.3">
      <c r="A24" t="s">
        <v>45</v>
      </c>
      <c r="B24" t="s">
        <v>151</v>
      </c>
      <c r="C24">
        <v>94</v>
      </c>
      <c r="D24">
        <v>1.2999999999999999E-3</v>
      </c>
      <c r="E24">
        <v>12.2105394869807</v>
      </c>
      <c r="F24">
        <v>1298.7801973144681</v>
      </c>
      <c r="G24">
        <v>3.605</v>
      </c>
      <c r="H24">
        <v>7.7000000000000002E-3</v>
      </c>
      <c r="I24">
        <v>4.4005600000000058</v>
      </c>
      <c r="J24" t="s">
        <v>45</v>
      </c>
      <c r="K24" t="s">
        <v>271</v>
      </c>
      <c r="L24">
        <v>94</v>
      </c>
      <c r="M24">
        <v>1.4E-3</v>
      </c>
      <c r="N24">
        <v>12.21231788169003</v>
      </c>
      <c r="O24">
        <v>1298.9489669723839</v>
      </c>
      <c r="P24">
        <v>3.605</v>
      </c>
      <c r="Q24">
        <v>7.7999999999999996E-3</v>
      </c>
      <c r="R24">
        <v>4.3997000000000099</v>
      </c>
      <c r="S24" s="2"/>
      <c r="AB24" s="2"/>
    </row>
    <row r="25" spans="1:28" x14ac:dyDescent="0.3">
      <c r="A25" t="s">
        <v>45</v>
      </c>
      <c r="B25" t="s">
        <v>152</v>
      </c>
      <c r="C25">
        <v>94</v>
      </c>
      <c r="D25">
        <v>8.0999999999999996E-3</v>
      </c>
      <c r="E25">
        <v>12.692939796863291</v>
      </c>
      <c r="F25">
        <v>1344.5599867223259</v>
      </c>
      <c r="G25">
        <v>3.605</v>
      </c>
      <c r="H25">
        <v>1.52E-2</v>
      </c>
      <c r="I25">
        <v>4.5991700000000009</v>
      </c>
      <c r="J25" t="s">
        <v>45</v>
      </c>
      <c r="K25" t="s">
        <v>272</v>
      </c>
      <c r="L25">
        <v>94</v>
      </c>
      <c r="M25">
        <v>7.4999999999999997E-3</v>
      </c>
      <c r="N25">
        <v>12.69343041647074</v>
      </c>
      <c r="O25">
        <v>1344.606546523074</v>
      </c>
      <c r="P25">
        <v>3.605</v>
      </c>
      <c r="Q25">
        <v>1.52E-2</v>
      </c>
      <c r="R25">
        <v>4.5976400000000126</v>
      </c>
      <c r="S25" s="2"/>
      <c r="AB25" s="2"/>
    </row>
    <row r="26" spans="1:28" x14ac:dyDescent="0.3">
      <c r="A26" t="s">
        <v>45</v>
      </c>
      <c r="B26" t="s">
        <v>153</v>
      </c>
      <c r="C26">
        <v>94</v>
      </c>
      <c r="D26">
        <v>1.35E-2</v>
      </c>
      <c r="E26">
        <v>13.285075494103589</v>
      </c>
      <c r="F26">
        <v>1400.75366439043</v>
      </c>
      <c r="G26">
        <v>3.605</v>
      </c>
      <c r="H26">
        <v>2.4400000000000002E-2</v>
      </c>
      <c r="I26">
        <v>4.8005899999999997</v>
      </c>
      <c r="J26" t="s">
        <v>45</v>
      </c>
      <c r="K26" t="s">
        <v>273</v>
      </c>
      <c r="L26">
        <v>94</v>
      </c>
      <c r="M26">
        <v>1.44E-2</v>
      </c>
      <c r="N26">
        <v>13.282498322016821</v>
      </c>
      <c r="O26">
        <v>1400.509090759396</v>
      </c>
      <c r="P26">
        <v>3.605</v>
      </c>
      <c r="Q26">
        <v>2.4400000000000002E-2</v>
      </c>
      <c r="R26">
        <v>4.7980400000000003</v>
      </c>
      <c r="S26" s="2"/>
      <c r="AB26" s="2"/>
    </row>
    <row r="27" spans="1:28" x14ac:dyDescent="0.3">
      <c r="A27" t="s">
        <v>45</v>
      </c>
      <c r="B27" t="s">
        <v>154</v>
      </c>
      <c r="C27">
        <v>94</v>
      </c>
      <c r="D27">
        <v>1.9800000000000002E-2</v>
      </c>
      <c r="E27">
        <v>13.92151819660458</v>
      </c>
      <c r="F27">
        <v>1461.1520768577741</v>
      </c>
      <c r="G27">
        <v>3.605</v>
      </c>
      <c r="H27">
        <v>3.4299999999999997E-2</v>
      </c>
      <c r="I27">
        <v>5.0017400000000052</v>
      </c>
      <c r="J27" t="s">
        <v>45</v>
      </c>
      <c r="K27" t="s">
        <v>274</v>
      </c>
      <c r="L27">
        <v>94</v>
      </c>
      <c r="M27">
        <v>2.0299999999999999E-2</v>
      </c>
      <c r="N27">
        <v>13.912797331714369</v>
      </c>
      <c r="O27">
        <v>1460.3244667796939</v>
      </c>
      <c r="P27">
        <v>3.605</v>
      </c>
      <c r="Q27">
        <v>3.4200000000000001E-2</v>
      </c>
      <c r="R27">
        <v>4.9972800000000035</v>
      </c>
      <c r="S27" s="2"/>
      <c r="AB27" s="2"/>
    </row>
    <row r="28" spans="1:28" x14ac:dyDescent="0.3">
      <c r="A28" t="s">
        <v>45</v>
      </c>
      <c r="B28" t="s">
        <v>155</v>
      </c>
      <c r="C28">
        <v>94</v>
      </c>
      <c r="D28">
        <v>2.76E-2</v>
      </c>
      <c r="E28">
        <v>14.53189075176596</v>
      </c>
      <c r="F28">
        <v>1519.076432342589</v>
      </c>
      <c r="G28">
        <v>3.605</v>
      </c>
      <c r="H28">
        <v>4.3799999999999999E-2</v>
      </c>
      <c r="I28">
        <v>5.2001400000000046</v>
      </c>
      <c r="J28" t="s">
        <v>45</v>
      </c>
      <c r="K28" t="s">
        <v>275</v>
      </c>
      <c r="L28">
        <v>94</v>
      </c>
      <c r="M28">
        <v>2.8400000000000002E-2</v>
      </c>
      <c r="N28">
        <v>14.533542234130559</v>
      </c>
      <c r="O28">
        <v>1519.23315801899</v>
      </c>
      <c r="P28">
        <v>3.605</v>
      </c>
      <c r="Q28">
        <v>4.3799999999999999E-2</v>
      </c>
      <c r="R28">
        <v>5.1989900000000091</v>
      </c>
      <c r="S28" s="2"/>
      <c r="AB28" s="2"/>
    </row>
    <row r="29" spans="1:28" x14ac:dyDescent="0.3">
      <c r="A29" t="s">
        <v>45</v>
      </c>
      <c r="B29" t="s">
        <v>156</v>
      </c>
      <c r="C29">
        <v>94</v>
      </c>
      <c r="D29">
        <v>3.5999999999999997E-2</v>
      </c>
      <c r="E29">
        <v>15.070171013054679</v>
      </c>
      <c r="F29">
        <v>1570.159229138889</v>
      </c>
      <c r="G29">
        <v>3.605</v>
      </c>
      <c r="H29">
        <v>5.2200000000000003E-2</v>
      </c>
      <c r="I29">
        <v>5.4002900000000054</v>
      </c>
      <c r="J29" t="s">
        <v>45</v>
      </c>
      <c r="K29" t="s">
        <v>276</v>
      </c>
      <c r="L29">
        <v>94</v>
      </c>
      <c r="M29">
        <v>3.61E-2</v>
      </c>
      <c r="N29">
        <v>15.067870372019391</v>
      </c>
      <c r="O29">
        <v>1569.940898304641</v>
      </c>
      <c r="P29">
        <v>3.605</v>
      </c>
      <c r="Q29">
        <v>5.21E-2</v>
      </c>
      <c r="R29">
        <v>5.3976300000000066</v>
      </c>
      <c r="S29" s="2"/>
      <c r="AB29" s="2"/>
    </row>
    <row r="30" spans="1:28" x14ac:dyDescent="0.3">
      <c r="A30" t="s">
        <v>45</v>
      </c>
      <c r="B30" t="s">
        <v>157</v>
      </c>
      <c r="C30">
        <v>94</v>
      </c>
      <c r="D30">
        <v>4.5999999999999999E-2</v>
      </c>
      <c r="E30">
        <v>15.477729531909119</v>
      </c>
      <c r="F30">
        <v>1608.836532578176</v>
      </c>
      <c r="G30">
        <v>3.605</v>
      </c>
      <c r="H30">
        <v>5.8500000000000003E-2</v>
      </c>
      <c r="I30">
        <v>5.600280000000005</v>
      </c>
      <c r="J30" t="s">
        <v>45</v>
      </c>
      <c r="K30" t="s">
        <v>277</v>
      </c>
      <c r="L30">
        <v>94</v>
      </c>
      <c r="M30">
        <v>4.65E-2</v>
      </c>
      <c r="N30">
        <v>15.479367633738971</v>
      </c>
      <c r="O30">
        <v>1608.9919884418291</v>
      </c>
      <c r="P30">
        <v>3.605</v>
      </c>
      <c r="Q30">
        <v>5.8500000000000003E-2</v>
      </c>
      <c r="R30">
        <v>5.5995700000000141</v>
      </c>
      <c r="S30" s="2"/>
      <c r="AB30" s="2"/>
    </row>
    <row r="31" spans="1:28" x14ac:dyDescent="0.3">
      <c r="A31" t="s">
        <v>45</v>
      </c>
      <c r="B31" t="s">
        <v>158</v>
      </c>
      <c r="C31">
        <v>94</v>
      </c>
      <c r="D31">
        <v>5.4699999999999999E-2</v>
      </c>
      <c r="E31">
        <v>15.714428353319709</v>
      </c>
      <c r="F31">
        <v>1631.2992507300401</v>
      </c>
      <c r="G31">
        <v>3.605</v>
      </c>
      <c r="H31">
        <v>6.2199999999999998E-2</v>
      </c>
      <c r="I31">
        <v>5.7992300000000014</v>
      </c>
      <c r="J31" t="s">
        <v>45</v>
      </c>
      <c r="K31" t="s">
        <v>278</v>
      </c>
      <c r="L31">
        <v>94</v>
      </c>
      <c r="M31">
        <v>5.5899999999999998E-2</v>
      </c>
      <c r="N31">
        <v>15.714830580303669</v>
      </c>
      <c r="O31">
        <v>1631.337422070819</v>
      </c>
      <c r="P31">
        <v>3.605</v>
      </c>
      <c r="Q31">
        <v>6.2199999999999998E-2</v>
      </c>
      <c r="R31">
        <v>5.798080000000013</v>
      </c>
      <c r="S31" s="2"/>
      <c r="AB31" s="2"/>
    </row>
    <row r="32" spans="1:28" x14ac:dyDescent="0.3">
      <c r="A32" t="s">
        <v>45</v>
      </c>
      <c r="B32" t="s">
        <v>159</v>
      </c>
      <c r="C32">
        <v>94</v>
      </c>
      <c r="D32">
        <v>6.4100000000000004E-2</v>
      </c>
      <c r="E32">
        <v>15.75887727334289</v>
      </c>
      <c r="F32">
        <v>1635.51745324024</v>
      </c>
      <c r="G32">
        <v>3.605</v>
      </c>
      <c r="H32">
        <v>6.2899999999999998E-2</v>
      </c>
      <c r="I32">
        <v>6.0016400000000019</v>
      </c>
      <c r="J32" t="s">
        <v>45</v>
      </c>
      <c r="K32" t="s">
        <v>279</v>
      </c>
      <c r="L32">
        <v>94</v>
      </c>
      <c r="M32">
        <v>6.59E-2</v>
      </c>
      <c r="N32">
        <v>15.75920935388711</v>
      </c>
      <c r="O32">
        <v>1635.548967683887</v>
      </c>
      <c r="P32">
        <v>3.605</v>
      </c>
      <c r="Q32">
        <v>6.2899999999999998E-2</v>
      </c>
      <c r="R32">
        <v>5.9987600000000043</v>
      </c>
      <c r="S32" s="2"/>
      <c r="AB32" s="2"/>
    </row>
    <row r="33" spans="1:28" x14ac:dyDescent="0.3">
      <c r="A33" t="s">
        <v>45</v>
      </c>
      <c r="B33" t="s">
        <v>160</v>
      </c>
      <c r="C33">
        <v>94</v>
      </c>
      <c r="D33">
        <v>6.9199999999999998E-2</v>
      </c>
      <c r="E33">
        <v>15.60667531245857</v>
      </c>
      <c r="F33">
        <v>1524.5421391211389</v>
      </c>
      <c r="G33">
        <v>3.605</v>
      </c>
      <c r="H33">
        <v>6.0499999999999998E-2</v>
      </c>
      <c r="I33">
        <v>6.199460000000002</v>
      </c>
      <c r="J33" t="s">
        <v>45</v>
      </c>
      <c r="K33" t="s">
        <v>280</v>
      </c>
      <c r="L33">
        <v>94</v>
      </c>
      <c r="M33">
        <v>6.9199999999999998E-2</v>
      </c>
      <c r="N33">
        <v>15.60709091997728</v>
      </c>
      <c r="O33">
        <v>1524.5808737418829</v>
      </c>
      <c r="P33">
        <v>3.605</v>
      </c>
      <c r="Q33">
        <v>6.0499999999999998E-2</v>
      </c>
      <c r="R33">
        <v>6.197410000000005</v>
      </c>
      <c r="S33" s="2"/>
      <c r="AB33" s="2"/>
    </row>
    <row r="34" spans="1:28" x14ac:dyDescent="0.3">
      <c r="A34" t="s">
        <v>45</v>
      </c>
      <c r="B34" t="s">
        <v>161</v>
      </c>
      <c r="C34">
        <v>94</v>
      </c>
      <c r="D34">
        <v>6.5100000000000005E-2</v>
      </c>
      <c r="E34">
        <v>15.258555967253439</v>
      </c>
      <c r="F34">
        <v>1492.0974161480201</v>
      </c>
      <c r="G34">
        <v>3.605</v>
      </c>
      <c r="H34">
        <v>5.5100000000000003E-2</v>
      </c>
      <c r="I34">
        <v>6.4054400000000058</v>
      </c>
      <c r="J34" t="s">
        <v>45</v>
      </c>
      <c r="K34" t="s">
        <v>281</v>
      </c>
      <c r="L34">
        <v>94</v>
      </c>
      <c r="M34">
        <v>6.6000000000000003E-2</v>
      </c>
      <c r="N34">
        <v>15.26748605505062</v>
      </c>
      <c r="O34">
        <v>1492.9297003307181</v>
      </c>
      <c r="P34">
        <v>3.605</v>
      </c>
      <c r="Q34">
        <v>5.5199999999999999E-2</v>
      </c>
      <c r="R34">
        <v>6.3994800000000112</v>
      </c>
      <c r="S34" s="2"/>
      <c r="AB34" s="2"/>
    </row>
    <row r="35" spans="1:28" x14ac:dyDescent="0.3">
      <c r="A35" t="s">
        <v>45</v>
      </c>
      <c r="B35" t="s">
        <v>162</v>
      </c>
      <c r="C35">
        <v>94</v>
      </c>
      <c r="D35">
        <v>5.8299999999999998E-2</v>
      </c>
      <c r="E35">
        <v>14.78464662034582</v>
      </c>
      <c r="F35">
        <v>1447.92906501623</v>
      </c>
      <c r="G35">
        <v>3.605</v>
      </c>
      <c r="H35">
        <v>4.7699999999999999E-2</v>
      </c>
      <c r="I35">
        <v>6.5998200000000011</v>
      </c>
      <c r="J35" t="s">
        <v>45</v>
      </c>
      <c r="K35" t="s">
        <v>282</v>
      </c>
      <c r="L35">
        <v>94</v>
      </c>
      <c r="M35">
        <v>5.8099999999999999E-2</v>
      </c>
      <c r="N35">
        <v>14.77349130907284</v>
      </c>
      <c r="O35">
        <v>1446.8893900055889</v>
      </c>
      <c r="P35">
        <v>3.605</v>
      </c>
      <c r="Q35">
        <v>4.7600000000000003E-2</v>
      </c>
      <c r="R35">
        <v>6.6021900000000073</v>
      </c>
      <c r="S35" s="2"/>
      <c r="AB35" s="2"/>
    </row>
    <row r="36" spans="1:28" x14ac:dyDescent="0.3">
      <c r="A36" t="s">
        <v>45</v>
      </c>
      <c r="B36" t="s">
        <v>163</v>
      </c>
      <c r="C36">
        <v>94</v>
      </c>
      <c r="D36">
        <v>5.2999999999999999E-2</v>
      </c>
      <c r="E36">
        <v>14.18744375514324</v>
      </c>
      <c r="F36">
        <v>1392.2697579793501</v>
      </c>
      <c r="G36">
        <v>3.605</v>
      </c>
      <c r="H36">
        <v>3.85E-2</v>
      </c>
      <c r="I36">
        <v>6.8027800000000056</v>
      </c>
      <c r="J36" t="s">
        <v>45</v>
      </c>
      <c r="K36" t="s">
        <v>283</v>
      </c>
      <c r="L36">
        <v>94</v>
      </c>
      <c r="M36">
        <v>5.2499999999999998E-2</v>
      </c>
      <c r="N36">
        <v>14.18207167317698</v>
      </c>
      <c r="O36">
        <v>1391.7690799400939</v>
      </c>
      <c r="P36">
        <v>3.605</v>
      </c>
      <c r="Q36">
        <v>3.8399999999999997E-2</v>
      </c>
      <c r="R36">
        <v>6.8028000000000048</v>
      </c>
      <c r="S36" s="2"/>
      <c r="AB36" s="2"/>
    </row>
    <row r="37" spans="1:28" x14ac:dyDescent="0.3">
      <c r="A37" t="s">
        <v>45</v>
      </c>
      <c r="B37" t="s">
        <v>164</v>
      </c>
      <c r="C37">
        <v>94</v>
      </c>
      <c r="D37">
        <v>4.65E-2</v>
      </c>
      <c r="E37">
        <v>13.537569023108221</v>
      </c>
      <c r="F37">
        <v>1331.701432953686</v>
      </c>
      <c r="G37">
        <v>3.605</v>
      </c>
      <c r="H37">
        <v>2.8400000000000002E-2</v>
      </c>
      <c r="I37">
        <v>7.0081200000000052</v>
      </c>
      <c r="J37" t="s">
        <v>45</v>
      </c>
      <c r="K37" t="s">
        <v>284</v>
      </c>
      <c r="L37">
        <v>94</v>
      </c>
      <c r="M37">
        <v>4.53E-2</v>
      </c>
      <c r="N37">
        <v>13.56476556819123</v>
      </c>
      <c r="O37">
        <v>1334.236150955423</v>
      </c>
      <c r="P37">
        <v>3.605</v>
      </c>
      <c r="Q37">
        <v>2.8799999999999999E-2</v>
      </c>
      <c r="R37">
        <v>6.9978400000000107</v>
      </c>
      <c r="S37" s="2"/>
      <c r="AB37" s="2"/>
    </row>
    <row r="38" spans="1:28" x14ac:dyDescent="0.3">
      <c r="A38" t="s">
        <v>45</v>
      </c>
      <c r="B38" t="s">
        <v>165</v>
      </c>
      <c r="C38">
        <v>94</v>
      </c>
      <c r="D38">
        <v>3.8899999999999997E-2</v>
      </c>
      <c r="E38">
        <v>12.94640564472634</v>
      </c>
      <c r="F38">
        <v>1276.605006088495</v>
      </c>
      <c r="G38">
        <v>3.605</v>
      </c>
      <c r="H38">
        <v>1.9199999999999998E-2</v>
      </c>
      <c r="I38">
        <v>7.2005000000000052</v>
      </c>
      <c r="J38" t="s">
        <v>45</v>
      </c>
      <c r="K38" t="s">
        <v>285</v>
      </c>
      <c r="L38">
        <v>94</v>
      </c>
      <c r="M38">
        <v>3.8100000000000002E-2</v>
      </c>
      <c r="N38">
        <v>12.944555481694261</v>
      </c>
      <c r="O38">
        <v>1276.432570893905</v>
      </c>
      <c r="P38">
        <v>3.605</v>
      </c>
      <c r="Q38">
        <v>1.9099999999999999E-2</v>
      </c>
      <c r="R38">
        <v>7.1994200000000035</v>
      </c>
      <c r="S38" s="2"/>
      <c r="AB38" s="2"/>
    </row>
    <row r="39" spans="1:28" x14ac:dyDescent="0.3">
      <c r="A39" t="s">
        <v>45</v>
      </c>
      <c r="B39" t="s">
        <v>166</v>
      </c>
      <c r="C39">
        <v>94</v>
      </c>
      <c r="D39">
        <v>3.1399999999999997E-2</v>
      </c>
      <c r="E39">
        <v>12.405842177644571</v>
      </c>
      <c r="F39">
        <v>1226.224490956474</v>
      </c>
      <c r="G39">
        <v>3.605</v>
      </c>
      <c r="H39">
        <v>1.0800000000000001E-2</v>
      </c>
      <c r="I39">
        <v>7.401680000000006</v>
      </c>
      <c r="J39" t="s">
        <v>45</v>
      </c>
      <c r="K39" t="s">
        <v>286</v>
      </c>
      <c r="L39">
        <v>94</v>
      </c>
      <c r="M39">
        <v>3.0300000000000001E-2</v>
      </c>
      <c r="N39">
        <v>12.392451506127051</v>
      </c>
      <c r="O39">
        <v>1224.9764803710409</v>
      </c>
      <c r="P39">
        <v>3.605</v>
      </c>
      <c r="Q39">
        <v>1.06E-2</v>
      </c>
      <c r="R39">
        <v>7.4055700000000115</v>
      </c>
      <c r="S39" s="2"/>
      <c r="AB39" s="2"/>
    </row>
    <row r="40" spans="1:28" x14ac:dyDescent="0.3">
      <c r="A40" t="s">
        <v>45</v>
      </c>
      <c r="B40" t="s">
        <v>167</v>
      </c>
      <c r="C40">
        <v>94</v>
      </c>
      <c r="D40">
        <v>2.2200000000000001E-2</v>
      </c>
      <c r="E40">
        <v>12.001153459117139</v>
      </c>
      <c r="F40">
        <v>1188.507502389718</v>
      </c>
      <c r="G40">
        <v>3.605</v>
      </c>
      <c r="H40">
        <v>4.4999999999999997E-3</v>
      </c>
      <c r="I40">
        <v>7.6005600000000015</v>
      </c>
      <c r="J40" t="s">
        <v>45</v>
      </c>
      <c r="K40" t="s">
        <v>287</v>
      </c>
      <c r="L40">
        <v>94</v>
      </c>
      <c r="M40">
        <v>2.24E-2</v>
      </c>
      <c r="N40">
        <v>12.00022298484012</v>
      </c>
      <c r="O40">
        <v>1188.4207821870989</v>
      </c>
      <c r="P40">
        <v>3.605</v>
      </c>
      <c r="Q40">
        <v>4.4999999999999997E-3</v>
      </c>
      <c r="R40">
        <v>7.5994200000000092</v>
      </c>
      <c r="S40" s="2"/>
      <c r="AB40" s="2"/>
    </row>
    <row r="41" spans="1:28" x14ac:dyDescent="0.3">
      <c r="A41" t="s">
        <v>45</v>
      </c>
      <c r="B41" t="s">
        <v>168</v>
      </c>
      <c r="C41">
        <v>94</v>
      </c>
      <c r="D41">
        <v>1.52E-2</v>
      </c>
      <c r="E41">
        <v>11.763995644817591</v>
      </c>
      <c r="F41">
        <v>1166.404394097</v>
      </c>
      <c r="G41">
        <v>3.605</v>
      </c>
      <c r="H41">
        <v>8.0000000000000004E-4</v>
      </c>
      <c r="I41">
        <v>7.8005100000000027</v>
      </c>
      <c r="J41" t="s">
        <v>45</v>
      </c>
      <c r="K41" t="s">
        <v>288</v>
      </c>
      <c r="L41">
        <v>94</v>
      </c>
      <c r="M41">
        <v>1.41E-2</v>
      </c>
      <c r="N41">
        <v>11.761930866117559</v>
      </c>
      <c r="O41">
        <v>1166.2119567221571</v>
      </c>
      <c r="P41">
        <v>3.605</v>
      </c>
      <c r="Q41">
        <v>8.0000000000000004E-4</v>
      </c>
      <c r="R41">
        <v>7.8017100000000141</v>
      </c>
      <c r="S41" s="2"/>
      <c r="AB41" s="2"/>
    </row>
    <row r="42" spans="1:28" x14ac:dyDescent="0.3">
      <c r="A42" t="s">
        <v>45</v>
      </c>
      <c r="B42" t="s">
        <v>169</v>
      </c>
      <c r="C42">
        <v>94</v>
      </c>
      <c r="D42">
        <v>7.4999999999999997E-3</v>
      </c>
      <c r="E42">
        <v>11.720579020886159</v>
      </c>
      <c r="F42">
        <v>1162.3579647465899</v>
      </c>
      <c r="G42">
        <v>3.605</v>
      </c>
      <c r="H42">
        <v>1E-4</v>
      </c>
      <c r="I42">
        <v>8.0020600000000002</v>
      </c>
      <c r="J42" t="s">
        <v>45</v>
      </c>
      <c r="K42" t="s">
        <v>289</v>
      </c>
      <c r="L42">
        <v>94</v>
      </c>
      <c r="M42">
        <v>7.0000000000000001E-3</v>
      </c>
      <c r="N42">
        <v>11.720467727274711</v>
      </c>
      <c r="O42">
        <v>1162.3475921820029</v>
      </c>
      <c r="P42">
        <v>3.605</v>
      </c>
      <c r="Q42">
        <v>1E-4</v>
      </c>
      <c r="R42">
        <v>7.9999600000000015</v>
      </c>
      <c r="S42" s="2"/>
      <c r="AB42" s="2"/>
    </row>
    <row r="43" spans="1:28" x14ac:dyDescent="0.3">
      <c r="A43" t="s">
        <v>45</v>
      </c>
      <c r="B43" t="s">
        <v>170</v>
      </c>
      <c r="C43">
        <v>94</v>
      </c>
      <c r="D43">
        <v>2.0000000000000001E-4</v>
      </c>
      <c r="E43">
        <v>11.872109595193271</v>
      </c>
      <c r="F43">
        <v>1266.6632005838419</v>
      </c>
      <c r="G43">
        <v>3.605</v>
      </c>
      <c r="H43">
        <v>2.5000000000000001E-3</v>
      </c>
      <c r="I43">
        <v>8.1990100000000012</v>
      </c>
      <c r="J43" t="s">
        <v>45</v>
      </c>
      <c r="K43" t="s">
        <v>290</v>
      </c>
      <c r="L43">
        <v>94</v>
      </c>
      <c r="M43">
        <v>-2.0000000000000001E-4</v>
      </c>
      <c r="N43">
        <v>11.8742956907417</v>
      </c>
      <c r="O43">
        <v>1266.870661051388</v>
      </c>
      <c r="P43">
        <v>3.605</v>
      </c>
      <c r="Q43">
        <v>2.5000000000000001E-3</v>
      </c>
      <c r="R43">
        <v>8.1990600000000029</v>
      </c>
      <c r="S43" s="2"/>
      <c r="AB43" s="2"/>
    </row>
    <row r="44" spans="1:28" x14ac:dyDescent="0.3">
      <c r="A44" t="s">
        <v>45</v>
      </c>
      <c r="B44" t="s">
        <v>171</v>
      </c>
      <c r="C44">
        <v>94</v>
      </c>
      <c r="D44">
        <v>8.9999999999999998E-4</v>
      </c>
      <c r="E44">
        <v>12.21024835898222</v>
      </c>
      <c r="F44">
        <v>1298.752569267413</v>
      </c>
      <c r="G44">
        <v>3.605</v>
      </c>
      <c r="H44">
        <v>7.7000000000000002E-3</v>
      </c>
      <c r="I44">
        <v>8.400420000000004</v>
      </c>
      <c r="J44" t="s">
        <v>45</v>
      </c>
      <c r="K44" t="s">
        <v>291</v>
      </c>
      <c r="L44">
        <v>94</v>
      </c>
      <c r="M44">
        <v>5.9999999999999995E-4</v>
      </c>
      <c r="N44">
        <v>12.21313531072196</v>
      </c>
      <c r="O44">
        <v>1299.026540987514</v>
      </c>
      <c r="P44">
        <v>3.605</v>
      </c>
      <c r="Q44">
        <v>7.7999999999999996E-3</v>
      </c>
      <c r="R44">
        <v>8.4000900000000058</v>
      </c>
      <c r="S44" s="2"/>
      <c r="AB44" s="2"/>
    </row>
    <row r="45" spans="1:28" x14ac:dyDescent="0.3">
      <c r="A45" t="s">
        <v>45</v>
      </c>
      <c r="B45" t="s">
        <v>172</v>
      </c>
      <c r="C45">
        <v>94</v>
      </c>
      <c r="D45">
        <v>8.8000000000000005E-3</v>
      </c>
      <c r="E45">
        <v>12.705090538827429</v>
      </c>
      <c r="F45">
        <v>1345.713092134723</v>
      </c>
      <c r="G45">
        <v>3.605</v>
      </c>
      <c r="H45">
        <v>1.54E-2</v>
      </c>
      <c r="I45">
        <v>8.6036199999999994</v>
      </c>
      <c r="J45" t="s">
        <v>45</v>
      </c>
      <c r="K45" t="s">
        <v>292</v>
      </c>
      <c r="L45">
        <v>94</v>
      </c>
      <c r="M45">
        <v>8.0999999999999996E-3</v>
      </c>
      <c r="N45">
        <v>12.69396482691919</v>
      </c>
      <c r="O45">
        <v>1344.657262074631</v>
      </c>
      <c r="P45">
        <v>3.605</v>
      </c>
      <c r="Q45">
        <v>1.5299999999999999E-2</v>
      </c>
      <c r="R45">
        <v>8.597840000000005</v>
      </c>
      <c r="S45" s="2"/>
      <c r="AB45" s="2"/>
    </row>
    <row r="46" spans="1:28" x14ac:dyDescent="0.3">
      <c r="A46" t="s">
        <v>45</v>
      </c>
      <c r="B46" t="s">
        <v>173</v>
      </c>
      <c r="C46">
        <v>94</v>
      </c>
      <c r="D46">
        <v>1.26E-2</v>
      </c>
      <c r="E46">
        <v>13.284206164815661</v>
      </c>
      <c r="F46">
        <v>1400.6711650410059</v>
      </c>
      <c r="G46">
        <v>3.605</v>
      </c>
      <c r="H46">
        <v>2.4400000000000002E-2</v>
      </c>
      <c r="I46">
        <v>8.8003100000000032</v>
      </c>
      <c r="J46" t="s">
        <v>45</v>
      </c>
      <c r="K46" t="s">
        <v>293</v>
      </c>
      <c r="L46">
        <v>94</v>
      </c>
      <c r="M46">
        <v>1.4200000000000001E-2</v>
      </c>
      <c r="N46">
        <v>13.36047278005918</v>
      </c>
      <c r="O46">
        <v>1407.908866827617</v>
      </c>
      <c r="P46">
        <v>3.605</v>
      </c>
      <c r="Q46">
        <v>2.5600000000000001E-2</v>
      </c>
      <c r="R46">
        <v>8.8230700000000013</v>
      </c>
      <c r="S46" s="2"/>
      <c r="AB46" s="2"/>
    </row>
    <row r="47" spans="1:28" x14ac:dyDescent="0.3">
      <c r="A47" t="s">
        <v>45</v>
      </c>
      <c r="B47" t="s">
        <v>174</v>
      </c>
      <c r="C47">
        <v>94</v>
      </c>
      <c r="D47">
        <v>2.0199999999999999E-2</v>
      </c>
      <c r="E47">
        <v>13.917810572066919</v>
      </c>
      <c r="F47">
        <v>1460.8002232891499</v>
      </c>
      <c r="G47">
        <v>3.605</v>
      </c>
      <c r="H47">
        <v>3.4299999999999997E-2</v>
      </c>
      <c r="I47">
        <v>9.0005700000000033</v>
      </c>
      <c r="J47" t="s">
        <v>45</v>
      </c>
      <c r="K47" t="s">
        <v>294</v>
      </c>
      <c r="L47">
        <v>94</v>
      </c>
      <c r="M47">
        <v>1.95E-2</v>
      </c>
      <c r="N47">
        <v>13.913819928945779</v>
      </c>
      <c r="O47">
        <v>1460.421511256955</v>
      </c>
      <c r="P47">
        <v>3.605</v>
      </c>
      <c r="Q47">
        <v>3.4200000000000001E-2</v>
      </c>
      <c r="R47">
        <v>8.9976000000000056</v>
      </c>
      <c r="S47" s="2"/>
      <c r="AB47" s="2"/>
    </row>
    <row r="48" spans="1:28" x14ac:dyDescent="0.3">
      <c r="A48" t="s">
        <v>45</v>
      </c>
      <c r="B48" t="s">
        <v>175</v>
      </c>
      <c r="C48">
        <v>94</v>
      </c>
      <c r="D48">
        <v>2.76E-2</v>
      </c>
      <c r="E48">
        <v>14.53698954644674</v>
      </c>
      <c r="F48">
        <v>1519.5603079577961</v>
      </c>
      <c r="G48">
        <v>3.605</v>
      </c>
      <c r="H48">
        <v>4.3900000000000002E-2</v>
      </c>
      <c r="I48">
        <v>9.2018800000000027</v>
      </c>
      <c r="J48" t="s">
        <v>45</v>
      </c>
      <c r="K48" t="s">
        <v>295</v>
      </c>
      <c r="L48">
        <v>94</v>
      </c>
      <c r="M48">
        <v>2.8500000000000001E-2</v>
      </c>
      <c r="N48">
        <v>14.538582235552591</v>
      </c>
      <c r="O48">
        <v>1519.7114541539411</v>
      </c>
      <c r="P48">
        <v>3.605</v>
      </c>
      <c r="Q48">
        <v>4.3900000000000002E-2</v>
      </c>
      <c r="R48">
        <v>9.2007100000000008</v>
      </c>
      <c r="S48" s="2"/>
      <c r="AB48" s="2"/>
    </row>
    <row r="49" spans="1:28" x14ac:dyDescent="0.3">
      <c r="A49" t="s">
        <v>45</v>
      </c>
      <c r="B49" t="s">
        <v>176</v>
      </c>
      <c r="C49">
        <v>94</v>
      </c>
      <c r="D49">
        <v>3.7100000000000001E-2</v>
      </c>
      <c r="E49">
        <v>15.07633781769087</v>
      </c>
      <c r="F49">
        <v>1570.7444588988631</v>
      </c>
      <c r="G49">
        <v>3.605</v>
      </c>
      <c r="H49">
        <v>5.2299999999999999E-2</v>
      </c>
      <c r="I49">
        <v>9.4028700000000001</v>
      </c>
      <c r="J49" t="s">
        <v>45</v>
      </c>
      <c r="K49" t="s">
        <v>296</v>
      </c>
      <c r="L49">
        <v>94</v>
      </c>
      <c r="M49">
        <v>3.7699999999999997E-2</v>
      </c>
      <c r="N49">
        <v>15.07008180948969</v>
      </c>
      <c r="O49">
        <v>1570.1507637205709</v>
      </c>
      <c r="P49">
        <v>3.605</v>
      </c>
      <c r="Q49">
        <v>5.2200000000000003E-2</v>
      </c>
      <c r="R49">
        <v>9.3985500000000002</v>
      </c>
      <c r="S49" s="2"/>
      <c r="AB49" s="2"/>
    </row>
    <row r="50" spans="1:28" x14ac:dyDescent="0.3">
      <c r="A50" t="s">
        <v>45</v>
      </c>
      <c r="B50" t="s">
        <v>177</v>
      </c>
      <c r="C50">
        <v>94</v>
      </c>
      <c r="D50">
        <v>4.5199999999999997E-2</v>
      </c>
      <c r="E50">
        <v>15.476544746377741</v>
      </c>
      <c r="F50">
        <v>1608.7240964312471</v>
      </c>
      <c r="G50">
        <v>3.605</v>
      </c>
      <c r="H50">
        <v>5.8500000000000003E-2</v>
      </c>
      <c r="I50">
        <v>9.5995600000000039</v>
      </c>
      <c r="J50" t="s">
        <v>45</v>
      </c>
      <c r="K50" t="s">
        <v>297</v>
      </c>
      <c r="L50">
        <v>94</v>
      </c>
      <c r="M50">
        <v>4.7E-2</v>
      </c>
      <c r="N50">
        <v>15.479092319099751</v>
      </c>
      <c r="O50">
        <v>1608.9658610825661</v>
      </c>
      <c r="P50">
        <v>3.605</v>
      </c>
      <c r="Q50">
        <v>5.8500000000000003E-2</v>
      </c>
      <c r="R50">
        <v>9.599410000000006</v>
      </c>
      <c r="S50" s="2"/>
      <c r="AB50" s="2"/>
    </row>
    <row r="51" spans="1:28" x14ac:dyDescent="0.3">
      <c r="A51" t="s">
        <v>45</v>
      </c>
      <c r="B51" t="s">
        <v>178</v>
      </c>
      <c r="C51">
        <v>94</v>
      </c>
      <c r="D51">
        <v>5.5599999999999997E-2</v>
      </c>
      <c r="E51">
        <v>15.715488659330861</v>
      </c>
      <c r="F51">
        <v>1631.399873770499</v>
      </c>
      <c r="G51">
        <v>3.605</v>
      </c>
      <c r="H51">
        <v>6.2199999999999998E-2</v>
      </c>
      <c r="I51">
        <v>9.8007100000000023</v>
      </c>
      <c r="J51" t="s">
        <v>45</v>
      </c>
      <c r="K51" t="s">
        <v>298</v>
      </c>
      <c r="L51">
        <v>94</v>
      </c>
      <c r="M51">
        <v>5.62E-2</v>
      </c>
      <c r="N51">
        <v>15.715827632877829</v>
      </c>
      <c r="O51">
        <v>1631.4320423601059</v>
      </c>
      <c r="P51">
        <v>3.605</v>
      </c>
      <c r="Q51">
        <v>6.2199999999999998E-2</v>
      </c>
      <c r="R51">
        <v>9.7994800000000026</v>
      </c>
      <c r="S51" s="2"/>
      <c r="AB51" s="2"/>
    </row>
    <row r="52" spans="1:28" x14ac:dyDescent="0.3">
      <c r="A52" t="s">
        <v>45</v>
      </c>
      <c r="B52" t="s">
        <v>179</v>
      </c>
      <c r="C52">
        <v>94</v>
      </c>
      <c r="D52">
        <v>6.4600000000000005E-2</v>
      </c>
      <c r="E52">
        <v>15.757615448369011</v>
      </c>
      <c r="F52">
        <v>1635.3977060502191</v>
      </c>
      <c r="G52">
        <v>3.605</v>
      </c>
      <c r="H52">
        <v>6.2899999999999998E-2</v>
      </c>
      <c r="I52">
        <v>10.00591</v>
      </c>
      <c r="J52" t="s">
        <v>45</v>
      </c>
      <c r="K52" t="s">
        <v>299</v>
      </c>
      <c r="L52">
        <v>94</v>
      </c>
      <c r="M52">
        <v>6.6199999999999995E-2</v>
      </c>
      <c r="N52">
        <v>15.75800997140872</v>
      </c>
      <c r="O52">
        <v>1635.4351462866871</v>
      </c>
      <c r="P52">
        <v>3.605</v>
      </c>
      <c r="Q52">
        <v>6.2899999999999998E-2</v>
      </c>
      <c r="R52">
        <v>10.002900000000011</v>
      </c>
      <c r="S52" s="2"/>
      <c r="AB52" s="2"/>
    </row>
    <row r="53" spans="1:28" x14ac:dyDescent="0.3">
      <c r="A53" t="s">
        <v>45</v>
      </c>
      <c r="B53" t="s">
        <v>180</v>
      </c>
      <c r="C53">
        <v>94</v>
      </c>
      <c r="D53">
        <v>6.9400000000000003E-2</v>
      </c>
      <c r="E53">
        <v>15.60644419413109</v>
      </c>
      <c r="F53">
        <v>1524.5205988930179</v>
      </c>
      <c r="G53">
        <v>3.605</v>
      </c>
      <c r="H53">
        <v>6.0499999999999998E-2</v>
      </c>
      <c r="I53">
        <v>10.199640000000002</v>
      </c>
      <c r="J53" t="s">
        <v>45</v>
      </c>
      <c r="K53" t="s">
        <v>300</v>
      </c>
      <c r="L53">
        <v>94</v>
      </c>
      <c r="M53">
        <v>6.93E-2</v>
      </c>
      <c r="N53">
        <v>15.605434977434429</v>
      </c>
      <c r="O53">
        <v>1524.4265398968889</v>
      </c>
      <c r="P53">
        <v>3.605</v>
      </c>
      <c r="Q53">
        <v>6.0499999999999998E-2</v>
      </c>
      <c r="R53">
        <v>10.198740000000001</v>
      </c>
      <c r="S53" s="2"/>
      <c r="AB53" s="2"/>
    </row>
    <row r="54" spans="1:28" x14ac:dyDescent="0.3">
      <c r="A54" t="s">
        <v>45</v>
      </c>
      <c r="B54" t="s">
        <v>181</v>
      </c>
      <c r="C54">
        <v>94</v>
      </c>
      <c r="D54">
        <v>6.6500000000000004E-2</v>
      </c>
      <c r="E54">
        <v>15.26898670229623</v>
      </c>
      <c r="F54">
        <v>1493.0695606540089</v>
      </c>
      <c r="G54">
        <v>3.605</v>
      </c>
      <c r="H54">
        <v>5.5300000000000002E-2</v>
      </c>
      <c r="I54">
        <v>10.400470000000006</v>
      </c>
      <c r="J54" t="s">
        <v>45</v>
      </c>
      <c r="K54" t="s">
        <v>301</v>
      </c>
      <c r="L54">
        <v>94</v>
      </c>
      <c r="M54">
        <v>6.5100000000000005E-2</v>
      </c>
      <c r="N54">
        <v>15.266760667878939</v>
      </c>
      <c r="O54">
        <v>1492.8620942463169</v>
      </c>
      <c r="P54">
        <v>3.605</v>
      </c>
      <c r="Q54">
        <v>5.5199999999999999E-2</v>
      </c>
      <c r="R54">
        <v>10.399820000000005</v>
      </c>
      <c r="S54" s="2"/>
      <c r="AB54" s="2"/>
    </row>
    <row r="55" spans="1:28" x14ac:dyDescent="0.3">
      <c r="A55" t="s">
        <v>45</v>
      </c>
      <c r="B55" t="s">
        <v>182</v>
      </c>
      <c r="C55">
        <v>94</v>
      </c>
      <c r="D55">
        <v>5.9400000000000001E-2</v>
      </c>
      <c r="E55">
        <v>14.7864975943194</v>
      </c>
      <c r="F55">
        <v>1448.1015757905679</v>
      </c>
      <c r="G55">
        <v>3.605</v>
      </c>
      <c r="H55">
        <v>4.7800000000000002E-2</v>
      </c>
      <c r="I55">
        <v>10.599140000000006</v>
      </c>
      <c r="J55" t="s">
        <v>45</v>
      </c>
      <c r="K55" t="s">
        <v>302</v>
      </c>
      <c r="L55">
        <v>94</v>
      </c>
      <c r="M55">
        <v>5.79E-2</v>
      </c>
      <c r="N55">
        <v>14.784509571232331</v>
      </c>
      <c r="O55">
        <v>1447.916292038853</v>
      </c>
      <c r="P55">
        <v>3.605</v>
      </c>
      <c r="Q55">
        <v>4.7699999999999999E-2</v>
      </c>
      <c r="R55">
        <v>10.598150000000004</v>
      </c>
      <c r="S55" s="2"/>
      <c r="AB55" s="2"/>
    </row>
    <row r="56" spans="1:28" x14ac:dyDescent="0.3">
      <c r="A56" t="s">
        <v>45</v>
      </c>
      <c r="B56" t="s">
        <v>183</v>
      </c>
      <c r="C56">
        <v>94</v>
      </c>
      <c r="D56">
        <v>5.2400000000000002E-2</v>
      </c>
      <c r="E56">
        <v>14.191646864937351</v>
      </c>
      <c r="F56">
        <v>1392.6614878121611</v>
      </c>
      <c r="G56">
        <v>3.605</v>
      </c>
      <c r="H56">
        <v>3.85E-2</v>
      </c>
      <c r="I56">
        <v>10.801430000000003</v>
      </c>
      <c r="J56" t="s">
        <v>45</v>
      </c>
      <c r="K56" t="s">
        <v>303</v>
      </c>
      <c r="L56">
        <v>94</v>
      </c>
      <c r="M56">
        <v>5.2600000000000001E-2</v>
      </c>
      <c r="N56">
        <v>14.19190271698058</v>
      </c>
      <c r="O56">
        <v>1392.6853332225901</v>
      </c>
      <c r="P56">
        <v>3.605</v>
      </c>
      <c r="Q56">
        <v>3.85E-2</v>
      </c>
      <c r="R56">
        <v>10.799630000000008</v>
      </c>
      <c r="S56" s="2"/>
      <c r="AB56" s="2"/>
    </row>
    <row r="57" spans="1:28" x14ac:dyDescent="0.3">
      <c r="A57" t="s">
        <v>45</v>
      </c>
      <c r="B57" t="s">
        <v>184</v>
      </c>
      <c r="C57">
        <v>94</v>
      </c>
      <c r="D57">
        <v>4.6699999999999998E-2</v>
      </c>
      <c r="E57">
        <v>13.56277308492592</v>
      </c>
      <c r="F57">
        <v>1334.050451515096</v>
      </c>
      <c r="G57">
        <v>3.605</v>
      </c>
      <c r="H57">
        <v>2.8799999999999999E-2</v>
      </c>
      <c r="I57">
        <v>11.00018</v>
      </c>
      <c r="J57" t="s">
        <v>45</v>
      </c>
      <c r="K57" t="s">
        <v>304</v>
      </c>
      <c r="L57">
        <v>94</v>
      </c>
      <c r="M57">
        <v>4.6199999999999998E-2</v>
      </c>
      <c r="N57">
        <v>13.54898667395643</v>
      </c>
      <c r="O57">
        <v>1332.7655580127389</v>
      </c>
      <c r="P57">
        <v>3.605</v>
      </c>
      <c r="Q57">
        <v>2.8500000000000001E-2</v>
      </c>
      <c r="R57">
        <v>11.002820000000014</v>
      </c>
      <c r="S57" s="2"/>
      <c r="AB57" s="2"/>
    </row>
    <row r="58" spans="1:28" x14ac:dyDescent="0.3">
      <c r="A58" t="s">
        <v>45</v>
      </c>
      <c r="B58" t="s">
        <v>185</v>
      </c>
      <c r="C58">
        <v>94</v>
      </c>
      <c r="D58">
        <v>3.8899999999999997E-2</v>
      </c>
      <c r="E58">
        <v>12.94298590442115</v>
      </c>
      <c r="F58">
        <v>1276.286286292051</v>
      </c>
      <c r="G58">
        <v>3.605</v>
      </c>
      <c r="H58">
        <v>1.9099999999999999E-2</v>
      </c>
      <c r="I58">
        <v>11.201660000000004</v>
      </c>
      <c r="J58" t="s">
        <v>45</v>
      </c>
      <c r="K58" t="s">
        <v>305</v>
      </c>
      <c r="L58">
        <v>94</v>
      </c>
      <c r="M58">
        <v>3.8600000000000002E-2</v>
      </c>
      <c r="N58">
        <v>12.94355477988335</v>
      </c>
      <c r="O58">
        <v>1276.3393054851281</v>
      </c>
      <c r="P58">
        <v>3.605</v>
      </c>
      <c r="Q58">
        <v>1.9099999999999999E-2</v>
      </c>
      <c r="R58">
        <v>11.199750000000009</v>
      </c>
      <c r="S58" s="2"/>
      <c r="AB58" s="2"/>
    </row>
    <row r="59" spans="1:28" x14ac:dyDescent="0.3">
      <c r="A59" t="s">
        <v>45</v>
      </c>
      <c r="B59" t="s">
        <v>186</v>
      </c>
      <c r="C59">
        <v>94</v>
      </c>
      <c r="D59">
        <v>3.0599999999999999E-2</v>
      </c>
      <c r="E59">
        <v>12.409709963128471</v>
      </c>
      <c r="F59">
        <v>1226.5849685635731</v>
      </c>
      <c r="G59">
        <v>3.605</v>
      </c>
      <c r="H59">
        <v>1.0800000000000001E-2</v>
      </c>
      <c r="I59">
        <v>11.400069999999999</v>
      </c>
      <c r="J59" t="s">
        <v>45</v>
      </c>
      <c r="K59" t="s">
        <v>306</v>
      </c>
      <c r="L59">
        <v>94</v>
      </c>
      <c r="M59">
        <v>2.9899999999999999E-2</v>
      </c>
      <c r="N59">
        <v>12.40910256794502</v>
      </c>
      <c r="O59">
        <v>1226.5283593324759</v>
      </c>
      <c r="P59">
        <v>3.605</v>
      </c>
      <c r="Q59">
        <v>1.0800000000000001E-2</v>
      </c>
      <c r="R59">
        <v>11.398610000000005</v>
      </c>
      <c r="S59" s="2"/>
      <c r="AB59" s="2"/>
    </row>
    <row r="60" spans="1:28" x14ac:dyDescent="0.3">
      <c r="A60" t="s">
        <v>45</v>
      </c>
      <c r="B60" t="s">
        <v>187</v>
      </c>
      <c r="C60">
        <v>94</v>
      </c>
      <c r="D60">
        <v>2.3400000000000001E-2</v>
      </c>
      <c r="E60">
        <v>11.999942520722371</v>
      </c>
      <c r="F60">
        <v>1188.3946429313251</v>
      </c>
      <c r="G60">
        <v>3.605</v>
      </c>
      <c r="H60">
        <v>4.4999999999999997E-3</v>
      </c>
      <c r="I60">
        <v>11.601300000000002</v>
      </c>
      <c r="J60" t="s">
        <v>45</v>
      </c>
      <c r="K60" t="s">
        <v>307</v>
      </c>
      <c r="L60">
        <v>94</v>
      </c>
      <c r="M60">
        <v>2.23E-2</v>
      </c>
      <c r="N60">
        <v>11.99820556512368</v>
      </c>
      <c r="O60">
        <v>1188.2327586695269</v>
      </c>
      <c r="P60">
        <v>3.605</v>
      </c>
      <c r="Q60">
        <v>4.4000000000000003E-3</v>
      </c>
      <c r="R60">
        <v>11.600660000000005</v>
      </c>
      <c r="S60" s="2"/>
      <c r="AB60" s="2"/>
    </row>
    <row r="61" spans="1:28" x14ac:dyDescent="0.3">
      <c r="A61" t="s">
        <v>45</v>
      </c>
      <c r="B61" t="s">
        <v>188</v>
      </c>
      <c r="C61">
        <v>94</v>
      </c>
      <c r="D61">
        <v>1.4800000000000001E-2</v>
      </c>
      <c r="E61">
        <v>11.76395635470192</v>
      </c>
      <c r="F61">
        <v>1166.400732258219</v>
      </c>
      <c r="G61">
        <v>3.605</v>
      </c>
      <c r="H61">
        <v>8.0000000000000004E-4</v>
      </c>
      <c r="I61">
        <v>11.800560000000004</v>
      </c>
      <c r="J61" t="s">
        <v>45</v>
      </c>
      <c r="K61" t="s">
        <v>308</v>
      </c>
      <c r="L61">
        <v>94</v>
      </c>
      <c r="M61">
        <v>1.3299999999999999E-2</v>
      </c>
      <c r="N61">
        <v>11.7642132609691</v>
      </c>
      <c r="O61">
        <v>1166.4246759223199</v>
      </c>
      <c r="P61">
        <v>3.605</v>
      </c>
      <c r="Q61">
        <v>8.0000000000000004E-4</v>
      </c>
      <c r="R61">
        <v>11.798490000000001</v>
      </c>
      <c r="S61" s="2"/>
      <c r="AB61" s="2"/>
    </row>
    <row r="62" spans="1:28" x14ac:dyDescent="0.3">
      <c r="A62" t="s">
        <v>45</v>
      </c>
      <c r="B62" t="s">
        <v>189</v>
      </c>
      <c r="C62">
        <v>94</v>
      </c>
      <c r="D62">
        <v>7.1000000000000004E-3</v>
      </c>
      <c r="E62">
        <v>11.720884985059371</v>
      </c>
      <c r="F62">
        <v>1162.3864806075339</v>
      </c>
      <c r="G62">
        <v>3.605</v>
      </c>
      <c r="H62">
        <v>1E-4</v>
      </c>
      <c r="I62">
        <v>12.003120000000003</v>
      </c>
      <c r="J62" t="s">
        <v>45</v>
      </c>
      <c r="K62" t="s">
        <v>309</v>
      </c>
      <c r="L62">
        <v>94</v>
      </c>
      <c r="M62">
        <v>6.3E-3</v>
      </c>
      <c r="N62">
        <v>11.72122212993326</v>
      </c>
      <c r="O62">
        <v>1162.4179025097801</v>
      </c>
      <c r="P62">
        <v>3.605</v>
      </c>
      <c r="Q62">
        <v>1E-4</v>
      </c>
      <c r="R62">
        <v>12.00254000000001</v>
      </c>
      <c r="S62" s="2"/>
      <c r="AB62" s="2"/>
    </row>
    <row r="63" spans="1:28" x14ac:dyDescent="0.3">
      <c r="A63" t="s">
        <v>45</v>
      </c>
      <c r="B63" t="s">
        <v>190</v>
      </c>
      <c r="C63">
        <v>94</v>
      </c>
      <c r="D63">
        <v>4.0000000000000002E-4</v>
      </c>
      <c r="E63">
        <v>11.87333573874116</v>
      </c>
      <c r="F63">
        <v>1266.7795616065359</v>
      </c>
      <c r="G63">
        <v>3.605</v>
      </c>
      <c r="H63">
        <v>2.5000000000000001E-3</v>
      </c>
      <c r="I63">
        <v>12.200000000000003</v>
      </c>
      <c r="J63" t="s">
        <v>45</v>
      </c>
      <c r="K63" t="s">
        <v>310</v>
      </c>
      <c r="L63">
        <v>94</v>
      </c>
      <c r="M63">
        <v>-2.0000000000000001E-4</v>
      </c>
      <c r="N63">
        <v>11.874418832208461</v>
      </c>
      <c r="O63">
        <v>1266.8823471765829</v>
      </c>
      <c r="P63">
        <v>3.605</v>
      </c>
      <c r="Q63">
        <v>2.5000000000000001E-3</v>
      </c>
      <c r="R63">
        <v>12.199150000000003</v>
      </c>
      <c r="S63" s="2"/>
      <c r="AB63" s="2"/>
    </row>
    <row r="64" spans="1:28" x14ac:dyDescent="0.3">
      <c r="A64" t="s">
        <v>45</v>
      </c>
      <c r="B64" t="s">
        <v>191</v>
      </c>
      <c r="C64">
        <v>94</v>
      </c>
      <c r="D64">
        <v>1E-3</v>
      </c>
      <c r="E64">
        <v>12.222725099429329</v>
      </c>
      <c r="F64">
        <v>1299.936611935844</v>
      </c>
      <c r="G64">
        <v>3.605</v>
      </c>
      <c r="H64">
        <v>7.9000000000000008E-3</v>
      </c>
      <c r="I64">
        <v>12.406359999999999</v>
      </c>
      <c r="J64" t="s">
        <v>45</v>
      </c>
      <c r="K64" t="s">
        <v>311</v>
      </c>
      <c r="L64">
        <v>94</v>
      </c>
      <c r="M64">
        <v>1E-3</v>
      </c>
      <c r="N64">
        <v>12.21403464484538</v>
      </c>
      <c r="O64">
        <v>1299.1118877958261</v>
      </c>
      <c r="P64">
        <v>3.605</v>
      </c>
      <c r="Q64">
        <v>7.7999999999999996E-3</v>
      </c>
      <c r="R64">
        <v>12.40052</v>
      </c>
      <c r="S64" s="2"/>
      <c r="AB64" s="2"/>
    </row>
    <row r="65" spans="1:28" x14ac:dyDescent="0.3">
      <c r="A65" t="s">
        <v>45</v>
      </c>
      <c r="B65" t="s">
        <v>192</v>
      </c>
      <c r="C65">
        <v>94</v>
      </c>
      <c r="D65">
        <v>8.0999999999999996E-3</v>
      </c>
      <c r="E65">
        <v>12.695519807245301</v>
      </c>
      <c r="F65">
        <v>1344.8048297075791</v>
      </c>
      <c r="G65">
        <v>3.605</v>
      </c>
      <c r="H65">
        <v>1.5299999999999999E-2</v>
      </c>
      <c r="I65">
        <v>12.600120000000004</v>
      </c>
      <c r="J65" t="s">
        <v>45</v>
      </c>
      <c r="K65" t="s">
        <v>312</v>
      </c>
      <c r="L65">
        <v>94</v>
      </c>
      <c r="M65">
        <v>7.9000000000000008E-3</v>
      </c>
      <c r="N65">
        <v>12.701691477530479</v>
      </c>
      <c r="O65">
        <v>1345.390521217643</v>
      </c>
      <c r="P65">
        <v>3.605</v>
      </c>
      <c r="Q65">
        <v>1.54E-2</v>
      </c>
      <c r="R65">
        <v>12.600660000000005</v>
      </c>
      <c r="S65" s="2"/>
      <c r="AB65" s="2"/>
    </row>
    <row r="66" spans="1:28" x14ac:dyDescent="0.3">
      <c r="A66" t="s">
        <v>45</v>
      </c>
      <c r="B66" t="s">
        <v>193</v>
      </c>
      <c r="C66">
        <v>94</v>
      </c>
      <c r="D66">
        <v>1.34E-2</v>
      </c>
      <c r="E66">
        <v>13.288417384024781</v>
      </c>
      <c r="F66">
        <v>1401.0708097439519</v>
      </c>
      <c r="G66">
        <v>3.605</v>
      </c>
      <c r="H66">
        <v>2.4500000000000001E-2</v>
      </c>
      <c r="I66">
        <v>12.801660000000005</v>
      </c>
      <c r="J66" t="s">
        <v>45</v>
      </c>
      <c r="K66" t="s">
        <v>313</v>
      </c>
      <c r="L66">
        <v>94</v>
      </c>
      <c r="M66">
        <v>1.3100000000000001E-2</v>
      </c>
      <c r="N66">
        <v>13.29713824891498</v>
      </c>
      <c r="O66">
        <v>1401.8984198220321</v>
      </c>
      <c r="P66">
        <v>3.605</v>
      </c>
      <c r="Q66">
        <v>2.46E-2</v>
      </c>
      <c r="R66">
        <v>12.802760000000006</v>
      </c>
      <c r="S66" s="2"/>
      <c r="AB66" s="2"/>
    </row>
    <row r="67" spans="1:28" x14ac:dyDescent="0.3">
      <c r="A67" t="s">
        <v>45</v>
      </c>
      <c r="B67" t="s">
        <v>194</v>
      </c>
      <c r="C67">
        <v>94</v>
      </c>
      <c r="D67">
        <v>2.0899999999999998E-2</v>
      </c>
      <c r="E67">
        <v>13.903281744154251</v>
      </c>
      <c r="F67">
        <v>1459.421437520238</v>
      </c>
      <c r="G67">
        <v>3.605</v>
      </c>
      <c r="H67">
        <v>3.4000000000000002E-2</v>
      </c>
      <c r="I67">
        <v>12.995989999999999</v>
      </c>
      <c r="J67" t="s">
        <v>45</v>
      </c>
      <c r="K67" t="s">
        <v>314</v>
      </c>
      <c r="L67">
        <v>94</v>
      </c>
      <c r="M67">
        <v>2.07E-2</v>
      </c>
      <c r="N67">
        <v>13.91533517313839</v>
      </c>
      <c r="O67">
        <v>1460.565307930834</v>
      </c>
      <c r="P67">
        <v>3.605</v>
      </c>
      <c r="Q67">
        <v>3.4200000000000001E-2</v>
      </c>
      <c r="R67">
        <v>12.998080000000002</v>
      </c>
      <c r="S67" s="2"/>
      <c r="AB67" s="2"/>
    </row>
    <row r="68" spans="1:28" x14ac:dyDescent="0.3">
      <c r="A68" t="s">
        <v>45</v>
      </c>
      <c r="B68" t="s">
        <v>195</v>
      </c>
      <c r="C68">
        <v>94</v>
      </c>
      <c r="D68">
        <v>2.7400000000000001E-2</v>
      </c>
      <c r="E68">
        <v>14.53568595798561</v>
      </c>
      <c r="F68">
        <v>1519.436597412835</v>
      </c>
      <c r="G68">
        <v>3.605</v>
      </c>
      <c r="H68">
        <v>4.3900000000000002E-2</v>
      </c>
      <c r="I68">
        <v>13.201430000000009</v>
      </c>
      <c r="J68" t="s">
        <v>45</v>
      </c>
      <c r="K68" t="s">
        <v>315</v>
      </c>
      <c r="L68">
        <v>94</v>
      </c>
      <c r="M68">
        <v>2.75E-2</v>
      </c>
      <c r="N68">
        <v>14.53568595798561</v>
      </c>
      <c r="O68">
        <v>1519.436597412835</v>
      </c>
      <c r="P68">
        <v>3.605</v>
      </c>
      <c r="Q68">
        <v>4.3900000000000002E-2</v>
      </c>
      <c r="R68">
        <v>13.199720000000013</v>
      </c>
      <c r="S68" s="2"/>
      <c r="AB68" s="2"/>
    </row>
    <row r="69" spans="1:28" x14ac:dyDescent="0.3">
      <c r="A69" t="s">
        <v>45</v>
      </c>
      <c r="B69" t="s">
        <v>196</v>
      </c>
      <c r="C69">
        <v>94</v>
      </c>
      <c r="D69">
        <v>3.6400000000000002E-2</v>
      </c>
      <c r="E69">
        <v>15.070575672863139</v>
      </c>
      <c r="F69">
        <v>1570.197631354712</v>
      </c>
      <c r="G69">
        <v>3.605</v>
      </c>
      <c r="H69">
        <v>5.2200000000000003E-2</v>
      </c>
      <c r="I69">
        <v>13.400460000000002</v>
      </c>
      <c r="J69" t="s">
        <v>45</v>
      </c>
      <c r="K69" t="s">
        <v>316</v>
      </c>
      <c r="L69">
        <v>94</v>
      </c>
      <c r="M69">
        <v>3.6700000000000003E-2</v>
      </c>
      <c r="N69">
        <v>15.07418882271606</v>
      </c>
      <c r="O69">
        <v>1570.5405192757539</v>
      </c>
      <c r="P69">
        <v>3.605</v>
      </c>
      <c r="Q69">
        <v>5.2200000000000003E-2</v>
      </c>
      <c r="R69">
        <v>13.400260000000003</v>
      </c>
      <c r="S69" s="2"/>
      <c r="AB69" s="2"/>
    </row>
    <row r="70" spans="1:28" x14ac:dyDescent="0.3">
      <c r="A70" t="s">
        <v>45</v>
      </c>
      <c r="B70" t="s">
        <v>197</v>
      </c>
      <c r="C70">
        <v>94</v>
      </c>
      <c r="D70">
        <v>4.6699999999999998E-2</v>
      </c>
      <c r="E70">
        <v>15.47787833967436</v>
      </c>
      <c r="F70">
        <v>1608.8506544350971</v>
      </c>
      <c r="G70">
        <v>3.605</v>
      </c>
      <c r="H70">
        <v>5.8500000000000003E-2</v>
      </c>
      <c r="I70">
        <v>13.600380000000008</v>
      </c>
      <c r="J70" t="s">
        <v>45</v>
      </c>
      <c r="K70" t="s">
        <v>317</v>
      </c>
      <c r="L70">
        <v>94</v>
      </c>
      <c r="M70">
        <v>4.7199999999999999E-2</v>
      </c>
      <c r="N70">
        <v>15.47818893026883</v>
      </c>
      <c r="O70">
        <v>1608.8801294825121</v>
      </c>
      <c r="P70">
        <v>3.605</v>
      </c>
      <c r="Q70">
        <v>5.8500000000000003E-2</v>
      </c>
      <c r="R70">
        <v>13.598860000000002</v>
      </c>
      <c r="S70" s="2"/>
      <c r="AB70" s="2"/>
    </row>
    <row r="71" spans="1:28" x14ac:dyDescent="0.3">
      <c r="A71" t="s">
        <v>45</v>
      </c>
      <c r="B71" t="s">
        <v>198</v>
      </c>
      <c r="C71">
        <v>94</v>
      </c>
      <c r="D71">
        <v>5.5E-2</v>
      </c>
      <c r="E71">
        <v>15.714920189339409</v>
      </c>
      <c r="F71">
        <v>1631.34592596831</v>
      </c>
      <c r="G71">
        <v>3.605</v>
      </c>
      <c r="H71">
        <v>6.2199999999999998E-2</v>
      </c>
      <c r="I71">
        <v>13.799910000000004</v>
      </c>
      <c r="J71" t="s">
        <v>45</v>
      </c>
      <c r="K71" t="s">
        <v>318</v>
      </c>
      <c r="L71">
        <v>94</v>
      </c>
      <c r="M71">
        <v>5.7200000000000001E-2</v>
      </c>
      <c r="N71">
        <v>15.716928080493229</v>
      </c>
      <c r="O71">
        <v>1631.536474838807</v>
      </c>
      <c r="P71">
        <v>3.605</v>
      </c>
      <c r="Q71">
        <v>6.2199999999999998E-2</v>
      </c>
      <c r="R71">
        <v>13.801030000000011</v>
      </c>
      <c r="S71" s="2"/>
      <c r="AB71" s="2"/>
    </row>
    <row r="72" spans="1:28" x14ac:dyDescent="0.3">
      <c r="A72" t="s">
        <v>45</v>
      </c>
      <c r="B72" t="s">
        <v>199</v>
      </c>
      <c r="C72">
        <v>94</v>
      </c>
      <c r="D72">
        <v>6.54E-2</v>
      </c>
      <c r="E72">
        <v>15.756797208395581</v>
      </c>
      <c r="F72">
        <v>1635.320055076741</v>
      </c>
      <c r="G72">
        <v>3.605</v>
      </c>
      <c r="H72">
        <v>6.2799999999999995E-2</v>
      </c>
      <c r="I72">
        <v>14.008519999999997</v>
      </c>
      <c r="J72" t="s">
        <v>45</v>
      </c>
      <c r="K72" t="s">
        <v>319</v>
      </c>
      <c r="L72">
        <v>94</v>
      </c>
      <c r="M72">
        <v>6.6100000000000006E-2</v>
      </c>
      <c r="N72">
        <v>15.75877387830165</v>
      </c>
      <c r="O72">
        <v>1635.507641050827</v>
      </c>
      <c r="P72">
        <v>3.605</v>
      </c>
      <c r="Q72">
        <v>6.2899999999999998E-2</v>
      </c>
      <c r="R72">
        <v>14.00030000000001</v>
      </c>
      <c r="S72" s="2"/>
      <c r="AB72" s="2"/>
    </row>
    <row r="73" spans="1:28" x14ac:dyDescent="0.3">
      <c r="A73" t="s">
        <v>45</v>
      </c>
      <c r="B73" t="s">
        <v>200</v>
      </c>
      <c r="C73">
        <v>94</v>
      </c>
      <c r="D73">
        <v>6.93E-2</v>
      </c>
      <c r="E73">
        <v>15.603916894946581</v>
      </c>
      <c r="F73">
        <v>1524.285054609021</v>
      </c>
      <c r="G73">
        <v>3.605</v>
      </c>
      <c r="H73">
        <v>6.0499999999999998E-2</v>
      </c>
      <c r="I73">
        <v>14.20167</v>
      </c>
      <c r="J73" t="s">
        <v>45</v>
      </c>
      <c r="K73" t="s">
        <v>320</v>
      </c>
      <c r="L73">
        <v>94</v>
      </c>
      <c r="M73">
        <v>6.9400000000000003E-2</v>
      </c>
      <c r="N73">
        <v>15.60503315592122</v>
      </c>
      <c r="O73">
        <v>1524.389090131858</v>
      </c>
      <c r="P73">
        <v>3.605</v>
      </c>
      <c r="Q73">
        <v>6.0499999999999998E-2</v>
      </c>
      <c r="R73">
        <v>14.199060000000003</v>
      </c>
      <c r="S73" s="2"/>
      <c r="AB73" s="2"/>
    </row>
    <row r="74" spans="1:28" x14ac:dyDescent="0.3">
      <c r="A74" t="s">
        <v>45</v>
      </c>
      <c r="B74" t="s">
        <v>201</v>
      </c>
      <c r="C74">
        <v>94</v>
      </c>
      <c r="D74">
        <v>6.59E-2</v>
      </c>
      <c r="E74">
        <v>15.266452104638221</v>
      </c>
      <c r="F74">
        <v>1492.8333361522821</v>
      </c>
      <c r="G74">
        <v>3.605</v>
      </c>
      <c r="H74">
        <v>5.5199999999999999E-2</v>
      </c>
      <c r="I74">
        <v>14.401680000000006</v>
      </c>
      <c r="J74" t="s">
        <v>45</v>
      </c>
      <c r="K74" t="s">
        <v>321</v>
      </c>
      <c r="L74">
        <v>94</v>
      </c>
      <c r="M74">
        <v>6.6000000000000003E-2</v>
      </c>
      <c r="N74">
        <v>15.2611688207662</v>
      </c>
      <c r="O74">
        <v>1492.340934095409</v>
      </c>
      <c r="P74">
        <v>3.605</v>
      </c>
      <c r="Q74">
        <v>5.5100000000000003E-2</v>
      </c>
      <c r="R74">
        <v>14.402480000000011</v>
      </c>
      <c r="S74" s="2"/>
      <c r="AB74" s="2"/>
    </row>
    <row r="75" spans="1:28" x14ac:dyDescent="0.3">
      <c r="A75" t="s">
        <v>45</v>
      </c>
      <c r="B75" t="s">
        <v>202</v>
      </c>
      <c r="C75">
        <v>94</v>
      </c>
      <c r="D75">
        <v>5.7700000000000001E-2</v>
      </c>
      <c r="E75">
        <v>14.7837497190469</v>
      </c>
      <c r="F75">
        <v>1447.8454738151711</v>
      </c>
      <c r="G75">
        <v>3.605</v>
      </c>
      <c r="H75">
        <v>4.7699999999999999E-2</v>
      </c>
      <c r="I75">
        <v>14.600150000000006</v>
      </c>
      <c r="J75" t="s">
        <v>45</v>
      </c>
      <c r="K75" t="s">
        <v>322</v>
      </c>
      <c r="L75">
        <v>94</v>
      </c>
      <c r="M75">
        <v>5.91E-2</v>
      </c>
      <c r="N75">
        <v>14.78331181063694</v>
      </c>
      <c r="O75">
        <v>1447.8046607513629</v>
      </c>
      <c r="P75">
        <v>3.605</v>
      </c>
      <c r="Q75">
        <v>4.7699999999999999E-2</v>
      </c>
      <c r="R75">
        <v>14.598600000000005</v>
      </c>
      <c r="S75" s="2"/>
      <c r="AB75" s="2"/>
    </row>
    <row r="76" spans="1:28" x14ac:dyDescent="0.3">
      <c r="A76" t="s">
        <v>45</v>
      </c>
      <c r="B76" t="s">
        <v>203</v>
      </c>
      <c r="C76">
        <v>94</v>
      </c>
      <c r="D76">
        <v>5.3100000000000001E-2</v>
      </c>
      <c r="E76">
        <v>14.18987739058451</v>
      </c>
      <c r="F76">
        <v>1392.496572802477</v>
      </c>
      <c r="G76">
        <v>3.605</v>
      </c>
      <c r="H76">
        <v>3.85E-2</v>
      </c>
      <c r="I76">
        <v>14.802</v>
      </c>
      <c r="J76" t="s">
        <v>45</v>
      </c>
      <c r="K76" t="s">
        <v>323</v>
      </c>
      <c r="L76">
        <v>94</v>
      </c>
      <c r="M76">
        <v>5.2200000000000003E-2</v>
      </c>
      <c r="N76">
        <v>14.18903279501234</v>
      </c>
      <c r="O76">
        <v>1392.4178564951501</v>
      </c>
      <c r="P76">
        <v>3.605</v>
      </c>
      <c r="Q76">
        <v>3.85E-2</v>
      </c>
      <c r="R76">
        <v>14.800560000000004</v>
      </c>
      <c r="S76" s="2"/>
      <c r="AB76" s="2"/>
    </row>
    <row r="77" spans="1:28" x14ac:dyDescent="0.3">
      <c r="A77" t="s">
        <v>45</v>
      </c>
      <c r="B77" t="s">
        <v>204</v>
      </c>
      <c r="C77">
        <v>94</v>
      </c>
      <c r="D77">
        <v>4.7300000000000002E-2</v>
      </c>
      <c r="E77">
        <v>13.565402968210179</v>
      </c>
      <c r="F77">
        <v>1334.2955566371879</v>
      </c>
      <c r="G77">
        <v>3.605</v>
      </c>
      <c r="H77">
        <v>2.8799999999999999E-2</v>
      </c>
      <c r="I77">
        <v>14.99935</v>
      </c>
      <c r="J77" t="s">
        <v>45</v>
      </c>
      <c r="K77" t="s">
        <v>324</v>
      </c>
      <c r="L77">
        <v>94</v>
      </c>
      <c r="M77">
        <v>4.5600000000000002E-2</v>
      </c>
      <c r="N77">
        <v>13.559146960009</v>
      </c>
      <c r="O77">
        <v>1333.7124966728391</v>
      </c>
      <c r="P77">
        <v>3.605</v>
      </c>
      <c r="Q77">
        <v>2.87E-2</v>
      </c>
      <c r="R77">
        <v>14.999610000000004</v>
      </c>
      <c r="S77" s="2"/>
      <c r="AB77" s="2"/>
    </row>
    <row r="78" spans="1:28" x14ac:dyDescent="0.3">
      <c r="A78" t="s">
        <v>45</v>
      </c>
      <c r="B78" t="s">
        <v>205</v>
      </c>
      <c r="C78">
        <v>94</v>
      </c>
      <c r="D78">
        <v>3.8800000000000001E-2</v>
      </c>
      <c r="E78">
        <v>12.94565592930965</v>
      </c>
      <c r="F78">
        <v>1276.5351326116599</v>
      </c>
      <c r="G78">
        <v>3.605</v>
      </c>
      <c r="H78">
        <v>1.9199999999999998E-2</v>
      </c>
      <c r="I78">
        <v>15.200750000000006</v>
      </c>
      <c r="J78" t="s">
        <v>45</v>
      </c>
      <c r="K78" t="s">
        <v>325</v>
      </c>
      <c r="L78">
        <v>94</v>
      </c>
      <c r="M78">
        <v>3.7100000000000001E-2</v>
      </c>
      <c r="N78">
        <v>12.930738254947769</v>
      </c>
      <c r="O78">
        <v>1275.1448053611321</v>
      </c>
      <c r="P78">
        <v>3.605</v>
      </c>
      <c r="Q78">
        <v>1.89E-2</v>
      </c>
      <c r="R78">
        <v>15.204130000000006</v>
      </c>
      <c r="S78" s="2"/>
      <c r="AB78" s="2"/>
    </row>
    <row r="79" spans="1:28" x14ac:dyDescent="0.3">
      <c r="A79" t="s">
        <v>45</v>
      </c>
      <c r="B79" t="s">
        <v>206</v>
      </c>
      <c r="C79">
        <v>94</v>
      </c>
      <c r="D79">
        <v>3.09E-2</v>
      </c>
      <c r="E79">
        <v>12.412194282413489</v>
      </c>
      <c r="F79">
        <v>1226.8165071209371</v>
      </c>
      <c r="G79">
        <v>3.605</v>
      </c>
      <c r="H79">
        <v>1.09E-2</v>
      </c>
      <c r="I79">
        <v>15.399040000000007</v>
      </c>
      <c r="J79" t="s">
        <v>45</v>
      </c>
      <c r="K79" t="s">
        <v>326</v>
      </c>
      <c r="L79">
        <v>94</v>
      </c>
      <c r="M79">
        <v>3.0300000000000001E-2</v>
      </c>
      <c r="N79">
        <v>12.409145547844521</v>
      </c>
      <c r="O79">
        <v>1226.532365059109</v>
      </c>
      <c r="P79">
        <v>3.605</v>
      </c>
      <c r="Q79">
        <v>1.0800000000000001E-2</v>
      </c>
      <c r="R79">
        <v>15.398590000000013</v>
      </c>
      <c r="S79" s="2"/>
      <c r="AB79" s="2"/>
    </row>
    <row r="80" spans="1:28" x14ac:dyDescent="0.3">
      <c r="A80" t="s">
        <v>45</v>
      </c>
      <c r="B80" t="s">
        <v>207</v>
      </c>
      <c r="C80">
        <v>94</v>
      </c>
      <c r="D80">
        <v>2.2499999999999999E-2</v>
      </c>
      <c r="E80">
        <v>12.00170534535491</v>
      </c>
      <c r="F80">
        <v>1188.558938187078</v>
      </c>
      <c r="G80">
        <v>3.605</v>
      </c>
      <c r="H80">
        <v>4.4999999999999997E-3</v>
      </c>
      <c r="I80">
        <v>15.60022</v>
      </c>
      <c r="J80" t="s">
        <v>45</v>
      </c>
      <c r="K80" t="s">
        <v>327</v>
      </c>
      <c r="L80">
        <v>94</v>
      </c>
      <c r="M80">
        <v>2.23E-2</v>
      </c>
      <c r="N80">
        <v>11.999391972538071</v>
      </c>
      <c r="O80">
        <v>1188.343331840548</v>
      </c>
      <c r="P80">
        <v>3.605</v>
      </c>
      <c r="Q80">
        <v>4.4999999999999997E-3</v>
      </c>
      <c r="R80">
        <v>15.599930000000001</v>
      </c>
      <c r="S80" s="2"/>
      <c r="AB80" s="2"/>
    </row>
    <row r="81" spans="1:28" x14ac:dyDescent="0.3">
      <c r="A81" t="s">
        <v>45</v>
      </c>
      <c r="B81" t="s">
        <v>208</v>
      </c>
      <c r="C81">
        <v>94</v>
      </c>
      <c r="D81">
        <v>1.4999999999999999E-2</v>
      </c>
      <c r="E81">
        <v>11.7641947715029</v>
      </c>
      <c r="F81">
        <v>1166.4229527040709</v>
      </c>
      <c r="G81">
        <v>3.605</v>
      </c>
      <c r="H81">
        <v>8.0000000000000004E-4</v>
      </c>
      <c r="I81">
        <v>15.800230000000006</v>
      </c>
      <c r="J81" t="s">
        <v>45</v>
      </c>
      <c r="K81" t="s">
        <v>328</v>
      </c>
      <c r="L81">
        <v>94</v>
      </c>
      <c r="M81">
        <v>1.4200000000000001E-2</v>
      </c>
      <c r="N81">
        <v>11.762392089095639</v>
      </c>
      <c r="O81">
        <v>1166.2549427037141</v>
      </c>
      <c r="P81">
        <v>3.605</v>
      </c>
      <c r="Q81">
        <v>8.0000000000000004E-4</v>
      </c>
      <c r="R81">
        <v>15.801060000000007</v>
      </c>
      <c r="S81" s="2"/>
      <c r="AB81" s="2"/>
    </row>
    <row r="82" spans="1:28" x14ac:dyDescent="0.3">
      <c r="A82" t="s">
        <v>45</v>
      </c>
      <c r="B82" t="s">
        <v>209</v>
      </c>
      <c r="C82">
        <v>94</v>
      </c>
      <c r="D82">
        <v>6.3E-3</v>
      </c>
      <c r="E82">
        <v>11.7200096223667</v>
      </c>
      <c r="F82">
        <v>1162.3048968045759</v>
      </c>
      <c r="G82">
        <v>3.605</v>
      </c>
      <c r="H82">
        <v>1E-4</v>
      </c>
      <c r="I82">
        <v>16.000040000000006</v>
      </c>
      <c r="J82" t="s">
        <v>45</v>
      </c>
      <c r="K82" t="s">
        <v>329</v>
      </c>
      <c r="L82">
        <v>94</v>
      </c>
      <c r="M82">
        <v>6.1000000000000004E-3</v>
      </c>
      <c r="N82">
        <v>11.720782031981249</v>
      </c>
      <c r="O82">
        <v>1162.376885380653</v>
      </c>
      <c r="P82">
        <v>3.605</v>
      </c>
      <c r="Q82">
        <v>1E-4</v>
      </c>
      <c r="R82">
        <v>16.001050000000006</v>
      </c>
      <c r="S82" s="2"/>
      <c r="AB82" s="2"/>
    </row>
    <row r="83" spans="1:28" x14ac:dyDescent="0.3">
      <c r="A83" t="s">
        <v>45</v>
      </c>
      <c r="B83" t="s">
        <v>210</v>
      </c>
      <c r="C83">
        <v>94</v>
      </c>
      <c r="D83">
        <v>-2.0000000000000001E-4</v>
      </c>
      <c r="E83">
        <v>11.87202331101768</v>
      </c>
      <c r="F83">
        <v>1266.6550122155779</v>
      </c>
      <c r="G83">
        <v>3.605</v>
      </c>
      <c r="H83">
        <v>2.5000000000000001E-3</v>
      </c>
      <c r="I83">
        <v>16.19894</v>
      </c>
      <c r="J83" t="s">
        <v>45</v>
      </c>
      <c r="K83" t="s">
        <v>330</v>
      </c>
      <c r="L83">
        <v>94</v>
      </c>
      <c r="M83">
        <v>-1E-4</v>
      </c>
      <c r="N83">
        <v>11.87471186591946</v>
      </c>
      <c r="O83">
        <v>1266.910156075757</v>
      </c>
      <c r="P83">
        <v>3.605</v>
      </c>
      <c r="Q83">
        <v>2.5000000000000001E-3</v>
      </c>
      <c r="R83">
        <v>16.199400000000011</v>
      </c>
      <c r="S83" s="2"/>
      <c r="AB83" s="2"/>
    </row>
    <row r="84" spans="1:28" x14ac:dyDescent="0.3">
      <c r="A84" t="s">
        <v>45</v>
      </c>
      <c r="B84" t="s">
        <v>211</v>
      </c>
      <c r="C84">
        <v>94</v>
      </c>
      <c r="D84">
        <v>6.9999999999999999E-4</v>
      </c>
      <c r="E84">
        <v>12.208408332718889</v>
      </c>
      <c r="F84">
        <v>1298.5779507750231</v>
      </c>
      <c r="G84">
        <v>3.605</v>
      </c>
      <c r="H84">
        <v>7.7000000000000002E-3</v>
      </c>
      <c r="I84">
        <v>16.399540000000009</v>
      </c>
      <c r="J84" t="s">
        <v>45</v>
      </c>
      <c r="K84" t="s">
        <v>331</v>
      </c>
      <c r="L84">
        <v>94</v>
      </c>
      <c r="M84">
        <v>8.9999999999999998E-4</v>
      </c>
      <c r="N84">
        <v>12.215199967780769</v>
      </c>
      <c r="O84">
        <v>1299.2224769423949</v>
      </c>
      <c r="P84">
        <v>3.605</v>
      </c>
      <c r="Q84">
        <v>7.7999999999999996E-3</v>
      </c>
      <c r="R84">
        <v>16.401070000000004</v>
      </c>
      <c r="S84" s="2"/>
      <c r="AB84" s="2"/>
    </row>
    <row r="85" spans="1:28" x14ac:dyDescent="0.3">
      <c r="A85" t="s">
        <v>45</v>
      </c>
      <c r="B85" t="s">
        <v>212</v>
      </c>
      <c r="C85">
        <v>94</v>
      </c>
      <c r="D85">
        <v>8.0000000000000002E-3</v>
      </c>
      <c r="E85">
        <v>12.69459614487689</v>
      </c>
      <c r="F85">
        <v>1344.7171741488171</v>
      </c>
      <c r="G85">
        <v>3.605</v>
      </c>
      <c r="H85">
        <v>1.5299999999999999E-2</v>
      </c>
      <c r="I85">
        <v>16.599780000000003</v>
      </c>
      <c r="J85" t="s">
        <v>45</v>
      </c>
      <c r="K85" t="s">
        <v>332</v>
      </c>
      <c r="L85">
        <v>94</v>
      </c>
      <c r="M85">
        <v>9.7999999999999997E-3</v>
      </c>
      <c r="N85">
        <v>12.693231735803259</v>
      </c>
      <c r="O85">
        <v>1344.5876917277301</v>
      </c>
      <c r="P85">
        <v>3.605</v>
      </c>
      <c r="Q85">
        <v>1.52E-2</v>
      </c>
      <c r="R85">
        <v>16.597570000000005</v>
      </c>
      <c r="S85" s="2"/>
      <c r="AB85" s="2"/>
    </row>
    <row r="86" spans="1:28" x14ac:dyDescent="0.3">
      <c r="A86" t="s">
        <v>45</v>
      </c>
      <c r="B86" t="s">
        <v>213</v>
      </c>
      <c r="C86">
        <v>94</v>
      </c>
      <c r="D86">
        <v>1.2999999999999999E-2</v>
      </c>
      <c r="E86">
        <v>13.28444255426289</v>
      </c>
      <c r="F86">
        <v>1400.693598399549</v>
      </c>
      <c r="G86">
        <v>3.605</v>
      </c>
      <c r="H86">
        <v>2.4400000000000002E-2</v>
      </c>
      <c r="I86">
        <v>16.800379999999997</v>
      </c>
      <c r="J86" t="s">
        <v>45</v>
      </c>
      <c r="K86" t="s">
        <v>333</v>
      </c>
      <c r="L86">
        <v>94</v>
      </c>
      <c r="M86">
        <v>1.14E-2</v>
      </c>
      <c r="N86">
        <v>13.290021426311631</v>
      </c>
      <c r="O86">
        <v>1401.2230333569739</v>
      </c>
      <c r="P86">
        <v>3.605</v>
      </c>
      <c r="Q86">
        <v>2.4500000000000001E-2</v>
      </c>
      <c r="R86">
        <v>16.800470000000004</v>
      </c>
      <c r="S86" s="2"/>
      <c r="AB86" s="2"/>
    </row>
    <row r="87" spans="1:28" x14ac:dyDescent="0.3">
      <c r="A87" t="s">
        <v>45</v>
      </c>
      <c r="B87" t="s">
        <v>214</v>
      </c>
      <c r="C87">
        <v>94</v>
      </c>
      <c r="D87">
        <v>1.9900000000000001E-2</v>
      </c>
      <c r="E87">
        <v>13.91161051882924</v>
      </c>
      <c r="F87">
        <v>1460.211838236894</v>
      </c>
      <c r="G87">
        <v>3.605</v>
      </c>
      <c r="H87">
        <v>3.4200000000000001E-2</v>
      </c>
      <c r="I87">
        <v>16.998610000000006</v>
      </c>
      <c r="J87" t="s">
        <v>45</v>
      </c>
      <c r="K87" t="s">
        <v>334</v>
      </c>
      <c r="L87">
        <v>94</v>
      </c>
      <c r="M87">
        <v>2.01E-2</v>
      </c>
      <c r="N87">
        <v>13.928804100510661</v>
      </c>
      <c r="O87">
        <v>1461.843509138462</v>
      </c>
      <c r="P87">
        <v>3.605</v>
      </c>
      <c r="Q87">
        <v>3.44E-2</v>
      </c>
      <c r="R87">
        <v>17.002330000000001</v>
      </c>
      <c r="S87" s="2"/>
      <c r="AB87" s="2"/>
    </row>
    <row r="88" spans="1:28" x14ac:dyDescent="0.3">
      <c r="A88" t="s">
        <v>45</v>
      </c>
      <c r="B88" t="s">
        <v>215</v>
      </c>
      <c r="C88">
        <v>94</v>
      </c>
      <c r="D88">
        <v>2.81E-2</v>
      </c>
      <c r="E88">
        <v>14.531278490933509</v>
      </c>
      <c r="F88">
        <v>1519.01832878959</v>
      </c>
      <c r="G88">
        <v>3.605</v>
      </c>
      <c r="H88">
        <v>4.3799999999999999E-2</v>
      </c>
      <c r="I88">
        <v>17.199930000000002</v>
      </c>
      <c r="J88" t="s">
        <v>45</v>
      </c>
      <c r="K88" t="s">
        <v>335</v>
      </c>
      <c r="L88">
        <v>94</v>
      </c>
      <c r="M88">
        <v>2.8400000000000002E-2</v>
      </c>
      <c r="N88">
        <v>14.535292651358141</v>
      </c>
      <c r="O88">
        <v>1519.3992726138879</v>
      </c>
      <c r="P88">
        <v>3.605</v>
      </c>
      <c r="Q88">
        <v>4.3900000000000002E-2</v>
      </c>
      <c r="R88">
        <v>17.199590000000001</v>
      </c>
      <c r="S88" s="2"/>
      <c r="AB88" s="2"/>
    </row>
    <row r="89" spans="1:28" x14ac:dyDescent="0.3">
      <c r="A89" t="s">
        <v>45</v>
      </c>
      <c r="B89" t="s">
        <v>216</v>
      </c>
      <c r="C89">
        <v>94</v>
      </c>
      <c r="D89">
        <v>3.6499999999999998E-2</v>
      </c>
      <c r="E89">
        <v>15.068092164519619</v>
      </c>
      <c r="F89">
        <v>1569.9619464129121</v>
      </c>
      <c r="G89">
        <v>3.605</v>
      </c>
      <c r="H89">
        <v>5.21E-2</v>
      </c>
      <c r="I89">
        <v>17.399430000000002</v>
      </c>
      <c r="J89" t="s">
        <v>45</v>
      </c>
      <c r="K89" t="s">
        <v>336</v>
      </c>
      <c r="L89">
        <v>94</v>
      </c>
      <c r="M89">
        <v>3.6499999999999998E-2</v>
      </c>
      <c r="N89">
        <v>15.072981330822669</v>
      </c>
      <c r="O89">
        <v>1570.425928295072</v>
      </c>
      <c r="P89">
        <v>3.605</v>
      </c>
      <c r="Q89">
        <v>5.2200000000000003E-2</v>
      </c>
      <c r="R89">
        <v>17.399760000000001</v>
      </c>
      <c r="S89" s="2"/>
      <c r="AB89" s="2"/>
    </row>
    <row r="90" spans="1:28" x14ac:dyDescent="0.3">
      <c r="A90" t="s">
        <v>45</v>
      </c>
      <c r="B90" t="s">
        <v>217</v>
      </c>
      <c r="C90">
        <v>94</v>
      </c>
      <c r="D90">
        <v>4.6199999999999998E-2</v>
      </c>
      <c r="E90">
        <v>15.479891501947931</v>
      </c>
      <c r="F90">
        <v>1609.041703534858</v>
      </c>
      <c r="G90">
        <v>3.605</v>
      </c>
      <c r="H90">
        <v>5.8500000000000003E-2</v>
      </c>
      <c r="I90">
        <v>17.601599999999998</v>
      </c>
      <c r="J90" t="s">
        <v>45</v>
      </c>
      <c r="K90" t="s">
        <v>337</v>
      </c>
      <c r="L90">
        <v>94</v>
      </c>
      <c r="M90">
        <v>4.7699999999999999E-2</v>
      </c>
      <c r="N90">
        <v>15.47828705419032</v>
      </c>
      <c r="O90">
        <v>1608.889441442662</v>
      </c>
      <c r="P90">
        <v>3.605</v>
      </c>
      <c r="Q90">
        <v>5.8500000000000003E-2</v>
      </c>
      <c r="R90">
        <v>17.598920000000007</v>
      </c>
      <c r="S90" s="2"/>
      <c r="AB90" s="2"/>
    </row>
    <row r="91" spans="1:28" x14ac:dyDescent="0.3">
      <c r="A91" t="s">
        <v>45</v>
      </c>
      <c r="B91" t="s">
        <v>218</v>
      </c>
      <c r="C91">
        <v>94</v>
      </c>
      <c r="D91">
        <v>5.6099999999999997E-2</v>
      </c>
      <c r="E91">
        <v>15.71535566492487</v>
      </c>
      <c r="F91">
        <v>1631.3872526013711</v>
      </c>
      <c r="G91">
        <v>3.605</v>
      </c>
      <c r="H91">
        <v>6.2199999999999998E-2</v>
      </c>
      <c r="I91">
        <v>17.800519999999999</v>
      </c>
      <c r="J91" t="s">
        <v>45</v>
      </c>
      <c r="K91" t="s">
        <v>338</v>
      </c>
      <c r="L91">
        <v>94</v>
      </c>
      <c r="M91">
        <v>5.79E-2</v>
      </c>
      <c r="N91">
        <v>15.71552555716911</v>
      </c>
      <c r="O91">
        <v>1631.4033753753481</v>
      </c>
      <c r="P91">
        <v>3.605</v>
      </c>
      <c r="Q91">
        <v>6.2199999999999998E-2</v>
      </c>
      <c r="R91">
        <v>17.799050000000008</v>
      </c>
      <c r="S91" s="2"/>
      <c r="AB91" s="2"/>
    </row>
    <row r="92" spans="1:28" x14ac:dyDescent="0.3">
      <c r="A92" t="s">
        <v>45</v>
      </c>
      <c r="B92" t="s">
        <v>219</v>
      </c>
      <c r="C92">
        <v>94</v>
      </c>
      <c r="D92">
        <v>6.5000000000000002E-2</v>
      </c>
      <c r="E92">
        <v>15.758565871806921</v>
      </c>
      <c r="F92">
        <v>1635.487901234477</v>
      </c>
      <c r="G92">
        <v>3.605</v>
      </c>
      <c r="H92">
        <v>6.2899999999999998E-2</v>
      </c>
      <c r="I92">
        <v>18.002730000000007</v>
      </c>
      <c r="J92" t="s">
        <v>45</v>
      </c>
      <c r="K92" t="s">
        <v>339</v>
      </c>
      <c r="L92">
        <v>94</v>
      </c>
      <c r="M92">
        <v>6.54E-2</v>
      </c>
      <c r="N92">
        <v>15.759107175258119</v>
      </c>
      <c r="O92">
        <v>1635.5392709319949</v>
      </c>
      <c r="P92">
        <v>3.605</v>
      </c>
      <c r="Q92">
        <v>6.2899999999999998E-2</v>
      </c>
      <c r="R92">
        <v>17.999120000000005</v>
      </c>
      <c r="S92" s="2"/>
      <c r="AB92" s="2"/>
    </row>
    <row r="93" spans="1:28" x14ac:dyDescent="0.3">
      <c r="A93" t="s">
        <v>45</v>
      </c>
      <c r="B93" t="s">
        <v>220</v>
      </c>
      <c r="C93">
        <v>94</v>
      </c>
      <c r="D93">
        <v>6.9199999999999998E-2</v>
      </c>
      <c r="E93">
        <v>15.606434057362341</v>
      </c>
      <c r="F93">
        <v>1524.519654146171</v>
      </c>
      <c r="G93">
        <v>3.605</v>
      </c>
      <c r="H93">
        <v>6.0499999999999998E-2</v>
      </c>
      <c r="I93">
        <v>18.199649999999998</v>
      </c>
      <c r="J93" t="s">
        <v>45</v>
      </c>
      <c r="K93" t="s">
        <v>340</v>
      </c>
      <c r="L93">
        <v>94</v>
      </c>
      <c r="M93">
        <v>6.9099999999999995E-2</v>
      </c>
      <c r="N93">
        <v>15.6063736422206</v>
      </c>
      <c r="O93">
        <v>1524.5140234549599</v>
      </c>
      <c r="P93">
        <v>3.605</v>
      </c>
      <c r="Q93">
        <v>6.0499999999999998E-2</v>
      </c>
      <c r="R93">
        <v>18.197990000000004</v>
      </c>
      <c r="S93" s="2"/>
      <c r="AB93" s="2"/>
    </row>
    <row r="94" spans="1:28" x14ac:dyDescent="0.3">
      <c r="A94" t="s">
        <v>45</v>
      </c>
      <c r="B94" t="s">
        <v>221</v>
      </c>
      <c r="C94">
        <v>94</v>
      </c>
      <c r="D94">
        <v>6.6199999999999995E-2</v>
      </c>
      <c r="E94">
        <v>15.26957909506193</v>
      </c>
      <c r="F94">
        <v>1493.124771659772</v>
      </c>
      <c r="G94">
        <v>3.605</v>
      </c>
      <c r="H94">
        <v>5.5300000000000002E-2</v>
      </c>
      <c r="I94">
        <v>18.400190000000002</v>
      </c>
      <c r="J94" t="s">
        <v>45</v>
      </c>
      <c r="K94" t="s">
        <v>341</v>
      </c>
      <c r="L94">
        <v>94</v>
      </c>
      <c r="M94">
        <v>6.5600000000000006E-2</v>
      </c>
      <c r="N94">
        <v>15.26481927392811</v>
      </c>
      <c r="O94">
        <v>1492.6811563301001</v>
      </c>
      <c r="P94">
        <v>3.605</v>
      </c>
      <c r="Q94">
        <v>5.5199999999999999E-2</v>
      </c>
      <c r="R94">
        <v>18.400750000000002</v>
      </c>
      <c r="S94" s="2"/>
      <c r="AB94" s="2"/>
    </row>
    <row r="95" spans="1:28" x14ac:dyDescent="0.3">
      <c r="A95" t="s">
        <v>45</v>
      </c>
      <c r="B95" t="s">
        <v>222</v>
      </c>
      <c r="C95">
        <v>94</v>
      </c>
      <c r="D95">
        <v>5.9700000000000003E-2</v>
      </c>
      <c r="E95">
        <v>14.785746662490469</v>
      </c>
      <c r="F95">
        <v>1448.0315889441119</v>
      </c>
      <c r="G95">
        <v>3.605</v>
      </c>
      <c r="H95">
        <v>4.7800000000000002E-2</v>
      </c>
      <c r="I95">
        <v>18.599409999999999</v>
      </c>
      <c r="J95" t="s">
        <v>45</v>
      </c>
      <c r="K95" t="s">
        <v>342</v>
      </c>
      <c r="L95">
        <v>94</v>
      </c>
      <c r="M95">
        <v>5.8400000000000001E-2</v>
      </c>
      <c r="N95">
        <v>14.7848453010133</v>
      </c>
      <c r="O95">
        <v>1447.947582054439</v>
      </c>
      <c r="P95">
        <v>3.605</v>
      </c>
      <c r="Q95">
        <v>4.7699999999999999E-2</v>
      </c>
      <c r="R95">
        <v>18.598030000000008</v>
      </c>
      <c r="S95" s="2"/>
      <c r="AB95" s="2"/>
    </row>
    <row r="96" spans="1:28" x14ac:dyDescent="0.3">
      <c r="A96" t="s">
        <v>45</v>
      </c>
      <c r="B96" t="s">
        <v>223</v>
      </c>
      <c r="C96">
        <v>94</v>
      </c>
      <c r="D96">
        <v>5.2499999999999998E-2</v>
      </c>
      <c r="E96">
        <v>14.18525624044719</v>
      </c>
      <c r="F96">
        <v>1392.0658816096779</v>
      </c>
      <c r="G96">
        <v>3.605</v>
      </c>
      <c r="H96">
        <v>3.8399999999999997E-2</v>
      </c>
      <c r="I96">
        <v>18.80348</v>
      </c>
      <c r="J96" t="s">
        <v>45</v>
      </c>
      <c r="K96" t="s">
        <v>343</v>
      </c>
      <c r="L96">
        <v>94</v>
      </c>
      <c r="M96">
        <v>5.1299999999999998E-2</v>
      </c>
      <c r="N96">
        <v>14.191169220393901</v>
      </c>
      <c r="O96">
        <v>1392.616971340711</v>
      </c>
      <c r="P96">
        <v>3.605</v>
      </c>
      <c r="Q96">
        <v>3.85E-2</v>
      </c>
      <c r="R96">
        <v>18.799870000000013</v>
      </c>
      <c r="S96" s="2"/>
      <c r="AB96" s="2"/>
    </row>
    <row r="97" spans="1:28" x14ac:dyDescent="0.3">
      <c r="A97" t="s">
        <v>45</v>
      </c>
      <c r="B97" t="s">
        <v>224</v>
      </c>
      <c r="C97">
        <v>94</v>
      </c>
      <c r="D97">
        <v>4.5600000000000002E-2</v>
      </c>
      <c r="E97">
        <v>13.553673510355249</v>
      </c>
      <c r="F97">
        <v>1333.2023711651091</v>
      </c>
      <c r="G97">
        <v>3.605</v>
      </c>
      <c r="H97">
        <v>2.86E-2</v>
      </c>
      <c r="I97">
        <v>19.003050000000009</v>
      </c>
      <c r="J97" t="s">
        <v>45</v>
      </c>
      <c r="K97" t="s">
        <v>344</v>
      </c>
      <c r="L97">
        <v>94</v>
      </c>
      <c r="M97">
        <v>4.6899999999999997E-2</v>
      </c>
      <c r="N97">
        <v>13.52865961431929</v>
      </c>
      <c r="O97">
        <v>1330.871076054558</v>
      </c>
      <c r="P97">
        <v>3.605</v>
      </c>
      <c r="Q97">
        <v>2.8199999999999999E-2</v>
      </c>
      <c r="R97">
        <v>19.009230000000002</v>
      </c>
      <c r="S97" s="2"/>
      <c r="AB97" s="2"/>
    </row>
    <row r="98" spans="1:28" x14ac:dyDescent="0.3">
      <c r="A98" t="s">
        <v>45</v>
      </c>
      <c r="B98" t="s">
        <v>225</v>
      </c>
      <c r="C98">
        <v>94</v>
      </c>
      <c r="D98">
        <v>3.8699999999999998E-2</v>
      </c>
      <c r="E98">
        <v>12.94390105190381</v>
      </c>
      <c r="F98">
        <v>1276.371578037435</v>
      </c>
      <c r="G98">
        <v>3.605</v>
      </c>
      <c r="H98">
        <v>1.9099999999999999E-2</v>
      </c>
      <c r="I98">
        <v>19.201349999999998</v>
      </c>
      <c r="J98" t="s">
        <v>45</v>
      </c>
      <c r="K98" t="s">
        <v>345</v>
      </c>
      <c r="L98">
        <v>94</v>
      </c>
      <c r="M98">
        <v>3.7999999999999999E-2</v>
      </c>
      <c r="N98">
        <v>12.94428503270403</v>
      </c>
      <c r="O98">
        <v>1276.4073650480159</v>
      </c>
      <c r="P98">
        <v>3.605</v>
      </c>
      <c r="Q98">
        <v>1.9099999999999999E-2</v>
      </c>
      <c r="R98">
        <v>19.1995</v>
      </c>
      <c r="S98" s="2"/>
      <c r="AB98" s="2"/>
    </row>
    <row r="99" spans="1:28" x14ac:dyDescent="0.3">
      <c r="A99" t="s">
        <v>45</v>
      </c>
      <c r="B99" t="s">
        <v>226</v>
      </c>
      <c r="C99">
        <v>94</v>
      </c>
      <c r="D99">
        <v>3.0700000000000002E-2</v>
      </c>
      <c r="E99">
        <v>12.41108004879259</v>
      </c>
      <c r="F99">
        <v>1226.7126605474691</v>
      </c>
      <c r="G99">
        <v>3.605</v>
      </c>
      <c r="H99">
        <v>1.09E-2</v>
      </c>
      <c r="I99">
        <v>19.399499999999996</v>
      </c>
      <c r="J99" t="s">
        <v>45</v>
      </c>
      <c r="K99" t="s">
        <v>346</v>
      </c>
      <c r="L99">
        <v>95</v>
      </c>
      <c r="M99">
        <v>2.98E-2</v>
      </c>
      <c r="N99">
        <v>12.404363425819451</v>
      </c>
      <c r="O99">
        <v>1226.0866712863731</v>
      </c>
      <c r="P99">
        <v>3.605</v>
      </c>
      <c r="Q99">
        <v>1.0800000000000001E-2</v>
      </c>
      <c r="R99">
        <v>19.400590000000008</v>
      </c>
      <c r="S99" s="2"/>
      <c r="AB99" s="2"/>
    </row>
    <row r="100" spans="1:28" x14ac:dyDescent="0.3">
      <c r="A100" t="s">
        <v>45</v>
      </c>
      <c r="B100" t="s">
        <v>227</v>
      </c>
      <c r="C100">
        <v>94</v>
      </c>
      <c r="D100">
        <v>2.2499999999999999E-2</v>
      </c>
      <c r="E100">
        <v>12.001981430388559</v>
      </c>
      <c r="F100">
        <v>1188.5846693122139</v>
      </c>
      <c r="G100">
        <v>3.605</v>
      </c>
      <c r="H100">
        <v>4.4999999999999997E-3</v>
      </c>
      <c r="I100">
        <v>19.600050000000003</v>
      </c>
      <c r="J100" t="s">
        <v>45</v>
      </c>
      <c r="K100" t="s">
        <v>347</v>
      </c>
      <c r="L100">
        <v>95</v>
      </c>
      <c r="M100">
        <v>2.18E-2</v>
      </c>
      <c r="N100">
        <v>12.0015989903772</v>
      </c>
      <c r="O100">
        <v>1188.5490259031551</v>
      </c>
      <c r="P100">
        <v>3.605</v>
      </c>
      <c r="Q100">
        <v>4.4999999999999997E-3</v>
      </c>
      <c r="R100">
        <v>19.598580000000013</v>
      </c>
      <c r="S100" s="2"/>
      <c r="AB100" s="2"/>
    </row>
    <row r="101" spans="1:28" x14ac:dyDescent="0.3">
      <c r="A101" t="s">
        <v>45</v>
      </c>
      <c r="B101" t="s">
        <v>228</v>
      </c>
      <c r="C101">
        <v>94</v>
      </c>
      <c r="D101">
        <v>1.4200000000000001E-2</v>
      </c>
      <c r="E101">
        <v>11.764364096088091</v>
      </c>
      <c r="F101">
        <v>1166.4387337554101</v>
      </c>
      <c r="G101">
        <v>3.605</v>
      </c>
      <c r="H101">
        <v>8.0000000000000004E-4</v>
      </c>
      <c r="I101">
        <v>19.799990000000001</v>
      </c>
      <c r="J101" t="s">
        <v>45</v>
      </c>
      <c r="K101" t="s">
        <v>348</v>
      </c>
      <c r="L101">
        <v>95</v>
      </c>
      <c r="M101">
        <v>1.38E-2</v>
      </c>
      <c r="N101">
        <v>11.76430136976307</v>
      </c>
      <c r="O101">
        <v>1166.4328876619179</v>
      </c>
      <c r="P101">
        <v>3.605</v>
      </c>
      <c r="Q101">
        <v>8.0000000000000004E-4</v>
      </c>
      <c r="R101">
        <v>19.798360000000002</v>
      </c>
      <c r="S101" s="2"/>
      <c r="AB101" s="2"/>
    </row>
    <row r="102" spans="1:28" x14ac:dyDescent="0.3">
      <c r="A102" t="s">
        <v>45</v>
      </c>
      <c r="B102" t="s">
        <v>229</v>
      </c>
      <c r="C102">
        <v>94</v>
      </c>
      <c r="D102">
        <v>7.1000000000000004E-3</v>
      </c>
      <c r="E102">
        <v>11.720633516154949</v>
      </c>
      <c r="F102">
        <v>1162.363043705642</v>
      </c>
      <c r="G102">
        <v>3.605</v>
      </c>
      <c r="H102">
        <v>1E-4</v>
      </c>
      <c r="I102">
        <v>20.002249999999997</v>
      </c>
      <c r="S102" s="2"/>
      <c r="AB102" s="2"/>
    </row>
    <row r="103" spans="1:28" x14ac:dyDescent="0.3">
      <c r="A103" t="s">
        <v>45</v>
      </c>
      <c r="B103" t="s">
        <v>230</v>
      </c>
      <c r="C103">
        <v>94</v>
      </c>
      <c r="D103">
        <v>-2.9999999999999997E-4</v>
      </c>
      <c r="E103">
        <v>11.886177362316159</v>
      </c>
      <c r="F103">
        <v>1267.9982316838041</v>
      </c>
      <c r="G103">
        <v>3.605</v>
      </c>
      <c r="H103">
        <v>2.7000000000000001E-3</v>
      </c>
      <c r="I103">
        <v>20.210129999999999</v>
      </c>
      <c r="S103" s="2"/>
      <c r="AB103" s="2"/>
    </row>
    <row r="104" spans="1:28" x14ac:dyDescent="0.3">
      <c r="A104" t="s">
        <v>45</v>
      </c>
      <c r="B104" t="s">
        <v>231</v>
      </c>
      <c r="C104">
        <v>94</v>
      </c>
      <c r="D104">
        <v>1.1999999999999999E-3</v>
      </c>
      <c r="E104">
        <v>12.21405167461687</v>
      </c>
      <c r="F104">
        <v>1299.113503921141</v>
      </c>
      <c r="G104">
        <v>3.605</v>
      </c>
      <c r="H104">
        <v>7.7999999999999996E-3</v>
      </c>
      <c r="I104">
        <v>20.402239999999999</v>
      </c>
    </row>
    <row r="105" spans="1:28" x14ac:dyDescent="0.3">
      <c r="A105" t="s">
        <v>45</v>
      </c>
      <c r="B105" t="s">
        <v>232</v>
      </c>
      <c r="C105">
        <v>94</v>
      </c>
      <c r="D105">
        <v>7.7999999999999996E-3</v>
      </c>
      <c r="E105">
        <v>12.707778404428931</v>
      </c>
      <c r="F105">
        <v>1345.968170580305</v>
      </c>
      <c r="G105">
        <v>3.605</v>
      </c>
      <c r="H105">
        <v>1.55E-2</v>
      </c>
      <c r="I105">
        <v>20.604599999999998</v>
      </c>
    </row>
    <row r="106" spans="1:28" x14ac:dyDescent="0.3">
      <c r="A106" t="s">
        <v>45</v>
      </c>
      <c r="B106" t="s">
        <v>233</v>
      </c>
      <c r="C106">
        <v>94</v>
      </c>
      <c r="D106">
        <v>1.4E-2</v>
      </c>
      <c r="E106">
        <v>13.30264413622873</v>
      </c>
      <c r="F106">
        <v>1402.4209285281061</v>
      </c>
      <c r="G106">
        <v>3.605</v>
      </c>
      <c r="H106">
        <v>2.47E-2</v>
      </c>
      <c r="I106">
        <v>20.80624000000001</v>
      </c>
    </row>
    <row r="107" spans="1:28" x14ac:dyDescent="0.3">
      <c r="A107" t="s">
        <v>45</v>
      </c>
      <c r="B107" t="s">
        <v>234</v>
      </c>
      <c r="C107">
        <v>94</v>
      </c>
      <c r="D107">
        <v>2.0500000000000001E-2</v>
      </c>
      <c r="E107">
        <v>13.92820846397897</v>
      </c>
      <c r="F107">
        <v>1461.7869832316039</v>
      </c>
      <c r="G107">
        <v>3.605</v>
      </c>
      <c r="H107">
        <v>3.44E-2</v>
      </c>
      <c r="I107">
        <v>21.003850000000007</v>
      </c>
    </row>
    <row r="108" spans="1:28" x14ac:dyDescent="0.3">
      <c r="A108" t="s">
        <v>45</v>
      </c>
      <c r="B108" t="s">
        <v>235</v>
      </c>
      <c r="C108">
        <v>94</v>
      </c>
      <c r="D108">
        <v>2.81E-2</v>
      </c>
      <c r="E108">
        <v>14.536577182694019</v>
      </c>
      <c r="F108">
        <v>1519.5211746376631</v>
      </c>
      <c r="G108">
        <v>3.605</v>
      </c>
      <c r="H108">
        <v>4.3900000000000002E-2</v>
      </c>
      <c r="I108">
        <v>21.201740000000008</v>
      </c>
    </row>
    <row r="109" spans="1:28" x14ac:dyDescent="0.3">
      <c r="A109" t="s">
        <v>45</v>
      </c>
      <c r="B109" t="s">
        <v>236</v>
      </c>
      <c r="C109">
        <v>94</v>
      </c>
      <c r="D109">
        <v>3.7600000000000001E-2</v>
      </c>
      <c r="E109">
        <v>15.06981298238246</v>
      </c>
      <c r="F109">
        <v>1570.1252520280959</v>
      </c>
      <c r="G109">
        <v>3.605</v>
      </c>
      <c r="H109">
        <v>5.2200000000000003E-2</v>
      </c>
      <c r="I109">
        <v>21.400150000000004</v>
      </c>
    </row>
    <row r="110" spans="1:28" x14ac:dyDescent="0.3">
      <c r="A110" t="s">
        <v>45</v>
      </c>
      <c r="B110" t="s">
        <v>237</v>
      </c>
      <c r="C110">
        <v>94</v>
      </c>
      <c r="D110">
        <v>4.5900000000000003E-2</v>
      </c>
      <c r="E110">
        <v>15.48212807860472</v>
      </c>
      <c r="F110">
        <v>1609.2539546595881</v>
      </c>
      <c r="G110">
        <v>3.605</v>
      </c>
      <c r="H110">
        <v>5.8599999999999999E-2</v>
      </c>
      <c r="I110">
        <v>21.602980000000009</v>
      </c>
    </row>
    <row r="111" spans="1:28" x14ac:dyDescent="0.3">
      <c r="A111" t="s">
        <v>45</v>
      </c>
      <c r="B111" t="s">
        <v>238</v>
      </c>
      <c r="C111">
        <v>94</v>
      </c>
      <c r="D111">
        <v>5.5199999999999999E-2</v>
      </c>
      <c r="E111">
        <v>15.71529443884163</v>
      </c>
      <c r="F111">
        <v>1631.3814422460709</v>
      </c>
      <c r="G111">
        <v>3.605</v>
      </c>
      <c r="H111">
        <v>6.2199999999999998E-2</v>
      </c>
      <c r="I111">
        <v>21.800440000000002</v>
      </c>
    </row>
    <row r="112" spans="1:28" x14ac:dyDescent="0.3">
      <c r="A112" t="s">
        <v>45</v>
      </c>
      <c r="B112" t="s">
        <v>239</v>
      </c>
      <c r="C112">
        <v>94</v>
      </c>
      <c r="D112">
        <v>6.5500000000000003E-2</v>
      </c>
      <c r="E112">
        <v>15.75724119886679</v>
      </c>
      <c r="F112">
        <v>1635.3621897724579</v>
      </c>
      <c r="G112">
        <v>3.605</v>
      </c>
      <c r="H112">
        <v>6.2799999999999995E-2</v>
      </c>
      <c r="I112">
        <v>22.007120000000008</v>
      </c>
    </row>
    <row r="113" spans="1:9" x14ac:dyDescent="0.3">
      <c r="A113" t="s">
        <v>45</v>
      </c>
      <c r="B113" t="s">
        <v>240</v>
      </c>
      <c r="C113">
        <v>94</v>
      </c>
      <c r="D113">
        <v>6.9699999999999998E-2</v>
      </c>
      <c r="E113">
        <v>15.604677963544249</v>
      </c>
      <c r="F113">
        <v>1524.3559862023251</v>
      </c>
      <c r="G113">
        <v>3.605</v>
      </c>
      <c r="H113">
        <v>6.0499999999999998E-2</v>
      </c>
      <c r="I113">
        <v>22.201060000000005</v>
      </c>
    </row>
    <row r="114" spans="1:9" x14ac:dyDescent="0.3">
      <c r="A114" t="s">
        <v>45</v>
      </c>
      <c r="B114" t="s">
        <v>241</v>
      </c>
      <c r="C114">
        <v>94</v>
      </c>
      <c r="D114">
        <v>6.54E-2</v>
      </c>
      <c r="E114">
        <v>15.255916758141931</v>
      </c>
      <c r="F114">
        <v>1491.8514418588279</v>
      </c>
      <c r="G114">
        <v>3.605</v>
      </c>
      <c r="H114">
        <v>5.5100000000000003E-2</v>
      </c>
      <c r="I114">
        <v>22.406690000000005</v>
      </c>
    </row>
    <row r="115" spans="1:9" x14ac:dyDescent="0.3">
      <c r="A115" t="s">
        <v>45</v>
      </c>
      <c r="B115" t="s">
        <v>242</v>
      </c>
      <c r="C115">
        <v>94</v>
      </c>
      <c r="D115">
        <v>5.8400000000000001E-2</v>
      </c>
      <c r="E115">
        <v>14.76072627892251</v>
      </c>
      <c r="F115">
        <v>1445.699689195578</v>
      </c>
      <c r="G115">
        <v>3.605</v>
      </c>
      <c r="H115">
        <v>4.7399999999999998E-2</v>
      </c>
      <c r="I115">
        <v>22.608550000000001</v>
      </c>
    </row>
    <row r="116" spans="1:9" x14ac:dyDescent="0.3">
      <c r="A116" t="s">
        <v>45</v>
      </c>
      <c r="B116" t="s">
        <v>243</v>
      </c>
      <c r="C116">
        <v>94</v>
      </c>
      <c r="D116">
        <v>5.2600000000000001E-2</v>
      </c>
      <c r="E116">
        <v>14.19093810206641</v>
      </c>
      <c r="F116">
        <v>1392.5954311125899</v>
      </c>
      <c r="G116">
        <v>3.605</v>
      </c>
      <c r="H116">
        <v>3.85E-2</v>
      </c>
      <c r="I116">
        <v>22.801650000000002</v>
      </c>
    </row>
    <row r="117" spans="1:9" x14ac:dyDescent="0.3">
      <c r="A117" t="s">
        <v>45</v>
      </c>
      <c r="B117" t="s">
        <v>244</v>
      </c>
      <c r="C117">
        <v>94</v>
      </c>
      <c r="D117">
        <v>4.6399999999999997E-2</v>
      </c>
      <c r="E117">
        <v>13.56722637017276</v>
      </c>
      <c r="F117">
        <v>1334.465497700101</v>
      </c>
      <c r="G117">
        <v>3.605</v>
      </c>
      <c r="H117">
        <v>2.8799999999999999E-2</v>
      </c>
      <c r="I117">
        <v>22.99877</v>
      </c>
    </row>
    <row r="118" spans="1:9" x14ac:dyDescent="0.3">
      <c r="A118" t="s">
        <v>45</v>
      </c>
      <c r="B118" t="s">
        <v>245</v>
      </c>
      <c r="C118">
        <v>94</v>
      </c>
      <c r="D118">
        <v>3.7900000000000003E-2</v>
      </c>
      <c r="E118">
        <v>12.94766787517097</v>
      </c>
      <c r="F118">
        <v>1276.722645965935</v>
      </c>
      <c r="G118">
        <v>3.605</v>
      </c>
      <c r="H118">
        <v>1.9199999999999998E-2</v>
      </c>
      <c r="I118">
        <v>23.200060000000001</v>
      </c>
    </row>
    <row r="119" spans="1:9" x14ac:dyDescent="0.3">
      <c r="A119" t="s">
        <v>45</v>
      </c>
      <c r="B119" t="s">
        <v>246</v>
      </c>
      <c r="C119">
        <v>94</v>
      </c>
      <c r="D119">
        <v>3.0800000000000001E-2</v>
      </c>
      <c r="E119">
        <v>12.4104219697654</v>
      </c>
      <c r="F119">
        <v>1226.6513275821351</v>
      </c>
      <c r="G119">
        <v>3.605</v>
      </c>
      <c r="H119">
        <v>1.0800000000000001E-2</v>
      </c>
      <c r="I119">
        <v>23.39978</v>
      </c>
    </row>
    <row r="120" spans="1:9" x14ac:dyDescent="0.3">
      <c r="A120" t="s">
        <v>45</v>
      </c>
      <c r="B120" t="s">
        <v>247</v>
      </c>
      <c r="C120">
        <v>94</v>
      </c>
      <c r="D120">
        <v>2.2800000000000001E-2</v>
      </c>
      <c r="E120">
        <v>12.001580500911</v>
      </c>
      <c r="F120">
        <v>1188.5473026849049</v>
      </c>
      <c r="G120">
        <v>3.605</v>
      </c>
      <c r="H120">
        <v>4.4999999999999997E-3</v>
      </c>
      <c r="I120">
        <v>23.600299999999997</v>
      </c>
    </row>
    <row r="121" spans="1:9" x14ac:dyDescent="0.3">
      <c r="A121" t="s">
        <v>45</v>
      </c>
      <c r="B121" t="s">
        <v>248</v>
      </c>
      <c r="C121">
        <v>94</v>
      </c>
      <c r="D121">
        <v>1.38E-2</v>
      </c>
      <c r="E121">
        <v>11.762144265373269</v>
      </c>
      <c r="F121">
        <v>1166.2318455327879</v>
      </c>
      <c r="G121">
        <v>3.605</v>
      </c>
      <c r="H121">
        <v>8.0000000000000004E-4</v>
      </c>
      <c r="I121">
        <v>23.80312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3FFE0-8F68-4484-9333-32EA29F9DA23}">
  <sheetPr codeName="Hoja3"/>
  <dimension ref="A1:K121"/>
  <sheetViews>
    <sheetView tabSelected="1" zoomScale="130" zoomScaleNormal="130" workbookViewId="0">
      <selection activeCell="L1" sqref="L1"/>
    </sheetView>
  </sheetViews>
  <sheetFormatPr baseColWidth="10" defaultRowHeight="14.4" x14ac:dyDescent="0.3"/>
  <cols>
    <col min="1" max="1" width="4.77734375" bestFit="1" customWidth="1"/>
    <col min="2" max="2" width="4.88671875" bestFit="1" customWidth="1"/>
    <col min="3" max="3" width="6.88671875" bestFit="1" customWidth="1"/>
    <col min="4" max="4" width="11.5546875" bestFit="1" customWidth="1"/>
    <col min="5" max="6" width="12.109375" bestFit="1" customWidth="1"/>
    <col min="7" max="7" width="6" bestFit="1" customWidth="1"/>
    <col min="8" max="8" width="8" bestFit="1" customWidth="1"/>
    <col min="9" max="9" width="10" bestFit="1" customWidth="1"/>
    <col min="10" max="10" width="7" bestFit="1" customWidth="1"/>
    <col min="11" max="11" width="12.109375" bestFit="1" customWidth="1"/>
    <col min="12" max="12" width="16.21875" bestFit="1" customWidth="1"/>
    <col min="13" max="13" width="12.88671875" bestFit="1" customWidth="1"/>
    <col min="14" max="14" width="12.33203125" bestFit="1" customWidth="1"/>
    <col min="15" max="15" width="10" bestFit="1" customWidth="1"/>
    <col min="16" max="17" width="12" bestFit="1" customWidth="1"/>
    <col min="18" max="18" width="9.44140625" bestFit="1" customWidth="1"/>
    <col min="19" max="19" width="9.5546875" bestFit="1" customWidth="1"/>
    <col min="20" max="20" width="12" bestFit="1" customWidth="1"/>
    <col min="21" max="21" width="16.21875" bestFit="1" customWidth="1"/>
    <col min="22" max="22" width="12.88671875" bestFit="1" customWidth="1"/>
    <col min="23" max="23" width="12.33203125" bestFit="1" customWidth="1"/>
    <col min="24" max="24" width="10" bestFit="1" customWidth="1"/>
    <col min="25" max="26" width="12" bestFit="1" customWidth="1"/>
    <col min="27" max="27" width="9.44140625" bestFit="1" customWidth="1"/>
    <col min="28" max="28" width="9.5546875" bestFit="1" customWidth="1"/>
    <col min="29" max="29" width="12" bestFit="1" customWidth="1"/>
    <col min="30" max="30" width="16.21875" bestFit="1" customWidth="1"/>
    <col min="31" max="31" width="12.88671875" bestFit="1" customWidth="1"/>
    <col min="32" max="32" width="12.33203125" bestFit="1" customWidth="1"/>
    <col min="33" max="33" width="10" bestFit="1" customWidth="1"/>
    <col min="34" max="35" width="12" bestFit="1" customWidth="1"/>
    <col min="36" max="36" width="9.44140625" bestFit="1" customWidth="1"/>
    <col min="37" max="37" width="9.5546875" bestFit="1" customWidth="1"/>
    <col min="38" max="38" width="12" bestFit="1" customWidth="1"/>
    <col min="39" max="39" width="16.21875" bestFit="1" customWidth="1"/>
    <col min="40" max="40" width="12.88671875" bestFit="1" customWidth="1"/>
    <col min="41" max="41" width="12.33203125" bestFit="1" customWidth="1"/>
    <col min="42" max="42" width="10" bestFit="1" customWidth="1"/>
    <col min="43" max="44" width="12" bestFit="1" customWidth="1"/>
    <col min="45" max="45" width="9.44140625" bestFit="1" customWidth="1"/>
    <col min="46" max="46" width="9.5546875" bestFit="1" customWidth="1"/>
    <col min="47" max="47" width="11.44140625" bestFit="1" customWidth="1"/>
    <col min="48" max="48" width="16.21875" bestFit="1" customWidth="1"/>
    <col min="49" max="49" width="12.88671875" bestFit="1" customWidth="1"/>
    <col min="50" max="50" width="12.33203125" bestFit="1" customWidth="1"/>
    <col min="51" max="51" width="10" bestFit="1" customWidth="1"/>
    <col min="52" max="53" width="12" bestFit="1" customWidth="1"/>
    <col min="54" max="54" width="9.44140625" bestFit="1" customWidth="1"/>
    <col min="55" max="55" width="9.5546875" bestFit="1" customWidth="1"/>
    <col min="56" max="56" width="12" bestFit="1" customWidth="1"/>
    <col min="57" max="57" width="16.21875" bestFit="1" customWidth="1"/>
    <col min="58" max="58" width="12.88671875" bestFit="1" customWidth="1"/>
    <col min="59" max="59" width="12.33203125" bestFit="1" customWidth="1"/>
    <col min="60" max="60" width="10" bestFit="1" customWidth="1"/>
    <col min="61" max="62" width="12" bestFit="1" customWidth="1"/>
    <col min="63" max="63" width="9.44140625" bestFit="1" customWidth="1"/>
    <col min="64" max="64" width="9.5546875" bestFit="1" customWidth="1"/>
    <col min="65" max="65" width="11.44140625" bestFit="1" customWidth="1"/>
    <col min="66" max="66" width="16.21875" bestFit="1" customWidth="1"/>
    <col min="67" max="67" width="12.88671875" bestFit="1" customWidth="1"/>
    <col min="68" max="68" width="12.33203125" bestFit="1" customWidth="1"/>
    <col min="69" max="69" width="10" bestFit="1" customWidth="1"/>
    <col min="70" max="70" width="12" bestFit="1" customWidth="1"/>
    <col min="71" max="71" width="12.6640625" bestFit="1" customWidth="1"/>
    <col min="72" max="72" width="9.44140625" bestFit="1" customWidth="1"/>
    <col min="73" max="73" width="9.5546875" bestFit="1" customWidth="1"/>
    <col min="74" max="74" width="12" bestFit="1" customWidth="1"/>
    <col min="75" max="75" width="16.21875" bestFit="1" customWidth="1"/>
    <col min="76" max="76" width="12.88671875" bestFit="1" customWidth="1"/>
    <col min="77" max="77" width="12.33203125" bestFit="1" customWidth="1"/>
    <col min="78" max="78" width="10" bestFit="1" customWidth="1"/>
    <col min="79" max="79" width="12" bestFit="1" customWidth="1"/>
    <col min="80" max="80" width="12.6640625" bestFit="1" customWidth="1"/>
    <col min="81" max="81" width="10.44140625" bestFit="1" customWidth="1"/>
    <col min="82" max="82" width="10.5546875" bestFit="1" customWidth="1"/>
    <col min="83" max="83" width="12.44140625" bestFit="1" customWidth="1"/>
    <col min="84" max="84" width="17.21875" bestFit="1" customWidth="1"/>
    <col min="85" max="85" width="13.88671875" bestFit="1" customWidth="1"/>
    <col min="86" max="86" width="13.33203125" bestFit="1" customWidth="1"/>
    <col min="87" max="87" width="11" bestFit="1" customWidth="1"/>
    <col min="88" max="88" width="12" bestFit="1" customWidth="1"/>
    <col min="89" max="89" width="12.6640625" bestFit="1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7</v>
      </c>
      <c r="K1" t="s">
        <v>3</v>
      </c>
    </row>
    <row r="2" spans="1:11" x14ac:dyDescent="0.3">
      <c r="A2" t="str">
        <f>IF(COUNT(Resultados!A2,Resultados!J2)=0, "", AVERAGE(ABS(Resultados!A2),ABS(Resultados!J2)))</f>
        <v/>
      </c>
      <c r="B2" t="str">
        <f>IF(COUNT(Resultados!B2,Resultados!K2)=0, "", AVERAGE(ABS(Resultados!B2),ABS(Resultados!K2)))</f>
        <v/>
      </c>
      <c r="C2">
        <f>IF(COUNT(Resultados!C2,Resultados!L2)=0, "", AVERAGE(ABS(Resultados!C2),ABS(Resultados!L2)))</f>
        <v>94</v>
      </c>
      <c r="D2">
        <f>IF(COUNT(Resultados!D2,Resultados!M2)=0, "", AVERAGE(ABS(Resultados!D2),ABS(Resultados!M2)))</f>
        <v>6.8999999999999999E-3</v>
      </c>
      <c r="E2">
        <f>IF(COUNT(Resultados!E2,Resultados!N2)=0, "", AVERAGE(ABS(Resultados!E2),ABS(Resultados!N2)))</f>
        <v>11.71716561261494</v>
      </c>
      <c r="F2">
        <f>IF(COUNT(Resultados!F2,Resultados!O2)=0, "", AVERAGE(ABS(Resultados!F2),ABS(Resultados!O2)))</f>
        <v>1162.0398350957125</v>
      </c>
      <c r="G2">
        <f>IF(COUNT(Resultados!G2,Resultados!P2)=0, "", AVERAGE(ABS(Resultados!G2),ABS(Resultados!P2)))</f>
        <v>3.605</v>
      </c>
      <c r="H2">
        <f>IF(COUNT(Resultados!H2,Resultados!Q2)=0, "", AVERAGE(ABS(Resultados!H2),ABS(Resultados!Q2)))</f>
        <v>5.0000000000000002E-5</v>
      </c>
      <c r="I2">
        <f>IF(COUNT(Resultados!I2,Resultados!R2)=0, "", AVERAGE(ABS(Resultados!I2),ABS(Resultados!R2)))</f>
        <v>0</v>
      </c>
      <c r="J2">
        <v>5.0000000000000002E-5</v>
      </c>
      <c r="K2">
        <v>6.8999999999999999E-3</v>
      </c>
    </row>
    <row r="3" spans="1:11" x14ac:dyDescent="0.3">
      <c r="A3" t="str">
        <f>IF(COUNT(Resultados!A3,Resultados!J3)=0, "", AVERAGE(ABS(Resultados!A3),ABS(Resultados!J3)))</f>
        <v/>
      </c>
      <c r="B3" t="str">
        <f>IF(COUNT(Resultados!B3,Resultados!K3)=0, "", AVERAGE(ABS(Resultados!B3),ABS(Resultados!K3)))</f>
        <v/>
      </c>
      <c r="C3">
        <f>IF(COUNT(Resultados!C3,Resultados!L3)=0, "", AVERAGE(ABS(Resultados!C3),ABS(Resultados!L3)))</f>
        <v>94</v>
      </c>
      <c r="D3">
        <f>IF(COUNT(Resultados!D3,Resultados!M3)=0, "", AVERAGE(ABS(Resultados!D3),ABS(Resultados!M3)))</f>
        <v>4.4000000000000003E-3</v>
      </c>
      <c r="E3">
        <f>IF(COUNT(Resultados!E3,Resultados!N3)=0, "", AVERAGE(ABS(Resultados!E3),ABS(Resultados!N3)))</f>
        <v>11.865206192119171</v>
      </c>
      <c r="F3">
        <f>IF(COUNT(Resultados!F3,Resultados!O3)=0, "", AVERAGE(ABS(Resultados!F3),ABS(Resultados!O3)))</f>
        <v>1266.0080676321095</v>
      </c>
      <c r="G3">
        <f>IF(COUNT(Resultados!G3,Resultados!P3)=0, "", AVERAGE(ABS(Resultados!G3),ABS(Resultados!P3)))</f>
        <v>3.605</v>
      </c>
      <c r="H3">
        <f>IF(COUNT(Resultados!H3,Resultados!Q3)=0, "", AVERAGE(ABS(Resultados!H3),ABS(Resultados!Q3)))</f>
        <v>2.4000000000000002E-3</v>
      </c>
      <c r="I3">
        <f>IF(COUNT(Resultados!I3,Resultados!R3)=0, "", AVERAGE(ABS(Resultados!I3),ABS(Resultados!R3)))</f>
        <v>0.19909000000000532</v>
      </c>
      <c r="J3">
        <v>2.4000000000000002E-3</v>
      </c>
      <c r="K3">
        <v>4.4000000000000003E-3</v>
      </c>
    </row>
    <row r="4" spans="1:11" x14ac:dyDescent="0.3">
      <c r="A4" t="str">
        <f>IF(COUNT(Resultados!A4,Resultados!J4)=0, "", AVERAGE(ABS(Resultados!A4),ABS(Resultados!J4)))</f>
        <v/>
      </c>
      <c r="B4" t="str">
        <f>IF(COUNT(Resultados!B4,Resultados!K4)=0, "", AVERAGE(ABS(Resultados!B4),ABS(Resultados!K4)))</f>
        <v/>
      </c>
      <c r="C4">
        <f>IF(COUNT(Resultados!C4,Resultados!L4)=0, "", AVERAGE(ABS(Resultados!C4),ABS(Resultados!L4)))</f>
        <v>94</v>
      </c>
      <c r="D4">
        <f>IF(COUNT(Resultados!D4,Resultados!M4)=0, "", AVERAGE(ABS(Resultados!D4),ABS(Resultados!M4)))</f>
        <v>4.2500000000000003E-3</v>
      </c>
      <c r="E4">
        <f>IF(COUNT(Resultados!E4,Resultados!N4)=0, "", AVERAGE(ABS(Resultados!E4),ABS(Resultados!N4)))</f>
        <v>12.211857469653449</v>
      </c>
      <c r="F4">
        <f>IF(COUNT(Resultados!F4,Resultados!O4)=0, "", AVERAGE(ABS(Resultados!F4),ABS(Resultados!O4)))</f>
        <v>1298.905273870113</v>
      </c>
      <c r="G4">
        <f>IF(COUNT(Resultados!G4,Resultados!P4)=0, "", AVERAGE(ABS(Resultados!G4),ABS(Resultados!P4)))</f>
        <v>3.605</v>
      </c>
      <c r="H4">
        <f>IF(COUNT(Resultados!H4,Resultados!Q4)=0, "", AVERAGE(ABS(Resultados!H4),ABS(Resultados!Q4)))</f>
        <v>7.7499999999999999E-3</v>
      </c>
      <c r="I4">
        <f>IF(COUNT(Resultados!I4,Resultados!R4)=0, "", AVERAGE(ABS(Resultados!I4),ABS(Resultados!R4)))</f>
        <v>0.40033500000000188</v>
      </c>
      <c r="J4">
        <v>7.7499999999999999E-3</v>
      </c>
      <c r="K4">
        <v>4.2500000000000003E-3</v>
      </c>
    </row>
    <row r="5" spans="1:11" x14ac:dyDescent="0.3">
      <c r="A5" t="str">
        <f>IF(COUNT(Resultados!A5,Resultados!J5)=0, "", AVERAGE(ABS(Resultados!A5),ABS(Resultados!J5)))</f>
        <v/>
      </c>
      <c r="B5" t="str">
        <f>IF(COUNT(Resultados!B5,Resultados!K5)=0, "", AVERAGE(ABS(Resultados!B5),ABS(Resultados!K5)))</f>
        <v/>
      </c>
      <c r="C5">
        <f>IF(COUNT(Resultados!C5,Resultados!L5)=0, "", AVERAGE(ABS(Resultados!C5),ABS(Resultados!L5)))</f>
        <v>94</v>
      </c>
      <c r="D5">
        <f>IF(COUNT(Resultados!D5,Resultados!M5)=0, "", AVERAGE(ABS(Resultados!D5),ABS(Resultados!M5)))</f>
        <v>6.9499999999999996E-3</v>
      </c>
      <c r="E5">
        <f>IF(COUNT(Resultados!E5,Resultados!N5)=0, "", AVERAGE(ABS(Resultados!E5),ABS(Resultados!N5)))</f>
        <v>12.695937644853139</v>
      </c>
      <c r="F5">
        <f>IF(COUNT(Resultados!F5,Resultados!O5)=0, "", AVERAGE(ABS(Resultados!F5),ABS(Resultados!O5)))</f>
        <v>1344.8444824965629</v>
      </c>
      <c r="G5">
        <f>IF(COUNT(Resultados!G5,Resultados!P5)=0, "", AVERAGE(ABS(Resultados!G5),ABS(Resultados!P5)))</f>
        <v>3.605</v>
      </c>
      <c r="H5">
        <f>IF(COUNT(Resultados!H5,Resultados!Q5)=0, "", AVERAGE(ABS(Resultados!H5),ABS(Resultados!Q5)))</f>
        <v>1.5299999999999999E-2</v>
      </c>
      <c r="I5">
        <f>IF(COUNT(Resultados!I5,Resultados!R5)=0, "", AVERAGE(ABS(Resultados!I5),ABS(Resultados!R5)))</f>
        <v>0.59941500000000758</v>
      </c>
      <c r="J5">
        <v>1.5299999999999999E-2</v>
      </c>
      <c r="K5">
        <v>6.9499999999999996E-3</v>
      </c>
    </row>
    <row r="6" spans="1:11" x14ac:dyDescent="0.3">
      <c r="A6" t="str">
        <f>IF(COUNT(Resultados!A6,Resultados!J6)=0, "", AVERAGE(ABS(Resultados!A6),ABS(Resultados!J6)))</f>
        <v/>
      </c>
      <c r="B6" t="str">
        <f>IF(COUNT(Resultados!B6,Resultados!K6)=0, "", AVERAGE(ABS(Resultados!B6),ABS(Resultados!K6)))</f>
        <v/>
      </c>
      <c r="C6">
        <f>IF(COUNT(Resultados!C6,Resultados!L6)=0, "", AVERAGE(ABS(Resultados!C6),ABS(Resultados!L6)))</f>
        <v>94</v>
      </c>
      <c r="D6">
        <f>IF(COUNT(Resultados!D6,Resultados!M6)=0, "", AVERAGE(ABS(Resultados!D6),ABS(Resultados!M6)))</f>
        <v>8.8500000000000002E-3</v>
      </c>
      <c r="E6">
        <f>IF(COUNT(Resultados!E6,Resultados!N6)=0, "", AVERAGE(ABS(Resultados!E6),ABS(Resultados!N6)))</f>
        <v>13.286321911188971</v>
      </c>
      <c r="F6">
        <f>IF(COUNT(Resultados!F6,Resultados!O6)=0, "", AVERAGE(ABS(Resultados!F6),ABS(Resultados!O6)))</f>
        <v>1400.8719493718336</v>
      </c>
      <c r="G6">
        <f>IF(COUNT(Resultados!G6,Resultados!P6)=0, "", AVERAGE(ABS(Resultados!G6),ABS(Resultados!P6)))</f>
        <v>3.605</v>
      </c>
      <c r="H6">
        <f>IF(COUNT(Resultados!H6,Resultados!Q6)=0, "", AVERAGE(ABS(Resultados!H6),ABS(Resultados!Q6)))</f>
        <v>2.445E-2</v>
      </c>
      <c r="I6">
        <f>IF(COUNT(Resultados!I6,Resultados!R6)=0, "", AVERAGE(ABS(Resultados!I6),ABS(Resultados!R6)))</f>
        <v>0.80013000000000289</v>
      </c>
      <c r="J6">
        <v>2.445E-2</v>
      </c>
      <c r="K6">
        <v>8.8500000000000002E-3</v>
      </c>
    </row>
    <row r="7" spans="1:11" x14ac:dyDescent="0.3">
      <c r="A7" t="str">
        <f>IF(COUNT(Resultados!A7,Resultados!J7)=0, "", AVERAGE(ABS(Resultados!A7),ABS(Resultados!J7)))</f>
        <v/>
      </c>
      <c r="B7" t="str">
        <f>IF(COUNT(Resultados!B7,Resultados!K7)=0, "", AVERAGE(ABS(Resultados!B7),ABS(Resultados!K7)))</f>
        <v/>
      </c>
      <c r="C7">
        <f>IF(COUNT(Resultados!C7,Resultados!L7)=0, "", AVERAGE(ABS(Resultados!C7),ABS(Resultados!L7)))</f>
        <v>94</v>
      </c>
      <c r="D7">
        <f>IF(COUNT(Resultados!D7,Resultados!M7)=0, "", AVERAGE(ABS(Resultados!D7),ABS(Resultados!M7)))</f>
        <v>1.5850000000000003E-2</v>
      </c>
      <c r="E7">
        <f>IF(COUNT(Resultados!E7,Resultados!N7)=0, "", AVERAGE(ABS(Resultados!E7),ABS(Resultados!N7)))</f>
        <v>13.92241408422662</v>
      </c>
      <c r="F7">
        <f>IF(COUNT(Resultados!F7,Resultados!O7)=0, "", AVERAGE(ABS(Resultados!F7),ABS(Resultados!O7)))</f>
        <v>1461.2370965931063</v>
      </c>
      <c r="G7">
        <f>IF(COUNT(Resultados!G7,Resultados!P7)=0, "", AVERAGE(ABS(Resultados!G7),ABS(Resultados!P7)))</f>
        <v>3.605</v>
      </c>
      <c r="H7">
        <f>IF(COUNT(Resultados!H7,Resultados!Q7)=0, "", AVERAGE(ABS(Resultados!H7),ABS(Resultados!Q7)))</f>
        <v>3.4349999999999999E-2</v>
      </c>
      <c r="I7">
        <f>IF(COUNT(Resultados!I7,Resultados!R7)=0, "", AVERAGE(ABS(Resultados!I7),ABS(Resultados!R7)))</f>
        <v>1.0011650000000074</v>
      </c>
      <c r="J7">
        <v>3.4349999999999999E-2</v>
      </c>
      <c r="K7">
        <v>1.5850000000000003E-2</v>
      </c>
    </row>
    <row r="8" spans="1:11" x14ac:dyDescent="0.3">
      <c r="A8" t="str">
        <f>IF(COUNT(Resultados!A8,Resultados!J8)=0, "", AVERAGE(ABS(Resultados!A8),ABS(Resultados!J8)))</f>
        <v/>
      </c>
      <c r="B8" t="str">
        <f>IF(COUNT(Resultados!B8,Resultados!K8)=0, "", AVERAGE(ABS(Resultados!B8),ABS(Resultados!K8)))</f>
        <v/>
      </c>
      <c r="C8">
        <f>IF(COUNT(Resultados!C8,Resultados!L8)=0, "", AVERAGE(ABS(Resultados!C8),ABS(Resultados!L8)))</f>
        <v>94</v>
      </c>
      <c r="D8">
        <f>IF(COUNT(Resultados!D8,Resultados!M8)=0, "", AVERAGE(ABS(Resultados!D8),ABS(Resultados!M8)))</f>
        <v>2.385E-2</v>
      </c>
      <c r="E8">
        <f>IF(COUNT(Resultados!E8,Resultados!N8)=0, "", AVERAGE(ABS(Resultados!E8),ABS(Resultados!N8)))</f>
        <v>14.535885044123841</v>
      </c>
      <c r="F8">
        <f>IF(COUNT(Resultados!F8,Resultados!O8)=0, "", AVERAGE(ABS(Resultados!F8),ABS(Resultados!O8)))</f>
        <v>1519.4554906873525</v>
      </c>
      <c r="G8">
        <f>IF(COUNT(Resultados!G8,Resultados!P8)=0, "", AVERAGE(ABS(Resultados!G8),ABS(Resultados!P8)))</f>
        <v>3.605</v>
      </c>
      <c r="H8">
        <f>IF(COUNT(Resultados!H8,Resultados!Q8)=0, "", AVERAGE(ABS(Resultados!H8),ABS(Resultados!Q8)))</f>
        <v>4.3900000000000002E-2</v>
      </c>
      <c r="I8">
        <f>IF(COUNT(Resultados!I8,Resultados!R8)=0, "", AVERAGE(ABS(Resultados!I8),ABS(Resultados!R8)))</f>
        <v>1.2006500000000067</v>
      </c>
      <c r="J8">
        <v>4.3900000000000002E-2</v>
      </c>
      <c r="K8">
        <v>2.385E-2</v>
      </c>
    </row>
    <row r="9" spans="1:11" x14ac:dyDescent="0.3">
      <c r="A9" t="str">
        <f>IF(COUNT(Resultados!A9,Resultados!J9)=0, "", AVERAGE(ABS(Resultados!A9),ABS(Resultados!J9)))</f>
        <v/>
      </c>
      <c r="B9" t="str">
        <f>IF(COUNT(Resultados!B9,Resultados!K9)=0, "", AVERAGE(ABS(Resultados!B9),ABS(Resultados!K9)))</f>
        <v/>
      </c>
      <c r="C9">
        <f>IF(COUNT(Resultados!C9,Resultados!L9)=0, "", AVERAGE(ABS(Resultados!C9),ABS(Resultados!L9)))</f>
        <v>94</v>
      </c>
      <c r="D9">
        <f>IF(COUNT(Resultados!D9,Resultados!M9)=0, "", AVERAGE(ABS(Resultados!D9),ABS(Resultados!M9)))</f>
        <v>3.2600000000000004E-2</v>
      </c>
      <c r="E9">
        <f>IF(COUNT(Resultados!E9,Resultados!N9)=0, "", AVERAGE(ABS(Resultados!E9),ABS(Resultados!N9)))</f>
        <v>15.071351135672451</v>
      </c>
      <c r="F9">
        <f>IF(COUNT(Resultados!F9,Resultados!O9)=0, "", AVERAGE(ABS(Resultados!F9),ABS(Resultados!O9)))</f>
        <v>1570.2712227753154</v>
      </c>
      <c r="G9">
        <f>IF(COUNT(Resultados!G9,Resultados!P9)=0, "", AVERAGE(ABS(Resultados!G9),ABS(Resultados!P9)))</f>
        <v>3.605</v>
      </c>
      <c r="H9">
        <f>IF(COUNT(Resultados!H9,Resultados!Q9)=0, "", AVERAGE(ABS(Resultados!H9),ABS(Resultados!Q9)))</f>
        <v>5.2200000000000003E-2</v>
      </c>
      <c r="I9">
        <f>IF(COUNT(Resultados!I9,Resultados!R9)=0, "", AVERAGE(ABS(Resultados!I9),ABS(Resultados!R9)))</f>
        <v>1.3999350000000028</v>
      </c>
      <c r="J9">
        <v>5.2200000000000003E-2</v>
      </c>
      <c r="K9">
        <v>3.2600000000000004E-2</v>
      </c>
    </row>
    <row r="10" spans="1:11" x14ac:dyDescent="0.3">
      <c r="A10" t="str">
        <f>IF(COUNT(Resultados!A10,Resultados!J10)=0, "", AVERAGE(ABS(Resultados!A10),ABS(Resultados!J10)))</f>
        <v/>
      </c>
      <c r="B10" t="str">
        <f>IF(COUNT(Resultados!B10,Resultados!K10)=0, "", AVERAGE(ABS(Resultados!B10),ABS(Resultados!K10)))</f>
        <v/>
      </c>
      <c r="C10">
        <f>IF(COUNT(Resultados!C10,Resultados!L10)=0, "", AVERAGE(ABS(Resultados!C10),ABS(Resultados!L10)))</f>
        <v>94</v>
      </c>
      <c r="D10">
        <f>IF(COUNT(Resultados!D10,Resultados!M10)=0, "", AVERAGE(ABS(Resultados!D10),ABS(Resultados!M10)))</f>
        <v>4.1800000000000004E-2</v>
      </c>
      <c r="E10">
        <f>IF(COUNT(Resultados!E10,Resultados!N10)=0, "", AVERAGE(ABS(Resultados!E10),ABS(Resultados!N10)))</f>
        <v>15.485611477817654</v>
      </c>
      <c r="F10">
        <f>IF(COUNT(Resultados!F10,Resultados!O10)=0, "", AVERAGE(ABS(Resultados!F10),ABS(Resultados!O10)))</f>
        <v>1609.5845292448955</v>
      </c>
      <c r="G10">
        <f>IF(COUNT(Resultados!G10,Resultados!P10)=0, "", AVERAGE(ABS(Resultados!G10),ABS(Resultados!P10)))</f>
        <v>3.605</v>
      </c>
      <c r="H10">
        <f>IF(COUNT(Resultados!H10,Resultados!Q10)=0, "", AVERAGE(ABS(Resultados!H10),ABS(Resultados!Q10)))</f>
        <v>5.8650000000000001E-2</v>
      </c>
      <c r="I10">
        <f>IF(COUNT(Resultados!I10,Resultados!R10)=0, "", AVERAGE(ABS(Resultados!I10),ABS(Resultados!R10)))</f>
        <v>1.6042700000000032</v>
      </c>
      <c r="J10">
        <v>5.8650000000000001E-2</v>
      </c>
      <c r="K10">
        <v>4.1800000000000004E-2</v>
      </c>
    </row>
    <row r="11" spans="1:11" x14ac:dyDescent="0.3">
      <c r="A11" t="str">
        <f>IF(COUNT(Resultados!A11,Resultados!J11)=0, "", AVERAGE(ABS(Resultados!A11),ABS(Resultados!J11)))</f>
        <v/>
      </c>
      <c r="B11" t="str">
        <f>IF(COUNT(Resultados!B11,Resultados!K11)=0, "", AVERAGE(ABS(Resultados!B11),ABS(Resultados!K11)))</f>
        <v/>
      </c>
      <c r="C11">
        <f>IF(COUNT(Resultados!C11,Resultados!L11)=0, "", AVERAGE(ABS(Resultados!C11),ABS(Resultados!L11)))</f>
        <v>94</v>
      </c>
      <c r="D11">
        <f>IF(COUNT(Resultados!D11,Resultados!M11)=0, "", AVERAGE(ABS(Resultados!D11),ABS(Resultados!M11)))</f>
        <v>5.6000000000000001E-2</v>
      </c>
      <c r="E11">
        <f>IF(COUNT(Resultados!E11,Resultados!N11)=0, "", AVERAGE(ABS(Resultados!E11),ABS(Resultados!N11)))</f>
        <v>15.71489018450392</v>
      </c>
      <c r="F11">
        <f>IF(COUNT(Resultados!F11,Resultados!O11)=0, "", AVERAGE(ABS(Resultados!F11),ABS(Resultados!O11)))</f>
        <v>1631.343078509422</v>
      </c>
      <c r="G11">
        <f>IF(COUNT(Resultados!G11,Resultados!P11)=0, "", AVERAGE(ABS(Resultados!G11),ABS(Resultados!P11)))</f>
        <v>3.605</v>
      </c>
      <c r="H11">
        <f>IF(COUNT(Resultados!H11,Resultados!Q11)=0, "", AVERAGE(ABS(Resultados!H11),ABS(Resultados!Q11)))</f>
        <v>6.2199999999999998E-2</v>
      </c>
      <c r="I11">
        <f>IF(COUNT(Resultados!I11,Resultados!R11)=0, "", AVERAGE(ABS(Resultados!I11),ABS(Resultados!R11)))</f>
        <v>1.7990200000000094</v>
      </c>
      <c r="J11">
        <v>6.2199999999999998E-2</v>
      </c>
      <c r="K11">
        <v>5.6000000000000001E-2</v>
      </c>
    </row>
    <row r="12" spans="1:11" x14ac:dyDescent="0.3">
      <c r="A12" t="str">
        <f>IF(COUNT(Resultados!A12,Resultados!J12)=0, "", AVERAGE(ABS(Resultados!A12),ABS(Resultados!J12)))</f>
        <v/>
      </c>
      <c r="B12" t="str">
        <f>IF(COUNT(Resultados!B12,Resultados!K12)=0, "", AVERAGE(ABS(Resultados!B12),ABS(Resultados!K12)))</f>
        <v/>
      </c>
      <c r="C12">
        <f>IF(COUNT(Resultados!C12,Resultados!L12)=0, "", AVERAGE(ABS(Resultados!C12),ABS(Resultados!L12)))</f>
        <v>94</v>
      </c>
      <c r="D12">
        <f>IF(COUNT(Resultados!D12,Resultados!M12)=0, "", AVERAGE(ABS(Resultados!D12),ABS(Resultados!M12)))</f>
        <v>6.4399999999999999E-2</v>
      </c>
      <c r="E12">
        <f>IF(COUNT(Resultados!E12,Resultados!N12)=0, "", AVERAGE(ABS(Resultados!E12),ABS(Resultados!N12)))</f>
        <v>15.757942055058098</v>
      </c>
      <c r="F12">
        <f>IF(COUNT(Resultados!F12,Resultados!O12)=0, "", AVERAGE(ABS(Resultados!F12),ABS(Resultados!O12)))</f>
        <v>1635.4287010250137</v>
      </c>
      <c r="G12">
        <f>IF(COUNT(Resultados!G12,Resultados!P12)=0, "", AVERAGE(ABS(Resultados!G12),ABS(Resultados!P12)))</f>
        <v>3.605</v>
      </c>
      <c r="H12">
        <f>IF(COUNT(Resultados!H12,Resultados!Q12)=0, "", AVERAGE(ABS(Resultados!H12),ABS(Resultados!Q12)))</f>
        <v>6.2899999999999998E-2</v>
      </c>
      <c r="I12">
        <f>IF(COUNT(Resultados!I12,Resultados!R12)=0, "", AVERAGE(ABS(Resultados!I12),ABS(Resultados!R12)))</f>
        <v>2.0039700000000025</v>
      </c>
      <c r="J12">
        <v>6.2899999999999998E-2</v>
      </c>
      <c r="K12">
        <v>6.4399999999999999E-2</v>
      </c>
    </row>
    <row r="13" spans="1:11" x14ac:dyDescent="0.3">
      <c r="A13" t="str">
        <f>IF(COUNT(Resultados!A13,Resultados!J13)=0, "", AVERAGE(ABS(Resultados!A13),ABS(Resultados!J13)))</f>
        <v/>
      </c>
      <c r="B13" t="str">
        <f>IF(COUNT(Resultados!B13,Resultados!K13)=0, "", AVERAGE(ABS(Resultados!B13),ABS(Resultados!K13)))</f>
        <v/>
      </c>
      <c r="C13">
        <f>IF(COUNT(Resultados!C13,Resultados!L13)=0, "", AVERAGE(ABS(Resultados!C13),ABS(Resultados!L13)))</f>
        <v>94</v>
      </c>
      <c r="D13">
        <f>IF(COUNT(Resultados!D13,Resultados!M13)=0, "", AVERAGE(ABS(Resultados!D13),ABS(Resultados!M13)))</f>
        <v>6.905E-2</v>
      </c>
      <c r="E13">
        <f>IF(COUNT(Resultados!E13,Resultados!N13)=0, "", AVERAGE(ABS(Resultados!E13),ABS(Resultados!N13)))</f>
        <v>15.606347692092605</v>
      </c>
      <c r="F13">
        <f>IF(COUNT(Resultados!F13,Resultados!O13)=0, "", AVERAGE(ABS(Resultados!F13),ABS(Resultados!O13)))</f>
        <v>1524.5116049030305</v>
      </c>
      <c r="G13">
        <f>IF(COUNT(Resultados!G13,Resultados!P13)=0, "", AVERAGE(ABS(Resultados!G13),ABS(Resultados!P13)))</f>
        <v>3.605</v>
      </c>
      <c r="H13">
        <f>IF(COUNT(Resultados!H13,Resultados!Q13)=0, "", AVERAGE(ABS(Resultados!H13),ABS(Resultados!Q13)))</f>
        <v>6.0499999999999998E-2</v>
      </c>
      <c r="I13">
        <f>IF(COUNT(Resultados!I13,Resultados!R13)=0, "", AVERAGE(ABS(Resultados!I13),ABS(Resultados!R13)))</f>
        <v>2.198865000000005</v>
      </c>
      <c r="J13">
        <v>6.0499999999999998E-2</v>
      </c>
      <c r="K13">
        <v>6.905E-2</v>
      </c>
    </row>
    <row r="14" spans="1:11" x14ac:dyDescent="0.3">
      <c r="A14" t="str">
        <f>IF(COUNT(Resultados!A14,Resultados!J14)=0, "", AVERAGE(ABS(Resultados!A14),ABS(Resultados!J14)))</f>
        <v/>
      </c>
      <c r="B14" t="str">
        <f>IF(COUNT(Resultados!B14,Resultados!K14)=0, "", AVERAGE(ABS(Resultados!B14),ABS(Resultados!K14)))</f>
        <v/>
      </c>
      <c r="C14">
        <f>IF(COUNT(Resultados!C14,Resultados!L14)=0, "", AVERAGE(ABS(Resultados!C14),ABS(Resultados!L14)))</f>
        <v>94</v>
      </c>
      <c r="D14">
        <f>IF(COUNT(Resultados!D14,Resultados!M14)=0, "", AVERAGE(ABS(Resultados!D14),ABS(Resultados!M14)))</f>
        <v>6.6049999999999998E-2</v>
      </c>
      <c r="E14">
        <f>IF(COUNT(Resultados!E14,Resultados!N14)=0, "", AVERAGE(ABS(Resultados!E14),ABS(Resultados!N14)))</f>
        <v>15.26387574349295</v>
      </c>
      <c r="F14">
        <f>IF(COUNT(Resultados!F14,Resultados!O14)=0, "", AVERAGE(ABS(Resultados!F14),ABS(Resultados!O14)))</f>
        <v>1492.5932192935429</v>
      </c>
      <c r="G14">
        <f>IF(COUNT(Resultados!G14,Resultados!P14)=0, "", AVERAGE(ABS(Resultados!G14),ABS(Resultados!P14)))</f>
        <v>3.605</v>
      </c>
      <c r="H14">
        <f>IF(COUNT(Resultados!H14,Resultados!Q14)=0, "", AVERAGE(ABS(Resultados!H14),ABS(Resultados!Q14)))</f>
        <v>5.5199999999999999E-2</v>
      </c>
      <c r="I14">
        <f>IF(COUNT(Resultados!I14,Resultados!R14)=0, "", AVERAGE(ABS(Resultados!I14),ABS(Resultados!R14)))</f>
        <v>2.4020500000000062</v>
      </c>
      <c r="J14">
        <v>5.5199999999999999E-2</v>
      </c>
      <c r="K14">
        <v>6.6049999999999998E-2</v>
      </c>
    </row>
    <row r="15" spans="1:11" x14ac:dyDescent="0.3">
      <c r="A15" t="str">
        <f>IF(COUNT(Resultados!A15,Resultados!J15)=0, "", AVERAGE(ABS(Resultados!A15),ABS(Resultados!J15)))</f>
        <v/>
      </c>
      <c r="B15" t="str">
        <f>IF(COUNT(Resultados!B15,Resultados!K15)=0, "", AVERAGE(ABS(Resultados!B15),ABS(Resultados!K15)))</f>
        <v/>
      </c>
      <c r="C15">
        <f>IF(COUNT(Resultados!C15,Resultados!L15)=0, "", AVERAGE(ABS(Resultados!C15),ABS(Resultados!L15)))</f>
        <v>94</v>
      </c>
      <c r="D15">
        <f>IF(COUNT(Resultados!D15,Resultados!M15)=0, "", AVERAGE(ABS(Resultados!D15),ABS(Resultados!M15)))</f>
        <v>5.8599999999999999E-2</v>
      </c>
      <c r="E15">
        <f>IF(COUNT(Resultados!E15,Resultados!N15)=0, "", AVERAGE(ABS(Resultados!E15),ABS(Resultados!N15)))</f>
        <v>14.78264805501925</v>
      </c>
      <c r="F15">
        <f>IF(COUNT(Resultados!F15,Resultados!O15)=0, "", AVERAGE(ABS(Resultados!F15),ABS(Resultados!O15)))</f>
        <v>1447.742798727794</v>
      </c>
      <c r="G15">
        <f>IF(COUNT(Resultados!G15,Resultados!P15)=0, "", AVERAGE(ABS(Resultados!G15),ABS(Resultados!P15)))</f>
        <v>3.605</v>
      </c>
      <c r="H15">
        <f>IF(COUNT(Resultados!H15,Resultados!Q15)=0, "", AVERAGE(ABS(Resultados!H15),ABS(Resultados!Q15)))</f>
        <v>4.7699999999999999E-2</v>
      </c>
      <c r="I15">
        <f>IF(COUNT(Resultados!I15,Resultados!R15)=0, "", AVERAGE(ABS(Resultados!I15),ABS(Resultados!R15)))</f>
        <v>2.5996950000000076</v>
      </c>
      <c r="J15">
        <v>4.7699999999999999E-2</v>
      </c>
      <c r="K15">
        <v>5.8599999999999999E-2</v>
      </c>
    </row>
    <row r="16" spans="1:11" x14ac:dyDescent="0.3">
      <c r="A16" t="str">
        <f>IF(COUNT(Resultados!A16,Resultados!J16)=0, "", AVERAGE(ABS(Resultados!A16),ABS(Resultados!J16)))</f>
        <v/>
      </c>
      <c r="B16" t="str">
        <f>IF(COUNT(Resultados!B16,Resultados!K16)=0, "", AVERAGE(ABS(Resultados!B16),ABS(Resultados!K16)))</f>
        <v/>
      </c>
      <c r="C16">
        <f>IF(COUNT(Resultados!C16,Resultados!L16)=0, "", AVERAGE(ABS(Resultados!C16),ABS(Resultados!L16)))</f>
        <v>94</v>
      </c>
      <c r="D16">
        <f>IF(COUNT(Resultados!D16,Resultados!M16)=0, "", AVERAGE(ABS(Resultados!D16),ABS(Resultados!M16)))</f>
        <v>5.2999999999999999E-2</v>
      </c>
      <c r="E16">
        <f>IF(COUNT(Resultados!E16,Resultados!N16)=0, "", AVERAGE(ABS(Resultados!E16),ABS(Resultados!N16)))</f>
        <v>14.19306641803297</v>
      </c>
      <c r="F16">
        <f>IF(COUNT(Resultados!F16,Resultados!O16)=0, "", AVERAGE(ABS(Resultados!F16),ABS(Resultados!O16)))</f>
        <v>1392.7937901606731</v>
      </c>
      <c r="G16">
        <f>IF(COUNT(Resultados!G16,Resultados!P16)=0, "", AVERAGE(ABS(Resultados!G16),ABS(Resultados!P16)))</f>
        <v>3.605</v>
      </c>
      <c r="H16">
        <f>IF(COUNT(Resultados!H16,Resultados!Q16)=0, "", AVERAGE(ABS(Resultados!H16),ABS(Resultados!Q16)))</f>
        <v>3.8550000000000001E-2</v>
      </c>
      <c r="I16">
        <f>IF(COUNT(Resultados!I16,Resultados!R16)=0, "", AVERAGE(ABS(Resultados!I16),ABS(Resultados!R16)))</f>
        <v>2.8001150000000017</v>
      </c>
      <c r="J16">
        <v>3.8550000000000001E-2</v>
      </c>
      <c r="K16">
        <v>5.2999999999999999E-2</v>
      </c>
    </row>
    <row r="17" spans="1:11" x14ac:dyDescent="0.3">
      <c r="A17" t="str">
        <f>IF(COUNT(Resultados!A17,Resultados!J17)=0, "", AVERAGE(ABS(Resultados!A17),ABS(Resultados!J17)))</f>
        <v/>
      </c>
      <c r="B17" t="str">
        <f>IF(COUNT(Resultados!B17,Resultados!K17)=0, "", AVERAGE(ABS(Resultados!B17),ABS(Resultados!K17)))</f>
        <v/>
      </c>
      <c r="C17">
        <f>IF(COUNT(Resultados!C17,Resultados!L17)=0, "", AVERAGE(ABS(Resultados!C17),ABS(Resultados!L17)))</f>
        <v>94</v>
      </c>
      <c r="D17">
        <f>IF(COUNT(Resultados!D17,Resultados!M17)=0, "", AVERAGE(ABS(Resultados!D17),ABS(Resultados!M17)))</f>
        <v>4.5449999999999997E-2</v>
      </c>
      <c r="E17">
        <f>IF(COUNT(Resultados!E17,Resultados!N17)=0, "", AVERAGE(ABS(Resultados!E17),ABS(Resultados!N17)))</f>
        <v>13.531060609365195</v>
      </c>
      <c r="F17">
        <f>IF(COUNT(Resultados!F17,Resultados!O17)=0, "", AVERAGE(ABS(Resultados!F17),ABS(Resultados!O17)))</f>
        <v>1331.094848792836</v>
      </c>
      <c r="G17">
        <f>IF(COUNT(Resultados!G17,Resultados!P17)=0, "", AVERAGE(ABS(Resultados!G17),ABS(Resultados!P17)))</f>
        <v>3.605</v>
      </c>
      <c r="H17">
        <f>IF(COUNT(Resultados!H17,Resultados!Q17)=0, "", AVERAGE(ABS(Resultados!H17),ABS(Resultados!Q17)))</f>
        <v>2.8299999999999999E-2</v>
      </c>
      <c r="I17">
        <f>IF(COUNT(Resultados!I17,Resultados!R17)=0, "", AVERAGE(ABS(Resultados!I17),ABS(Resultados!R17)))</f>
        <v>3.0093350000000072</v>
      </c>
      <c r="J17">
        <v>2.8299999999999999E-2</v>
      </c>
      <c r="K17">
        <v>4.5449999999999997E-2</v>
      </c>
    </row>
    <row r="18" spans="1:11" x14ac:dyDescent="0.3">
      <c r="A18" t="str">
        <f>IF(COUNT(Resultados!A18,Resultados!J18)=0, "", AVERAGE(ABS(Resultados!A18),ABS(Resultados!J18)))</f>
        <v/>
      </c>
      <c r="B18" t="str">
        <f>IF(COUNT(Resultados!B18,Resultados!K18)=0, "", AVERAGE(ABS(Resultados!B18),ABS(Resultados!K18)))</f>
        <v/>
      </c>
      <c r="C18">
        <f>IF(COUNT(Resultados!C18,Resultados!L18)=0, "", AVERAGE(ABS(Resultados!C18),ABS(Resultados!L18)))</f>
        <v>94</v>
      </c>
      <c r="D18">
        <f>IF(COUNT(Resultados!D18,Resultados!M18)=0, "", AVERAGE(ABS(Resultados!D18),ABS(Resultados!M18)))</f>
        <v>3.9150000000000004E-2</v>
      </c>
      <c r="E18">
        <f>IF(COUNT(Resultados!E18,Resultados!N18)=0, "", AVERAGE(ABS(Resultados!E18),ABS(Resultados!N18)))</f>
        <v>12.933524041735389</v>
      </c>
      <c r="F18">
        <f>IF(COUNT(Resultados!F18,Resultados!O18)=0, "", AVERAGE(ABS(Resultados!F18),ABS(Resultados!O18)))</f>
        <v>1275.4044406897383</v>
      </c>
      <c r="G18">
        <f>IF(COUNT(Resultados!G18,Resultados!P18)=0, "", AVERAGE(ABS(Resultados!G18),ABS(Resultados!P18)))</f>
        <v>3.605</v>
      </c>
      <c r="H18">
        <f>IF(COUNT(Resultados!H18,Resultados!Q18)=0, "", AVERAGE(ABS(Resultados!H18),ABS(Resultados!Q18)))</f>
        <v>1.8950000000000002E-2</v>
      </c>
      <c r="I18">
        <f>IF(COUNT(Resultados!I18,Resultados!R18)=0, "", AVERAGE(ABS(Resultados!I18),ABS(Resultados!R18)))</f>
        <v>3.2040450000000007</v>
      </c>
      <c r="J18">
        <v>1.8950000000000002E-2</v>
      </c>
      <c r="K18">
        <v>3.9150000000000004E-2</v>
      </c>
    </row>
    <row r="19" spans="1:11" x14ac:dyDescent="0.3">
      <c r="A19" t="str">
        <f>IF(COUNT(Resultados!A19,Resultados!J19)=0, "", AVERAGE(ABS(Resultados!A19),ABS(Resultados!J19)))</f>
        <v/>
      </c>
      <c r="B19" t="str">
        <f>IF(COUNT(Resultados!B19,Resultados!K19)=0, "", AVERAGE(ABS(Resultados!B19),ABS(Resultados!K19)))</f>
        <v/>
      </c>
      <c r="C19">
        <f>IF(COUNT(Resultados!C19,Resultados!L19)=0, "", AVERAGE(ABS(Resultados!C19),ABS(Resultados!L19)))</f>
        <v>94</v>
      </c>
      <c r="D19">
        <f>IF(COUNT(Resultados!D19,Resultados!M19)=0, "", AVERAGE(ABS(Resultados!D19),ABS(Resultados!M19)))</f>
        <v>3.1050000000000001E-2</v>
      </c>
      <c r="E19">
        <f>IF(COUNT(Resultados!E19,Resultados!N19)=0, "", AVERAGE(ABS(Resultados!E19),ABS(Resultados!N19)))</f>
        <v>12.39967435933151</v>
      </c>
      <c r="F19">
        <f>IF(COUNT(Resultados!F19,Resultados!O19)=0, "", AVERAGE(ABS(Resultados!F19),ABS(Resultados!O19)))</f>
        <v>1225.6496502896971</v>
      </c>
      <c r="G19">
        <f>IF(COUNT(Resultados!G19,Resultados!P19)=0, "", AVERAGE(ABS(Resultados!G19),ABS(Resultados!P19)))</f>
        <v>3.605</v>
      </c>
      <c r="H19">
        <f>IF(COUNT(Resultados!H19,Resultados!Q19)=0, "", AVERAGE(ABS(Resultados!H19),ABS(Resultados!Q19)))</f>
        <v>1.065E-2</v>
      </c>
      <c r="I19">
        <f>IF(COUNT(Resultados!I19,Resultados!R19)=0, "", AVERAGE(ABS(Resultados!I19),ABS(Resultados!R19)))</f>
        <v>3.4034150000000025</v>
      </c>
      <c r="J19">
        <v>1.065E-2</v>
      </c>
      <c r="K19">
        <v>3.1050000000000001E-2</v>
      </c>
    </row>
    <row r="20" spans="1:11" x14ac:dyDescent="0.3">
      <c r="A20" t="str">
        <f>IF(COUNT(Resultados!A20,Resultados!J20)=0, "", AVERAGE(ABS(Resultados!A20),ABS(Resultados!J20)))</f>
        <v/>
      </c>
      <c r="B20" t="str">
        <f>IF(COUNT(Resultados!B20,Resultados!K20)=0, "", AVERAGE(ABS(Resultados!B20),ABS(Resultados!K20)))</f>
        <v/>
      </c>
      <c r="C20">
        <f>IF(COUNT(Resultados!C20,Resultados!L20)=0, "", AVERAGE(ABS(Resultados!C20),ABS(Resultados!L20)))</f>
        <v>94</v>
      </c>
      <c r="D20">
        <f>IF(COUNT(Resultados!D20,Resultados!M20)=0, "", AVERAGE(ABS(Resultados!D20),ABS(Resultados!M20)))</f>
        <v>2.3E-2</v>
      </c>
      <c r="E20">
        <f>IF(COUNT(Resultados!E20,Resultados!N20)=0, "", AVERAGE(ABS(Resultados!E20),ABS(Resultados!N20)))</f>
        <v>11.999644540268225</v>
      </c>
      <c r="F20">
        <f>IF(COUNT(Resultados!F20,Resultados!O20)=0, "", AVERAGE(ABS(Resultados!F20),ABS(Resultados!O20)))</f>
        <v>1188.366871152999</v>
      </c>
      <c r="G20">
        <f>IF(COUNT(Resultados!G20,Resultados!P20)=0, "", AVERAGE(ABS(Resultados!G20),ABS(Resultados!P20)))</f>
        <v>3.605</v>
      </c>
      <c r="H20">
        <f>IF(COUNT(Resultados!H20,Resultados!Q20)=0, "", AVERAGE(ABS(Resultados!H20),ABS(Resultados!Q20)))</f>
        <v>4.45E-3</v>
      </c>
      <c r="I20">
        <f>IF(COUNT(Resultados!I20,Resultados!R20)=0, "", AVERAGE(ABS(Resultados!I20),ABS(Resultados!R20)))</f>
        <v>3.600630000000006</v>
      </c>
      <c r="J20">
        <v>4.45E-3</v>
      </c>
      <c r="K20">
        <v>2.3E-2</v>
      </c>
    </row>
    <row r="21" spans="1:11" x14ac:dyDescent="0.3">
      <c r="A21" t="str">
        <f>IF(COUNT(Resultados!A21,Resultados!J21)=0, "", AVERAGE(ABS(Resultados!A21),ABS(Resultados!J21)))</f>
        <v/>
      </c>
      <c r="B21" t="str">
        <f>IF(COUNT(Resultados!B21,Resultados!K21)=0, "", AVERAGE(ABS(Resultados!B21),ABS(Resultados!K21)))</f>
        <v/>
      </c>
      <c r="C21">
        <f>IF(COUNT(Resultados!C21,Resultados!L21)=0, "", AVERAGE(ABS(Resultados!C21),ABS(Resultados!L21)))</f>
        <v>94</v>
      </c>
      <c r="D21">
        <f>IF(COUNT(Resultados!D21,Resultados!M21)=0, "", AVERAGE(ABS(Resultados!D21),ABS(Resultados!M21)))</f>
        <v>1.4499999999999999E-2</v>
      </c>
      <c r="E21">
        <f>IF(COUNT(Resultados!E21,Resultados!N21)=0, "", AVERAGE(ABS(Resultados!E21),ABS(Resultados!N21)))</f>
        <v>11.76448557512478</v>
      </c>
      <c r="F21">
        <f>IF(COUNT(Resultados!F21,Resultados!O21)=0, "", AVERAGE(ABS(Resultados!F21),ABS(Resultados!O21)))</f>
        <v>1166.4500556016296</v>
      </c>
      <c r="G21">
        <f>IF(COUNT(Resultados!G21,Resultados!P21)=0, "", AVERAGE(ABS(Resultados!G21),ABS(Resultados!P21)))</f>
        <v>3.605</v>
      </c>
      <c r="H21">
        <f>IF(COUNT(Resultados!H21,Resultados!Q21)=0, "", AVERAGE(ABS(Resultados!H21),ABS(Resultados!Q21)))</f>
        <v>8.0000000000000004E-4</v>
      </c>
      <c r="I21">
        <f>IF(COUNT(Resultados!I21,Resultados!R21)=0, "", AVERAGE(ABS(Resultados!I21),ABS(Resultados!R21)))</f>
        <v>3.7989650000000026</v>
      </c>
      <c r="J21">
        <v>8.0000000000000004E-4</v>
      </c>
      <c r="K21">
        <v>1.4499999999999999E-2</v>
      </c>
    </row>
    <row r="22" spans="1:11" x14ac:dyDescent="0.3">
      <c r="A22" t="str">
        <f>IF(COUNT(Resultados!A22,Resultados!J22)=0, "", AVERAGE(ABS(Resultados!A22),ABS(Resultados!J22)))</f>
        <v/>
      </c>
      <c r="B22" t="str">
        <f>IF(COUNT(Resultados!B22,Resultados!K22)=0, "", AVERAGE(ABS(Resultados!B22),ABS(Resultados!K22)))</f>
        <v/>
      </c>
      <c r="C22">
        <f>IF(COUNT(Resultados!C22,Resultados!L22)=0, "", AVERAGE(ABS(Resultados!C22),ABS(Resultados!L22)))</f>
        <v>94</v>
      </c>
      <c r="D22">
        <f>IF(COUNT(Resultados!D22,Resultados!M22)=0, "", AVERAGE(ABS(Resultados!D22),ABS(Resultados!M22)))</f>
        <v>7.0000000000000001E-3</v>
      </c>
      <c r="E22">
        <f>IF(COUNT(Resultados!E22,Resultados!N22)=0, "", AVERAGE(ABS(Resultados!E22),ABS(Resultados!N22)))</f>
        <v>11.720682095605511</v>
      </c>
      <c r="F22">
        <f>IF(COUNT(Resultados!F22,Resultados!O22)=0, "", AVERAGE(ABS(Resultados!F22),ABS(Resultados!O22)))</f>
        <v>1162.3675713104335</v>
      </c>
      <c r="G22">
        <f>IF(COUNT(Resultados!G22,Resultados!P22)=0, "", AVERAGE(ABS(Resultados!G22),ABS(Resultados!P22)))</f>
        <v>3.605</v>
      </c>
      <c r="H22">
        <f>IF(COUNT(Resultados!H22,Resultados!Q22)=0, "", AVERAGE(ABS(Resultados!H22),ABS(Resultados!Q22)))</f>
        <v>1E-4</v>
      </c>
      <c r="I22">
        <f>IF(COUNT(Resultados!I22,Resultados!R22)=0, "", AVERAGE(ABS(Resultados!I22),ABS(Resultados!R22)))</f>
        <v>4.001530000000006</v>
      </c>
      <c r="J22">
        <v>1E-4</v>
      </c>
      <c r="K22">
        <v>7.0000000000000001E-3</v>
      </c>
    </row>
    <row r="23" spans="1:11" x14ac:dyDescent="0.3">
      <c r="A23" t="str">
        <f>IF(COUNT(Resultados!A23,Resultados!J23)=0, "", AVERAGE(ABS(Resultados!A23),ABS(Resultados!J23)))</f>
        <v/>
      </c>
      <c r="B23" t="str">
        <f>IF(COUNT(Resultados!B23,Resultados!K23)=0, "", AVERAGE(ABS(Resultados!B23),ABS(Resultados!K23)))</f>
        <v/>
      </c>
      <c r="C23">
        <f>IF(COUNT(Resultados!C23,Resultados!L23)=0, "", AVERAGE(ABS(Resultados!C23),ABS(Resultados!L23)))</f>
        <v>94</v>
      </c>
      <c r="D23">
        <f>IF(COUNT(Resultados!D23,Resultados!M23)=0, "", AVERAGE(ABS(Resultados!D23),ABS(Resultados!M23)))</f>
        <v>5.0000000000000001E-4</v>
      </c>
      <c r="E23">
        <f>IF(COUNT(Resultados!E23,Resultados!N23)=0, "", AVERAGE(ABS(Resultados!E23),ABS(Resultados!N23)))</f>
        <v>11.872854809884636</v>
      </c>
      <c r="F23">
        <f>IF(COUNT(Resultados!F23,Resultados!O23)=0, "", AVERAGE(ABS(Resultados!F23),ABS(Resultados!O23)))</f>
        <v>1266.733921458052</v>
      </c>
      <c r="G23">
        <f>IF(COUNT(Resultados!G23,Resultados!P23)=0, "", AVERAGE(ABS(Resultados!G23),ABS(Resultados!P23)))</f>
        <v>3.605</v>
      </c>
      <c r="H23">
        <f>IF(COUNT(Resultados!H23,Resultados!Q23)=0, "", AVERAGE(ABS(Resultados!H23),ABS(Resultados!Q23)))</f>
        <v>2.5000000000000001E-3</v>
      </c>
      <c r="I23">
        <f>IF(COUNT(Resultados!I23,Resultados!R23)=0, "", AVERAGE(ABS(Resultados!I23),ABS(Resultados!R23)))</f>
        <v>4.1987550000000056</v>
      </c>
      <c r="J23">
        <v>2.5000000000000001E-3</v>
      </c>
      <c r="K23">
        <v>5.0000000000000001E-4</v>
      </c>
    </row>
    <row r="24" spans="1:11" x14ac:dyDescent="0.3">
      <c r="A24" t="str">
        <f>IF(COUNT(Resultados!A24,Resultados!J24)=0, "", AVERAGE(ABS(Resultados!A24),ABS(Resultados!J24)))</f>
        <v/>
      </c>
      <c r="B24" t="str">
        <f>IF(COUNT(Resultados!B24,Resultados!K24)=0, "", AVERAGE(ABS(Resultados!B24),ABS(Resultados!K24)))</f>
        <v/>
      </c>
      <c r="C24">
        <f>IF(COUNT(Resultados!C24,Resultados!L24)=0, "", AVERAGE(ABS(Resultados!C24),ABS(Resultados!L24)))</f>
        <v>94</v>
      </c>
      <c r="D24">
        <f>IF(COUNT(Resultados!D24,Resultados!M24)=0, "", AVERAGE(ABS(Resultados!D24),ABS(Resultados!M24)))</f>
        <v>1.3500000000000001E-3</v>
      </c>
      <c r="E24">
        <f>IF(COUNT(Resultados!E24,Resultados!N24)=0, "", AVERAGE(ABS(Resultados!E24),ABS(Resultados!N24)))</f>
        <v>12.211428684335365</v>
      </c>
      <c r="F24">
        <f>IF(COUNT(Resultados!F24,Resultados!O24)=0, "", AVERAGE(ABS(Resultados!F24),ABS(Resultados!O24)))</f>
        <v>1298.8645821434261</v>
      </c>
      <c r="G24">
        <f>IF(COUNT(Resultados!G24,Resultados!P24)=0, "", AVERAGE(ABS(Resultados!G24),ABS(Resultados!P24)))</f>
        <v>3.605</v>
      </c>
      <c r="H24">
        <f>IF(COUNT(Resultados!H24,Resultados!Q24)=0, "", AVERAGE(ABS(Resultados!H24),ABS(Resultados!Q24)))</f>
        <v>7.7499999999999999E-3</v>
      </c>
      <c r="I24">
        <f>IF(COUNT(Resultados!I24,Resultados!R24)=0, "", AVERAGE(ABS(Resultados!I24),ABS(Resultados!R24)))</f>
        <v>4.4001300000000079</v>
      </c>
      <c r="J24">
        <v>7.7499999999999999E-3</v>
      </c>
      <c r="K24">
        <v>1.3500000000000001E-3</v>
      </c>
    </row>
    <row r="25" spans="1:11" x14ac:dyDescent="0.3">
      <c r="A25" t="str">
        <f>IF(COUNT(Resultados!A25,Resultados!J25)=0, "", AVERAGE(ABS(Resultados!A25),ABS(Resultados!J25)))</f>
        <v/>
      </c>
      <c r="B25" t="str">
        <f>IF(COUNT(Resultados!B25,Resultados!K25)=0, "", AVERAGE(ABS(Resultados!B25),ABS(Resultados!K25)))</f>
        <v/>
      </c>
      <c r="C25">
        <f>IF(COUNT(Resultados!C25,Resultados!L25)=0, "", AVERAGE(ABS(Resultados!C25),ABS(Resultados!L25)))</f>
        <v>94</v>
      </c>
      <c r="D25">
        <f>IF(COUNT(Resultados!D25,Resultados!M25)=0, "", AVERAGE(ABS(Resultados!D25),ABS(Resultados!M25)))</f>
        <v>7.7999999999999996E-3</v>
      </c>
      <c r="E25">
        <f>IF(COUNT(Resultados!E25,Resultados!N25)=0, "", AVERAGE(ABS(Resultados!E25),ABS(Resultados!N25)))</f>
        <v>12.693185106667016</v>
      </c>
      <c r="F25">
        <f>IF(COUNT(Resultados!F25,Resultados!O25)=0, "", AVERAGE(ABS(Resultados!F25),ABS(Resultados!O25)))</f>
        <v>1344.5832666227</v>
      </c>
      <c r="G25">
        <f>IF(COUNT(Resultados!G25,Resultados!P25)=0, "", AVERAGE(ABS(Resultados!G25),ABS(Resultados!P25)))</f>
        <v>3.605</v>
      </c>
      <c r="H25">
        <f>IF(COUNT(Resultados!H25,Resultados!Q25)=0, "", AVERAGE(ABS(Resultados!H25),ABS(Resultados!Q25)))</f>
        <v>1.52E-2</v>
      </c>
      <c r="I25">
        <f>IF(COUNT(Resultados!I25,Resultados!R25)=0, "", AVERAGE(ABS(Resultados!I25),ABS(Resultados!R25)))</f>
        <v>4.5984050000000067</v>
      </c>
      <c r="J25">
        <v>1.52E-2</v>
      </c>
      <c r="K25">
        <v>7.7999999999999996E-3</v>
      </c>
    </row>
    <row r="26" spans="1:11" x14ac:dyDescent="0.3">
      <c r="A26" t="str">
        <f>IF(COUNT(Resultados!A26,Resultados!J26)=0, "", AVERAGE(ABS(Resultados!A26),ABS(Resultados!J26)))</f>
        <v/>
      </c>
      <c r="B26" t="str">
        <f>IF(COUNT(Resultados!B26,Resultados!K26)=0, "", AVERAGE(ABS(Resultados!B26),ABS(Resultados!K26)))</f>
        <v/>
      </c>
      <c r="C26">
        <f>IF(COUNT(Resultados!C26,Resultados!L26)=0, "", AVERAGE(ABS(Resultados!C26),ABS(Resultados!L26)))</f>
        <v>94</v>
      </c>
      <c r="D26">
        <f>IF(COUNT(Resultados!D26,Resultados!M26)=0, "", AVERAGE(ABS(Resultados!D26),ABS(Resultados!M26)))</f>
        <v>1.3950000000000001E-2</v>
      </c>
      <c r="E26">
        <f>IF(COUNT(Resultados!E26,Resultados!N26)=0, "", AVERAGE(ABS(Resultados!E26),ABS(Resultados!N26)))</f>
        <v>13.283786908060204</v>
      </c>
      <c r="F26">
        <f>IF(COUNT(Resultados!F26,Resultados!O26)=0, "", AVERAGE(ABS(Resultados!F26),ABS(Resultados!O26)))</f>
        <v>1400.6313775749131</v>
      </c>
      <c r="G26">
        <f>IF(COUNT(Resultados!G26,Resultados!P26)=0, "", AVERAGE(ABS(Resultados!G26),ABS(Resultados!P26)))</f>
        <v>3.605</v>
      </c>
      <c r="H26">
        <f>IF(COUNT(Resultados!H26,Resultados!Q26)=0, "", AVERAGE(ABS(Resultados!H26),ABS(Resultados!Q26)))</f>
        <v>2.4400000000000002E-2</v>
      </c>
      <c r="I26">
        <f>IF(COUNT(Resultados!I26,Resultados!R26)=0, "", AVERAGE(ABS(Resultados!I26),ABS(Resultados!R26)))</f>
        <v>4.799315</v>
      </c>
      <c r="J26">
        <v>2.4400000000000002E-2</v>
      </c>
      <c r="K26">
        <v>1.3950000000000001E-2</v>
      </c>
    </row>
    <row r="27" spans="1:11" x14ac:dyDescent="0.3">
      <c r="A27" t="str">
        <f>IF(COUNT(Resultados!A27,Resultados!J27)=0, "", AVERAGE(ABS(Resultados!A27),ABS(Resultados!J27)))</f>
        <v/>
      </c>
      <c r="B27" t="str">
        <f>IF(COUNT(Resultados!B27,Resultados!K27)=0, "", AVERAGE(ABS(Resultados!B27),ABS(Resultados!K27)))</f>
        <v/>
      </c>
      <c r="C27">
        <f>IF(COUNT(Resultados!C27,Resultados!L27)=0, "", AVERAGE(ABS(Resultados!C27),ABS(Resultados!L27)))</f>
        <v>94</v>
      </c>
      <c r="D27">
        <f>IF(COUNT(Resultados!D27,Resultados!M27)=0, "", AVERAGE(ABS(Resultados!D27),ABS(Resultados!M27)))</f>
        <v>2.0049999999999998E-2</v>
      </c>
      <c r="E27">
        <f>IF(COUNT(Resultados!E27,Resultados!N27)=0, "", AVERAGE(ABS(Resultados!E27),ABS(Resultados!N27)))</f>
        <v>13.917157764159475</v>
      </c>
      <c r="F27">
        <f>IF(COUNT(Resultados!F27,Resultados!O27)=0, "", AVERAGE(ABS(Resultados!F27),ABS(Resultados!O27)))</f>
        <v>1460.7382718187341</v>
      </c>
      <c r="G27">
        <f>IF(COUNT(Resultados!G27,Resultados!P27)=0, "", AVERAGE(ABS(Resultados!G27),ABS(Resultados!P27)))</f>
        <v>3.605</v>
      </c>
      <c r="H27">
        <f>IF(COUNT(Resultados!H27,Resultados!Q27)=0, "", AVERAGE(ABS(Resultados!H27),ABS(Resultados!Q27)))</f>
        <v>3.4250000000000003E-2</v>
      </c>
      <c r="I27">
        <f>IF(COUNT(Resultados!I27,Resultados!R27)=0, "", AVERAGE(ABS(Resultados!I27),ABS(Resultados!R27)))</f>
        <v>4.9995100000000043</v>
      </c>
      <c r="J27">
        <v>3.4250000000000003E-2</v>
      </c>
      <c r="K27">
        <v>2.0049999999999998E-2</v>
      </c>
    </row>
    <row r="28" spans="1:11" x14ac:dyDescent="0.3">
      <c r="A28" t="str">
        <f>IF(COUNT(Resultados!A28,Resultados!J28)=0, "", AVERAGE(ABS(Resultados!A28),ABS(Resultados!J28)))</f>
        <v/>
      </c>
      <c r="B28" t="str">
        <f>IF(COUNT(Resultados!B28,Resultados!K28)=0, "", AVERAGE(ABS(Resultados!B28),ABS(Resultados!K28)))</f>
        <v/>
      </c>
      <c r="C28">
        <f>IF(COUNT(Resultados!C28,Resultados!L28)=0, "", AVERAGE(ABS(Resultados!C28),ABS(Resultados!L28)))</f>
        <v>94</v>
      </c>
      <c r="D28">
        <f>IF(COUNT(Resultados!D28,Resultados!M28)=0, "", AVERAGE(ABS(Resultados!D28),ABS(Resultados!M28)))</f>
        <v>2.8000000000000001E-2</v>
      </c>
      <c r="E28">
        <f>IF(COUNT(Resultados!E28,Resultados!N28)=0, "", AVERAGE(ABS(Resultados!E28),ABS(Resultados!N28)))</f>
        <v>14.532716492948261</v>
      </c>
      <c r="F28">
        <f>IF(COUNT(Resultados!F28,Resultados!O28)=0, "", AVERAGE(ABS(Resultados!F28),ABS(Resultados!O28)))</f>
        <v>1519.1547951807895</v>
      </c>
      <c r="G28">
        <f>IF(COUNT(Resultados!G28,Resultados!P28)=0, "", AVERAGE(ABS(Resultados!G28),ABS(Resultados!P28)))</f>
        <v>3.605</v>
      </c>
      <c r="H28">
        <f>IF(COUNT(Resultados!H28,Resultados!Q28)=0, "", AVERAGE(ABS(Resultados!H28),ABS(Resultados!Q28)))</f>
        <v>4.3799999999999999E-2</v>
      </c>
      <c r="I28">
        <f>IF(COUNT(Resultados!I28,Resultados!R28)=0, "", AVERAGE(ABS(Resultados!I28),ABS(Resultados!R28)))</f>
        <v>5.1995650000000069</v>
      </c>
      <c r="J28">
        <v>4.3799999999999999E-2</v>
      </c>
      <c r="K28">
        <v>2.8000000000000001E-2</v>
      </c>
    </row>
    <row r="29" spans="1:11" x14ac:dyDescent="0.3">
      <c r="A29" t="str">
        <f>IF(COUNT(Resultados!A29,Resultados!J29)=0, "", AVERAGE(ABS(Resultados!A29),ABS(Resultados!J29)))</f>
        <v/>
      </c>
      <c r="B29" t="str">
        <f>IF(COUNT(Resultados!B29,Resultados!K29)=0, "", AVERAGE(ABS(Resultados!B29),ABS(Resultados!K29)))</f>
        <v/>
      </c>
      <c r="C29">
        <f>IF(COUNT(Resultados!C29,Resultados!L29)=0, "", AVERAGE(ABS(Resultados!C29),ABS(Resultados!L29)))</f>
        <v>94</v>
      </c>
      <c r="D29">
        <f>IF(COUNT(Resultados!D29,Resultados!M29)=0, "", AVERAGE(ABS(Resultados!D29),ABS(Resultados!M29)))</f>
        <v>3.6049999999999999E-2</v>
      </c>
      <c r="E29">
        <f>IF(COUNT(Resultados!E29,Resultados!N29)=0, "", AVERAGE(ABS(Resultados!E29),ABS(Resultados!N29)))</f>
        <v>15.069020692537034</v>
      </c>
      <c r="F29">
        <f>IF(COUNT(Resultados!F29,Resultados!O29)=0, "", AVERAGE(ABS(Resultados!F29),ABS(Resultados!O29)))</f>
        <v>1570.0500637217651</v>
      </c>
      <c r="G29">
        <f>IF(COUNT(Resultados!G29,Resultados!P29)=0, "", AVERAGE(ABS(Resultados!G29),ABS(Resultados!P29)))</f>
        <v>3.605</v>
      </c>
      <c r="H29">
        <f>IF(COUNT(Resultados!H29,Resultados!Q29)=0, "", AVERAGE(ABS(Resultados!H29),ABS(Resultados!Q29)))</f>
        <v>5.2150000000000002E-2</v>
      </c>
      <c r="I29">
        <f>IF(COUNT(Resultados!I29,Resultados!R29)=0, "", AVERAGE(ABS(Resultados!I29),ABS(Resultados!R29)))</f>
        <v>5.398960000000006</v>
      </c>
      <c r="J29">
        <v>5.2150000000000002E-2</v>
      </c>
      <c r="K29">
        <v>3.6049999999999999E-2</v>
      </c>
    </row>
    <row r="30" spans="1:11" x14ac:dyDescent="0.3">
      <c r="A30" t="str">
        <f>IF(COUNT(Resultados!A30,Resultados!J30)=0, "", AVERAGE(ABS(Resultados!A30),ABS(Resultados!J30)))</f>
        <v/>
      </c>
      <c r="B30" t="str">
        <f>IF(COUNT(Resultados!B30,Resultados!K30)=0, "", AVERAGE(ABS(Resultados!B30),ABS(Resultados!K30)))</f>
        <v/>
      </c>
      <c r="C30">
        <f>IF(COUNT(Resultados!C30,Resultados!L30)=0, "", AVERAGE(ABS(Resultados!C30),ABS(Resultados!L30)))</f>
        <v>94</v>
      </c>
      <c r="D30">
        <f>IF(COUNT(Resultados!D30,Resultados!M30)=0, "", AVERAGE(ABS(Resultados!D30),ABS(Resultados!M30)))</f>
        <v>4.6249999999999999E-2</v>
      </c>
      <c r="E30">
        <f>IF(COUNT(Resultados!E30,Resultados!N30)=0, "", AVERAGE(ABS(Resultados!E30),ABS(Resultados!N30)))</f>
        <v>15.478548582824045</v>
      </c>
      <c r="F30">
        <f>IF(COUNT(Resultados!F30,Resultados!O30)=0, "", AVERAGE(ABS(Resultados!F30),ABS(Resultados!O30)))</f>
        <v>1608.9142605100026</v>
      </c>
      <c r="G30">
        <f>IF(COUNT(Resultados!G30,Resultados!P30)=0, "", AVERAGE(ABS(Resultados!G30),ABS(Resultados!P30)))</f>
        <v>3.605</v>
      </c>
      <c r="H30">
        <f>IF(COUNT(Resultados!H30,Resultados!Q30)=0, "", AVERAGE(ABS(Resultados!H30),ABS(Resultados!Q30)))</f>
        <v>5.8500000000000003E-2</v>
      </c>
      <c r="I30">
        <f>IF(COUNT(Resultados!I30,Resultados!R30)=0, "", AVERAGE(ABS(Resultados!I30),ABS(Resultados!R30)))</f>
        <v>5.5999250000000096</v>
      </c>
      <c r="J30">
        <v>5.8500000000000003E-2</v>
      </c>
      <c r="K30">
        <v>4.6249999999999999E-2</v>
      </c>
    </row>
    <row r="31" spans="1:11" x14ac:dyDescent="0.3">
      <c r="A31" t="str">
        <f>IF(COUNT(Resultados!A31,Resultados!J31)=0, "", AVERAGE(ABS(Resultados!A31),ABS(Resultados!J31)))</f>
        <v/>
      </c>
      <c r="B31" t="str">
        <f>IF(COUNT(Resultados!B31,Resultados!K31)=0, "", AVERAGE(ABS(Resultados!B31),ABS(Resultados!K31)))</f>
        <v/>
      </c>
      <c r="C31">
        <f>IF(COUNT(Resultados!C31,Resultados!L31)=0, "", AVERAGE(ABS(Resultados!C31),ABS(Resultados!L31)))</f>
        <v>94</v>
      </c>
      <c r="D31">
        <f>IF(COUNT(Resultados!D31,Resultados!M31)=0, "", AVERAGE(ABS(Resultados!D31),ABS(Resultados!M31)))</f>
        <v>5.5300000000000002E-2</v>
      </c>
      <c r="E31">
        <f>IF(COUNT(Resultados!E31,Resultados!N31)=0, "", AVERAGE(ABS(Resultados!E31),ABS(Resultados!N31)))</f>
        <v>15.71462946681169</v>
      </c>
      <c r="F31">
        <f>IF(COUNT(Resultados!F31,Resultados!O31)=0, "", AVERAGE(ABS(Resultados!F31),ABS(Resultados!O31)))</f>
        <v>1631.3183364004294</v>
      </c>
      <c r="G31">
        <f>IF(COUNT(Resultados!G31,Resultados!P31)=0, "", AVERAGE(ABS(Resultados!G31),ABS(Resultados!P31)))</f>
        <v>3.605</v>
      </c>
      <c r="H31">
        <f>IF(COUNT(Resultados!H31,Resultados!Q31)=0, "", AVERAGE(ABS(Resultados!H31),ABS(Resultados!Q31)))</f>
        <v>6.2199999999999998E-2</v>
      </c>
      <c r="I31">
        <f>IF(COUNT(Resultados!I31,Resultados!R31)=0, "", AVERAGE(ABS(Resultados!I31),ABS(Resultados!R31)))</f>
        <v>5.7986550000000072</v>
      </c>
      <c r="J31">
        <v>6.2199999999999998E-2</v>
      </c>
      <c r="K31">
        <v>5.5300000000000002E-2</v>
      </c>
    </row>
    <row r="32" spans="1:11" x14ac:dyDescent="0.3">
      <c r="A32" t="str">
        <f>IF(COUNT(Resultados!A32,Resultados!J32)=0, "", AVERAGE(ABS(Resultados!A32),ABS(Resultados!J32)))</f>
        <v/>
      </c>
      <c r="B32" t="str">
        <f>IF(COUNT(Resultados!B32,Resultados!K32)=0, "", AVERAGE(ABS(Resultados!B32),ABS(Resultados!K32)))</f>
        <v/>
      </c>
      <c r="C32">
        <f>IF(COUNT(Resultados!C32,Resultados!L32)=0, "", AVERAGE(ABS(Resultados!C32),ABS(Resultados!L32)))</f>
        <v>94</v>
      </c>
      <c r="D32">
        <f>IF(COUNT(Resultados!D32,Resultados!M32)=0, "", AVERAGE(ABS(Resultados!D32),ABS(Resultados!M32)))</f>
        <v>6.5000000000000002E-2</v>
      </c>
      <c r="E32">
        <f>IF(COUNT(Resultados!E32,Resultados!N32)=0, "", AVERAGE(ABS(Resultados!E32),ABS(Resultados!N32)))</f>
        <v>15.759043313614999</v>
      </c>
      <c r="F32">
        <f>IF(COUNT(Resultados!F32,Resultados!O32)=0, "", AVERAGE(ABS(Resultados!F32),ABS(Resultados!O32)))</f>
        <v>1635.5332104620634</v>
      </c>
      <c r="G32">
        <f>IF(COUNT(Resultados!G32,Resultados!P32)=0, "", AVERAGE(ABS(Resultados!G32),ABS(Resultados!P32)))</f>
        <v>3.605</v>
      </c>
      <c r="H32">
        <f>IF(COUNT(Resultados!H32,Resultados!Q32)=0, "", AVERAGE(ABS(Resultados!H32),ABS(Resultados!Q32)))</f>
        <v>6.2899999999999998E-2</v>
      </c>
      <c r="I32">
        <f>IF(COUNT(Resultados!I32,Resultados!R32)=0, "", AVERAGE(ABS(Resultados!I32),ABS(Resultados!R32)))</f>
        <v>6.0002000000000031</v>
      </c>
      <c r="J32">
        <v>6.2899999999999998E-2</v>
      </c>
      <c r="K32">
        <v>6.5000000000000002E-2</v>
      </c>
    </row>
    <row r="33" spans="1:11" x14ac:dyDescent="0.3">
      <c r="A33" t="str">
        <f>IF(COUNT(Resultados!A33,Resultados!J33)=0, "", AVERAGE(ABS(Resultados!A33),ABS(Resultados!J33)))</f>
        <v/>
      </c>
      <c r="B33" t="str">
        <f>IF(COUNT(Resultados!B33,Resultados!K33)=0, "", AVERAGE(ABS(Resultados!B33),ABS(Resultados!K33)))</f>
        <v/>
      </c>
      <c r="C33">
        <f>IF(COUNT(Resultados!C33,Resultados!L33)=0, "", AVERAGE(ABS(Resultados!C33),ABS(Resultados!L33)))</f>
        <v>94</v>
      </c>
      <c r="D33">
        <f>IF(COUNT(Resultados!D33,Resultados!M33)=0, "", AVERAGE(ABS(Resultados!D33),ABS(Resultados!M33)))</f>
        <v>6.9199999999999998E-2</v>
      </c>
      <c r="E33">
        <f>IF(COUNT(Resultados!E33,Resultados!N33)=0, "", AVERAGE(ABS(Resultados!E33),ABS(Resultados!N33)))</f>
        <v>15.606883116217926</v>
      </c>
      <c r="F33">
        <f>IF(COUNT(Resultados!F33,Resultados!O33)=0, "", AVERAGE(ABS(Resultados!F33),ABS(Resultados!O33)))</f>
        <v>1524.5615064315109</v>
      </c>
      <c r="G33">
        <f>IF(COUNT(Resultados!G33,Resultados!P33)=0, "", AVERAGE(ABS(Resultados!G33),ABS(Resultados!P33)))</f>
        <v>3.605</v>
      </c>
      <c r="H33">
        <f>IF(COUNT(Resultados!H33,Resultados!Q33)=0, "", AVERAGE(ABS(Resultados!H33),ABS(Resultados!Q33)))</f>
        <v>6.0499999999999998E-2</v>
      </c>
      <c r="I33">
        <f>IF(COUNT(Resultados!I33,Resultados!R33)=0, "", AVERAGE(ABS(Resultados!I33),ABS(Resultados!R33)))</f>
        <v>6.1984350000000035</v>
      </c>
      <c r="J33">
        <v>6.0499999999999998E-2</v>
      </c>
      <c r="K33">
        <v>6.9199999999999998E-2</v>
      </c>
    </row>
    <row r="34" spans="1:11" x14ac:dyDescent="0.3">
      <c r="A34" t="str">
        <f>IF(COUNT(Resultados!A34,Resultados!J34)=0, "", AVERAGE(ABS(Resultados!A34),ABS(Resultados!J34)))</f>
        <v/>
      </c>
      <c r="B34" t="str">
        <f>IF(COUNT(Resultados!B34,Resultados!K34)=0, "", AVERAGE(ABS(Resultados!B34),ABS(Resultados!K34)))</f>
        <v/>
      </c>
      <c r="C34">
        <f>IF(COUNT(Resultados!C34,Resultados!L34)=0, "", AVERAGE(ABS(Resultados!C34),ABS(Resultados!L34)))</f>
        <v>94</v>
      </c>
      <c r="D34">
        <f>IF(COUNT(Resultados!D34,Resultados!M34)=0, "", AVERAGE(ABS(Resultados!D34),ABS(Resultados!M34)))</f>
        <v>6.5549999999999997E-2</v>
      </c>
      <c r="E34">
        <f>IF(COUNT(Resultados!E34,Resultados!N34)=0, "", AVERAGE(ABS(Resultados!E34),ABS(Resultados!N34)))</f>
        <v>15.263021011152031</v>
      </c>
      <c r="F34">
        <f>IF(COUNT(Resultados!F34,Resultados!O34)=0, "", AVERAGE(ABS(Resultados!F34),ABS(Resultados!O34)))</f>
        <v>1492.5135582393691</v>
      </c>
      <c r="G34">
        <f>IF(COUNT(Resultados!G34,Resultados!P34)=0, "", AVERAGE(ABS(Resultados!G34),ABS(Resultados!P34)))</f>
        <v>3.605</v>
      </c>
      <c r="H34">
        <f>IF(COUNT(Resultados!H34,Resultados!Q34)=0, "", AVERAGE(ABS(Resultados!H34),ABS(Resultados!Q34)))</f>
        <v>5.5150000000000005E-2</v>
      </c>
      <c r="I34">
        <f>IF(COUNT(Resultados!I34,Resultados!R34)=0, "", AVERAGE(ABS(Resultados!I34),ABS(Resultados!R34)))</f>
        <v>6.4024600000000085</v>
      </c>
      <c r="J34">
        <v>5.5150000000000005E-2</v>
      </c>
      <c r="K34">
        <v>6.5549999999999997E-2</v>
      </c>
    </row>
    <row r="35" spans="1:11" x14ac:dyDescent="0.3">
      <c r="A35" t="str">
        <f>IF(COUNT(Resultados!A35,Resultados!J35)=0, "", AVERAGE(ABS(Resultados!A35),ABS(Resultados!J35)))</f>
        <v/>
      </c>
      <c r="B35" t="str">
        <f>IF(COUNT(Resultados!B35,Resultados!K35)=0, "", AVERAGE(ABS(Resultados!B35),ABS(Resultados!K35)))</f>
        <v/>
      </c>
      <c r="C35">
        <f>IF(COUNT(Resultados!C35,Resultados!L35)=0, "", AVERAGE(ABS(Resultados!C35),ABS(Resultados!L35)))</f>
        <v>94</v>
      </c>
      <c r="D35">
        <f>IF(COUNT(Resultados!D35,Resultados!M35)=0, "", AVERAGE(ABS(Resultados!D35),ABS(Resultados!M35)))</f>
        <v>5.8200000000000002E-2</v>
      </c>
      <c r="E35">
        <f>IF(COUNT(Resultados!E35,Resultados!N35)=0, "", AVERAGE(ABS(Resultados!E35),ABS(Resultados!N35)))</f>
        <v>14.77906896470933</v>
      </c>
      <c r="F35">
        <f>IF(COUNT(Resultados!F35,Resultados!O35)=0, "", AVERAGE(ABS(Resultados!F35),ABS(Resultados!O35)))</f>
        <v>1447.4092275109094</v>
      </c>
      <c r="G35">
        <f>IF(COUNT(Resultados!G35,Resultados!P35)=0, "", AVERAGE(ABS(Resultados!G35),ABS(Resultados!P35)))</f>
        <v>3.605</v>
      </c>
      <c r="H35">
        <f>IF(COUNT(Resultados!H35,Resultados!Q35)=0, "", AVERAGE(ABS(Resultados!H35),ABS(Resultados!Q35)))</f>
        <v>4.7649999999999998E-2</v>
      </c>
      <c r="I35">
        <f>IF(COUNT(Resultados!I35,Resultados!R35)=0, "", AVERAGE(ABS(Resultados!I35),ABS(Resultados!R35)))</f>
        <v>6.6010050000000042</v>
      </c>
      <c r="J35">
        <v>4.7649999999999998E-2</v>
      </c>
      <c r="K35">
        <v>5.8200000000000002E-2</v>
      </c>
    </row>
    <row r="36" spans="1:11" x14ac:dyDescent="0.3">
      <c r="A36" t="str">
        <f>IF(COUNT(Resultados!A36,Resultados!J36)=0, "", AVERAGE(ABS(Resultados!A36),ABS(Resultados!J36)))</f>
        <v/>
      </c>
      <c r="B36" t="str">
        <f>IF(COUNT(Resultados!B36,Resultados!K36)=0, "", AVERAGE(ABS(Resultados!B36),ABS(Resultados!K36)))</f>
        <v/>
      </c>
      <c r="C36">
        <f>IF(COUNT(Resultados!C36,Resultados!L36)=0, "", AVERAGE(ABS(Resultados!C36),ABS(Resultados!L36)))</f>
        <v>94</v>
      </c>
      <c r="D36">
        <f>IF(COUNT(Resultados!D36,Resultados!M36)=0, "", AVERAGE(ABS(Resultados!D36),ABS(Resultados!M36)))</f>
        <v>5.2749999999999998E-2</v>
      </c>
      <c r="E36">
        <f>IF(COUNT(Resultados!E36,Resultados!N36)=0, "", AVERAGE(ABS(Resultados!E36),ABS(Resultados!N36)))</f>
        <v>14.18475771416011</v>
      </c>
      <c r="F36">
        <f>IF(COUNT(Resultados!F36,Resultados!O36)=0, "", AVERAGE(ABS(Resultados!F36),ABS(Resultados!O36)))</f>
        <v>1392.0194189597219</v>
      </c>
      <c r="G36">
        <f>IF(COUNT(Resultados!G36,Resultados!P36)=0, "", AVERAGE(ABS(Resultados!G36),ABS(Resultados!P36)))</f>
        <v>3.605</v>
      </c>
      <c r="H36">
        <f>IF(COUNT(Resultados!H36,Resultados!Q36)=0, "", AVERAGE(ABS(Resultados!H36),ABS(Resultados!Q36)))</f>
        <v>3.8449999999999998E-2</v>
      </c>
      <c r="I36">
        <f>IF(COUNT(Resultados!I36,Resultados!R36)=0, "", AVERAGE(ABS(Resultados!I36),ABS(Resultados!R36)))</f>
        <v>6.8027900000000052</v>
      </c>
      <c r="J36">
        <v>3.8449999999999998E-2</v>
      </c>
      <c r="K36">
        <v>5.2749999999999998E-2</v>
      </c>
    </row>
    <row r="37" spans="1:11" x14ac:dyDescent="0.3">
      <c r="A37" t="str">
        <f>IF(COUNT(Resultados!A37,Resultados!J37)=0, "", AVERAGE(ABS(Resultados!A37),ABS(Resultados!J37)))</f>
        <v/>
      </c>
      <c r="B37" t="str">
        <f>IF(COUNT(Resultados!B37,Resultados!K37)=0, "", AVERAGE(ABS(Resultados!B37),ABS(Resultados!K37)))</f>
        <v/>
      </c>
      <c r="C37">
        <f>IF(COUNT(Resultados!C37,Resultados!L37)=0, "", AVERAGE(ABS(Resultados!C37),ABS(Resultados!L37)))</f>
        <v>94</v>
      </c>
      <c r="D37">
        <f>IF(COUNT(Resultados!D37,Resultados!M37)=0, "", AVERAGE(ABS(Resultados!D37),ABS(Resultados!M37)))</f>
        <v>4.5899999999999996E-2</v>
      </c>
      <c r="E37">
        <f>IF(COUNT(Resultados!E37,Resultados!N37)=0, "", AVERAGE(ABS(Resultados!E37),ABS(Resultados!N37)))</f>
        <v>13.551167295649726</v>
      </c>
      <c r="F37">
        <f>IF(COUNT(Resultados!F37,Resultados!O37)=0, "", AVERAGE(ABS(Resultados!F37),ABS(Resultados!O37)))</f>
        <v>1332.9687919545545</v>
      </c>
      <c r="G37">
        <f>IF(COUNT(Resultados!G37,Resultados!P37)=0, "", AVERAGE(ABS(Resultados!G37),ABS(Resultados!P37)))</f>
        <v>3.605</v>
      </c>
      <c r="H37">
        <f>IF(COUNT(Resultados!H37,Resultados!Q37)=0, "", AVERAGE(ABS(Resultados!H37),ABS(Resultados!Q37)))</f>
        <v>2.86E-2</v>
      </c>
      <c r="I37">
        <f>IF(COUNT(Resultados!I37,Resultados!R37)=0, "", AVERAGE(ABS(Resultados!I37),ABS(Resultados!R37)))</f>
        <v>7.002980000000008</v>
      </c>
      <c r="J37">
        <v>2.86E-2</v>
      </c>
      <c r="K37">
        <v>4.5899999999999996E-2</v>
      </c>
    </row>
    <row r="38" spans="1:11" x14ac:dyDescent="0.3">
      <c r="A38" t="str">
        <f>IF(COUNT(Resultados!A38,Resultados!J38)=0, "", AVERAGE(ABS(Resultados!A38),ABS(Resultados!J38)))</f>
        <v/>
      </c>
      <c r="B38" t="str">
        <f>IF(COUNT(Resultados!B38,Resultados!K38)=0, "", AVERAGE(ABS(Resultados!B38),ABS(Resultados!K38)))</f>
        <v/>
      </c>
      <c r="C38">
        <f>IF(COUNT(Resultados!C38,Resultados!L38)=0, "", AVERAGE(ABS(Resultados!C38),ABS(Resultados!L38)))</f>
        <v>94</v>
      </c>
      <c r="D38">
        <f>IF(COUNT(Resultados!D38,Resultados!M38)=0, "", AVERAGE(ABS(Resultados!D38),ABS(Resultados!M38)))</f>
        <v>3.85E-2</v>
      </c>
      <c r="E38">
        <f>IF(COUNT(Resultados!E38,Resultados!N38)=0, "", AVERAGE(ABS(Resultados!E38),ABS(Resultados!N38)))</f>
        <v>12.9454805632103</v>
      </c>
      <c r="F38">
        <f>IF(COUNT(Resultados!F38,Resultados!O38)=0, "", AVERAGE(ABS(Resultados!F38),ABS(Resultados!O38)))</f>
        <v>1276.5187884912</v>
      </c>
      <c r="G38">
        <f>IF(COUNT(Resultados!G38,Resultados!P38)=0, "", AVERAGE(ABS(Resultados!G38),ABS(Resultados!P38)))</f>
        <v>3.605</v>
      </c>
      <c r="H38">
        <f>IF(COUNT(Resultados!H38,Resultados!Q38)=0, "", AVERAGE(ABS(Resultados!H38),ABS(Resultados!Q38)))</f>
        <v>1.915E-2</v>
      </c>
      <c r="I38">
        <f>IF(COUNT(Resultados!I38,Resultados!R38)=0, "", AVERAGE(ABS(Resultados!I38),ABS(Resultados!R38)))</f>
        <v>7.1999600000000044</v>
      </c>
      <c r="J38">
        <v>1.915E-2</v>
      </c>
      <c r="K38">
        <v>3.85E-2</v>
      </c>
    </row>
    <row r="39" spans="1:11" x14ac:dyDescent="0.3">
      <c r="A39" t="str">
        <f>IF(COUNT(Resultados!A39,Resultados!J39)=0, "", AVERAGE(ABS(Resultados!A39),ABS(Resultados!J39)))</f>
        <v/>
      </c>
      <c r="B39" t="str">
        <f>IF(COUNT(Resultados!B39,Resultados!K39)=0, "", AVERAGE(ABS(Resultados!B39),ABS(Resultados!K39)))</f>
        <v/>
      </c>
      <c r="C39">
        <f>IF(COUNT(Resultados!C39,Resultados!L39)=0, "", AVERAGE(ABS(Resultados!C39),ABS(Resultados!L39)))</f>
        <v>94</v>
      </c>
      <c r="D39">
        <f>IF(COUNT(Resultados!D39,Resultados!M39)=0, "", AVERAGE(ABS(Resultados!D39),ABS(Resultados!M39)))</f>
        <v>3.0849999999999999E-2</v>
      </c>
      <c r="E39">
        <f>IF(COUNT(Resultados!E39,Resultados!N39)=0, "", AVERAGE(ABS(Resultados!E39),ABS(Resultados!N39)))</f>
        <v>12.399146841885811</v>
      </c>
      <c r="F39">
        <f>IF(COUNT(Resultados!F39,Resultados!O39)=0, "", AVERAGE(ABS(Resultados!F39),ABS(Resultados!O39)))</f>
        <v>1225.6004856637574</v>
      </c>
      <c r="G39">
        <f>IF(COUNT(Resultados!G39,Resultados!P39)=0, "", AVERAGE(ABS(Resultados!G39),ABS(Resultados!P39)))</f>
        <v>3.605</v>
      </c>
      <c r="H39">
        <f>IF(COUNT(Resultados!H39,Resultados!Q39)=0, "", AVERAGE(ABS(Resultados!H39),ABS(Resultados!Q39)))</f>
        <v>1.0700000000000001E-2</v>
      </c>
      <c r="I39">
        <f>IF(COUNT(Resultados!I39,Resultados!R39)=0, "", AVERAGE(ABS(Resultados!I39),ABS(Resultados!R39)))</f>
        <v>7.4036250000000088</v>
      </c>
      <c r="J39">
        <v>1.0700000000000001E-2</v>
      </c>
      <c r="K39">
        <v>3.0849999999999999E-2</v>
      </c>
    </row>
    <row r="40" spans="1:11" x14ac:dyDescent="0.3">
      <c r="A40" t="str">
        <f>IF(COUNT(Resultados!A40,Resultados!J40)=0, "", AVERAGE(ABS(Resultados!A40),ABS(Resultados!J40)))</f>
        <v/>
      </c>
      <c r="B40" t="str">
        <f>IF(COUNT(Resultados!B40,Resultados!K40)=0, "", AVERAGE(ABS(Resultados!B40),ABS(Resultados!K40)))</f>
        <v/>
      </c>
      <c r="C40">
        <f>IF(COUNT(Resultados!C40,Resultados!L40)=0, "", AVERAGE(ABS(Resultados!C40),ABS(Resultados!L40)))</f>
        <v>94</v>
      </c>
      <c r="D40">
        <f>IF(COUNT(Resultados!D40,Resultados!M40)=0, "", AVERAGE(ABS(Resultados!D40),ABS(Resultados!M40)))</f>
        <v>2.23E-2</v>
      </c>
      <c r="E40">
        <f>IF(COUNT(Resultados!E40,Resultados!N40)=0, "", AVERAGE(ABS(Resultados!E40),ABS(Resultados!N40)))</f>
        <v>12.000688221978629</v>
      </c>
      <c r="F40">
        <f>IF(COUNT(Resultados!F40,Resultados!O40)=0, "", AVERAGE(ABS(Resultados!F40),ABS(Resultados!O40)))</f>
        <v>1188.4641422884083</v>
      </c>
      <c r="G40">
        <f>IF(COUNT(Resultados!G40,Resultados!P40)=0, "", AVERAGE(ABS(Resultados!G40),ABS(Resultados!P40)))</f>
        <v>3.605</v>
      </c>
      <c r="H40">
        <f>IF(COUNT(Resultados!H40,Resultados!Q40)=0, "", AVERAGE(ABS(Resultados!H40),ABS(Resultados!Q40)))</f>
        <v>4.4999999999999997E-3</v>
      </c>
      <c r="I40">
        <f>IF(COUNT(Resultados!I40,Resultados!R40)=0, "", AVERAGE(ABS(Resultados!I40),ABS(Resultados!R40)))</f>
        <v>7.5999900000000054</v>
      </c>
      <c r="J40">
        <v>4.4999999999999997E-3</v>
      </c>
      <c r="K40">
        <v>2.23E-2</v>
      </c>
    </row>
    <row r="41" spans="1:11" x14ac:dyDescent="0.3">
      <c r="A41" t="str">
        <f>IF(COUNT(Resultados!A41,Resultados!J41)=0, "", AVERAGE(ABS(Resultados!A41),ABS(Resultados!J41)))</f>
        <v/>
      </c>
      <c r="B41" t="str">
        <f>IF(COUNT(Resultados!B41,Resultados!K41)=0, "", AVERAGE(ABS(Resultados!B41),ABS(Resultados!K41)))</f>
        <v/>
      </c>
      <c r="C41">
        <f>IF(COUNT(Resultados!C41,Resultados!L41)=0, "", AVERAGE(ABS(Resultados!C41),ABS(Resultados!L41)))</f>
        <v>94</v>
      </c>
      <c r="D41">
        <f>IF(COUNT(Resultados!D41,Resultados!M41)=0, "", AVERAGE(ABS(Resultados!D41),ABS(Resultados!M41)))</f>
        <v>1.465E-2</v>
      </c>
      <c r="E41">
        <f>IF(COUNT(Resultados!E41,Resultados!N41)=0, "", AVERAGE(ABS(Resultados!E41),ABS(Resultados!N41)))</f>
        <v>11.762963255467575</v>
      </c>
      <c r="F41">
        <f>IF(COUNT(Resultados!F41,Resultados!O41)=0, "", AVERAGE(ABS(Resultados!F41),ABS(Resultados!O41)))</f>
        <v>1166.3081754095786</v>
      </c>
      <c r="G41">
        <f>IF(COUNT(Resultados!G41,Resultados!P41)=0, "", AVERAGE(ABS(Resultados!G41),ABS(Resultados!P41)))</f>
        <v>3.605</v>
      </c>
      <c r="H41">
        <f>IF(COUNT(Resultados!H41,Resultados!Q41)=0, "", AVERAGE(ABS(Resultados!H41),ABS(Resultados!Q41)))</f>
        <v>8.0000000000000004E-4</v>
      </c>
      <c r="I41">
        <f>IF(COUNT(Resultados!I41,Resultados!R41)=0, "", AVERAGE(ABS(Resultados!I41),ABS(Resultados!R41)))</f>
        <v>7.8011100000000084</v>
      </c>
      <c r="J41">
        <v>8.0000000000000004E-4</v>
      </c>
      <c r="K41">
        <v>1.465E-2</v>
      </c>
    </row>
    <row r="42" spans="1:11" x14ac:dyDescent="0.3">
      <c r="A42" t="str">
        <f>IF(COUNT(Resultados!A42,Resultados!J42)=0, "", AVERAGE(ABS(Resultados!A42),ABS(Resultados!J42)))</f>
        <v/>
      </c>
      <c r="B42" t="str">
        <f>IF(COUNT(Resultados!B42,Resultados!K42)=0, "", AVERAGE(ABS(Resultados!B42),ABS(Resultados!K42)))</f>
        <v/>
      </c>
      <c r="C42">
        <f>IF(COUNT(Resultados!C42,Resultados!L42)=0, "", AVERAGE(ABS(Resultados!C42),ABS(Resultados!L42)))</f>
        <v>94</v>
      </c>
      <c r="D42">
        <f>IF(COUNT(Resultados!D42,Resultados!M42)=0, "", AVERAGE(ABS(Resultados!D42),ABS(Resultados!M42)))</f>
        <v>7.2499999999999995E-3</v>
      </c>
      <c r="E42">
        <f>IF(COUNT(Resultados!E42,Resultados!N42)=0, "", AVERAGE(ABS(Resultados!E42),ABS(Resultados!N42)))</f>
        <v>11.720523374080436</v>
      </c>
      <c r="F42">
        <f>IF(COUNT(Resultados!F42,Resultados!O42)=0, "", AVERAGE(ABS(Resultados!F42),ABS(Resultados!O42)))</f>
        <v>1162.3527784642965</v>
      </c>
      <c r="G42">
        <f>IF(COUNT(Resultados!G42,Resultados!P42)=0, "", AVERAGE(ABS(Resultados!G42),ABS(Resultados!P42)))</f>
        <v>3.605</v>
      </c>
      <c r="H42">
        <f>IF(COUNT(Resultados!H42,Resultados!Q42)=0, "", AVERAGE(ABS(Resultados!H42),ABS(Resultados!Q42)))</f>
        <v>1E-4</v>
      </c>
      <c r="I42">
        <f>IF(COUNT(Resultados!I42,Resultados!R42)=0, "", AVERAGE(ABS(Resultados!I42),ABS(Resultados!R42)))</f>
        <v>8.0010100000000008</v>
      </c>
      <c r="J42">
        <v>1E-4</v>
      </c>
      <c r="K42">
        <v>7.2499999999999995E-3</v>
      </c>
    </row>
    <row r="43" spans="1:11" x14ac:dyDescent="0.3">
      <c r="A43" t="str">
        <f>IF(COUNT(Resultados!A43,Resultados!J43)=0, "", AVERAGE(ABS(Resultados!A43),ABS(Resultados!J43)))</f>
        <v/>
      </c>
      <c r="B43" t="str">
        <f>IF(COUNT(Resultados!B43,Resultados!K43)=0, "", AVERAGE(ABS(Resultados!B43),ABS(Resultados!K43)))</f>
        <v/>
      </c>
      <c r="C43">
        <f>IF(COUNT(Resultados!C43,Resultados!L43)=0, "", AVERAGE(ABS(Resultados!C43),ABS(Resultados!L43)))</f>
        <v>94</v>
      </c>
      <c r="D43">
        <f>IF(COUNT(Resultados!D43,Resultados!M43)=0, "", AVERAGE(ABS(Resultados!D43),ABS(Resultados!M43)))</f>
        <v>2.0000000000000001E-4</v>
      </c>
      <c r="E43">
        <f>IF(COUNT(Resultados!E43,Resultados!N43)=0, "", AVERAGE(ABS(Resultados!E43),ABS(Resultados!N43)))</f>
        <v>11.873202642967485</v>
      </c>
      <c r="F43">
        <f>IF(COUNT(Resultados!F43,Resultados!O43)=0, "", AVERAGE(ABS(Resultados!F43),ABS(Resultados!O43)))</f>
        <v>1266.766930817615</v>
      </c>
      <c r="G43">
        <f>IF(COUNT(Resultados!G43,Resultados!P43)=0, "", AVERAGE(ABS(Resultados!G43),ABS(Resultados!P43)))</f>
        <v>3.605</v>
      </c>
      <c r="H43">
        <f>IF(COUNT(Resultados!H43,Resultados!Q43)=0, "", AVERAGE(ABS(Resultados!H43),ABS(Resultados!Q43)))</f>
        <v>2.5000000000000001E-3</v>
      </c>
      <c r="I43">
        <f>IF(COUNT(Resultados!I43,Resultados!R43)=0, "", AVERAGE(ABS(Resultados!I43),ABS(Resultados!R43)))</f>
        <v>8.1990350000000021</v>
      </c>
      <c r="J43">
        <v>2.5000000000000001E-3</v>
      </c>
      <c r="K43">
        <v>2.0000000000000001E-4</v>
      </c>
    </row>
    <row r="44" spans="1:11" x14ac:dyDescent="0.3">
      <c r="A44" t="str">
        <f>IF(COUNT(Resultados!A44,Resultados!J44)=0, "", AVERAGE(ABS(Resultados!A44),ABS(Resultados!J44)))</f>
        <v/>
      </c>
      <c r="B44" t="str">
        <f>IF(COUNT(Resultados!B44,Resultados!K44)=0, "", AVERAGE(ABS(Resultados!B44),ABS(Resultados!K44)))</f>
        <v/>
      </c>
      <c r="C44">
        <f>IF(COUNT(Resultados!C44,Resultados!L44)=0, "", AVERAGE(ABS(Resultados!C44),ABS(Resultados!L44)))</f>
        <v>94</v>
      </c>
      <c r="D44">
        <f>IF(COUNT(Resultados!D44,Resultados!M44)=0, "", AVERAGE(ABS(Resultados!D44),ABS(Resultados!M44)))</f>
        <v>7.5000000000000002E-4</v>
      </c>
      <c r="E44">
        <f>IF(COUNT(Resultados!E44,Resultados!N44)=0, "", AVERAGE(ABS(Resultados!E44),ABS(Resultados!N44)))</f>
        <v>12.21169183485209</v>
      </c>
      <c r="F44">
        <f>IF(COUNT(Resultados!F44,Resultados!O44)=0, "", AVERAGE(ABS(Resultados!F44),ABS(Resultados!O44)))</f>
        <v>1298.8895551274636</v>
      </c>
      <c r="G44">
        <f>IF(COUNT(Resultados!G44,Resultados!P44)=0, "", AVERAGE(ABS(Resultados!G44),ABS(Resultados!P44)))</f>
        <v>3.605</v>
      </c>
      <c r="H44">
        <f>IF(COUNT(Resultados!H44,Resultados!Q44)=0, "", AVERAGE(ABS(Resultados!H44),ABS(Resultados!Q44)))</f>
        <v>7.7499999999999999E-3</v>
      </c>
      <c r="I44">
        <f>IF(COUNT(Resultados!I44,Resultados!R44)=0, "", AVERAGE(ABS(Resultados!I44),ABS(Resultados!R44)))</f>
        <v>8.4002550000000049</v>
      </c>
      <c r="J44">
        <v>7.7499999999999999E-3</v>
      </c>
      <c r="K44">
        <v>7.5000000000000002E-4</v>
      </c>
    </row>
    <row r="45" spans="1:11" x14ac:dyDescent="0.3">
      <c r="A45" t="str">
        <f>IF(COUNT(Resultados!A45,Resultados!J45)=0, "", AVERAGE(ABS(Resultados!A45),ABS(Resultados!J45)))</f>
        <v/>
      </c>
      <c r="B45" t="str">
        <f>IF(COUNT(Resultados!B45,Resultados!K45)=0, "", AVERAGE(ABS(Resultados!B45),ABS(Resultados!K45)))</f>
        <v/>
      </c>
      <c r="C45">
        <f>IF(COUNT(Resultados!C45,Resultados!L45)=0, "", AVERAGE(ABS(Resultados!C45),ABS(Resultados!L45)))</f>
        <v>94</v>
      </c>
      <c r="D45">
        <f>IF(COUNT(Resultados!D45,Resultados!M45)=0, "", AVERAGE(ABS(Resultados!D45),ABS(Resultados!M45)))</f>
        <v>8.4499999999999992E-3</v>
      </c>
      <c r="E45">
        <f>IF(COUNT(Resultados!E45,Resultados!N45)=0, "", AVERAGE(ABS(Resultados!E45),ABS(Resultados!N45)))</f>
        <v>12.69952768287331</v>
      </c>
      <c r="F45">
        <f>IF(COUNT(Resultados!F45,Resultados!O45)=0, "", AVERAGE(ABS(Resultados!F45),ABS(Resultados!O45)))</f>
        <v>1345.185177104677</v>
      </c>
      <c r="G45">
        <f>IF(COUNT(Resultados!G45,Resultados!P45)=0, "", AVERAGE(ABS(Resultados!G45),ABS(Resultados!P45)))</f>
        <v>3.605</v>
      </c>
      <c r="H45">
        <f>IF(COUNT(Resultados!H45,Resultados!Q45)=0, "", AVERAGE(ABS(Resultados!H45),ABS(Resultados!Q45)))</f>
        <v>1.5349999999999999E-2</v>
      </c>
      <c r="I45">
        <f>IF(COUNT(Resultados!I45,Resultados!R45)=0, "", AVERAGE(ABS(Resultados!I45),ABS(Resultados!R45)))</f>
        <v>8.6007300000000022</v>
      </c>
      <c r="J45">
        <v>1.5349999999999999E-2</v>
      </c>
      <c r="K45">
        <v>8.4499999999999992E-3</v>
      </c>
    </row>
    <row r="46" spans="1:11" x14ac:dyDescent="0.3">
      <c r="A46" t="str">
        <f>IF(COUNT(Resultados!A46,Resultados!J46)=0, "", AVERAGE(ABS(Resultados!A46),ABS(Resultados!J46)))</f>
        <v/>
      </c>
      <c r="B46" t="str">
        <f>IF(COUNT(Resultados!B46,Resultados!K46)=0, "", AVERAGE(ABS(Resultados!B46),ABS(Resultados!K46)))</f>
        <v/>
      </c>
      <c r="C46">
        <f>IF(COUNT(Resultados!C46,Resultados!L46)=0, "", AVERAGE(ABS(Resultados!C46),ABS(Resultados!L46)))</f>
        <v>94</v>
      </c>
      <c r="D46">
        <f>IF(COUNT(Resultados!D46,Resultados!M46)=0, "", AVERAGE(ABS(Resultados!D46),ABS(Resultados!M46)))</f>
        <v>1.34E-2</v>
      </c>
      <c r="E46">
        <f>IF(COUNT(Resultados!E46,Resultados!N46)=0, "", AVERAGE(ABS(Resultados!E46),ABS(Resultados!N46)))</f>
        <v>13.32233947243742</v>
      </c>
      <c r="F46">
        <f>IF(COUNT(Resultados!F46,Resultados!O46)=0, "", AVERAGE(ABS(Resultados!F46),ABS(Resultados!O46)))</f>
        <v>1404.2900159343114</v>
      </c>
      <c r="G46">
        <f>IF(COUNT(Resultados!G46,Resultados!P46)=0, "", AVERAGE(ABS(Resultados!G46),ABS(Resultados!P46)))</f>
        <v>3.605</v>
      </c>
      <c r="H46">
        <f>IF(COUNT(Resultados!H46,Resultados!Q46)=0, "", AVERAGE(ABS(Resultados!H46),ABS(Resultados!Q46)))</f>
        <v>2.5000000000000001E-2</v>
      </c>
      <c r="I46">
        <f>IF(COUNT(Resultados!I46,Resultados!R46)=0, "", AVERAGE(ABS(Resultados!I46),ABS(Resultados!R46)))</f>
        <v>8.8116900000000022</v>
      </c>
      <c r="J46">
        <v>2.5000000000000001E-2</v>
      </c>
      <c r="K46">
        <v>1.34E-2</v>
      </c>
    </row>
    <row r="47" spans="1:11" x14ac:dyDescent="0.3">
      <c r="A47" t="str">
        <f>IF(COUNT(Resultados!A47,Resultados!J47)=0, "", AVERAGE(ABS(Resultados!A47),ABS(Resultados!J47)))</f>
        <v/>
      </c>
      <c r="B47" t="str">
        <f>IF(COUNT(Resultados!B47,Resultados!K47)=0, "", AVERAGE(ABS(Resultados!B47),ABS(Resultados!K47)))</f>
        <v/>
      </c>
      <c r="C47">
        <f>IF(COUNT(Resultados!C47,Resultados!L47)=0, "", AVERAGE(ABS(Resultados!C47),ABS(Resultados!L47)))</f>
        <v>94</v>
      </c>
      <c r="D47">
        <f>IF(COUNT(Resultados!D47,Resultados!M47)=0, "", AVERAGE(ABS(Resultados!D47),ABS(Resultados!M47)))</f>
        <v>1.985E-2</v>
      </c>
      <c r="E47">
        <f>IF(COUNT(Resultados!E47,Resultados!N47)=0, "", AVERAGE(ABS(Resultados!E47),ABS(Resultados!N47)))</f>
        <v>13.915815250506348</v>
      </c>
      <c r="F47">
        <f>IF(COUNT(Resultados!F47,Resultados!O47)=0, "", AVERAGE(ABS(Resultados!F47),ABS(Resultados!O47)))</f>
        <v>1460.6108672730525</v>
      </c>
      <c r="G47">
        <f>IF(COUNT(Resultados!G47,Resultados!P47)=0, "", AVERAGE(ABS(Resultados!G47),ABS(Resultados!P47)))</f>
        <v>3.605</v>
      </c>
      <c r="H47">
        <f>IF(COUNT(Resultados!H47,Resultados!Q47)=0, "", AVERAGE(ABS(Resultados!H47),ABS(Resultados!Q47)))</f>
        <v>3.4250000000000003E-2</v>
      </c>
      <c r="I47">
        <f>IF(COUNT(Resultados!I47,Resultados!R47)=0, "", AVERAGE(ABS(Resultados!I47),ABS(Resultados!R47)))</f>
        <v>8.9990850000000044</v>
      </c>
      <c r="J47">
        <v>3.4250000000000003E-2</v>
      </c>
      <c r="K47">
        <v>1.985E-2</v>
      </c>
    </row>
    <row r="48" spans="1:11" x14ac:dyDescent="0.3">
      <c r="A48" t="str">
        <f>IF(COUNT(Resultados!A48,Resultados!J48)=0, "", AVERAGE(ABS(Resultados!A48),ABS(Resultados!J48)))</f>
        <v/>
      </c>
      <c r="B48" t="str">
        <f>IF(COUNT(Resultados!B48,Resultados!K48)=0, "", AVERAGE(ABS(Resultados!B48),ABS(Resultados!K48)))</f>
        <v/>
      </c>
      <c r="C48">
        <f>IF(COUNT(Resultados!C48,Resultados!L48)=0, "", AVERAGE(ABS(Resultados!C48),ABS(Resultados!L48)))</f>
        <v>94</v>
      </c>
      <c r="D48">
        <f>IF(COUNT(Resultados!D48,Resultados!M48)=0, "", AVERAGE(ABS(Resultados!D48),ABS(Resultados!M48)))</f>
        <v>2.8049999999999999E-2</v>
      </c>
      <c r="E48">
        <f>IF(COUNT(Resultados!E48,Resultados!N48)=0, "", AVERAGE(ABS(Resultados!E48),ABS(Resultados!N48)))</f>
        <v>14.537785890999665</v>
      </c>
      <c r="F48">
        <f>IF(COUNT(Resultados!F48,Resultados!O48)=0, "", AVERAGE(ABS(Resultados!F48),ABS(Resultados!O48)))</f>
        <v>1519.6358810558686</v>
      </c>
      <c r="G48">
        <f>IF(COUNT(Resultados!G48,Resultados!P48)=0, "", AVERAGE(ABS(Resultados!G48),ABS(Resultados!P48)))</f>
        <v>3.605</v>
      </c>
      <c r="H48">
        <f>IF(COUNT(Resultados!H48,Resultados!Q48)=0, "", AVERAGE(ABS(Resultados!H48),ABS(Resultados!Q48)))</f>
        <v>4.3900000000000002E-2</v>
      </c>
      <c r="I48">
        <f>IF(COUNT(Resultados!I48,Resultados!R48)=0, "", AVERAGE(ABS(Resultados!I48),ABS(Resultados!R48)))</f>
        <v>9.2012950000000018</v>
      </c>
      <c r="J48">
        <v>4.3900000000000002E-2</v>
      </c>
      <c r="K48">
        <v>2.8049999999999999E-2</v>
      </c>
    </row>
    <row r="49" spans="1:11" x14ac:dyDescent="0.3">
      <c r="A49" t="str">
        <f>IF(COUNT(Resultados!A49,Resultados!J49)=0, "", AVERAGE(ABS(Resultados!A49),ABS(Resultados!J49)))</f>
        <v/>
      </c>
      <c r="B49" t="str">
        <f>IF(COUNT(Resultados!B49,Resultados!K49)=0, "", AVERAGE(ABS(Resultados!B49),ABS(Resultados!K49)))</f>
        <v/>
      </c>
      <c r="C49">
        <f>IF(COUNT(Resultados!C49,Resultados!L49)=0, "", AVERAGE(ABS(Resultados!C49),ABS(Resultados!L49)))</f>
        <v>94</v>
      </c>
      <c r="D49">
        <f>IF(COUNT(Resultados!D49,Resultados!M49)=0, "", AVERAGE(ABS(Resultados!D49),ABS(Resultados!M49)))</f>
        <v>3.7400000000000003E-2</v>
      </c>
      <c r="E49">
        <f>IF(COUNT(Resultados!E49,Resultados!N49)=0, "", AVERAGE(ABS(Resultados!E49),ABS(Resultados!N49)))</f>
        <v>15.07320981359028</v>
      </c>
      <c r="F49">
        <f>IF(COUNT(Resultados!F49,Resultados!O49)=0, "", AVERAGE(ABS(Resultados!F49),ABS(Resultados!O49)))</f>
        <v>1570.4476113097171</v>
      </c>
      <c r="G49">
        <f>IF(COUNT(Resultados!G49,Resultados!P49)=0, "", AVERAGE(ABS(Resultados!G49),ABS(Resultados!P49)))</f>
        <v>3.605</v>
      </c>
      <c r="H49">
        <f>IF(COUNT(Resultados!H49,Resultados!Q49)=0, "", AVERAGE(ABS(Resultados!H49),ABS(Resultados!Q49)))</f>
        <v>5.2250000000000005E-2</v>
      </c>
      <c r="I49">
        <f>IF(COUNT(Resultados!I49,Resultados!R49)=0, "", AVERAGE(ABS(Resultados!I49),ABS(Resultados!R49)))</f>
        <v>9.4007100000000001</v>
      </c>
      <c r="J49">
        <v>5.2250000000000005E-2</v>
      </c>
      <c r="K49">
        <v>3.7400000000000003E-2</v>
      </c>
    </row>
    <row r="50" spans="1:11" x14ac:dyDescent="0.3">
      <c r="A50" t="str">
        <f>IF(COUNT(Resultados!A50,Resultados!J50)=0, "", AVERAGE(ABS(Resultados!A50),ABS(Resultados!J50)))</f>
        <v/>
      </c>
      <c r="B50" t="str">
        <f>IF(COUNT(Resultados!B50,Resultados!K50)=0, "", AVERAGE(ABS(Resultados!B50),ABS(Resultados!K50)))</f>
        <v/>
      </c>
      <c r="C50">
        <f>IF(COUNT(Resultados!C50,Resultados!L50)=0, "", AVERAGE(ABS(Resultados!C50),ABS(Resultados!L50)))</f>
        <v>94</v>
      </c>
      <c r="D50">
        <f>IF(COUNT(Resultados!D50,Resultados!M50)=0, "", AVERAGE(ABS(Resultados!D50),ABS(Resultados!M50)))</f>
        <v>4.6100000000000002E-2</v>
      </c>
      <c r="E50">
        <f>IF(COUNT(Resultados!E50,Resultados!N50)=0, "", AVERAGE(ABS(Resultados!E50),ABS(Resultados!N50)))</f>
        <v>15.477818532738745</v>
      </c>
      <c r="F50">
        <f>IF(COUNT(Resultados!F50,Resultados!O50)=0, "", AVERAGE(ABS(Resultados!F50),ABS(Resultados!O50)))</f>
        <v>1608.8449787569066</v>
      </c>
      <c r="G50">
        <f>IF(COUNT(Resultados!G50,Resultados!P50)=0, "", AVERAGE(ABS(Resultados!G50),ABS(Resultados!P50)))</f>
        <v>3.605</v>
      </c>
      <c r="H50">
        <f>IF(COUNT(Resultados!H50,Resultados!Q50)=0, "", AVERAGE(ABS(Resultados!H50),ABS(Resultados!Q50)))</f>
        <v>5.8500000000000003E-2</v>
      </c>
      <c r="I50">
        <f>IF(COUNT(Resultados!I50,Resultados!R50)=0, "", AVERAGE(ABS(Resultados!I50),ABS(Resultados!R50)))</f>
        <v>9.5994850000000049</v>
      </c>
      <c r="J50">
        <v>5.8500000000000003E-2</v>
      </c>
      <c r="K50">
        <v>4.6100000000000002E-2</v>
      </c>
    </row>
    <row r="51" spans="1:11" x14ac:dyDescent="0.3">
      <c r="A51" t="str">
        <f>IF(COUNT(Resultados!A51,Resultados!J51)=0, "", AVERAGE(ABS(Resultados!A51),ABS(Resultados!J51)))</f>
        <v/>
      </c>
      <c r="B51" t="str">
        <f>IF(COUNT(Resultados!B51,Resultados!K51)=0, "", AVERAGE(ABS(Resultados!B51),ABS(Resultados!K51)))</f>
        <v/>
      </c>
      <c r="C51">
        <f>IF(COUNT(Resultados!C51,Resultados!L51)=0, "", AVERAGE(ABS(Resultados!C51),ABS(Resultados!L51)))</f>
        <v>94</v>
      </c>
      <c r="D51">
        <f>IF(COUNT(Resultados!D51,Resultados!M51)=0, "", AVERAGE(ABS(Resultados!D51),ABS(Resultados!M51)))</f>
        <v>5.5899999999999998E-2</v>
      </c>
      <c r="E51">
        <f>IF(COUNT(Resultados!E51,Resultados!N51)=0, "", AVERAGE(ABS(Resultados!E51),ABS(Resultados!N51)))</f>
        <v>15.715658146104346</v>
      </c>
      <c r="F51">
        <f>IF(COUNT(Resultados!F51,Resultados!O51)=0, "", AVERAGE(ABS(Resultados!F51),ABS(Resultados!O51)))</f>
        <v>1631.4159580653024</v>
      </c>
      <c r="G51">
        <f>IF(COUNT(Resultados!G51,Resultados!P51)=0, "", AVERAGE(ABS(Resultados!G51),ABS(Resultados!P51)))</f>
        <v>3.605</v>
      </c>
      <c r="H51">
        <f>IF(COUNT(Resultados!H51,Resultados!Q51)=0, "", AVERAGE(ABS(Resultados!H51),ABS(Resultados!Q51)))</f>
        <v>6.2199999999999998E-2</v>
      </c>
      <c r="I51">
        <f>IF(COUNT(Resultados!I51,Resultados!R51)=0, "", AVERAGE(ABS(Resultados!I51),ABS(Resultados!R51)))</f>
        <v>9.8000950000000024</v>
      </c>
      <c r="J51">
        <v>6.2199999999999998E-2</v>
      </c>
      <c r="K51">
        <v>5.5899999999999998E-2</v>
      </c>
    </row>
    <row r="52" spans="1:11" x14ac:dyDescent="0.3">
      <c r="A52" t="str">
        <f>IF(COUNT(Resultados!A52,Resultados!J52)=0, "", AVERAGE(ABS(Resultados!A52),ABS(Resultados!J52)))</f>
        <v/>
      </c>
      <c r="B52" t="str">
        <f>IF(COUNT(Resultados!B52,Resultados!K52)=0, "", AVERAGE(ABS(Resultados!B52),ABS(Resultados!K52)))</f>
        <v/>
      </c>
      <c r="C52">
        <f>IF(COUNT(Resultados!C52,Resultados!L52)=0, "", AVERAGE(ABS(Resultados!C52),ABS(Resultados!L52)))</f>
        <v>94</v>
      </c>
      <c r="D52">
        <f>IF(COUNT(Resultados!D52,Resultados!M52)=0, "", AVERAGE(ABS(Resultados!D52),ABS(Resultados!M52)))</f>
        <v>6.54E-2</v>
      </c>
      <c r="E52">
        <f>IF(COUNT(Resultados!E52,Resultados!N52)=0, "", AVERAGE(ABS(Resultados!E52),ABS(Resultados!N52)))</f>
        <v>15.757812709888865</v>
      </c>
      <c r="F52">
        <f>IF(COUNT(Resultados!F52,Resultados!O52)=0, "", AVERAGE(ABS(Resultados!F52),ABS(Resultados!O52)))</f>
        <v>1635.4164261684532</v>
      </c>
      <c r="G52">
        <f>IF(COUNT(Resultados!G52,Resultados!P52)=0, "", AVERAGE(ABS(Resultados!G52),ABS(Resultados!P52)))</f>
        <v>3.605</v>
      </c>
      <c r="H52">
        <f>IF(COUNT(Resultados!H52,Resultados!Q52)=0, "", AVERAGE(ABS(Resultados!H52),ABS(Resultados!Q52)))</f>
        <v>6.2899999999999998E-2</v>
      </c>
      <c r="I52">
        <f>IF(COUNT(Resultados!I52,Resultados!R52)=0, "", AVERAGE(ABS(Resultados!I52),ABS(Resultados!R52)))</f>
        <v>10.004405000000006</v>
      </c>
      <c r="J52">
        <v>6.2899999999999998E-2</v>
      </c>
      <c r="K52">
        <v>6.54E-2</v>
      </c>
    </row>
    <row r="53" spans="1:11" x14ac:dyDescent="0.3">
      <c r="A53" t="str">
        <f>IF(COUNT(Resultados!A53,Resultados!J53)=0, "", AVERAGE(ABS(Resultados!A53),ABS(Resultados!J53)))</f>
        <v/>
      </c>
      <c r="B53" t="str">
        <f>IF(COUNT(Resultados!B53,Resultados!K53)=0, "", AVERAGE(ABS(Resultados!B53),ABS(Resultados!K53)))</f>
        <v/>
      </c>
      <c r="C53">
        <f>IF(COUNT(Resultados!C53,Resultados!L53)=0, "", AVERAGE(ABS(Resultados!C53),ABS(Resultados!L53)))</f>
        <v>94</v>
      </c>
      <c r="D53">
        <f>IF(COUNT(Resultados!D53,Resultados!M53)=0, "", AVERAGE(ABS(Resultados!D53),ABS(Resultados!M53)))</f>
        <v>6.9349999999999995E-2</v>
      </c>
      <c r="E53">
        <f>IF(COUNT(Resultados!E53,Resultados!N53)=0, "", AVERAGE(ABS(Resultados!E53),ABS(Resultados!N53)))</f>
        <v>15.60593958578276</v>
      </c>
      <c r="F53">
        <f>IF(COUNT(Resultados!F53,Resultados!O53)=0, "", AVERAGE(ABS(Resultados!F53),ABS(Resultados!O53)))</f>
        <v>1524.4735693949533</v>
      </c>
      <c r="G53">
        <f>IF(COUNT(Resultados!G53,Resultados!P53)=0, "", AVERAGE(ABS(Resultados!G53),ABS(Resultados!P53)))</f>
        <v>3.605</v>
      </c>
      <c r="H53">
        <f>IF(COUNT(Resultados!H53,Resultados!Q53)=0, "", AVERAGE(ABS(Resultados!H53),ABS(Resultados!Q53)))</f>
        <v>6.0499999999999998E-2</v>
      </c>
      <c r="I53">
        <f>IF(COUNT(Resultados!I53,Resultados!R53)=0, "", AVERAGE(ABS(Resultados!I53),ABS(Resultados!R53)))</f>
        <v>10.199190000000002</v>
      </c>
      <c r="J53">
        <v>6.0499999999999998E-2</v>
      </c>
      <c r="K53">
        <v>6.9349999999999995E-2</v>
      </c>
    </row>
    <row r="54" spans="1:11" x14ac:dyDescent="0.3">
      <c r="A54" t="str">
        <f>IF(COUNT(Resultados!A54,Resultados!J54)=0, "", AVERAGE(ABS(Resultados!A54),ABS(Resultados!J54)))</f>
        <v/>
      </c>
      <c r="B54" t="str">
        <f>IF(COUNT(Resultados!B54,Resultados!K54)=0, "", AVERAGE(ABS(Resultados!B54),ABS(Resultados!K54)))</f>
        <v/>
      </c>
      <c r="C54">
        <f>IF(COUNT(Resultados!C54,Resultados!L54)=0, "", AVERAGE(ABS(Resultados!C54),ABS(Resultados!L54)))</f>
        <v>94</v>
      </c>
      <c r="D54">
        <f>IF(COUNT(Resultados!D54,Resultados!M54)=0, "", AVERAGE(ABS(Resultados!D54),ABS(Resultados!M54)))</f>
        <v>6.5799999999999997E-2</v>
      </c>
      <c r="E54">
        <f>IF(COUNT(Resultados!E54,Resultados!N54)=0, "", AVERAGE(ABS(Resultados!E54),ABS(Resultados!N54)))</f>
        <v>15.267873685087585</v>
      </c>
      <c r="F54">
        <f>IF(COUNT(Resultados!F54,Resultados!O54)=0, "", AVERAGE(ABS(Resultados!F54),ABS(Resultados!O54)))</f>
        <v>1492.965827450163</v>
      </c>
      <c r="G54">
        <f>IF(COUNT(Resultados!G54,Resultados!P54)=0, "", AVERAGE(ABS(Resultados!G54),ABS(Resultados!P54)))</f>
        <v>3.605</v>
      </c>
      <c r="H54">
        <f>IF(COUNT(Resultados!H54,Resultados!Q54)=0, "", AVERAGE(ABS(Resultados!H54),ABS(Resultados!Q54)))</f>
        <v>5.525E-2</v>
      </c>
      <c r="I54">
        <f>IF(COUNT(Resultados!I54,Resultados!R54)=0, "", AVERAGE(ABS(Resultados!I54),ABS(Resultados!R54)))</f>
        <v>10.400145000000006</v>
      </c>
      <c r="J54">
        <v>5.525E-2</v>
      </c>
      <c r="K54">
        <v>6.5799999999999997E-2</v>
      </c>
    </row>
    <row r="55" spans="1:11" x14ac:dyDescent="0.3">
      <c r="A55" t="str">
        <f>IF(COUNT(Resultados!A55,Resultados!J55)=0, "", AVERAGE(ABS(Resultados!A55),ABS(Resultados!J55)))</f>
        <v/>
      </c>
      <c r="B55" t="str">
        <f>IF(COUNT(Resultados!B55,Resultados!K55)=0, "", AVERAGE(ABS(Resultados!B55),ABS(Resultados!K55)))</f>
        <v/>
      </c>
      <c r="C55">
        <f>IF(COUNT(Resultados!C55,Resultados!L55)=0, "", AVERAGE(ABS(Resultados!C55),ABS(Resultados!L55)))</f>
        <v>94</v>
      </c>
      <c r="D55">
        <f>IF(COUNT(Resultados!D55,Resultados!M55)=0, "", AVERAGE(ABS(Resultados!D55),ABS(Resultados!M55)))</f>
        <v>5.8650000000000001E-2</v>
      </c>
      <c r="E55">
        <f>IF(COUNT(Resultados!E55,Resultados!N55)=0, "", AVERAGE(ABS(Resultados!E55),ABS(Resultados!N55)))</f>
        <v>14.785503582775865</v>
      </c>
      <c r="F55">
        <f>IF(COUNT(Resultados!F55,Resultados!O55)=0, "", AVERAGE(ABS(Resultados!F55),ABS(Resultados!O55)))</f>
        <v>1448.0089339147105</v>
      </c>
      <c r="G55">
        <f>IF(COUNT(Resultados!G55,Resultados!P55)=0, "", AVERAGE(ABS(Resultados!G55),ABS(Resultados!P55)))</f>
        <v>3.605</v>
      </c>
      <c r="H55">
        <f>IF(COUNT(Resultados!H55,Resultados!Q55)=0, "", AVERAGE(ABS(Resultados!H55),ABS(Resultados!Q55)))</f>
        <v>4.7750000000000001E-2</v>
      </c>
      <c r="I55">
        <f>IF(COUNT(Resultados!I55,Resultados!R55)=0, "", AVERAGE(ABS(Resultados!I55),ABS(Resultados!R55)))</f>
        <v>10.598645000000005</v>
      </c>
      <c r="J55">
        <v>4.7750000000000001E-2</v>
      </c>
      <c r="K55">
        <v>5.8650000000000001E-2</v>
      </c>
    </row>
    <row r="56" spans="1:11" x14ac:dyDescent="0.3">
      <c r="A56" t="str">
        <f>IF(COUNT(Resultados!A56,Resultados!J56)=0, "", AVERAGE(ABS(Resultados!A56),ABS(Resultados!J56)))</f>
        <v/>
      </c>
      <c r="B56" t="str">
        <f>IF(COUNT(Resultados!B56,Resultados!K56)=0, "", AVERAGE(ABS(Resultados!B56),ABS(Resultados!K56)))</f>
        <v/>
      </c>
      <c r="C56">
        <f>IF(COUNT(Resultados!C56,Resultados!L56)=0, "", AVERAGE(ABS(Resultados!C56),ABS(Resultados!L56)))</f>
        <v>94</v>
      </c>
      <c r="D56">
        <f>IF(COUNT(Resultados!D56,Resultados!M56)=0, "", AVERAGE(ABS(Resultados!D56),ABS(Resultados!M56)))</f>
        <v>5.2500000000000005E-2</v>
      </c>
      <c r="E56">
        <f>IF(COUNT(Resultados!E56,Resultados!N56)=0, "", AVERAGE(ABS(Resultados!E56),ABS(Resultados!N56)))</f>
        <v>14.191774790958966</v>
      </c>
      <c r="F56">
        <f>IF(COUNT(Resultados!F56,Resultados!O56)=0, "", AVERAGE(ABS(Resultados!F56),ABS(Resultados!O56)))</f>
        <v>1392.6734105173755</v>
      </c>
      <c r="G56">
        <f>IF(COUNT(Resultados!G56,Resultados!P56)=0, "", AVERAGE(ABS(Resultados!G56),ABS(Resultados!P56)))</f>
        <v>3.605</v>
      </c>
      <c r="H56">
        <f>IF(COUNT(Resultados!H56,Resultados!Q56)=0, "", AVERAGE(ABS(Resultados!H56),ABS(Resultados!Q56)))</f>
        <v>3.85E-2</v>
      </c>
      <c r="I56">
        <f>IF(COUNT(Resultados!I56,Resultados!R56)=0, "", AVERAGE(ABS(Resultados!I56),ABS(Resultados!R56)))</f>
        <v>10.800530000000006</v>
      </c>
      <c r="J56">
        <v>3.85E-2</v>
      </c>
      <c r="K56">
        <v>5.2500000000000005E-2</v>
      </c>
    </row>
    <row r="57" spans="1:11" x14ac:dyDescent="0.3">
      <c r="A57" t="str">
        <f>IF(COUNT(Resultados!A57,Resultados!J57)=0, "", AVERAGE(ABS(Resultados!A57),ABS(Resultados!J57)))</f>
        <v/>
      </c>
      <c r="B57" t="str">
        <f>IF(COUNT(Resultados!B57,Resultados!K57)=0, "", AVERAGE(ABS(Resultados!B57),ABS(Resultados!K57)))</f>
        <v/>
      </c>
      <c r="C57">
        <f>IF(COUNT(Resultados!C57,Resultados!L57)=0, "", AVERAGE(ABS(Resultados!C57),ABS(Resultados!L57)))</f>
        <v>94</v>
      </c>
      <c r="D57">
        <f>IF(COUNT(Resultados!D57,Resultados!M57)=0, "", AVERAGE(ABS(Resultados!D57),ABS(Resultados!M57)))</f>
        <v>4.6449999999999998E-2</v>
      </c>
      <c r="E57">
        <f>IF(COUNT(Resultados!E57,Resultados!N57)=0, "", AVERAGE(ABS(Resultados!E57),ABS(Resultados!N57)))</f>
        <v>13.555879879441175</v>
      </c>
      <c r="F57">
        <f>IF(COUNT(Resultados!F57,Resultados!O57)=0, "", AVERAGE(ABS(Resultados!F57),ABS(Resultados!O57)))</f>
        <v>1333.4080047639175</v>
      </c>
      <c r="G57">
        <f>IF(COUNT(Resultados!G57,Resultados!P57)=0, "", AVERAGE(ABS(Resultados!G57),ABS(Resultados!P57)))</f>
        <v>3.605</v>
      </c>
      <c r="H57">
        <f>IF(COUNT(Resultados!H57,Resultados!Q57)=0, "", AVERAGE(ABS(Resultados!H57),ABS(Resultados!Q57)))</f>
        <v>2.8650000000000002E-2</v>
      </c>
      <c r="I57">
        <f>IF(COUNT(Resultados!I57,Resultados!R57)=0, "", AVERAGE(ABS(Resultados!I57),ABS(Resultados!R57)))</f>
        <v>11.001500000000007</v>
      </c>
      <c r="J57">
        <v>2.8650000000000002E-2</v>
      </c>
      <c r="K57">
        <v>4.6449999999999998E-2</v>
      </c>
    </row>
    <row r="58" spans="1:11" x14ac:dyDescent="0.3">
      <c r="A58" t="str">
        <f>IF(COUNT(Resultados!A58,Resultados!J58)=0, "", AVERAGE(ABS(Resultados!A58),ABS(Resultados!J58)))</f>
        <v/>
      </c>
      <c r="B58" t="str">
        <f>IF(COUNT(Resultados!B58,Resultados!K58)=0, "", AVERAGE(ABS(Resultados!B58),ABS(Resultados!K58)))</f>
        <v/>
      </c>
      <c r="C58">
        <f>IF(COUNT(Resultados!C58,Resultados!L58)=0, "", AVERAGE(ABS(Resultados!C58),ABS(Resultados!L58)))</f>
        <v>94</v>
      </c>
      <c r="D58">
        <f>IF(COUNT(Resultados!D58,Resultados!M58)=0, "", AVERAGE(ABS(Resultados!D58),ABS(Resultados!M58)))</f>
        <v>3.875E-2</v>
      </c>
      <c r="E58">
        <f>IF(COUNT(Resultados!E58,Resultados!N58)=0, "", AVERAGE(ABS(Resultados!E58),ABS(Resultados!N58)))</f>
        <v>12.94327034215225</v>
      </c>
      <c r="F58">
        <f>IF(COUNT(Resultados!F58,Resultados!O58)=0, "", AVERAGE(ABS(Resultados!F58),ABS(Resultados!O58)))</f>
        <v>1276.3127958885896</v>
      </c>
      <c r="G58">
        <f>IF(COUNT(Resultados!G58,Resultados!P58)=0, "", AVERAGE(ABS(Resultados!G58),ABS(Resultados!P58)))</f>
        <v>3.605</v>
      </c>
      <c r="H58">
        <f>IF(COUNT(Resultados!H58,Resultados!Q58)=0, "", AVERAGE(ABS(Resultados!H58),ABS(Resultados!Q58)))</f>
        <v>1.9099999999999999E-2</v>
      </c>
      <c r="I58">
        <f>IF(COUNT(Resultados!I58,Resultados!R58)=0, "", AVERAGE(ABS(Resultados!I58),ABS(Resultados!R58)))</f>
        <v>11.200705000000006</v>
      </c>
      <c r="J58">
        <v>1.9099999999999999E-2</v>
      </c>
      <c r="K58">
        <v>3.875E-2</v>
      </c>
    </row>
    <row r="59" spans="1:11" x14ac:dyDescent="0.3">
      <c r="A59" t="str">
        <f>IF(COUNT(Resultados!A59,Resultados!J59)=0, "", AVERAGE(ABS(Resultados!A59),ABS(Resultados!J59)))</f>
        <v/>
      </c>
      <c r="B59" t="str">
        <f>IF(COUNT(Resultados!B59,Resultados!K59)=0, "", AVERAGE(ABS(Resultados!B59),ABS(Resultados!K59)))</f>
        <v/>
      </c>
      <c r="C59">
        <f>IF(COUNT(Resultados!C59,Resultados!L59)=0, "", AVERAGE(ABS(Resultados!C59),ABS(Resultados!L59)))</f>
        <v>94</v>
      </c>
      <c r="D59">
        <f>IF(COUNT(Resultados!D59,Resultados!M59)=0, "", AVERAGE(ABS(Resultados!D59),ABS(Resultados!M59)))</f>
        <v>3.0249999999999999E-2</v>
      </c>
      <c r="E59">
        <f>IF(COUNT(Resultados!E59,Resultados!N59)=0, "", AVERAGE(ABS(Resultados!E59),ABS(Resultados!N59)))</f>
        <v>12.409406265536745</v>
      </c>
      <c r="F59">
        <f>IF(COUNT(Resultados!F59,Resultados!O59)=0, "", AVERAGE(ABS(Resultados!F59),ABS(Resultados!O59)))</f>
        <v>1226.5566639480244</v>
      </c>
      <c r="G59">
        <f>IF(COUNT(Resultados!G59,Resultados!P59)=0, "", AVERAGE(ABS(Resultados!G59),ABS(Resultados!P59)))</f>
        <v>3.605</v>
      </c>
      <c r="H59">
        <f>IF(COUNT(Resultados!H59,Resultados!Q59)=0, "", AVERAGE(ABS(Resultados!H59),ABS(Resultados!Q59)))</f>
        <v>1.0800000000000001E-2</v>
      </c>
      <c r="I59">
        <f>IF(COUNT(Resultados!I59,Resultados!R59)=0, "", AVERAGE(ABS(Resultados!I59),ABS(Resultados!R59)))</f>
        <v>11.399340000000002</v>
      </c>
      <c r="J59">
        <v>1.0800000000000001E-2</v>
      </c>
      <c r="K59">
        <v>3.0249999999999999E-2</v>
      </c>
    </row>
    <row r="60" spans="1:11" x14ac:dyDescent="0.3">
      <c r="A60" t="str">
        <f>IF(COUNT(Resultados!A60,Resultados!J60)=0, "", AVERAGE(ABS(Resultados!A60),ABS(Resultados!J60)))</f>
        <v/>
      </c>
      <c r="B60" t="str">
        <f>IF(COUNT(Resultados!B60,Resultados!K60)=0, "", AVERAGE(ABS(Resultados!B60),ABS(Resultados!K60)))</f>
        <v/>
      </c>
      <c r="C60">
        <f>IF(COUNT(Resultados!C60,Resultados!L60)=0, "", AVERAGE(ABS(Resultados!C60),ABS(Resultados!L60)))</f>
        <v>94</v>
      </c>
      <c r="D60">
        <f>IF(COUNT(Resultados!D60,Resultados!M60)=0, "", AVERAGE(ABS(Resultados!D60),ABS(Resultados!M60)))</f>
        <v>2.2850000000000002E-2</v>
      </c>
      <c r="E60">
        <f>IF(COUNT(Resultados!E60,Resultados!N60)=0, "", AVERAGE(ABS(Resultados!E60),ABS(Resultados!N60)))</f>
        <v>11.999074042923025</v>
      </c>
      <c r="F60">
        <f>IF(COUNT(Resultados!F60,Resultados!O60)=0, "", AVERAGE(ABS(Resultados!F60),ABS(Resultados!O60)))</f>
        <v>1188.313700800426</v>
      </c>
      <c r="G60">
        <f>IF(COUNT(Resultados!G60,Resultados!P60)=0, "", AVERAGE(ABS(Resultados!G60),ABS(Resultados!P60)))</f>
        <v>3.605</v>
      </c>
      <c r="H60">
        <f>IF(COUNT(Resultados!H60,Resultados!Q60)=0, "", AVERAGE(ABS(Resultados!H60),ABS(Resultados!Q60)))</f>
        <v>4.45E-3</v>
      </c>
      <c r="I60">
        <f>IF(COUNT(Resultados!I60,Resultados!R60)=0, "", AVERAGE(ABS(Resultados!I60),ABS(Resultados!R60)))</f>
        <v>11.600980000000003</v>
      </c>
      <c r="J60">
        <v>4.45E-3</v>
      </c>
      <c r="K60">
        <v>2.2850000000000002E-2</v>
      </c>
    </row>
    <row r="61" spans="1:11" x14ac:dyDescent="0.3">
      <c r="A61" t="str">
        <f>IF(COUNT(Resultados!A61,Resultados!J61)=0, "", AVERAGE(ABS(Resultados!A61),ABS(Resultados!J61)))</f>
        <v/>
      </c>
      <c r="B61" t="str">
        <f>IF(COUNT(Resultados!B61,Resultados!K61)=0, "", AVERAGE(ABS(Resultados!B61),ABS(Resultados!K61)))</f>
        <v/>
      </c>
      <c r="C61">
        <f>IF(COUNT(Resultados!C61,Resultados!L61)=0, "", AVERAGE(ABS(Resultados!C61),ABS(Resultados!L61)))</f>
        <v>94</v>
      </c>
      <c r="D61">
        <f>IF(COUNT(Resultados!D61,Resultados!M61)=0, "", AVERAGE(ABS(Resultados!D61),ABS(Resultados!M61)))</f>
        <v>1.405E-2</v>
      </c>
      <c r="E61">
        <f>IF(COUNT(Resultados!E61,Resultados!N61)=0, "", AVERAGE(ABS(Resultados!E61),ABS(Resultados!N61)))</f>
        <v>11.764084807835509</v>
      </c>
      <c r="F61">
        <f>IF(COUNT(Resultados!F61,Resultados!O61)=0, "", AVERAGE(ABS(Resultados!F61),ABS(Resultados!O61)))</f>
        <v>1166.4127040902695</v>
      </c>
      <c r="G61">
        <f>IF(COUNT(Resultados!G61,Resultados!P61)=0, "", AVERAGE(ABS(Resultados!G61),ABS(Resultados!P61)))</f>
        <v>3.605</v>
      </c>
      <c r="H61">
        <f>IF(COUNT(Resultados!H61,Resultados!Q61)=0, "", AVERAGE(ABS(Resultados!H61),ABS(Resultados!Q61)))</f>
        <v>8.0000000000000004E-4</v>
      </c>
      <c r="I61">
        <f>IF(COUNT(Resultados!I61,Resultados!R61)=0, "", AVERAGE(ABS(Resultados!I61),ABS(Resultados!R61)))</f>
        <v>11.799525000000003</v>
      </c>
      <c r="J61">
        <v>8.0000000000000004E-4</v>
      </c>
      <c r="K61">
        <v>1.405E-2</v>
      </c>
    </row>
    <row r="62" spans="1:11" x14ac:dyDescent="0.3">
      <c r="A62" t="str">
        <f>IF(COUNT(Resultados!A62,Resultados!J62)=0, "", AVERAGE(ABS(Resultados!A62),ABS(Resultados!J62)))</f>
        <v/>
      </c>
      <c r="B62" t="str">
        <f>IF(COUNT(Resultados!B62,Resultados!K62)=0, "", AVERAGE(ABS(Resultados!B62),ABS(Resultados!K62)))</f>
        <v/>
      </c>
      <c r="C62">
        <f>IF(COUNT(Resultados!C62,Resultados!L62)=0, "", AVERAGE(ABS(Resultados!C62),ABS(Resultados!L62)))</f>
        <v>94</v>
      </c>
      <c r="D62">
        <f>IF(COUNT(Resultados!D62,Resultados!M62)=0, "", AVERAGE(ABS(Resultados!D62),ABS(Resultados!M62)))</f>
        <v>6.7000000000000002E-3</v>
      </c>
      <c r="E62">
        <f>IF(COUNT(Resultados!E62,Resultados!N62)=0, "", AVERAGE(ABS(Resultados!E62),ABS(Resultados!N62)))</f>
        <v>11.721053557496315</v>
      </c>
      <c r="F62">
        <f>IF(COUNT(Resultados!F62,Resultados!O62)=0, "", AVERAGE(ABS(Resultados!F62),ABS(Resultados!O62)))</f>
        <v>1162.402191558657</v>
      </c>
      <c r="G62">
        <f>IF(COUNT(Resultados!G62,Resultados!P62)=0, "", AVERAGE(ABS(Resultados!G62),ABS(Resultados!P62)))</f>
        <v>3.605</v>
      </c>
      <c r="H62">
        <f>IF(COUNT(Resultados!H62,Resultados!Q62)=0, "", AVERAGE(ABS(Resultados!H62),ABS(Resultados!Q62)))</f>
        <v>1E-4</v>
      </c>
      <c r="I62">
        <f>IF(COUNT(Resultados!I62,Resultados!R62)=0, "", AVERAGE(ABS(Resultados!I62),ABS(Resultados!R62)))</f>
        <v>12.002830000000007</v>
      </c>
      <c r="J62">
        <v>1E-4</v>
      </c>
      <c r="K62">
        <v>6.7000000000000002E-3</v>
      </c>
    </row>
    <row r="63" spans="1:11" x14ac:dyDescent="0.3">
      <c r="A63" t="str">
        <f>IF(COUNT(Resultados!A63,Resultados!J63)=0, "", AVERAGE(ABS(Resultados!A63),ABS(Resultados!J63)))</f>
        <v/>
      </c>
      <c r="B63" t="str">
        <f>IF(COUNT(Resultados!B63,Resultados!K63)=0, "", AVERAGE(ABS(Resultados!B63),ABS(Resultados!K63)))</f>
        <v/>
      </c>
      <c r="C63">
        <f>IF(COUNT(Resultados!C63,Resultados!L63)=0, "", AVERAGE(ABS(Resultados!C63),ABS(Resultados!L63)))</f>
        <v>94</v>
      </c>
      <c r="D63">
        <f>IF(COUNT(Resultados!D63,Resultados!M63)=0, "", AVERAGE(ABS(Resultados!D63),ABS(Resultados!M63)))</f>
        <v>3.0000000000000003E-4</v>
      </c>
      <c r="E63">
        <f>IF(COUNT(Resultados!E63,Resultados!N63)=0, "", AVERAGE(ABS(Resultados!E63),ABS(Resultados!N63)))</f>
        <v>11.87387728547481</v>
      </c>
      <c r="F63">
        <f>IF(COUNT(Resultados!F63,Resultados!O63)=0, "", AVERAGE(ABS(Resultados!F63),ABS(Resultados!O63)))</f>
        <v>1266.8309543915593</v>
      </c>
      <c r="G63">
        <f>IF(COUNT(Resultados!G63,Resultados!P63)=0, "", AVERAGE(ABS(Resultados!G63),ABS(Resultados!P63)))</f>
        <v>3.605</v>
      </c>
      <c r="H63">
        <f>IF(COUNT(Resultados!H63,Resultados!Q63)=0, "", AVERAGE(ABS(Resultados!H63),ABS(Resultados!Q63)))</f>
        <v>2.5000000000000001E-3</v>
      </c>
      <c r="I63">
        <f>IF(COUNT(Resultados!I63,Resultados!R63)=0, "", AVERAGE(ABS(Resultados!I63),ABS(Resultados!R63)))</f>
        <v>12.199575000000003</v>
      </c>
      <c r="J63">
        <v>2.5000000000000001E-3</v>
      </c>
      <c r="K63">
        <v>3.0000000000000003E-4</v>
      </c>
    </row>
    <row r="64" spans="1:11" x14ac:dyDescent="0.3">
      <c r="A64" t="str">
        <f>IF(COUNT(Resultados!A64,Resultados!J64)=0, "", AVERAGE(ABS(Resultados!A64),ABS(Resultados!J64)))</f>
        <v/>
      </c>
      <c r="B64" t="str">
        <f>IF(COUNT(Resultados!B64,Resultados!K64)=0, "", AVERAGE(ABS(Resultados!B64),ABS(Resultados!K64)))</f>
        <v/>
      </c>
      <c r="C64">
        <f>IF(COUNT(Resultados!C64,Resultados!L64)=0, "", AVERAGE(ABS(Resultados!C64),ABS(Resultados!L64)))</f>
        <v>94</v>
      </c>
      <c r="D64">
        <f>IF(COUNT(Resultados!D64,Resultados!M64)=0, "", AVERAGE(ABS(Resultados!D64),ABS(Resultados!M64)))</f>
        <v>1E-3</v>
      </c>
      <c r="E64">
        <f>IF(COUNT(Resultados!E64,Resultados!N64)=0, "", AVERAGE(ABS(Resultados!E64),ABS(Resultados!N64)))</f>
        <v>12.218379872137355</v>
      </c>
      <c r="F64">
        <f>IF(COUNT(Resultados!F64,Resultados!O64)=0, "", AVERAGE(ABS(Resultados!F64),ABS(Resultados!O64)))</f>
        <v>1299.5242498658349</v>
      </c>
      <c r="G64">
        <f>IF(COUNT(Resultados!G64,Resultados!P64)=0, "", AVERAGE(ABS(Resultados!G64),ABS(Resultados!P64)))</f>
        <v>3.605</v>
      </c>
      <c r="H64">
        <f>IF(COUNT(Resultados!H64,Resultados!Q64)=0, "", AVERAGE(ABS(Resultados!H64),ABS(Resultados!Q64)))</f>
        <v>7.8499999999999993E-3</v>
      </c>
      <c r="I64">
        <f>IF(COUNT(Resultados!I64,Resultados!R64)=0, "", AVERAGE(ABS(Resultados!I64),ABS(Resultados!R64)))</f>
        <v>12.40344</v>
      </c>
      <c r="J64">
        <v>7.8499999999999993E-3</v>
      </c>
      <c r="K64">
        <v>1E-3</v>
      </c>
    </row>
    <row r="65" spans="1:11" x14ac:dyDescent="0.3">
      <c r="A65" t="str">
        <f>IF(COUNT(Resultados!A65,Resultados!J65)=0, "", AVERAGE(ABS(Resultados!A65),ABS(Resultados!J65)))</f>
        <v/>
      </c>
      <c r="B65" t="str">
        <f>IF(COUNT(Resultados!B65,Resultados!K65)=0, "", AVERAGE(ABS(Resultados!B65),ABS(Resultados!K65)))</f>
        <v/>
      </c>
      <c r="C65">
        <f>IF(COUNT(Resultados!C65,Resultados!L65)=0, "", AVERAGE(ABS(Resultados!C65),ABS(Resultados!L65)))</f>
        <v>94</v>
      </c>
      <c r="D65">
        <f>IF(COUNT(Resultados!D65,Resultados!M65)=0, "", AVERAGE(ABS(Resultados!D65),ABS(Resultados!M65)))</f>
        <v>8.0000000000000002E-3</v>
      </c>
      <c r="E65">
        <f>IF(COUNT(Resultados!E65,Resultados!N65)=0, "", AVERAGE(ABS(Resultados!E65),ABS(Resultados!N65)))</f>
        <v>12.698605642387889</v>
      </c>
      <c r="F65">
        <f>IF(COUNT(Resultados!F65,Resultados!O65)=0, "", AVERAGE(ABS(Resultados!F65),ABS(Resultados!O65)))</f>
        <v>1345.0976754626111</v>
      </c>
      <c r="G65">
        <f>IF(COUNT(Resultados!G65,Resultados!P65)=0, "", AVERAGE(ABS(Resultados!G65),ABS(Resultados!P65)))</f>
        <v>3.605</v>
      </c>
      <c r="H65">
        <f>IF(COUNT(Resultados!H65,Resultados!Q65)=0, "", AVERAGE(ABS(Resultados!H65),ABS(Resultados!Q65)))</f>
        <v>1.5349999999999999E-2</v>
      </c>
      <c r="I65">
        <f>IF(COUNT(Resultados!I65,Resultados!R65)=0, "", AVERAGE(ABS(Resultados!I65),ABS(Resultados!R65)))</f>
        <v>12.600390000000004</v>
      </c>
      <c r="J65">
        <v>1.5349999999999999E-2</v>
      </c>
      <c r="K65">
        <v>8.0000000000000002E-3</v>
      </c>
    </row>
    <row r="66" spans="1:11" x14ac:dyDescent="0.3">
      <c r="A66" t="str">
        <f>IF(COUNT(Resultados!A66,Resultados!J66)=0, "", AVERAGE(ABS(Resultados!A66),ABS(Resultados!J66)))</f>
        <v/>
      </c>
      <c r="B66" t="str">
        <f>IF(COUNT(Resultados!B66,Resultados!K66)=0, "", AVERAGE(ABS(Resultados!B66),ABS(Resultados!K66)))</f>
        <v/>
      </c>
      <c r="C66">
        <f>IF(COUNT(Resultados!C66,Resultados!L66)=0, "", AVERAGE(ABS(Resultados!C66),ABS(Resultados!L66)))</f>
        <v>94</v>
      </c>
      <c r="D66">
        <f>IF(COUNT(Resultados!D66,Resultados!M66)=0, "", AVERAGE(ABS(Resultados!D66),ABS(Resultados!M66)))</f>
        <v>1.3250000000000001E-2</v>
      </c>
      <c r="E66">
        <f>IF(COUNT(Resultados!E66,Resultados!N66)=0, "", AVERAGE(ABS(Resultados!E66),ABS(Resultados!N66)))</f>
        <v>13.292777816469879</v>
      </c>
      <c r="F66">
        <f>IF(COUNT(Resultados!F66,Resultados!O66)=0, "", AVERAGE(ABS(Resultados!F66),ABS(Resultados!O66)))</f>
        <v>1401.4846147829921</v>
      </c>
      <c r="G66">
        <f>IF(COUNT(Resultados!G66,Resultados!P66)=0, "", AVERAGE(ABS(Resultados!G66),ABS(Resultados!P66)))</f>
        <v>3.605</v>
      </c>
      <c r="H66">
        <f>IF(COUNT(Resultados!H66,Resultados!Q66)=0, "", AVERAGE(ABS(Resultados!H66),ABS(Resultados!Q66)))</f>
        <v>2.4550000000000002E-2</v>
      </c>
      <c r="I66">
        <f>IF(COUNT(Resultados!I66,Resultados!R66)=0, "", AVERAGE(ABS(Resultados!I66),ABS(Resultados!R66)))</f>
        <v>12.802210000000006</v>
      </c>
      <c r="J66">
        <v>2.4550000000000002E-2</v>
      </c>
      <c r="K66">
        <v>1.3250000000000001E-2</v>
      </c>
    </row>
    <row r="67" spans="1:11" x14ac:dyDescent="0.3">
      <c r="A67" t="str">
        <f>IF(COUNT(Resultados!A67,Resultados!J67)=0, "", AVERAGE(ABS(Resultados!A67),ABS(Resultados!J67)))</f>
        <v/>
      </c>
      <c r="B67" t="str">
        <f>IF(COUNT(Resultados!B67,Resultados!K67)=0, "", AVERAGE(ABS(Resultados!B67),ABS(Resultados!K67)))</f>
        <v/>
      </c>
      <c r="C67">
        <f>IF(COUNT(Resultados!C67,Resultados!L67)=0, "", AVERAGE(ABS(Resultados!C67),ABS(Resultados!L67)))</f>
        <v>94</v>
      </c>
      <c r="D67">
        <f>IF(COUNT(Resultados!D67,Resultados!M67)=0, "", AVERAGE(ABS(Resultados!D67),ABS(Resultados!M67)))</f>
        <v>2.0799999999999999E-2</v>
      </c>
      <c r="E67">
        <f>IF(COUNT(Resultados!E67,Resultados!N67)=0, "", AVERAGE(ABS(Resultados!E67),ABS(Resultados!N67)))</f>
        <v>13.90930845864632</v>
      </c>
      <c r="F67">
        <f>IF(COUNT(Resultados!F67,Resultados!O67)=0, "", AVERAGE(ABS(Resultados!F67),ABS(Resultados!O67)))</f>
        <v>1459.9933727255361</v>
      </c>
      <c r="G67">
        <f>IF(COUNT(Resultados!G67,Resultados!P67)=0, "", AVERAGE(ABS(Resultados!G67),ABS(Resultados!P67)))</f>
        <v>3.605</v>
      </c>
      <c r="H67">
        <f>IF(COUNT(Resultados!H67,Resultados!Q67)=0, "", AVERAGE(ABS(Resultados!H67),ABS(Resultados!Q67)))</f>
        <v>3.4100000000000005E-2</v>
      </c>
      <c r="I67">
        <f>IF(COUNT(Resultados!I67,Resultados!R67)=0, "", AVERAGE(ABS(Resultados!I67),ABS(Resultados!R67)))</f>
        <v>12.997035</v>
      </c>
      <c r="J67">
        <v>3.4100000000000005E-2</v>
      </c>
      <c r="K67">
        <v>2.0799999999999999E-2</v>
      </c>
    </row>
    <row r="68" spans="1:11" x14ac:dyDescent="0.3">
      <c r="A68" t="str">
        <f>IF(COUNT(Resultados!A68,Resultados!J68)=0, "", AVERAGE(ABS(Resultados!A68),ABS(Resultados!J68)))</f>
        <v/>
      </c>
      <c r="B68" t="str">
        <f>IF(COUNT(Resultados!B68,Resultados!K68)=0, "", AVERAGE(ABS(Resultados!B68),ABS(Resultados!K68)))</f>
        <v/>
      </c>
      <c r="C68">
        <f>IF(COUNT(Resultados!C68,Resultados!L68)=0, "", AVERAGE(ABS(Resultados!C68),ABS(Resultados!L68)))</f>
        <v>94</v>
      </c>
      <c r="D68">
        <f>IF(COUNT(Resultados!D68,Resultados!M68)=0, "", AVERAGE(ABS(Resultados!D68),ABS(Resultados!M68)))</f>
        <v>2.7450000000000002E-2</v>
      </c>
      <c r="E68">
        <f>IF(COUNT(Resultados!E68,Resultados!N68)=0, "", AVERAGE(ABS(Resultados!E68),ABS(Resultados!N68)))</f>
        <v>14.53568595798561</v>
      </c>
      <c r="F68">
        <f>IF(COUNT(Resultados!F68,Resultados!O68)=0, "", AVERAGE(ABS(Resultados!F68),ABS(Resultados!O68)))</f>
        <v>1519.436597412835</v>
      </c>
      <c r="G68">
        <f>IF(COUNT(Resultados!G68,Resultados!P68)=0, "", AVERAGE(ABS(Resultados!G68),ABS(Resultados!P68)))</f>
        <v>3.605</v>
      </c>
      <c r="H68">
        <f>IF(COUNT(Resultados!H68,Resultados!Q68)=0, "", AVERAGE(ABS(Resultados!H68),ABS(Resultados!Q68)))</f>
        <v>4.3900000000000002E-2</v>
      </c>
      <c r="I68">
        <f>IF(COUNT(Resultados!I68,Resultados!R68)=0, "", AVERAGE(ABS(Resultados!I68),ABS(Resultados!R68)))</f>
        <v>13.200575000000011</v>
      </c>
      <c r="J68">
        <v>4.3900000000000002E-2</v>
      </c>
      <c r="K68">
        <v>2.7450000000000002E-2</v>
      </c>
    </row>
    <row r="69" spans="1:11" x14ac:dyDescent="0.3">
      <c r="A69" t="str">
        <f>IF(COUNT(Resultados!A69,Resultados!J69)=0, "", AVERAGE(ABS(Resultados!A69),ABS(Resultados!J69)))</f>
        <v/>
      </c>
      <c r="B69" t="str">
        <f>IF(COUNT(Resultados!B69,Resultados!K69)=0, "", AVERAGE(ABS(Resultados!B69),ABS(Resultados!K69)))</f>
        <v/>
      </c>
      <c r="C69">
        <f>IF(COUNT(Resultados!C69,Resultados!L69)=0, "", AVERAGE(ABS(Resultados!C69),ABS(Resultados!L69)))</f>
        <v>94</v>
      </c>
      <c r="D69">
        <f>IF(COUNT(Resultados!D69,Resultados!M69)=0, "", AVERAGE(ABS(Resultados!D69),ABS(Resultados!M69)))</f>
        <v>3.6549999999999999E-2</v>
      </c>
      <c r="E69">
        <f>IF(COUNT(Resultados!E69,Resultados!N69)=0, "", AVERAGE(ABS(Resultados!E69),ABS(Resultados!N69)))</f>
        <v>15.0723822477896</v>
      </c>
      <c r="F69">
        <f>IF(COUNT(Resultados!F69,Resultados!O69)=0, "", AVERAGE(ABS(Resultados!F69),ABS(Resultados!O69)))</f>
        <v>1570.369075315233</v>
      </c>
      <c r="G69">
        <f>IF(COUNT(Resultados!G69,Resultados!P69)=0, "", AVERAGE(ABS(Resultados!G69),ABS(Resultados!P69)))</f>
        <v>3.605</v>
      </c>
      <c r="H69">
        <f>IF(COUNT(Resultados!H69,Resultados!Q69)=0, "", AVERAGE(ABS(Resultados!H69),ABS(Resultados!Q69)))</f>
        <v>5.2200000000000003E-2</v>
      </c>
      <c r="I69">
        <f>IF(COUNT(Resultados!I69,Resultados!R69)=0, "", AVERAGE(ABS(Resultados!I69),ABS(Resultados!R69)))</f>
        <v>13.400360000000003</v>
      </c>
      <c r="J69">
        <v>5.2200000000000003E-2</v>
      </c>
      <c r="K69">
        <v>3.6549999999999999E-2</v>
      </c>
    </row>
    <row r="70" spans="1:11" x14ac:dyDescent="0.3">
      <c r="A70" t="str">
        <f>IF(COUNT(Resultados!A70,Resultados!J70)=0, "", AVERAGE(ABS(Resultados!A70),ABS(Resultados!J70)))</f>
        <v/>
      </c>
      <c r="B70" t="str">
        <f>IF(COUNT(Resultados!B70,Resultados!K70)=0, "", AVERAGE(ABS(Resultados!B70),ABS(Resultados!K70)))</f>
        <v/>
      </c>
      <c r="C70">
        <f>IF(COUNT(Resultados!C70,Resultados!L70)=0, "", AVERAGE(ABS(Resultados!C70),ABS(Resultados!L70)))</f>
        <v>94</v>
      </c>
      <c r="D70">
        <f>IF(COUNT(Resultados!D70,Resultados!M70)=0, "", AVERAGE(ABS(Resultados!D70),ABS(Resultados!M70)))</f>
        <v>4.6949999999999999E-2</v>
      </c>
      <c r="E70">
        <f>IF(COUNT(Resultados!E70,Resultados!N70)=0, "", AVERAGE(ABS(Resultados!E70),ABS(Resultados!N70)))</f>
        <v>15.478033634971595</v>
      </c>
      <c r="F70">
        <f>IF(COUNT(Resultados!F70,Resultados!O70)=0, "", AVERAGE(ABS(Resultados!F70),ABS(Resultados!O70)))</f>
        <v>1608.8653919588046</v>
      </c>
      <c r="G70">
        <f>IF(COUNT(Resultados!G70,Resultados!P70)=0, "", AVERAGE(ABS(Resultados!G70),ABS(Resultados!P70)))</f>
        <v>3.605</v>
      </c>
      <c r="H70">
        <f>IF(COUNT(Resultados!H70,Resultados!Q70)=0, "", AVERAGE(ABS(Resultados!H70),ABS(Resultados!Q70)))</f>
        <v>5.8500000000000003E-2</v>
      </c>
      <c r="I70">
        <f>IF(COUNT(Resultados!I70,Resultados!R70)=0, "", AVERAGE(ABS(Resultados!I70),ABS(Resultados!R70)))</f>
        <v>13.599620000000005</v>
      </c>
      <c r="J70">
        <v>5.8500000000000003E-2</v>
      </c>
      <c r="K70">
        <v>4.6949999999999999E-2</v>
      </c>
    </row>
    <row r="71" spans="1:11" x14ac:dyDescent="0.3">
      <c r="A71" t="str">
        <f>IF(COUNT(Resultados!A71,Resultados!J71)=0, "", AVERAGE(ABS(Resultados!A71),ABS(Resultados!J71)))</f>
        <v/>
      </c>
      <c r="B71" t="str">
        <f>IF(COUNT(Resultados!B71,Resultados!K71)=0, "", AVERAGE(ABS(Resultados!B71),ABS(Resultados!K71)))</f>
        <v/>
      </c>
      <c r="C71">
        <f>IF(COUNT(Resultados!C71,Resultados!L71)=0, "", AVERAGE(ABS(Resultados!C71),ABS(Resultados!L71)))</f>
        <v>94</v>
      </c>
      <c r="D71">
        <f>IF(COUNT(Resultados!D71,Resultados!M71)=0, "", AVERAGE(ABS(Resultados!D71),ABS(Resultados!M71)))</f>
        <v>5.6099999999999997E-2</v>
      </c>
      <c r="E71">
        <f>IF(COUNT(Resultados!E71,Resultados!N71)=0, "", AVERAGE(ABS(Resultados!E71),ABS(Resultados!N71)))</f>
        <v>15.715924134916319</v>
      </c>
      <c r="F71">
        <f>IF(COUNT(Resultados!F71,Resultados!O71)=0, "", AVERAGE(ABS(Resultados!F71),ABS(Resultados!O71)))</f>
        <v>1631.4412004035585</v>
      </c>
      <c r="G71">
        <f>IF(COUNT(Resultados!G71,Resultados!P71)=0, "", AVERAGE(ABS(Resultados!G71),ABS(Resultados!P71)))</f>
        <v>3.605</v>
      </c>
      <c r="H71">
        <f>IF(COUNT(Resultados!H71,Resultados!Q71)=0, "", AVERAGE(ABS(Resultados!H71),ABS(Resultados!Q71)))</f>
        <v>6.2199999999999998E-2</v>
      </c>
      <c r="I71">
        <f>IF(COUNT(Resultados!I71,Resultados!R71)=0, "", AVERAGE(ABS(Resultados!I71),ABS(Resultados!R71)))</f>
        <v>13.800470000000008</v>
      </c>
      <c r="J71">
        <v>6.2199999999999998E-2</v>
      </c>
      <c r="K71">
        <v>5.6099999999999997E-2</v>
      </c>
    </row>
    <row r="72" spans="1:11" x14ac:dyDescent="0.3">
      <c r="A72" t="str">
        <f>IF(COUNT(Resultados!A72,Resultados!J72)=0, "", AVERAGE(ABS(Resultados!A72),ABS(Resultados!J72)))</f>
        <v/>
      </c>
      <c r="B72" t="str">
        <f>IF(COUNT(Resultados!B72,Resultados!K72)=0, "", AVERAGE(ABS(Resultados!B72),ABS(Resultados!K72)))</f>
        <v/>
      </c>
      <c r="C72">
        <f>IF(COUNT(Resultados!C72,Resultados!L72)=0, "", AVERAGE(ABS(Resultados!C72),ABS(Resultados!L72)))</f>
        <v>94</v>
      </c>
      <c r="D72">
        <f>IF(COUNT(Resultados!D72,Resultados!M72)=0, "", AVERAGE(ABS(Resultados!D72),ABS(Resultados!M72)))</f>
        <v>6.5750000000000003E-2</v>
      </c>
      <c r="E72">
        <f>IF(COUNT(Resultados!E72,Resultados!N72)=0, "", AVERAGE(ABS(Resultados!E72),ABS(Resultados!N72)))</f>
        <v>15.757785543348614</v>
      </c>
      <c r="F72">
        <f>IF(COUNT(Resultados!F72,Resultados!O72)=0, "", AVERAGE(ABS(Resultados!F72),ABS(Resultados!O72)))</f>
        <v>1635.4138480637839</v>
      </c>
      <c r="G72">
        <f>IF(COUNT(Resultados!G72,Resultados!P72)=0, "", AVERAGE(ABS(Resultados!G72),ABS(Resultados!P72)))</f>
        <v>3.605</v>
      </c>
      <c r="H72">
        <f>IF(COUNT(Resultados!H72,Resultados!Q72)=0, "", AVERAGE(ABS(Resultados!H72),ABS(Resultados!Q72)))</f>
        <v>6.2849999999999989E-2</v>
      </c>
      <c r="I72">
        <f>IF(COUNT(Resultados!I72,Resultados!R72)=0, "", AVERAGE(ABS(Resultados!I72),ABS(Resultados!R72)))</f>
        <v>14.004410000000004</v>
      </c>
      <c r="J72">
        <v>6.2849999999999989E-2</v>
      </c>
      <c r="K72">
        <v>6.5750000000000003E-2</v>
      </c>
    </row>
    <row r="73" spans="1:11" x14ac:dyDescent="0.3">
      <c r="A73" t="str">
        <f>IF(COUNT(Resultados!A73,Resultados!J73)=0, "", AVERAGE(ABS(Resultados!A73),ABS(Resultados!J73)))</f>
        <v/>
      </c>
      <c r="B73" t="str">
        <f>IF(COUNT(Resultados!B73,Resultados!K73)=0, "", AVERAGE(ABS(Resultados!B73),ABS(Resultados!K73)))</f>
        <v/>
      </c>
      <c r="C73">
        <f>IF(COUNT(Resultados!C73,Resultados!L73)=0, "", AVERAGE(ABS(Resultados!C73),ABS(Resultados!L73)))</f>
        <v>94</v>
      </c>
      <c r="D73">
        <f>IF(COUNT(Resultados!D73,Resultados!M73)=0, "", AVERAGE(ABS(Resultados!D73),ABS(Resultados!M73)))</f>
        <v>6.9349999999999995E-2</v>
      </c>
      <c r="E73">
        <f>IF(COUNT(Resultados!E73,Resultados!N73)=0, "", AVERAGE(ABS(Resultados!E73),ABS(Resultados!N73)))</f>
        <v>15.604475025433899</v>
      </c>
      <c r="F73">
        <f>IF(COUNT(Resultados!F73,Resultados!O73)=0, "", AVERAGE(ABS(Resultados!F73),ABS(Resultados!O73)))</f>
        <v>1524.3370723704395</v>
      </c>
      <c r="G73">
        <f>IF(COUNT(Resultados!G73,Resultados!P73)=0, "", AVERAGE(ABS(Resultados!G73),ABS(Resultados!P73)))</f>
        <v>3.605</v>
      </c>
      <c r="H73">
        <f>IF(COUNT(Resultados!H73,Resultados!Q73)=0, "", AVERAGE(ABS(Resultados!H73),ABS(Resultados!Q73)))</f>
        <v>6.0499999999999998E-2</v>
      </c>
      <c r="I73">
        <f>IF(COUNT(Resultados!I73,Resultados!R73)=0, "", AVERAGE(ABS(Resultados!I73),ABS(Resultados!R73)))</f>
        <v>14.200365000000001</v>
      </c>
      <c r="J73">
        <v>6.0499999999999998E-2</v>
      </c>
      <c r="K73">
        <v>6.9349999999999995E-2</v>
      </c>
    </row>
    <row r="74" spans="1:11" x14ac:dyDescent="0.3">
      <c r="A74" t="str">
        <f>IF(COUNT(Resultados!A74,Resultados!J74)=0, "", AVERAGE(ABS(Resultados!A74),ABS(Resultados!J74)))</f>
        <v/>
      </c>
      <c r="B74" t="str">
        <f>IF(COUNT(Resultados!B74,Resultados!K74)=0, "", AVERAGE(ABS(Resultados!B74),ABS(Resultados!K74)))</f>
        <v/>
      </c>
      <c r="C74">
        <f>IF(COUNT(Resultados!C74,Resultados!L74)=0, "", AVERAGE(ABS(Resultados!C74),ABS(Resultados!L74)))</f>
        <v>94</v>
      </c>
      <c r="D74">
        <f>IF(COUNT(Resultados!D74,Resultados!M74)=0, "", AVERAGE(ABS(Resultados!D74),ABS(Resultados!M74)))</f>
        <v>6.5950000000000009E-2</v>
      </c>
      <c r="E74">
        <f>IF(COUNT(Resultados!E74,Resultados!N74)=0, "", AVERAGE(ABS(Resultados!E74),ABS(Resultados!N74)))</f>
        <v>15.26381046270221</v>
      </c>
      <c r="F74">
        <f>IF(COUNT(Resultados!F74,Resultados!O74)=0, "", AVERAGE(ABS(Resultados!F74),ABS(Resultados!O74)))</f>
        <v>1492.5871351238457</v>
      </c>
      <c r="G74">
        <f>IF(COUNT(Resultados!G74,Resultados!P74)=0, "", AVERAGE(ABS(Resultados!G74),ABS(Resultados!P74)))</f>
        <v>3.605</v>
      </c>
      <c r="H74">
        <f>IF(COUNT(Resultados!H74,Resultados!Q74)=0, "", AVERAGE(ABS(Resultados!H74),ABS(Resultados!Q74)))</f>
        <v>5.5150000000000005E-2</v>
      </c>
      <c r="I74">
        <f>IF(COUNT(Resultados!I74,Resultados!R74)=0, "", AVERAGE(ABS(Resultados!I74),ABS(Resultados!R74)))</f>
        <v>14.402080000000009</v>
      </c>
      <c r="J74">
        <v>5.5150000000000005E-2</v>
      </c>
      <c r="K74">
        <v>6.5950000000000009E-2</v>
      </c>
    </row>
    <row r="75" spans="1:11" x14ac:dyDescent="0.3">
      <c r="A75" t="str">
        <f>IF(COUNT(Resultados!A75,Resultados!J75)=0, "", AVERAGE(ABS(Resultados!A75),ABS(Resultados!J75)))</f>
        <v/>
      </c>
      <c r="B75" t="str">
        <f>IF(COUNT(Resultados!B75,Resultados!K75)=0, "", AVERAGE(ABS(Resultados!B75),ABS(Resultados!K75)))</f>
        <v/>
      </c>
      <c r="C75">
        <f>IF(COUNT(Resultados!C75,Resultados!L75)=0, "", AVERAGE(ABS(Resultados!C75),ABS(Resultados!L75)))</f>
        <v>94</v>
      </c>
      <c r="D75">
        <f>IF(COUNT(Resultados!D75,Resultados!M75)=0, "", AVERAGE(ABS(Resultados!D75),ABS(Resultados!M75)))</f>
        <v>5.8400000000000001E-2</v>
      </c>
      <c r="E75">
        <f>IF(COUNT(Resultados!E75,Resultados!N75)=0, "", AVERAGE(ABS(Resultados!E75),ABS(Resultados!N75)))</f>
        <v>14.78353076484192</v>
      </c>
      <c r="F75">
        <f>IF(COUNT(Resultados!F75,Resultados!O75)=0, "", AVERAGE(ABS(Resultados!F75),ABS(Resultados!O75)))</f>
        <v>1447.8250672832669</v>
      </c>
      <c r="G75">
        <f>IF(COUNT(Resultados!G75,Resultados!P75)=0, "", AVERAGE(ABS(Resultados!G75),ABS(Resultados!P75)))</f>
        <v>3.605</v>
      </c>
      <c r="H75">
        <f>IF(COUNT(Resultados!H75,Resultados!Q75)=0, "", AVERAGE(ABS(Resultados!H75),ABS(Resultados!Q75)))</f>
        <v>4.7699999999999999E-2</v>
      </c>
      <c r="I75">
        <f>IF(COUNT(Resultados!I75,Resultados!R75)=0, "", AVERAGE(ABS(Resultados!I75),ABS(Resultados!R75)))</f>
        <v>14.599375000000006</v>
      </c>
      <c r="J75">
        <v>4.7699999999999999E-2</v>
      </c>
      <c r="K75">
        <v>5.8400000000000001E-2</v>
      </c>
    </row>
    <row r="76" spans="1:11" x14ac:dyDescent="0.3">
      <c r="A76" t="str">
        <f>IF(COUNT(Resultados!A76,Resultados!J76)=0, "", AVERAGE(ABS(Resultados!A76),ABS(Resultados!J76)))</f>
        <v/>
      </c>
      <c r="B76" t="str">
        <f>IF(COUNT(Resultados!B76,Resultados!K76)=0, "", AVERAGE(ABS(Resultados!B76),ABS(Resultados!K76)))</f>
        <v/>
      </c>
      <c r="C76">
        <f>IF(COUNT(Resultados!C76,Resultados!L76)=0, "", AVERAGE(ABS(Resultados!C76),ABS(Resultados!L76)))</f>
        <v>94</v>
      </c>
      <c r="D76">
        <f>IF(COUNT(Resultados!D76,Resultados!M76)=0, "", AVERAGE(ABS(Resultados!D76),ABS(Resultados!M76)))</f>
        <v>5.2650000000000002E-2</v>
      </c>
      <c r="E76">
        <f>IF(COUNT(Resultados!E76,Resultados!N76)=0, "", AVERAGE(ABS(Resultados!E76),ABS(Resultados!N76)))</f>
        <v>14.189455092798426</v>
      </c>
      <c r="F76">
        <f>IF(COUNT(Resultados!F76,Resultados!O76)=0, "", AVERAGE(ABS(Resultados!F76),ABS(Resultados!O76)))</f>
        <v>1392.4572146488135</v>
      </c>
      <c r="G76">
        <f>IF(COUNT(Resultados!G76,Resultados!P76)=0, "", AVERAGE(ABS(Resultados!G76),ABS(Resultados!P76)))</f>
        <v>3.605</v>
      </c>
      <c r="H76">
        <f>IF(COUNT(Resultados!H76,Resultados!Q76)=0, "", AVERAGE(ABS(Resultados!H76),ABS(Resultados!Q76)))</f>
        <v>3.85E-2</v>
      </c>
      <c r="I76">
        <f>IF(COUNT(Resultados!I76,Resultados!R76)=0, "", AVERAGE(ABS(Resultados!I76),ABS(Resultados!R76)))</f>
        <v>14.801280000000002</v>
      </c>
      <c r="J76">
        <v>3.85E-2</v>
      </c>
      <c r="K76">
        <v>5.2650000000000002E-2</v>
      </c>
    </row>
    <row r="77" spans="1:11" x14ac:dyDescent="0.3">
      <c r="A77" t="str">
        <f>IF(COUNT(Resultados!A77,Resultados!J77)=0, "", AVERAGE(ABS(Resultados!A77),ABS(Resultados!J77)))</f>
        <v/>
      </c>
      <c r="B77" t="str">
        <f>IF(COUNT(Resultados!B77,Resultados!K77)=0, "", AVERAGE(ABS(Resultados!B77),ABS(Resultados!K77)))</f>
        <v/>
      </c>
      <c r="C77">
        <f>IF(COUNT(Resultados!C77,Resultados!L77)=0, "", AVERAGE(ABS(Resultados!C77),ABS(Resultados!L77)))</f>
        <v>94</v>
      </c>
      <c r="D77">
        <f>IF(COUNT(Resultados!D77,Resultados!M77)=0, "", AVERAGE(ABS(Resultados!D77),ABS(Resultados!M77)))</f>
        <v>4.6450000000000005E-2</v>
      </c>
      <c r="E77">
        <f>IF(COUNT(Resultados!E77,Resultados!N77)=0, "", AVERAGE(ABS(Resultados!E77),ABS(Resultados!N77)))</f>
        <v>13.562274964109591</v>
      </c>
      <c r="F77">
        <f>IF(COUNT(Resultados!F77,Resultados!O77)=0, "", AVERAGE(ABS(Resultados!F77),ABS(Resultados!O77)))</f>
        <v>1334.0040266550136</v>
      </c>
      <c r="G77">
        <f>IF(COUNT(Resultados!G77,Resultados!P77)=0, "", AVERAGE(ABS(Resultados!G77),ABS(Resultados!P77)))</f>
        <v>3.605</v>
      </c>
      <c r="H77">
        <f>IF(COUNT(Resultados!H77,Resultados!Q77)=0, "", AVERAGE(ABS(Resultados!H77),ABS(Resultados!Q77)))</f>
        <v>2.8749999999999998E-2</v>
      </c>
      <c r="I77">
        <f>IF(COUNT(Resultados!I77,Resultados!R77)=0, "", AVERAGE(ABS(Resultados!I77),ABS(Resultados!R77)))</f>
        <v>14.999480000000002</v>
      </c>
      <c r="J77">
        <v>2.8749999999999998E-2</v>
      </c>
      <c r="K77">
        <v>4.6450000000000005E-2</v>
      </c>
    </row>
    <row r="78" spans="1:11" x14ac:dyDescent="0.3">
      <c r="A78" t="str">
        <f>IF(COUNT(Resultados!A78,Resultados!J78)=0, "", AVERAGE(ABS(Resultados!A78),ABS(Resultados!J78)))</f>
        <v/>
      </c>
      <c r="B78" t="str">
        <f>IF(COUNT(Resultados!B78,Resultados!K78)=0, "", AVERAGE(ABS(Resultados!B78),ABS(Resultados!K78)))</f>
        <v/>
      </c>
      <c r="C78">
        <f>IF(COUNT(Resultados!C78,Resultados!L78)=0, "", AVERAGE(ABS(Resultados!C78),ABS(Resultados!L78)))</f>
        <v>94</v>
      </c>
      <c r="D78">
        <f>IF(COUNT(Resultados!D78,Resultados!M78)=0, "", AVERAGE(ABS(Resultados!D78),ABS(Resultados!M78)))</f>
        <v>3.7949999999999998E-2</v>
      </c>
      <c r="E78">
        <f>IF(COUNT(Resultados!E78,Resultados!N78)=0, "", AVERAGE(ABS(Resultados!E78),ABS(Resultados!N78)))</f>
        <v>12.938197092128711</v>
      </c>
      <c r="F78">
        <f>IF(COUNT(Resultados!F78,Resultados!O78)=0, "", AVERAGE(ABS(Resultados!F78),ABS(Resultados!O78)))</f>
        <v>1275.8399689863959</v>
      </c>
      <c r="G78">
        <f>IF(COUNT(Resultados!G78,Resultados!P78)=0, "", AVERAGE(ABS(Resultados!G78),ABS(Resultados!P78)))</f>
        <v>3.605</v>
      </c>
      <c r="H78">
        <f>IF(COUNT(Resultados!H78,Resultados!Q78)=0, "", AVERAGE(ABS(Resultados!H78),ABS(Resultados!Q78)))</f>
        <v>1.9049999999999997E-2</v>
      </c>
      <c r="I78">
        <f>IF(COUNT(Resultados!I78,Resultados!R78)=0, "", AVERAGE(ABS(Resultados!I78),ABS(Resultados!R78)))</f>
        <v>15.202440000000006</v>
      </c>
      <c r="J78">
        <v>1.9049999999999997E-2</v>
      </c>
      <c r="K78">
        <v>3.7949999999999998E-2</v>
      </c>
    </row>
    <row r="79" spans="1:11" x14ac:dyDescent="0.3">
      <c r="A79" t="str">
        <f>IF(COUNT(Resultados!A79,Resultados!J79)=0, "", AVERAGE(ABS(Resultados!A79),ABS(Resultados!J79)))</f>
        <v/>
      </c>
      <c r="B79" t="str">
        <f>IF(COUNT(Resultados!B79,Resultados!K79)=0, "", AVERAGE(ABS(Resultados!B79),ABS(Resultados!K79)))</f>
        <v/>
      </c>
      <c r="C79">
        <f>IF(COUNT(Resultados!C79,Resultados!L79)=0, "", AVERAGE(ABS(Resultados!C79),ABS(Resultados!L79)))</f>
        <v>94</v>
      </c>
      <c r="D79">
        <f>IF(COUNT(Resultados!D79,Resultados!M79)=0, "", AVERAGE(ABS(Resultados!D79),ABS(Resultados!M79)))</f>
        <v>3.0600000000000002E-2</v>
      </c>
      <c r="E79">
        <f>IF(COUNT(Resultados!E79,Resultados!N79)=0, "", AVERAGE(ABS(Resultados!E79),ABS(Resultados!N79)))</f>
        <v>12.410669915129006</v>
      </c>
      <c r="F79">
        <f>IF(COUNT(Resultados!F79,Resultados!O79)=0, "", AVERAGE(ABS(Resultados!F79),ABS(Resultados!O79)))</f>
        <v>1226.6744360900229</v>
      </c>
      <c r="G79">
        <f>IF(COUNT(Resultados!G79,Resultados!P79)=0, "", AVERAGE(ABS(Resultados!G79),ABS(Resultados!P79)))</f>
        <v>3.605</v>
      </c>
      <c r="H79">
        <f>IF(COUNT(Resultados!H79,Resultados!Q79)=0, "", AVERAGE(ABS(Resultados!H79),ABS(Resultados!Q79)))</f>
        <v>1.085E-2</v>
      </c>
      <c r="I79">
        <f>IF(COUNT(Resultados!I79,Resultados!R79)=0, "", AVERAGE(ABS(Resultados!I79),ABS(Resultados!R79)))</f>
        <v>15.39881500000001</v>
      </c>
      <c r="J79">
        <v>1.085E-2</v>
      </c>
      <c r="K79">
        <v>3.0600000000000002E-2</v>
      </c>
    </row>
    <row r="80" spans="1:11" x14ac:dyDescent="0.3">
      <c r="A80" t="str">
        <f>IF(COUNT(Resultados!A80,Resultados!J80)=0, "", AVERAGE(ABS(Resultados!A80),ABS(Resultados!J80)))</f>
        <v/>
      </c>
      <c r="B80" t="str">
        <f>IF(COUNT(Resultados!B80,Resultados!K80)=0, "", AVERAGE(ABS(Resultados!B80),ABS(Resultados!K80)))</f>
        <v/>
      </c>
      <c r="C80">
        <f>IF(COUNT(Resultados!C80,Resultados!L80)=0, "", AVERAGE(ABS(Resultados!C80),ABS(Resultados!L80)))</f>
        <v>94</v>
      </c>
      <c r="D80">
        <f>IF(COUNT(Resultados!D80,Resultados!M80)=0, "", AVERAGE(ABS(Resultados!D80),ABS(Resultados!M80)))</f>
        <v>2.24E-2</v>
      </c>
      <c r="E80">
        <f>IF(COUNT(Resultados!E80,Resultados!N80)=0, "", AVERAGE(ABS(Resultados!E80),ABS(Resultados!N80)))</f>
        <v>12.00054865894649</v>
      </c>
      <c r="F80">
        <f>IF(COUNT(Resultados!F80,Resultados!O80)=0, "", AVERAGE(ABS(Resultados!F80),ABS(Resultados!O80)))</f>
        <v>1188.451135013813</v>
      </c>
      <c r="G80">
        <f>IF(COUNT(Resultados!G80,Resultados!P80)=0, "", AVERAGE(ABS(Resultados!G80),ABS(Resultados!P80)))</f>
        <v>3.605</v>
      </c>
      <c r="H80">
        <f>IF(COUNT(Resultados!H80,Resultados!Q80)=0, "", AVERAGE(ABS(Resultados!H80),ABS(Resultados!Q80)))</f>
        <v>4.4999999999999997E-3</v>
      </c>
      <c r="I80">
        <f>IF(COUNT(Resultados!I80,Resultados!R80)=0, "", AVERAGE(ABS(Resultados!I80),ABS(Resultados!R80)))</f>
        <v>15.600075</v>
      </c>
      <c r="J80">
        <v>4.4999999999999997E-3</v>
      </c>
      <c r="K80">
        <v>2.24E-2</v>
      </c>
    </row>
    <row r="81" spans="1:11" x14ac:dyDescent="0.3">
      <c r="A81" t="str">
        <f>IF(COUNT(Resultados!A81,Resultados!J81)=0, "", AVERAGE(ABS(Resultados!A81),ABS(Resultados!J81)))</f>
        <v/>
      </c>
      <c r="B81" t="str">
        <f>IF(COUNT(Resultados!B81,Resultados!K81)=0, "", AVERAGE(ABS(Resultados!B81),ABS(Resultados!K81)))</f>
        <v/>
      </c>
      <c r="C81">
        <f>IF(COUNT(Resultados!C81,Resultados!L81)=0, "", AVERAGE(ABS(Resultados!C81),ABS(Resultados!L81)))</f>
        <v>94</v>
      </c>
      <c r="D81">
        <f>IF(COUNT(Resultados!D81,Resultados!M81)=0, "", AVERAGE(ABS(Resultados!D81),ABS(Resultados!M81)))</f>
        <v>1.46E-2</v>
      </c>
      <c r="E81">
        <f>IF(COUNT(Resultados!E81,Resultados!N81)=0, "", AVERAGE(ABS(Resultados!E81),ABS(Resultados!N81)))</f>
        <v>11.763293430299271</v>
      </c>
      <c r="F81">
        <f>IF(COUNT(Resultados!F81,Resultados!O81)=0, "", AVERAGE(ABS(Resultados!F81),ABS(Resultados!O81)))</f>
        <v>1166.3389477038925</v>
      </c>
      <c r="G81">
        <f>IF(COUNT(Resultados!G81,Resultados!P81)=0, "", AVERAGE(ABS(Resultados!G81),ABS(Resultados!P81)))</f>
        <v>3.605</v>
      </c>
      <c r="H81">
        <f>IF(COUNT(Resultados!H81,Resultados!Q81)=0, "", AVERAGE(ABS(Resultados!H81),ABS(Resultados!Q81)))</f>
        <v>8.0000000000000004E-4</v>
      </c>
      <c r="I81">
        <f>IF(COUNT(Resultados!I81,Resultados!R81)=0, "", AVERAGE(ABS(Resultados!I81),ABS(Resultados!R81)))</f>
        <v>15.800645000000006</v>
      </c>
      <c r="J81">
        <v>8.0000000000000004E-4</v>
      </c>
      <c r="K81">
        <v>1.46E-2</v>
      </c>
    </row>
    <row r="82" spans="1:11" x14ac:dyDescent="0.3">
      <c r="A82" t="str">
        <f>IF(COUNT(Resultados!A82,Resultados!J82)=0, "", AVERAGE(ABS(Resultados!A82),ABS(Resultados!J82)))</f>
        <v/>
      </c>
      <c r="B82" t="str">
        <f>IF(COUNT(Resultados!B82,Resultados!K82)=0, "", AVERAGE(ABS(Resultados!B82),ABS(Resultados!K82)))</f>
        <v/>
      </c>
      <c r="C82">
        <f>IF(COUNT(Resultados!C82,Resultados!L82)=0, "", AVERAGE(ABS(Resultados!C82),ABS(Resultados!L82)))</f>
        <v>94</v>
      </c>
      <c r="D82">
        <f>IF(COUNT(Resultados!D82,Resultados!M82)=0, "", AVERAGE(ABS(Resultados!D82),ABS(Resultados!M82)))</f>
        <v>6.2000000000000006E-3</v>
      </c>
      <c r="E82">
        <f>IF(COUNT(Resultados!E82,Resultados!N82)=0, "", AVERAGE(ABS(Resultados!E82),ABS(Resultados!N82)))</f>
        <v>11.720395827173974</v>
      </c>
      <c r="F82">
        <f>IF(COUNT(Resultados!F82,Resultados!O82)=0, "", AVERAGE(ABS(Resultados!F82),ABS(Resultados!O82)))</f>
        <v>1162.3408910926146</v>
      </c>
      <c r="G82">
        <f>IF(COUNT(Resultados!G82,Resultados!P82)=0, "", AVERAGE(ABS(Resultados!G82),ABS(Resultados!P82)))</f>
        <v>3.605</v>
      </c>
      <c r="H82">
        <f>IF(COUNT(Resultados!H82,Resultados!Q82)=0, "", AVERAGE(ABS(Resultados!H82),ABS(Resultados!Q82)))</f>
        <v>1E-4</v>
      </c>
      <c r="I82">
        <f>IF(COUNT(Resultados!I82,Resultados!R82)=0, "", AVERAGE(ABS(Resultados!I82),ABS(Resultados!R82)))</f>
        <v>16.000545000000006</v>
      </c>
      <c r="J82">
        <v>1E-4</v>
      </c>
      <c r="K82">
        <v>6.2000000000000006E-3</v>
      </c>
    </row>
    <row r="83" spans="1:11" x14ac:dyDescent="0.3">
      <c r="A83" t="str">
        <f>IF(COUNT(Resultados!A83,Resultados!J83)=0, "", AVERAGE(ABS(Resultados!A83),ABS(Resultados!J83)))</f>
        <v/>
      </c>
      <c r="B83" t="str">
        <f>IF(COUNT(Resultados!B83,Resultados!K83)=0, "", AVERAGE(ABS(Resultados!B83),ABS(Resultados!K83)))</f>
        <v/>
      </c>
      <c r="C83">
        <f>IF(COUNT(Resultados!C83,Resultados!L83)=0, "", AVERAGE(ABS(Resultados!C83),ABS(Resultados!L83)))</f>
        <v>94</v>
      </c>
      <c r="D83">
        <f>IF(COUNT(Resultados!D83,Resultados!M83)=0, "", AVERAGE(ABS(Resultados!D83),ABS(Resultados!M83)))</f>
        <v>1.5000000000000001E-4</v>
      </c>
      <c r="E83">
        <f>IF(COUNT(Resultados!E83,Resultados!N83)=0, "", AVERAGE(ABS(Resultados!E83),ABS(Resultados!N83)))</f>
        <v>11.87336758846857</v>
      </c>
      <c r="F83">
        <f>IF(COUNT(Resultados!F83,Resultados!O83)=0, "", AVERAGE(ABS(Resultados!F83),ABS(Resultados!O83)))</f>
        <v>1266.7825841456674</v>
      </c>
      <c r="G83">
        <f>IF(COUNT(Resultados!G83,Resultados!P83)=0, "", AVERAGE(ABS(Resultados!G83),ABS(Resultados!P83)))</f>
        <v>3.605</v>
      </c>
      <c r="H83">
        <f>IF(COUNT(Resultados!H83,Resultados!Q83)=0, "", AVERAGE(ABS(Resultados!H83),ABS(Resultados!Q83)))</f>
        <v>2.5000000000000001E-3</v>
      </c>
      <c r="I83">
        <f>IF(COUNT(Resultados!I83,Resultados!R83)=0, "", AVERAGE(ABS(Resultados!I83),ABS(Resultados!R83)))</f>
        <v>16.199170000000006</v>
      </c>
      <c r="J83">
        <v>2.5000000000000001E-3</v>
      </c>
      <c r="K83">
        <v>1.5000000000000001E-4</v>
      </c>
    </row>
    <row r="84" spans="1:11" x14ac:dyDescent="0.3">
      <c r="A84" t="str">
        <f>IF(COUNT(Resultados!A84,Resultados!J84)=0, "", AVERAGE(ABS(Resultados!A84),ABS(Resultados!J84)))</f>
        <v/>
      </c>
      <c r="B84" t="str">
        <f>IF(COUNT(Resultados!B84,Resultados!K84)=0, "", AVERAGE(ABS(Resultados!B84),ABS(Resultados!K84)))</f>
        <v/>
      </c>
      <c r="C84">
        <f>IF(COUNT(Resultados!C84,Resultados!L84)=0, "", AVERAGE(ABS(Resultados!C84),ABS(Resultados!L84)))</f>
        <v>94</v>
      </c>
      <c r="D84">
        <f>IF(COUNT(Resultados!D84,Resultados!M84)=0, "", AVERAGE(ABS(Resultados!D84),ABS(Resultados!M84)))</f>
        <v>7.9999999999999993E-4</v>
      </c>
      <c r="E84">
        <f>IF(COUNT(Resultados!E84,Resultados!N84)=0, "", AVERAGE(ABS(Resultados!E84),ABS(Resultados!N84)))</f>
        <v>12.211804150249829</v>
      </c>
      <c r="F84">
        <f>IF(COUNT(Resultados!F84,Resultados!O84)=0, "", AVERAGE(ABS(Resultados!F84),ABS(Resultados!O84)))</f>
        <v>1298.9002138587089</v>
      </c>
      <c r="G84">
        <f>IF(COUNT(Resultados!G84,Resultados!P84)=0, "", AVERAGE(ABS(Resultados!G84),ABS(Resultados!P84)))</f>
        <v>3.605</v>
      </c>
      <c r="H84">
        <f>IF(COUNT(Resultados!H84,Resultados!Q84)=0, "", AVERAGE(ABS(Resultados!H84),ABS(Resultados!Q84)))</f>
        <v>7.7499999999999999E-3</v>
      </c>
      <c r="I84">
        <f>IF(COUNT(Resultados!I84,Resultados!R84)=0, "", AVERAGE(ABS(Resultados!I84),ABS(Resultados!R84)))</f>
        <v>16.400305000000007</v>
      </c>
      <c r="J84">
        <v>7.7499999999999999E-3</v>
      </c>
      <c r="K84">
        <v>7.9999999999999993E-4</v>
      </c>
    </row>
    <row r="85" spans="1:11" x14ac:dyDescent="0.3">
      <c r="A85" t="str">
        <f>IF(COUNT(Resultados!A85,Resultados!J85)=0, "", AVERAGE(ABS(Resultados!A85),ABS(Resultados!J85)))</f>
        <v/>
      </c>
      <c r="B85" t="str">
        <f>IF(COUNT(Resultados!B85,Resultados!K85)=0, "", AVERAGE(ABS(Resultados!B85),ABS(Resultados!K85)))</f>
        <v/>
      </c>
      <c r="C85">
        <f>IF(COUNT(Resultados!C85,Resultados!L85)=0, "", AVERAGE(ABS(Resultados!C85),ABS(Resultados!L85)))</f>
        <v>94</v>
      </c>
      <c r="D85">
        <f>IF(COUNT(Resultados!D85,Resultados!M85)=0, "", AVERAGE(ABS(Resultados!D85),ABS(Resultados!M85)))</f>
        <v>8.8999999999999999E-3</v>
      </c>
      <c r="E85">
        <f>IF(COUNT(Resultados!E85,Resultados!N85)=0, "", AVERAGE(ABS(Resultados!E85),ABS(Resultados!N85)))</f>
        <v>12.693913940340074</v>
      </c>
      <c r="F85">
        <f>IF(COUNT(Resultados!F85,Resultados!O85)=0, "", AVERAGE(ABS(Resultados!F85),ABS(Resultados!O85)))</f>
        <v>1344.6524329382737</v>
      </c>
      <c r="G85">
        <f>IF(COUNT(Resultados!G85,Resultados!P85)=0, "", AVERAGE(ABS(Resultados!G85),ABS(Resultados!P85)))</f>
        <v>3.605</v>
      </c>
      <c r="H85">
        <f>IF(COUNT(Resultados!H85,Resultados!Q85)=0, "", AVERAGE(ABS(Resultados!H85),ABS(Resultados!Q85)))</f>
        <v>1.525E-2</v>
      </c>
      <c r="I85">
        <f>IF(COUNT(Resultados!I85,Resultados!R85)=0, "", AVERAGE(ABS(Resultados!I85),ABS(Resultados!R85)))</f>
        <v>16.598675000000004</v>
      </c>
      <c r="J85">
        <v>1.525E-2</v>
      </c>
      <c r="K85">
        <v>8.8999999999999999E-3</v>
      </c>
    </row>
    <row r="86" spans="1:11" x14ac:dyDescent="0.3">
      <c r="A86" t="str">
        <f>IF(COUNT(Resultados!A86,Resultados!J86)=0, "", AVERAGE(ABS(Resultados!A86),ABS(Resultados!J86)))</f>
        <v/>
      </c>
      <c r="B86" t="str">
        <f>IF(COUNT(Resultados!B86,Resultados!K86)=0, "", AVERAGE(ABS(Resultados!B86),ABS(Resultados!K86)))</f>
        <v/>
      </c>
      <c r="C86">
        <f>IF(COUNT(Resultados!C86,Resultados!L86)=0, "", AVERAGE(ABS(Resultados!C86),ABS(Resultados!L86)))</f>
        <v>94</v>
      </c>
      <c r="D86">
        <f>IF(COUNT(Resultados!D86,Resultados!M86)=0, "", AVERAGE(ABS(Resultados!D86),ABS(Resultados!M86)))</f>
        <v>1.2199999999999999E-2</v>
      </c>
      <c r="E86">
        <f>IF(COUNT(Resultados!E86,Resultados!N86)=0, "", AVERAGE(ABS(Resultados!E86),ABS(Resultados!N86)))</f>
        <v>13.28723199028726</v>
      </c>
      <c r="F86">
        <f>IF(COUNT(Resultados!F86,Resultados!O86)=0, "", AVERAGE(ABS(Resultados!F86),ABS(Resultados!O86)))</f>
        <v>1400.9583158782616</v>
      </c>
      <c r="G86">
        <f>IF(COUNT(Resultados!G86,Resultados!P86)=0, "", AVERAGE(ABS(Resultados!G86),ABS(Resultados!P86)))</f>
        <v>3.605</v>
      </c>
      <c r="H86">
        <f>IF(COUNT(Resultados!H86,Resultados!Q86)=0, "", AVERAGE(ABS(Resultados!H86),ABS(Resultados!Q86)))</f>
        <v>2.445E-2</v>
      </c>
      <c r="I86">
        <f>IF(COUNT(Resultados!I86,Resultados!R86)=0, "", AVERAGE(ABS(Resultados!I86),ABS(Resultados!R86)))</f>
        <v>16.800425000000001</v>
      </c>
      <c r="J86">
        <v>2.445E-2</v>
      </c>
      <c r="K86">
        <v>1.2199999999999999E-2</v>
      </c>
    </row>
    <row r="87" spans="1:11" x14ac:dyDescent="0.3">
      <c r="A87" t="str">
        <f>IF(COUNT(Resultados!A87,Resultados!J87)=0, "", AVERAGE(ABS(Resultados!A87),ABS(Resultados!J87)))</f>
        <v/>
      </c>
      <c r="B87" t="str">
        <f>IF(COUNT(Resultados!B87,Resultados!K87)=0, "", AVERAGE(ABS(Resultados!B87),ABS(Resultados!K87)))</f>
        <v/>
      </c>
      <c r="C87">
        <f>IF(COUNT(Resultados!C87,Resultados!L87)=0, "", AVERAGE(ABS(Resultados!C87),ABS(Resultados!L87)))</f>
        <v>94</v>
      </c>
      <c r="D87">
        <f>IF(COUNT(Resultados!D87,Resultados!M87)=0, "", AVERAGE(ABS(Resultados!D87),ABS(Resultados!M87)))</f>
        <v>0.02</v>
      </c>
      <c r="E87">
        <f>IF(COUNT(Resultados!E87,Resultados!N87)=0, "", AVERAGE(ABS(Resultados!E87),ABS(Resultados!N87)))</f>
        <v>13.920207309669951</v>
      </c>
      <c r="F87">
        <f>IF(COUNT(Resultados!F87,Resultados!O87)=0, "", AVERAGE(ABS(Resultados!F87),ABS(Resultados!O87)))</f>
        <v>1461.0276736876781</v>
      </c>
      <c r="G87">
        <f>IF(COUNT(Resultados!G87,Resultados!P87)=0, "", AVERAGE(ABS(Resultados!G87),ABS(Resultados!P87)))</f>
        <v>3.605</v>
      </c>
      <c r="H87">
        <f>IF(COUNT(Resultados!H87,Resultados!Q87)=0, "", AVERAGE(ABS(Resultados!H87),ABS(Resultados!Q87)))</f>
        <v>3.4299999999999997E-2</v>
      </c>
      <c r="I87">
        <f>IF(COUNT(Resultados!I87,Resultados!R87)=0, "", AVERAGE(ABS(Resultados!I87),ABS(Resultados!R87)))</f>
        <v>17.000470000000004</v>
      </c>
      <c r="J87">
        <v>3.4299999999999997E-2</v>
      </c>
      <c r="K87">
        <v>0.02</v>
      </c>
    </row>
    <row r="88" spans="1:11" x14ac:dyDescent="0.3">
      <c r="A88" t="str">
        <f>IF(COUNT(Resultados!A88,Resultados!J88)=0, "", AVERAGE(ABS(Resultados!A88),ABS(Resultados!J88)))</f>
        <v/>
      </c>
      <c r="B88" t="str">
        <f>IF(COUNT(Resultados!B88,Resultados!K88)=0, "", AVERAGE(ABS(Resultados!B88),ABS(Resultados!K88)))</f>
        <v/>
      </c>
      <c r="C88">
        <f>IF(COUNT(Resultados!C88,Resultados!L88)=0, "", AVERAGE(ABS(Resultados!C88),ABS(Resultados!L88)))</f>
        <v>94</v>
      </c>
      <c r="D88">
        <f>IF(COUNT(Resultados!D88,Resultados!M88)=0, "", AVERAGE(ABS(Resultados!D88),ABS(Resultados!M88)))</f>
        <v>2.8250000000000001E-2</v>
      </c>
      <c r="E88">
        <f>IF(COUNT(Resultados!E88,Resultados!N88)=0, "", AVERAGE(ABS(Resultados!E88),ABS(Resultados!N88)))</f>
        <v>14.533285571145825</v>
      </c>
      <c r="F88">
        <f>IF(COUNT(Resultados!F88,Resultados!O88)=0, "", AVERAGE(ABS(Resultados!F88),ABS(Resultados!O88)))</f>
        <v>1519.2088007017389</v>
      </c>
      <c r="G88">
        <f>IF(COUNT(Resultados!G88,Resultados!P88)=0, "", AVERAGE(ABS(Resultados!G88),ABS(Resultados!P88)))</f>
        <v>3.605</v>
      </c>
      <c r="H88">
        <f>IF(COUNT(Resultados!H88,Resultados!Q88)=0, "", AVERAGE(ABS(Resultados!H88),ABS(Resultados!Q88)))</f>
        <v>4.385E-2</v>
      </c>
      <c r="I88">
        <f>IF(COUNT(Resultados!I88,Resultados!R88)=0, "", AVERAGE(ABS(Resultados!I88),ABS(Resultados!R88)))</f>
        <v>17.199760000000001</v>
      </c>
      <c r="J88">
        <v>4.385E-2</v>
      </c>
      <c r="K88">
        <v>2.8250000000000001E-2</v>
      </c>
    </row>
    <row r="89" spans="1:11" x14ac:dyDescent="0.3">
      <c r="A89" t="str">
        <f>IF(COUNT(Resultados!A89,Resultados!J89)=0, "", AVERAGE(ABS(Resultados!A89),ABS(Resultados!J89)))</f>
        <v/>
      </c>
      <c r="B89" t="str">
        <f>IF(COUNT(Resultados!B89,Resultados!K89)=0, "", AVERAGE(ABS(Resultados!B89),ABS(Resultados!K89)))</f>
        <v/>
      </c>
      <c r="C89">
        <f>IF(COUNT(Resultados!C89,Resultados!L89)=0, "", AVERAGE(ABS(Resultados!C89),ABS(Resultados!L89)))</f>
        <v>94</v>
      </c>
      <c r="D89">
        <f>IF(COUNT(Resultados!D89,Resultados!M89)=0, "", AVERAGE(ABS(Resultados!D89),ABS(Resultados!M89)))</f>
        <v>3.6499999999999998E-2</v>
      </c>
      <c r="E89">
        <f>IF(COUNT(Resultados!E89,Resultados!N89)=0, "", AVERAGE(ABS(Resultados!E89),ABS(Resultados!N89)))</f>
        <v>15.070536747671145</v>
      </c>
      <c r="F89">
        <f>IF(COUNT(Resultados!F89,Resultados!O89)=0, "", AVERAGE(ABS(Resultados!F89),ABS(Resultados!O89)))</f>
        <v>1570.1939373539922</v>
      </c>
      <c r="G89">
        <f>IF(COUNT(Resultados!G89,Resultados!P89)=0, "", AVERAGE(ABS(Resultados!G89),ABS(Resultados!P89)))</f>
        <v>3.605</v>
      </c>
      <c r="H89">
        <f>IF(COUNT(Resultados!H89,Resultados!Q89)=0, "", AVERAGE(ABS(Resultados!H89),ABS(Resultados!Q89)))</f>
        <v>5.2150000000000002E-2</v>
      </c>
      <c r="I89">
        <f>IF(COUNT(Resultados!I89,Resultados!R89)=0, "", AVERAGE(ABS(Resultados!I89),ABS(Resultados!R89)))</f>
        <v>17.399595000000001</v>
      </c>
      <c r="J89">
        <v>5.2150000000000002E-2</v>
      </c>
      <c r="K89">
        <v>3.6499999999999998E-2</v>
      </c>
    </row>
    <row r="90" spans="1:11" x14ac:dyDescent="0.3">
      <c r="A90" t="str">
        <f>IF(COUNT(Resultados!A90,Resultados!J90)=0, "", AVERAGE(ABS(Resultados!A90),ABS(Resultados!J90)))</f>
        <v/>
      </c>
      <c r="B90" t="str">
        <f>IF(COUNT(Resultados!B90,Resultados!K90)=0, "", AVERAGE(ABS(Resultados!B90),ABS(Resultados!K90)))</f>
        <v/>
      </c>
      <c r="C90">
        <f>IF(COUNT(Resultados!C90,Resultados!L90)=0, "", AVERAGE(ABS(Resultados!C90),ABS(Resultados!L90)))</f>
        <v>94</v>
      </c>
      <c r="D90">
        <f>IF(COUNT(Resultados!D90,Resultados!M90)=0, "", AVERAGE(ABS(Resultados!D90),ABS(Resultados!M90)))</f>
        <v>4.6949999999999999E-2</v>
      </c>
      <c r="E90">
        <f>IF(COUNT(Resultados!E90,Resultados!N90)=0, "", AVERAGE(ABS(Resultados!E90),ABS(Resultados!N90)))</f>
        <v>15.479089278069125</v>
      </c>
      <c r="F90">
        <f>IF(COUNT(Resultados!F90,Resultados!O90)=0, "", AVERAGE(ABS(Resultados!F90),ABS(Resultados!O90)))</f>
        <v>1608.96557248876</v>
      </c>
      <c r="G90">
        <f>IF(COUNT(Resultados!G90,Resultados!P90)=0, "", AVERAGE(ABS(Resultados!G90),ABS(Resultados!P90)))</f>
        <v>3.605</v>
      </c>
      <c r="H90">
        <f>IF(COUNT(Resultados!H90,Resultados!Q90)=0, "", AVERAGE(ABS(Resultados!H90),ABS(Resultados!Q90)))</f>
        <v>5.8500000000000003E-2</v>
      </c>
      <c r="I90">
        <f>IF(COUNT(Resultados!I90,Resultados!R90)=0, "", AVERAGE(ABS(Resultados!I90),ABS(Resultados!R90)))</f>
        <v>17.600260000000002</v>
      </c>
      <c r="J90">
        <v>5.8500000000000003E-2</v>
      </c>
      <c r="K90">
        <v>4.6949999999999999E-2</v>
      </c>
    </row>
    <row r="91" spans="1:11" x14ac:dyDescent="0.3">
      <c r="A91" t="str">
        <f>IF(COUNT(Resultados!A91,Resultados!J91)=0, "", AVERAGE(ABS(Resultados!A91),ABS(Resultados!J91)))</f>
        <v/>
      </c>
      <c r="B91" t="str">
        <f>IF(COUNT(Resultados!B91,Resultados!K91)=0, "", AVERAGE(ABS(Resultados!B91),ABS(Resultados!K91)))</f>
        <v/>
      </c>
      <c r="C91">
        <f>IF(COUNT(Resultados!C91,Resultados!L91)=0, "", AVERAGE(ABS(Resultados!C91),ABS(Resultados!L91)))</f>
        <v>94</v>
      </c>
      <c r="D91">
        <f>IF(COUNT(Resultados!D91,Resultados!M91)=0, "", AVERAGE(ABS(Resultados!D91),ABS(Resultados!M91)))</f>
        <v>5.6999999999999995E-2</v>
      </c>
      <c r="E91">
        <f>IF(COUNT(Resultados!E91,Resultados!N91)=0, "", AVERAGE(ABS(Resultados!E91),ABS(Resultados!N91)))</f>
        <v>15.71544061104699</v>
      </c>
      <c r="F91">
        <f>IF(COUNT(Resultados!F91,Resultados!O91)=0, "", AVERAGE(ABS(Resultados!F91),ABS(Resultados!O91)))</f>
        <v>1631.3953139883597</v>
      </c>
      <c r="G91">
        <f>IF(COUNT(Resultados!G91,Resultados!P91)=0, "", AVERAGE(ABS(Resultados!G91),ABS(Resultados!P91)))</f>
        <v>3.605</v>
      </c>
      <c r="H91">
        <f>IF(COUNT(Resultados!H91,Resultados!Q91)=0, "", AVERAGE(ABS(Resultados!H91),ABS(Resultados!Q91)))</f>
        <v>6.2199999999999998E-2</v>
      </c>
      <c r="I91">
        <f>IF(COUNT(Resultados!I91,Resultados!R91)=0, "", AVERAGE(ABS(Resultados!I91),ABS(Resultados!R91)))</f>
        <v>17.799785000000004</v>
      </c>
      <c r="J91">
        <v>6.2199999999999998E-2</v>
      </c>
      <c r="K91">
        <v>5.6999999999999995E-2</v>
      </c>
    </row>
    <row r="92" spans="1:11" x14ac:dyDescent="0.3">
      <c r="A92" t="str">
        <f>IF(COUNT(Resultados!A92,Resultados!J92)=0, "", AVERAGE(ABS(Resultados!A92),ABS(Resultados!J92)))</f>
        <v/>
      </c>
      <c r="B92" t="str">
        <f>IF(COUNT(Resultados!B92,Resultados!K92)=0, "", AVERAGE(ABS(Resultados!B92),ABS(Resultados!K92)))</f>
        <v/>
      </c>
      <c r="C92">
        <f>IF(COUNT(Resultados!C92,Resultados!L92)=0, "", AVERAGE(ABS(Resultados!C92),ABS(Resultados!L92)))</f>
        <v>94</v>
      </c>
      <c r="D92">
        <f>IF(COUNT(Resultados!D92,Resultados!M92)=0, "", AVERAGE(ABS(Resultados!D92),ABS(Resultados!M92)))</f>
        <v>6.5200000000000008E-2</v>
      </c>
      <c r="E92">
        <f>IF(COUNT(Resultados!E92,Resultados!N92)=0, "", AVERAGE(ABS(Resultados!E92),ABS(Resultados!N92)))</f>
        <v>15.758836523532519</v>
      </c>
      <c r="F92">
        <f>IF(COUNT(Resultados!F92,Resultados!O92)=0, "", AVERAGE(ABS(Resultados!F92),ABS(Resultados!O92)))</f>
        <v>1635.5135860832361</v>
      </c>
      <c r="G92">
        <f>IF(COUNT(Resultados!G92,Resultados!P92)=0, "", AVERAGE(ABS(Resultados!G92),ABS(Resultados!P92)))</f>
        <v>3.605</v>
      </c>
      <c r="H92">
        <f>IF(COUNT(Resultados!H92,Resultados!Q92)=0, "", AVERAGE(ABS(Resultados!H92),ABS(Resultados!Q92)))</f>
        <v>6.2899999999999998E-2</v>
      </c>
      <c r="I92">
        <f>IF(COUNT(Resultados!I92,Resultados!R92)=0, "", AVERAGE(ABS(Resultados!I92),ABS(Resultados!R92)))</f>
        <v>18.000925000000006</v>
      </c>
      <c r="J92">
        <v>6.2899999999999998E-2</v>
      </c>
      <c r="K92">
        <v>6.5200000000000008E-2</v>
      </c>
    </row>
    <row r="93" spans="1:11" x14ac:dyDescent="0.3">
      <c r="A93" t="str">
        <f>IF(COUNT(Resultados!A93,Resultados!J93)=0, "", AVERAGE(ABS(Resultados!A93),ABS(Resultados!J93)))</f>
        <v/>
      </c>
      <c r="B93" t="str">
        <f>IF(COUNT(Resultados!B93,Resultados!K93)=0, "", AVERAGE(ABS(Resultados!B93),ABS(Resultados!K93)))</f>
        <v/>
      </c>
      <c r="C93">
        <f>IF(COUNT(Resultados!C93,Resultados!L93)=0, "", AVERAGE(ABS(Resultados!C93),ABS(Resultados!L93)))</f>
        <v>94</v>
      </c>
      <c r="D93">
        <f>IF(COUNT(Resultados!D93,Resultados!M93)=0, "", AVERAGE(ABS(Resultados!D93),ABS(Resultados!M93)))</f>
        <v>6.9149999999999989E-2</v>
      </c>
      <c r="E93">
        <f>IF(COUNT(Resultados!E93,Resultados!N93)=0, "", AVERAGE(ABS(Resultados!E93),ABS(Resultados!N93)))</f>
        <v>15.606403849791469</v>
      </c>
      <c r="F93">
        <f>IF(COUNT(Resultados!F93,Resultados!O93)=0, "", AVERAGE(ABS(Resultados!F93),ABS(Resultados!O93)))</f>
        <v>1524.5168388005654</v>
      </c>
      <c r="G93">
        <f>IF(COUNT(Resultados!G93,Resultados!P93)=0, "", AVERAGE(ABS(Resultados!G93),ABS(Resultados!P93)))</f>
        <v>3.605</v>
      </c>
      <c r="H93">
        <f>IF(COUNT(Resultados!H93,Resultados!Q93)=0, "", AVERAGE(ABS(Resultados!H93),ABS(Resultados!Q93)))</f>
        <v>6.0499999999999998E-2</v>
      </c>
      <c r="I93">
        <f>IF(COUNT(Resultados!I93,Resultados!R93)=0, "", AVERAGE(ABS(Resultados!I93),ABS(Resultados!R93)))</f>
        <v>18.198820000000001</v>
      </c>
      <c r="J93">
        <v>6.0499999999999998E-2</v>
      </c>
      <c r="K93">
        <v>6.9149999999999989E-2</v>
      </c>
    </row>
    <row r="94" spans="1:11" x14ac:dyDescent="0.3">
      <c r="A94" t="str">
        <f>IF(COUNT(Resultados!A94,Resultados!J94)=0, "", AVERAGE(ABS(Resultados!A94),ABS(Resultados!J94)))</f>
        <v/>
      </c>
      <c r="B94" t="str">
        <f>IF(COUNT(Resultados!B94,Resultados!K94)=0, "", AVERAGE(ABS(Resultados!B94),ABS(Resultados!K94)))</f>
        <v/>
      </c>
      <c r="C94">
        <f>IF(COUNT(Resultados!C94,Resultados!L94)=0, "", AVERAGE(ABS(Resultados!C94),ABS(Resultados!L94)))</f>
        <v>94</v>
      </c>
      <c r="D94">
        <f>IF(COUNT(Resultados!D94,Resultados!M94)=0, "", AVERAGE(ABS(Resultados!D94),ABS(Resultados!M94)))</f>
        <v>6.59E-2</v>
      </c>
      <c r="E94">
        <f>IF(COUNT(Resultados!E94,Resultados!N94)=0, "", AVERAGE(ABS(Resultados!E94),ABS(Resultados!N94)))</f>
        <v>15.26719918449502</v>
      </c>
      <c r="F94">
        <f>IF(COUNT(Resultados!F94,Resultados!O94)=0, "", AVERAGE(ABS(Resultados!F94),ABS(Resultados!O94)))</f>
        <v>1492.902963994936</v>
      </c>
      <c r="G94">
        <f>IF(COUNT(Resultados!G94,Resultados!P94)=0, "", AVERAGE(ABS(Resultados!G94),ABS(Resultados!P94)))</f>
        <v>3.605</v>
      </c>
      <c r="H94">
        <f>IF(COUNT(Resultados!H94,Resultados!Q94)=0, "", AVERAGE(ABS(Resultados!H94),ABS(Resultados!Q94)))</f>
        <v>5.525E-2</v>
      </c>
      <c r="I94">
        <f>IF(COUNT(Resultados!I94,Resultados!R94)=0, "", AVERAGE(ABS(Resultados!I94),ABS(Resultados!R94)))</f>
        <v>18.400470000000002</v>
      </c>
      <c r="J94">
        <v>5.525E-2</v>
      </c>
      <c r="K94">
        <v>6.59E-2</v>
      </c>
    </row>
    <row r="95" spans="1:11" x14ac:dyDescent="0.3">
      <c r="A95" t="str">
        <f>IF(COUNT(Resultados!A95,Resultados!J95)=0, "", AVERAGE(ABS(Resultados!A95),ABS(Resultados!J95)))</f>
        <v/>
      </c>
      <c r="B95" t="str">
        <f>IF(COUNT(Resultados!B95,Resultados!K95)=0, "", AVERAGE(ABS(Resultados!B95),ABS(Resultados!K95)))</f>
        <v/>
      </c>
      <c r="C95">
        <f>IF(COUNT(Resultados!C95,Resultados!L95)=0, "", AVERAGE(ABS(Resultados!C95),ABS(Resultados!L95)))</f>
        <v>94</v>
      </c>
      <c r="D95">
        <f>IF(COUNT(Resultados!D95,Resultados!M95)=0, "", AVERAGE(ABS(Resultados!D95),ABS(Resultados!M95)))</f>
        <v>5.9050000000000005E-2</v>
      </c>
      <c r="E95">
        <f>IF(COUNT(Resultados!E95,Resultados!N95)=0, "", AVERAGE(ABS(Resultados!E95),ABS(Resultados!N95)))</f>
        <v>14.785295981751885</v>
      </c>
      <c r="F95">
        <f>IF(COUNT(Resultados!F95,Resultados!O95)=0, "", AVERAGE(ABS(Resultados!F95),ABS(Resultados!O95)))</f>
        <v>1447.9895854992756</v>
      </c>
      <c r="G95">
        <f>IF(COUNT(Resultados!G95,Resultados!P95)=0, "", AVERAGE(ABS(Resultados!G95),ABS(Resultados!P95)))</f>
        <v>3.605</v>
      </c>
      <c r="H95">
        <f>IF(COUNT(Resultados!H95,Resultados!Q95)=0, "", AVERAGE(ABS(Resultados!H95),ABS(Resultados!Q95)))</f>
        <v>4.7750000000000001E-2</v>
      </c>
      <c r="I95">
        <f>IF(COUNT(Resultados!I95,Resultados!R95)=0, "", AVERAGE(ABS(Resultados!I95),ABS(Resultados!R95)))</f>
        <v>18.598720000000004</v>
      </c>
      <c r="J95">
        <v>4.7750000000000001E-2</v>
      </c>
      <c r="K95">
        <v>5.9050000000000005E-2</v>
      </c>
    </row>
    <row r="96" spans="1:11" x14ac:dyDescent="0.3">
      <c r="A96" t="str">
        <f>IF(COUNT(Resultados!A96,Resultados!J96)=0, "", AVERAGE(ABS(Resultados!A96),ABS(Resultados!J96)))</f>
        <v/>
      </c>
      <c r="B96" t="str">
        <f>IF(COUNT(Resultados!B96,Resultados!K96)=0, "", AVERAGE(ABS(Resultados!B96),ABS(Resultados!K96)))</f>
        <v/>
      </c>
      <c r="C96">
        <f>IF(COUNT(Resultados!C96,Resultados!L96)=0, "", AVERAGE(ABS(Resultados!C96),ABS(Resultados!L96)))</f>
        <v>94</v>
      </c>
      <c r="D96">
        <f>IF(COUNT(Resultados!D96,Resultados!M96)=0, "", AVERAGE(ABS(Resultados!D96),ABS(Resultados!M96)))</f>
        <v>5.1900000000000002E-2</v>
      </c>
      <c r="E96">
        <f>IF(COUNT(Resultados!E96,Resultados!N96)=0, "", AVERAGE(ABS(Resultados!E96),ABS(Resultados!N96)))</f>
        <v>14.188212730420545</v>
      </c>
      <c r="F96">
        <f>IF(COUNT(Resultados!F96,Resultados!O96)=0, "", AVERAGE(ABS(Resultados!F96),ABS(Resultados!O96)))</f>
        <v>1392.3414264751946</v>
      </c>
      <c r="G96">
        <f>IF(COUNT(Resultados!G96,Resultados!P96)=0, "", AVERAGE(ABS(Resultados!G96),ABS(Resultados!P96)))</f>
        <v>3.605</v>
      </c>
      <c r="H96">
        <f>IF(COUNT(Resultados!H96,Resultados!Q96)=0, "", AVERAGE(ABS(Resultados!H96),ABS(Resultados!Q96)))</f>
        <v>3.8449999999999998E-2</v>
      </c>
      <c r="I96">
        <f>IF(COUNT(Resultados!I96,Resultados!R96)=0, "", AVERAGE(ABS(Resultados!I96),ABS(Resultados!R96)))</f>
        <v>18.801675000000007</v>
      </c>
      <c r="J96">
        <v>3.8449999999999998E-2</v>
      </c>
      <c r="K96">
        <v>5.1900000000000002E-2</v>
      </c>
    </row>
    <row r="97" spans="1:11" x14ac:dyDescent="0.3">
      <c r="A97" t="str">
        <f>IF(COUNT(Resultados!A97,Resultados!J97)=0, "", AVERAGE(ABS(Resultados!A97),ABS(Resultados!J97)))</f>
        <v/>
      </c>
      <c r="B97" t="str">
        <f>IF(COUNT(Resultados!B97,Resultados!K97)=0, "", AVERAGE(ABS(Resultados!B97),ABS(Resultados!K97)))</f>
        <v/>
      </c>
      <c r="C97">
        <f>IF(COUNT(Resultados!C97,Resultados!L97)=0, "", AVERAGE(ABS(Resultados!C97),ABS(Resultados!L97)))</f>
        <v>94</v>
      </c>
      <c r="D97">
        <f>IF(COUNT(Resultados!D97,Resultados!M97)=0, "", AVERAGE(ABS(Resultados!D97),ABS(Resultados!M97)))</f>
        <v>4.6249999999999999E-2</v>
      </c>
      <c r="E97">
        <f>IF(COUNT(Resultados!E97,Resultados!N97)=0, "", AVERAGE(ABS(Resultados!E97),ABS(Resultados!N97)))</f>
        <v>13.541166562337271</v>
      </c>
      <c r="F97">
        <f>IF(COUNT(Resultados!F97,Resultados!O97)=0, "", AVERAGE(ABS(Resultados!F97),ABS(Resultados!O97)))</f>
        <v>1332.0367236098336</v>
      </c>
      <c r="G97">
        <f>IF(COUNT(Resultados!G97,Resultados!P97)=0, "", AVERAGE(ABS(Resultados!G97),ABS(Resultados!P97)))</f>
        <v>3.605</v>
      </c>
      <c r="H97">
        <f>IF(COUNT(Resultados!H97,Resultados!Q97)=0, "", AVERAGE(ABS(Resultados!H97),ABS(Resultados!Q97)))</f>
        <v>2.8400000000000002E-2</v>
      </c>
      <c r="I97">
        <f>IF(COUNT(Resultados!I97,Resultados!R97)=0, "", AVERAGE(ABS(Resultados!I97),ABS(Resultados!R97)))</f>
        <v>19.006140000000006</v>
      </c>
      <c r="J97">
        <v>2.8400000000000002E-2</v>
      </c>
      <c r="K97">
        <v>4.6249999999999999E-2</v>
      </c>
    </row>
    <row r="98" spans="1:11" x14ac:dyDescent="0.3">
      <c r="A98" t="str">
        <f>IF(COUNT(Resultados!A98,Resultados!J98)=0, "", AVERAGE(ABS(Resultados!A98),ABS(Resultados!J98)))</f>
        <v/>
      </c>
      <c r="B98" t="str">
        <f>IF(COUNT(Resultados!B98,Resultados!K98)=0, "", AVERAGE(ABS(Resultados!B98),ABS(Resultados!K98)))</f>
        <v/>
      </c>
      <c r="C98">
        <f>IF(COUNT(Resultados!C98,Resultados!L98)=0, "", AVERAGE(ABS(Resultados!C98),ABS(Resultados!L98)))</f>
        <v>94</v>
      </c>
      <c r="D98">
        <f>IF(COUNT(Resultados!D98,Resultados!M98)=0, "", AVERAGE(ABS(Resultados!D98),ABS(Resultados!M98)))</f>
        <v>3.8349999999999995E-2</v>
      </c>
      <c r="E98">
        <f>IF(COUNT(Resultados!E98,Resultados!N98)=0, "", AVERAGE(ABS(Resultados!E98),ABS(Resultados!N98)))</f>
        <v>12.944093042303919</v>
      </c>
      <c r="F98">
        <f>IF(COUNT(Resultados!F98,Resultados!O98)=0, "", AVERAGE(ABS(Resultados!F98),ABS(Resultados!O98)))</f>
        <v>1276.3894715427255</v>
      </c>
      <c r="G98">
        <f>IF(COUNT(Resultados!G98,Resultados!P98)=0, "", AVERAGE(ABS(Resultados!G98),ABS(Resultados!P98)))</f>
        <v>3.605</v>
      </c>
      <c r="H98">
        <f>IF(COUNT(Resultados!H98,Resultados!Q98)=0, "", AVERAGE(ABS(Resultados!H98),ABS(Resultados!Q98)))</f>
        <v>1.9099999999999999E-2</v>
      </c>
      <c r="I98">
        <f>IF(COUNT(Resultados!I98,Resultados!R98)=0, "", AVERAGE(ABS(Resultados!I98),ABS(Resultados!R98)))</f>
        <v>19.200424999999999</v>
      </c>
      <c r="J98">
        <v>1.9099999999999999E-2</v>
      </c>
      <c r="K98">
        <v>3.8349999999999995E-2</v>
      </c>
    </row>
    <row r="99" spans="1:11" x14ac:dyDescent="0.3">
      <c r="A99" t="str">
        <f>IF(COUNT(Resultados!A99,Resultados!J99)=0, "", AVERAGE(ABS(Resultados!A99),ABS(Resultados!J99)))</f>
        <v/>
      </c>
      <c r="B99" t="str">
        <f>IF(COUNT(Resultados!B99,Resultados!K99)=0, "", AVERAGE(ABS(Resultados!B99),ABS(Resultados!K99)))</f>
        <v/>
      </c>
      <c r="C99">
        <f>IF(COUNT(Resultados!C99,Resultados!L99)=0, "", AVERAGE(ABS(Resultados!C99),ABS(Resultados!L99)))</f>
        <v>94.5</v>
      </c>
      <c r="D99">
        <f>IF(COUNT(Resultados!D99,Resultados!M99)=0, "", AVERAGE(ABS(Resultados!D99),ABS(Resultados!M99)))</f>
        <v>3.0249999999999999E-2</v>
      </c>
      <c r="E99">
        <f>IF(COUNT(Resultados!E99,Resultados!N99)=0, "", AVERAGE(ABS(Resultados!E99),ABS(Resultados!N99)))</f>
        <v>12.407721737306019</v>
      </c>
      <c r="F99">
        <f>IF(COUNT(Resultados!F99,Resultados!O99)=0, "", AVERAGE(ABS(Resultados!F99),ABS(Resultados!O99)))</f>
        <v>1226.3996659169211</v>
      </c>
      <c r="G99">
        <f>IF(COUNT(Resultados!G99,Resultados!P99)=0, "", AVERAGE(ABS(Resultados!G99),ABS(Resultados!P99)))</f>
        <v>3.605</v>
      </c>
      <c r="H99">
        <f>IF(COUNT(Resultados!H99,Resultados!Q99)=0, "", AVERAGE(ABS(Resultados!H99),ABS(Resultados!Q99)))</f>
        <v>1.085E-2</v>
      </c>
      <c r="I99">
        <f>IF(COUNT(Resultados!I99,Resultados!R99)=0, "", AVERAGE(ABS(Resultados!I99),ABS(Resultados!R99)))</f>
        <v>19.400045000000002</v>
      </c>
      <c r="J99">
        <v>1.085E-2</v>
      </c>
      <c r="K99">
        <v>3.0249999999999999E-2</v>
      </c>
    </row>
    <row r="100" spans="1:11" x14ac:dyDescent="0.3">
      <c r="A100" t="str">
        <f>IF(COUNT(Resultados!A100,Resultados!J100)=0, "", AVERAGE(ABS(Resultados!A100),ABS(Resultados!J100)))</f>
        <v/>
      </c>
      <c r="B100" t="str">
        <f>IF(COUNT(Resultados!B100,Resultados!K100)=0, "", AVERAGE(ABS(Resultados!B100),ABS(Resultados!K100)))</f>
        <v/>
      </c>
      <c r="C100">
        <f>IF(COUNT(Resultados!C100,Resultados!L100)=0, "", AVERAGE(ABS(Resultados!C100),ABS(Resultados!L100)))</f>
        <v>94.5</v>
      </c>
      <c r="D100">
        <f>IF(COUNT(Resultados!D100,Resultados!M100)=0, "", AVERAGE(ABS(Resultados!D100),ABS(Resultados!M100)))</f>
        <v>2.215E-2</v>
      </c>
      <c r="E100">
        <f>IF(COUNT(Resultados!E100,Resultados!N100)=0, "", AVERAGE(ABS(Resultados!E100),ABS(Resultados!N100)))</f>
        <v>12.001790210382879</v>
      </c>
      <c r="F100">
        <f>IF(COUNT(Resultados!F100,Resultados!O100)=0, "", AVERAGE(ABS(Resultados!F100),ABS(Resultados!O100)))</f>
        <v>1188.5668476076844</v>
      </c>
      <c r="G100">
        <f>IF(COUNT(Resultados!G100,Resultados!P100)=0, "", AVERAGE(ABS(Resultados!G100),ABS(Resultados!P100)))</f>
        <v>3.605</v>
      </c>
      <c r="H100">
        <f>IF(COUNT(Resultados!H100,Resultados!Q100)=0, "", AVERAGE(ABS(Resultados!H100),ABS(Resultados!Q100)))</f>
        <v>4.4999999999999997E-3</v>
      </c>
      <c r="I100">
        <f>IF(COUNT(Resultados!I100,Resultados!R100)=0, "", AVERAGE(ABS(Resultados!I100),ABS(Resultados!R100)))</f>
        <v>19.599315000000008</v>
      </c>
      <c r="J100">
        <v>4.4999999999999997E-3</v>
      </c>
      <c r="K100">
        <v>2.215E-2</v>
      </c>
    </row>
    <row r="101" spans="1:11" x14ac:dyDescent="0.3">
      <c r="A101" t="str">
        <f>IF(COUNT(Resultados!A101,Resultados!J101)=0, "", AVERAGE(ABS(Resultados!A101),ABS(Resultados!J101)))</f>
        <v/>
      </c>
      <c r="B101" t="str">
        <f>IF(COUNT(Resultados!B101,Resultados!K101)=0, "", AVERAGE(ABS(Resultados!B101),ABS(Resultados!K101)))</f>
        <v/>
      </c>
      <c r="C101">
        <f>IF(COUNT(Resultados!C101,Resultados!L101)=0, "", AVERAGE(ABS(Resultados!C101),ABS(Resultados!L101)))</f>
        <v>94.5</v>
      </c>
      <c r="D101">
        <f>IF(COUNT(Resultados!D101,Resultados!M101)=0, "", AVERAGE(ABS(Resultados!D101),ABS(Resultados!M101)))</f>
        <v>1.4E-2</v>
      </c>
      <c r="E101">
        <f>IF(COUNT(Resultados!E101,Resultados!N101)=0, "", AVERAGE(ABS(Resultados!E101),ABS(Resultados!N101)))</f>
        <v>11.764332732925581</v>
      </c>
      <c r="F101">
        <f>IF(COUNT(Resultados!F101,Resultados!O101)=0, "", AVERAGE(ABS(Resultados!F101),ABS(Resultados!O101)))</f>
        <v>1166.4358107086641</v>
      </c>
      <c r="G101">
        <f>IF(COUNT(Resultados!G101,Resultados!P101)=0, "", AVERAGE(ABS(Resultados!G101),ABS(Resultados!P101)))</f>
        <v>3.605</v>
      </c>
      <c r="H101">
        <f>IF(COUNT(Resultados!H101,Resultados!Q101)=0, "", AVERAGE(ABS(Resultados!H101),ABS(Resultados!Q101)))</f>
        <v>8.0000000000000004E-4</v>
      </c>
      <c r="I101">
        <f>IF(COUNT(Resultados!I101,Resultados!R101)=0, "", AVERAGE(ABS(Resultados!I101),ABS(Resultados!R101)))</f>
        <v>19.799175000000002</v>
      </c>
      <c r="J101">
        <v>8.0000000000000004E-4</v>
      </c>
      <c r="K101">
        <v>1.4E-2</v>
      </c>
    </row>
    <row r="102" spans="1:11" x14ac:dyDescent="0.3">
      <c r="A102" t="str">
        <f>IF(COUNT(Resultados!A102)=0, "", AVERAGE(ABS(Resultados!A102)))</f>
        <v/>
      </c>
      <c r="B102" t="str">
        <f>IF(COUNT(Resultados!B102)=0, "", AVERAGE(ABS(Resultados!B102)))</f>
        <v/>
      </c>
      <c r="C102">
        <f>IF(COUNT(Resultados!C102)=0, "", AVERAGE(ABS(Resultados!C102)))</f>
        <v>94</v>
      </c>
      <c r="D102">
        <f>IF(COUNT(Resultados!D102)=0, "", AVERAGE(ABS(Resultados!D102)))</f>
        <v>7.1000000000000004E-3</v>
      </c>
      <c r="E102">
        <f>IF(COUNT(Resultados!E102)=0, "", AVERAGE(ABS(Resultados!E102)))</f>
        <v>11.720633516154949</v>
      </c>
      <c r="F102">
        <f>IF(COUNT(Resultados!F102)=0, "", AVERAGE(ABS(Resultados!F102)))</f>
        <v>1162.363043705642</v>
      </c>
      <c r="G102">
        <f>IF(COUNT(Resultados!G102)=0, "", AVERAGE(ABS(Resultados!G102)))</f>
        <v>3.605</v>
      </c>
      <c r="H102">
        <f>IF(COUNT(Resultados!H102)=0, "", AVERAGE(ABS(Resultados!H102)))</f>
        <v>1E-4</v>
      </c>
      <c r="I102">
        <f>IF(COUNT(Resultados!I102)=0, "", AVERAGE(ABS(Resultados!I102)))</f>
        <v>20.002249999999997</v>
      </c>
      <c r="J102">
        <v>1E-4</v>
      </c>
      <c r="K102">
        <v>7.1000000000000004E-3</v>
      </c>
    </row>
    <row r="103" spans="1:11" x14ac:dyDescent="0.3">
      <c r="A103" t="str">
        <f>IF(COUNT(Resultados!A103)=0, "", AVERAGE(ABS(Resultados!A103)))</f>
        <v/>
      </c>
      <c r="B103" t="str">
        <f>IF(COUNT(Resultados!B103)=0, "", AVERAGE(ABS(Resultados!B103)))</f>
        <v/>
      </c>
      <c r="C103">
        <f>IF(COUNT(Resultados!C103)=0, "", AVERAGE(ABS(Resultados!C103)))</f>
        <v>94</v>
      </c>
      <c r="D103">
        <f>IF(COUNT(Resultados!D103)=0, "", AVERAGE(ABS(Resultados!D103)))</f>
        <v>2.9999999999999997E-4</v>
      </c>
      <c r="E103">
        <f>IF(COUNT(Resultados!E103)=0, "", AVERAGE(ABS(Resultados!E103)))</f>
        <v>11.886177362316159</v>
      </c>
      <c r="F103">
        <f>IF(COUNT(Resultados!F103)=0, "", AVERAGE(ABS(Resultados!F103)))</f>
        <v>1267.9982316838041</v>
      </c>
      <c r="G103">
        <f>IF(COUNT(Resultados!G103)=0, "", AVERAGE(ABS(Resultados!G103)))</f>
        <v>3.605</v>
      </c>
      <c r="H103">
        <f>IF(COUNT(Resultados!H103)=0, "", AVERAGE(ABS(Resultados!H103)))</f>
        <v>2.7000000000000001E-3</v>
      </c>
      <c r="I103">
        <f>IF(COUNT(Resultados!I103)=0, "", AVERAGE(ABS(Resultados!I103)))</f>
        <v>20.210129999999999</v>
      </c>
      <c r="J103">
        <v>2.7000000000000001E-3</v>
      </c>
      <c r="K103">
        <v>2.9999999999999997E-4</v>
      </c>
    </row>
    <row r="104" spans="1:11" x14ac:dyDescent="0.3">
      <c r="A104" t="str">
        <f>IF(COUNT(Resultados!A104)=0, "", AVERAGE(ABS(Resultados!A104)))</f>
        <v/>
      </c>
      <c r="B104" t="str">
        <f>IF(COUNT(Resultados!B104)=0, "", AVERAGE(ABS(Resultados!B104)))</f>
        <v/>
      </c>
      <c r="C104">
        <f>IF(COUNT(Resultados!C104)=0, "", AVERAGE(ABS(Resultados!C104)))</f>
        <v>94</v>
      </c>
      <c r="D104">
        <f>IF(COUNT(Resultados!D104)=0, "", AVERAGE(ABS(Resultados!D104)))</f>
        <v>1.1999999999999999E-3</v>
      </c>
      <c r="E104">
        <f>IF(COUNT(Resultados!E104)=0, "", AVERAGE(ABS(Resultados!E104)))</f>
        <v>12.21405167461687</v>
      </c>
      <c r="F104">
        <f>IF(COUNT(Resultados!F104)=0, "", AVERAGE(ABS(Resultados!F104)))</f>
        <v>1299.113503921141</v>
      </c>
      <c r="G104">
        <f>IF(COUNT(Resultados!G104)=0, "", AVERAGE(ABS(Resultados!G104)))</f>
        <v>3.605</v>
      </c>
      <c r="H104">
        <f>IF(COUNT(Resultados!H104)=0, "", AVERAGE(ABS(Resultados!H104)))</f>
        <v>7.7999999999999996E-3</v>
      </c>
      <c r="I104">
        <f>IF(COUNT(Resultados!I104)=0, "", AVERAGE(ABS(Resultados!I104)))</f>
        <v>20.402239999999999</v>
      </c>
      <c r="J104">
        <v>7.7999999999999996E-3</v>
      </c>
      <c r="K104">
        <v>1.1999999999999999E-3</v>
      </c>
    </row>
    <row r="105" spans="1:11" x14ac:dyDescent="0.3">
      <c r="A105" t="str">
        <f>IF(COUNT(Resultados!A105)=0, "", AVERAGE(ABS(Resultados!A105)))</f>
        <v/>
      </c>
      <c r="B105" t="str">
        <f>IF(COUNT(Resultados!B105)=0, "", AVERAGE(ABS(Resultados!B105)))</f>
        <v/>
      </c>
      <c r="C105">
        <f>IF(COUNT(Resultados!C105)=0, "", AVERAGE(ABS(Resultados!C105)))</f>
        <v>94</v>
      </c>
      <c r="D105">
        <f>IF(COUNT(Resultados!D105)=0, "", AVERAGE(ABS(Resultados!D105)))</f>
        <v>7.7999999999999996E-3</v>
      </c>
      <c r="E105">
        <f>IF(COUNT(Resultados!E105)=0, "", AVERAGE(ABS(Resultados!E105)))</f>
        <v>12.707778404428931</v>
      </c>
      <c r="F105">
        <f>IF(COUNT(Resultados!F105)=0, "", AVERAGE(ABS(Resultados!F105)))</f>
        <v>1345.968170580305</v>
      </c>
      <c r="G105">
        <f>IF(COUNT(Resultados!G105)=0, "", AVERAGE(ABS(Resultados!G105)))</f>
        <v>3.605</v>
      </c>
      <c r="H105">
        <f>IF(COUNT(Resultados!H105)=0, "", AVERAGE(ABS(Resultados!H105)))</f>
        <v>1.55E-2</v>
      </c>
      <c r="I105">
        <f>IF(COUNT(Resultados!I105)=0, "", AVERAGE(ABS(Resultados!I105)))</f>
        <v>20.604599999999998</v>
      </c>
      <c r="J105">
        <v>1.55E-2</v>
      </c>
      <c r="K105">
        <v>7.7999999999999996E-3</v>
      </c>
    </row>
    <row r="106" spans="1:11" x14ac:dyDescent="0.3">
      <c r="A106" t="str">
        <f>IF(COUNT(Resultados!A106)=0, "", AVERAGE(ABS(Resultados!A106)))</f>
        <v/>
      </c>
      <c r="B106" t="str">
        <f>IF(COUNT(Resultados!B106)=0, "", AVERAGE(ABS(Resultados!B106)))</f>
        <v/>
      </c>
      <c r="C106">
        <f>IF(COUNT(Resultados!C106)=0, "", AVERAGE(ABS(Resultados!C106)))</f>
        <v>94</v>
      </c>
      <c r="D106">
        <f>IF(COUNT(Resultados!D106)=0, "", AVERAGE(ABS(Resultados!D106)))</f>
        <v>1.4E-2</v>
      </c>
      <c r="E106">
        <f>IF(COUNT(Resultados!E106)=0, "", AVERAGE(ABS(Resultados!E106)))</f>
        <v>13.30264413622873</v>
      </c>
      <c r="F106">
        <f>IF(COUNT(Resultados!F106)=0, "", AVERAGE(ABS(Resultados!F106)))</f>
        <v>1402.4209285281061</v>
      </c>
      <c r="G106">
        <f>IF(COUNT(Resultados!G106)=0, "", AVERAGE(ABS(Resultados!G106)))</f>
        <v>3.605</v>
      </c>
      <c r="H106">
        <f>IF(COUNT(Resultados!H106)=0, "", AVERAGE(ABS(Resultados!H106)))</f>
        <v>2.47E-2</v>
      </c>
      <c r="I106">
        <f>IF(COUNT(Resultados!I106)=0, "", AVERAGE(ABS(Resultados!I106)))</f>
        <v>20.80624000000001</v>
      </c>
      <c r="J106">
        <v>2.47E-2</v>
      </c>
      <c r="K106">
        <v>1.4E-2</v>
      </c>
    </row>
    <row r="107" spans="1:11" x14ac:dyDescent="0.3">
      <c r="A107" t="str">
        <f>IF(COUNT(Resultados!A107)=0, "", AVERAGE(ABS(Resultados!A107)))</f>
        <v/>
      </c>
      <c r="B107" t="str">
        <f>IF(COUNT(Resultados!B107)=0, "", AVERAGE(ABS(Resultados!B107)))</f>
        <v/>
      </c>
      <c r="C107">
        <f>IF(COUNT(Resultados!C107)=0, "", AVERAGE(ABS(Resultados!C107)))</f>
        <v>94</v>
      </c>
      <c r="D107">
        <f>IF(COUNT(Resultados!D107)=0, "", AVERAGE(ABS(Resultados!D107)))</f>
        <v>2.0500000000000001E-2</v>
      </c>
      <c r="E107">
        <f>IF(COUNT(Resultados!E107)=0, "", AVERAGE(ABS(Resultados!E107)))</f>
        <v>13.92820846397897</v>
      </c>
      <c r="F107">
        <f>IF(COUNT(Resultados!F107)=0, "", AVERAGE(ABS(Resultados!F107)))</f>
        <v>1461.7869832316039</v>
      </c>
      <c r="G107">
        <f>IF(COUNT(Resultados!G107)=0, "", AVERAGE(ABS(Resultados!G107)))</f>
        <v>3.605</v>
      </c>
      <c r="H107">
        <f>IF(COUNT(Resultados!H107)=0, "", AVERAGE(ABS(Resultados!H107)))</f>
        <v>3.44E-2</v>
      </c>
      <c r="I107">
        <f>IF(COUNT(Resultados!I107)=0, "", AVERAGE(ABS(Resultados!I107)))</f>
        <v>21.003850000000007</v>
      </c>
      <c r="J107">
        <v>3.44E-2</v>
      </c>
      <c r="K107">
        <v>2.0500000000000001E-2</v>
      </c>
    </row>
    <row r="108" spans="1:11" x14ac:dyDescent="0.3">
      <c r="A108" t="str">
        <f>IF(COUNT(Resultados!A108)=0, "", AVERAGE(ABS(Resultados!A108)))</f>
        <v/>
      </c>
      <c r="B108" t="str">
        <f>IF(COUNT(Resultados!B108)=0, "", AVERAGE(ABS(Resultados!B108)))</f>
        <v/>
      </c>
      <c r="C108">
        <f>IF(COUNT(Resultados!C108)=0, "", AVERAGE(ABS(Resultados!C108)))</f>
        <v>94</v>
      </c>
      <c r="D108">
        <f>IF(COUNT(Resultados!D108)=0, "", AVERAGE(ABS(Resultados!D108)))</f>
        <v>2.81E-2</v>
      </c>
      <c r="E108">
        <f>IF(COUNT(Resultados!E108)=0, "", AVERAGE(ABS(Resultados!E108)))</f>
        <v>14.536577182694019</v>
      </c>
      <c r="F108">
        <f>IF(COUNT(Resultados!F108)=0, "", AVERAGE(ABS(Resultados!F108)))</f>
        <v>1519.5211746376631</v>
      </c>
      <c r="G108">
        <f>IF(COUNT(Resultados!G108)=0, "", AVERAGE(ABS(Resultados!G108)))</f>
        <v>3.605</v>
      </c>
      <c r="H108">
        <f>IF(COUNT(Resultados!H108)=0, "", AVERAGE(ABS(Resultados!H108)))</f>
        <v>4.3900000000000002E-2</v>
      </c>
      <c r="I108">
        <f>IF(COUNT(Resultados!I108)=0, "", AVERAGE(ABS(Resultados!I108)))</f>
        <v>21.201740000000008</v>
      </c>
      <c r="J108">
        <v>4.3900000000000002E-2</v>
      </c>
      <c r="K108">
        <v>2.81E-2</v>
      </c>
    </row>
    <row r="109" spans="1:11" x14ac:dyDescent="0.3">
      <c r="A109" t="str">
        <f>IF(COUNT(Resultados!A109)=0, "", AVERAGE(ABS(Resultados!A109)))</f>
        <v/>
      </c>
      <c r="B109" t="str">
        <f>IF(COUNT(Resultados!B109)=0, "", AVERAGE(ABS(Resultados!B109)))</f>
        <v/>
      </c>
      <c r="C109">
        <f>IF(COUNT(Resultados!C109)=0, "", AVERAGE(ABS(Resultados!C109)))</f>
        <v>94</v>
      </c>
      <c r="D109">
        <f>IF(COUNT(Resultados!D109)=0, "", AVERAGE(ABS(Resultados!D109)))</f>
        <v>3.7600000000000001E-2</v>
      </c>
      <c r="E109">
        <f>IF(COUNT(Resultados!E109)=0, "", AVERAGE(ABS(Resultados!E109)))</f>
        <v>15.06981298238246</v>
      </c>
      <c r="F109">
        <f>IF(COUNT(Resultados!F109)=0, "", AVERAGE(ABS(Resultados!F109)))</f>
        <v>1570.1252520280959</v>
      </c>
      <c r="G109">
        <f>IF(COUNT(Resultados!G109)=0, "", AVERAGE(ABS(Resultados!G109)))</f>
        <v>3.605</v>
      </c>
      <c r="H109">
        <f>IF(COUNT(Resultados!H109)=0, "", AVERAGE(ABS(Resultados!H109)))</f>
        <v>5.2200000000000003E-2</v>
      </c>
      <c r="I109">
        <f>IF(COUNT(Resultados!I109)=0, "", AVERAGE(ABS(Resultados!I109)))</f>
        <v>21.400150000000004</v>
      </c>
      <c r="J109">
        <v>5.2200000000000003E-2</v>
      </c>
      <c r="K109">
        <v>3.7600000000000001E-2</v>
      </c>
    </row>
    <row r="110" spans="1:11" x14ac:dyDescent="0.3">
      <c r="A110" t="str">
        <f>IF(COUNT(Resultados!A110)=0, "", AVERAGE(ABS(Resultados!A110)))</f>
        <v/>
      </c>
      <c r="B110" t="str">
        <f>IF(COUNT(Resultados!B110)=0, "", AVERAGE(ABS(Resultados!B110)))</f>
        <v/>
      </c>
      <c r="C110">
        <f>IF(COUNT(Resultados!C110)=0, "", AVERAGE(ABS(Resultados!C110)))</f>
        <v>94</v>
      </c>
      <c r="D110">
        <f>IF(COUNT(Resultados!D110)=0, "", AVERAGE(ABS(Resultados!D110)))</f>
        <v>4.5900000000000003E-2</v>
      </c>
      <c r="E110">
        <f>IF(COUNT(Resultados!E110)=0, "", AVERAGE(ABS(Resultados!E110)))</f>
        <v>15.48212807860472</v>
      </c>
      <c r="F110">
        <f>IF(COUNT(Resultados!F110)=0, "", AVERAGE(ABS(Resultados!F110)))</f>
        <v>1609.2539546595881</v>
      </c>
      <c r="G110">
        <f>IF(COUNT(Resultados!G110)=0, "", AVERAGE(ABS(Resultados!G110)))</f>
        <v>3.605</v>
      </c>
      <c r="H110">
        <f>IF(COUNT(Resultados!H110)=0, "", AVERAGE(ABS(Resultados!H110)))</f>
        <v>5.8599999999999999E-2</v>
      </c>
      <c r="I110">
        <f>IF(COUNT(Resultados!I110)=0, "", AVERAGE(ABS(Resultados!I110)))</f>
        <v>21.602980000000009</v>
      </c>
      <c r="J110">
        <v>5.8599999999999999E-2</v>
      </c>
      <c r="K110">
        <v>4.5900000000000003E-2</v>
      </c>
    </row>
    <row r="111" spans="1:11" x14ac:dyDescent="0.3">
      <c r="A111" t="str">
        <f>IF(COUNT(Resultados!A111)=0, "", AVERAGE(ABS(Resultados!A111)))</f>
        <v/>
      </c>
      <c r="B111" t="str">
        <f>IF(COUNT(Resultados!B111)=0, "", AVERAGE(ABS(Resultados!B111)))</f>
        <v/>
      </c>
      <c r="C111">
        <f>IF(COUNT(Resultados!C111)=0, "", AVERAGE(ABS(Resultados!C111)))</f>
        <v>94</v>
      </c>
      <c r="D111">
        <f>IF(COUNT(Resultados!D111)=0, "", AVERAGE(ABS(Resultados!D111)))</f>
        <v>5.5199999999999999E-2</v>
      </c>
      <c r="E111">
        <f>IF(COUNT(Resultados!E111)=0, "", AVERAGE(ABS(Resultados!E111)))</f>
        <v>15.71529443884163</v>
      </c>
      <c r="F111">
        <f>IF(COUNT(Resultados!F111)=0, "", AVERAGE(ABS(Resultados!F111)))</f>
        <v>1631.3814422460709</v>
      </c>
      <c r="G111">
        <f>IF(COUNT(Resultados!G111)=0, "", AVERAGE(ABS(Resultados!G111)))</f>
        <v>3.605</v>
      </c>
      <c r="H111">
        <f>IF(COUNT(Resultados!H111)=0, "", AVERAGE(ABS(Resultados!H111)))</f>
        <v>6.2199999999999998E-2</v>
      </c>
      <c r="I111">
        <f>IF(COUNT(Resultados!I111)=0, "", AVERAGE(ABS(Resultados!I111)))</f>
        <v>21.800440000000002</v>
      </c>
      <c r="J111">
        <v>6.2199999999999998E-2</v>
      </c>
      <c r="K111">
        <v>5.5199999999999999E-2</v>
      </c>
    </row>
    <row r="112" spans="1:11" x14ac:dyDescent="0.3">
      <c r="A112" t="str">
        <f>IF(COUNT(Resultados!A112)=0, "", AVERAGE(ABS(Resultados!A112)))</f>
        <v/>
      </c>
      <c r="B112" t="str">
        <f>IF(COUNT(Resultados!B112)=0, "", AVERAGE(ABS(Resultados!B112)))</f>
        <v/>
      </c>
      <c r="C112">
        <f>IF(COUNT(Resultados!C112)=0, "", AVERAGE(ABS(Resultados!C112)))</f>
        <v>94</v>
      </c>
      <c r="D112">
        <f>IF(COUNT(Resultados!D112)=0, "", AVERAGE(ABS(Resultados!D112)))</f>
        <v>6.5500000000000003E-2</v>
      </c>
      <c r="E112">
        <f>IF(COUNT(Resultados!E112)=0, "", AVERAGE(ABS(Resultados!E112)))</f>
        <v>15.75724119886679</v>
      </c>
      <c r="F112">
        <f>IF(COUNT(Resultados!F112)=0, "", AVERAGE(ABS(Resultados!F112)))</f>
        <v>1635.3621897724579</v>
      </c>
      <c r="G112">
        <f>IF(COUNT(Resultados!G112)=0, "", AVERAGE(ABS(Resultados!G112)))</f>
        <v>3.605</v>
      </c>
      <c r="H112">
        <f>IF(COUNT(Resultados!H112)=0, "", AVERAGE(ABS(Resultados!H112)))</f>
        <v>6.2799999999999995E-2</v>
      </c>
      <c r="I112">
        <f>IF(COUNT(Resultados!I112)=0, "", AVERAGE(ABS(Resultados!I112)))</f>
        <v>22.007120000000008</v>
      </c>
      <c r="J112">
        <v>6.2799999999999995E-2</v>
      </c>
      <c r="K112">
        <v>6.5500000000000003E-2</v>
      </c>
    </row>
    <row r="113" spans="1:11" x14ac:dyDescent="0.3">
      <c r="A113" t="str">
        <f>IF(COUNT(Resultados!A113)=0, "", AVERAGE(ABS(Resultados!A113)))</f>
        <v/>
      </c>
      <c r="B113" t="str">
        <f>IF(COUNT(Resultados!B113)=0, "", AVERAGE(ABS(Resultados!B113)))</f>
        <v/>
      </c>
      <c r="C113">
        <f>IF(COUNT(Resultados!C113)=0, "", AVERAGE(ABS(Resultados!C113)))</f>
        <v>94</v>
      </c>
      <c r="D113">
        <f>IF(COUNT(Resultados!D113)=0, "", AVERAGE(ABS(Resultados!D113)))</f>
        <v>6.9699999999999998E-2</v>
      </c>
      <c r="E113">
        <f>IF(COUNT(Resultados!E113)=0, "", AVERAGE(ABS(Resultados!E113)))</f>
        <v>15.604677963544249</v>
      </c>
      <c r="F113">
        <f>IF(COUNT(Resultados!F113)=0, "", AVERAGE(ABS(Resultados!F113)))</f>
        <v>1524.3559862023251</v>
      </c>
      <c r="G113">
        <f>IF(COUNT(Resultados!G113)=0, "", AVERAGE(ABS(Resultados!G113)))</f>
        <v>3.605</v>
      </c>
      <c r="H113">
        <f>IF(COUNT(Resultados!H113)=0, "", AVERAGE(ABS(Resultados!H113)))</f>
        <v>6.0499999999999998E-2</v>
      </c>
      <c r="I113">
        <f>IF(COUNT(Resultados!I113)=0, "", AVERAGE(ABS(Resultados!I113)))</f>
        <v>22.201060000000005</v>
      </c>
      <c r="J113">
        <v>6.0499999999999998E-2</v>
      </c>
      <c r="K113">
        <v>6.9699999999999998E-2</v>
      </c>
    </row>
    <row r="114" spans="1:11" x14ac:dyDescent="0.3">
      <c r="A114" t="str">
        <f>IF(COUNT(Resultados!A114)=0, "", AVERAGE(ABS(Resultados!A114)))</f>
        <v/>
      </c>
      <c r="B114" t="str">
        <f>IF(COUNT(Resultados!B114)=0, "", AVERAGE(ABS(Resultados!B114)))</f>
        <v/>
      </c>
      <c r="C114">
        <f>IF(COUNT(Resultados!C114)=0, "", AVERAGE(ABS(Resultados!C114)))</f>
        <v>94</v>
      </c>
      <c r="D114">
        <f>IF(COUNT(Resultados!D114)=0, "", AVERAGE(ABS(Resultados!D114)))</f>
        <v>6.54E-2</v>
      </c>
      <c r="E114">
        <f>IF(COUNT(Resultados!E114)=0, "", AVERAGE(ABS(Resultados!E114)))</f>
        <v>15.255916758141931</v>
      </c>
      <c r="F114">
        <f>IF(COUNT(Resultados!F114)=0, "", AVERAGE(ABS(Resultados!F114)))</f>
        <v>1491.8514418588279</v>
      </c>
      <c r="G114">
        <f>IF(COUNT(Resultados!G114)=0, "", AVERAGE(ABS(Resultados!G114)))</f>
        <v>3.605</v>
      </c>
      <c r="H114">
        <f>IF(COUNT(Resultados!H114)=0, "", AVERAGE(ABS(Resultados!H114)))</f>
        <v>5.5100000000000003E-2</v>
      </c>
      <c r="I114">
        <f>IF(COUNT(Resultados!I114)=0, "", AVERAGE(ABS(Resultados!I114)))</f>
        <v>22.406690000000005</v>
      </c>
      <c r="J114">
        <v>5.5100000000000003E-2</v>
      </c>
      <c r="K114">
        <v>6.54E-2</v>
      </c>
    </row>
    <row r="115" spans="1:11" x14ac:dyDescent="0.3">
      <c r="A115" t="str">
        <f>IF(COUNT(Resultados!A115)=0, "", AVERAGE(ABS(Resultados!A115)))</f>
        <v/>
      </c>
      <c r="B115" t="str">
        <f>IF(COUNT(Resultados!B115)=0, "", AVERAGE(ABS(Resultados!B115)))</f>
        <v/>
      </c>
      <c r="C115">
        <f>IF(COUNT(Resultados!C115)=0, "", AVERAGE(ABS(Resultados!C115)))</f>
        <v>94</v>
      </c>
      <c r="D115">
        <f>IF(COUNT(Resultados!D115)=0, "", AVERAGE(ABS(Resultados!D115)))</f>
        <v>5.8400000000000001E-2</v>
      </c>
      <c r="E115">
        <f>IF(COUNT(Resultados!E115)=0, "", AVERAGE(ABS(Resultados!E115)))</f>
        <v>14.76072627892251</v>
      </c>
      <c r="F115">
        <f>IF(COUNT(Resultados!F115)=0, "", AVERAGE(ABS(Resultados!F115)))</f>
        <v>1445.699689195578</v>
      </c>
      <c r="G115">
        <f>IF(COUNT(Resultados!G115)=0, "", AVERAGE(ABS(Resultados!G115)))</f>
        <v>3.605</v>
      </c>
      <c r="H115">
        <f>IF(COUNT(Resultados!H115)=0, "", AVERAGE(ABS(Resultados!H115)))</f>
        <v>4.7399999999999998E-2</v>
      </c>
      <c r="I115">
        <f>IF(COUNT(Resultados!I115)=0, "", AVERAGE(ABS(Resultados!I115)))</f>
        <v>22.608550000000001</v>
      </c>
      <c r="J115">
        <v>4.7399999999999998E-2</v>
      </c>
      <c r="K115">
        <v>5.8400000000000001E-2</v>
      </c>
    </row>
    <row r="116" spans="1:11" x14ac:dyDescent="0.3">
      <c r="A116" t="str">
        <f>IF(COUNT(Resultados!A116)=0, "", AVERAGE(ABS(Resultados!A116)))</f>
        <v/>
      </c>
      <c r="B116" t="str">
        <f>IF(COUNT(Resultados!B116)=0, "", AVERAGE(ABS(Resultados!B116)))</f>
        <v/>
      </c>
      <c r="C116">
        <f>IF(COUNT(Resultados!C116)=0, "", AVERAGE(ABS(Resultados!C116)))</f>
        <v>94</v>
      </c>
      <c r="D116">
        <f>IF(COUNT(Resultados!D116)=0, "", AVERAGE(ABS(Resultados!D116)))</f>
        <v>5.2600000000000001E-2</v>
      </c>
      <c r="E116">
        <f>IF(COUNT(Resultados!E116)=0, "", AVERAGE(ABS(Resultados!E116)))</f>
        <v>14.19093810206641</v>
      </c>
      <c r="F116">
        <f>IF(COUNT(Resultados!F116)=0, "", AVERAGE(ABS(Resultados!F116)))</f>
        <v>1392.5954311125899</v>
      </c>
      <c r="G116">
        <f>IF(COUNT(Resultados!G116)=0, "", AVERAGE(ABS(Resultados!G116)))</f>
        <v>3.605</v>
      </c>
      <c r="H116">
        <f>IF(COUNT(Resultados!H116)=0, "", AVERAGE(ABS(Resultados!H116)))</f>
        <v>3.85E-2</v>
      </c>
      <c r="I116">
        <f>IF(COUNT(Resultados!I116)=0, "", AVERAGE(ABS(Resultados!I116)))</f>
        <v>22.801650000000002</v>
      </c>
      <c r="J116">
        <v>3.85E-2</v>
      </c>
      <c r="K116">
        <v>5.2600000000000001E-2</v>
      </c>
    </row>
    <row r="117" spans="1:11" x14ac:dyDescent="0.3">
      <c r="A117" t="str">
        <f>IF(COUNT(Resultados!A117)=0, "", AVERAGE(ABS(Resultados!A117)))</f>
        <v/>
      </c>
      <c r="B117" t="str">
        <f>IF(COUNT(Resultados!B117)=0, "", AVERAGE(ABS(Resultados!B117)))</f>
        <v/>
      </c>
      <c r="C117">
        <f>IF(COUNT(Resultados!C117)=0, "", AVERAGE(ABS(Resultados!C117)))</f>
        <v>94</v>
      </c>
      <c r="D117">
        <f>IF(COUNT(Resultados!D117)=0, "", AVERAGE(ABS(Resultados!D117)))</f>
        <v>4.6399999999999997E-2</v>
      </c>
      <c r="E117">
        <f>IF(COUNT(Resultados!E117)=0, "", AVERAGE(ABS(Resultados!E117)))</f>
        <v>13.56722637017276</v>
      </c>
      <c r="F117">
        <f>IF(COUNT(Resultados!F117)=0, "", AVERAGE(ABS(Resultados!F117)))</f>
        <v>1334.465497700101</v>
      </c>
      <c r="G117">
        <f>IF(COUNT(Resultados!G117)=0, "", AVERAGE(ABS(Resultados!G117)))</f>
        <v>3.605</v>
      </c>
      <c r="H117">
        <f>IF(COUNT(Resultados!H117)=0, "", AVERAGE(ABS(Resultados!H117)))</f>
        <v>2.8799999999999999E-2</v>
      </c>
      <c r="I117">
        <f>IF(COUNT(Resultados!I117)=0, "", AVERAGE(ABS(Resultados!I117)))</f>
        <v>22.99877</v>
      </c>
      <c r="J117">
        <v>2.8799999999999999E-2</v>
      </c>
      <c r="K117">
        <v>4.6399999999999997E-2</v>
      </c>
    </row>
    <row r="118" spans="1:11" x14ac:dyDescent="0.3">
      <c r="A118" t="str">
        <f>IF(COUNT(Resultados!A118)=0, "", AVERAGE(ABS(Resultados!A118)))</f>
        <v/>
      </c>
      <c r="B118" t="str">
        <f>IF(COUNT(Resultados!B118)=0, "", AVERAGE(ABS(Resultados!B118)))</f>
        <v/>
      </c>
      <c r="C118">
        <f>IF(COUNT(Resultados!C118)=0, "", AVERAGE(ABS(Resultados!C118)))</f>
        <v>94</v>
      </c>
      <c r="D118">
        <f>IF(COUNT(Resultados!D118)=0, "", AVERAGE(ABS(Resultados!D118)))</f>
        <v>3.7900000000000003E-2</v>
      </c>
      <c r="E118">
        <f>IF(COUNT(Resultados!E118)=0, "", AVERAGE(ABS(Resultados!E118)))</f>
        <v>12.94766787517097</v>
      </c>
      <c r="F118">
        <f>IF(COUNT(Resultados!F118)=0, "", AVERAGE(ABS(Resultados!F118)))</f>
        <v>1276.722645965935</v>
      </c>
      <c r="G118">
        <f>IF(COUNT(Resultados!G118)=0, "", AVERAGE(ABS(Resultados!G118)))</f>
        <v>3.605</v>
      </c>
      <c r="H118">
        <f>IF(COUNT(Resultados!H118)=0, "", AVERAGE(ABS(Resultados!H118)))</f>
        <v>1.9199999999999998E-2</v>
      </c>
      <c r="I118">
        <f>IF(COUNT(Resultados!I118)=0, "", AVERAGE(ABS(Resultados!I118)))</f>
        <v>23.200060000000001</v>
      </c>
      <c r="J118">
        <v>1.9199999999999998E-2</v>
      </c>
      <c r="K118">
        <v>3.7900000000000003E-2</v>
      </c>
    </row>
    <row r="119" spans="1:11" x14ac:dyDescent="0.3">
      <c r="A119" t="str">
        <f>IF(COUNT(Resultados!A119)=0, "", AVERAGE(ABS(Resultados!A119)))</f>
        <v/>
      </c>
      <c r="B119" t="str">
        <f>IF(COUNT(Resultados!B119)=0, "", AVERAGE(ABS(Resultados!B119)))</f>
        <v/>
      </c>
      <c r="C119">
        <f>IF(COUNT(Resultados!C119)=0, "", AVERAGE(ABS(Resultados!C119)))</f>
        <v>94</v>
      </c>
      <c r="D119">
        <f>IF(COUNT(Resultados!D119)=0, "", AVERAGE(ABS(Resultados!D119)))</f>
        <v>3.0800000000000001E-2</v>
      </c>
      <c r="E119">
        <f>IF(COUNT(Resultados!E119)=0, "", AVERAGE(ABS(Resultados!E119)))</f>
        <v>12.4104219697654</v>
      </c>
      <c r="F119">
        <f>IF(COUNT(Resultados!F119)=0, "", AVERAGE(ABS(Resultados!F119)))</f>
        <v>1226.6513275821351</v>
      </c>
      <c r="G119">
        <f>IF(COUNT(Resultados!G119)=0, "", AVERAGE(ABS(Resultados!G119)))</f>
        <v>3.605</v>
      </c>
      <c r="H119">
        <f>IF(COUNT(Resultados!H119)=0, "", AVERAGE(ABS(Resultados!H119)))</f>
        <v>1.0800000000000001E-2</v>
      </c>
      <c r="I119">
        <f>IF(COUNT(Resultados!I119)=0, "", AVERAGE(ABS(Resultados!I119)))</f>
        <v>23.39978</v>
      </c>
      <c r="J119">
        <v>1.0800000000000001E-2</v>
      </c>
      <c r="K119">
        <v>3.0800000000000001E-2</v>
      </c>
    </row>
    <row r="120" spans="1:11" x14ac:dyDescent="0.3">
      <c r="A120" t="str">
        <f>IF(COUNT(Resultados!A120)=0, "", AVERAGE(ABS(Resultados!A120)))</f>
        <v/>
      </c>
      <c r="B120" t="str">
        <f>IF(COUNT(Resultados!B120)=0, "", AVERAGE(ABS(Resultados!B120)))</f>
        <v/>
      </c>
      <c r="C120">
        <f>IF(COUNT(Resultados!C120)=0, "", AVERAGE(ABS(Resultados!C120)))</f>
        <v>94</v>
      </c>
      <c r="D120">
        <f>IF(COUNT(Resultados!D120)=0, "", AVERAGE(ABS(Resultados!D120)))</f>
        <v>2.2800000000000001E-2</v>
      </c>
      <c r="E120">
        <f>IF(COUNT(Resultados!E120)=0, "", AVERAGE(ABS(Resultados!E120)))</f>
        <v>12.001580500911</v>
      </c>
      <c r="F120">
        <f>IF(COUNT(Resultados!F120)=0, "", AVERAGE(ABS(Resultados!F120)))</f>
        <v>1188.5473026849049</v>
      </c>
      <c r="G120">
        <f>IF(COUNT(Resultados!G120)=0, "", AVERAGE(ABS(Resultados!G120)))</f>
        <v>3.605</v>
      </c>
      <c r="H120">
        <f>IF(COUNT(Resultados!H120)=0, "", AVERAGE(ABS(Resultados!H120)))</f>
        <v>4.4999999999999997E-3</v>
      </c>
      <c r="I120">
        <f>IF(COUNT(Resultados!I120)=0, "", AVERAGE(ABS(Resultados!I120)))</f>
        <v>23.600299999999997</v>
      </c>
      <c r="J120">
        <v>4.4999999999999997E-3</v>
      </c>
      <c r="K120">
        <v>2.2800000000000001E-2</v>
      </c>
    </row>
    <row r="121" spans="1:11" x14ac:dyDescent="0.3">
      <c r="A121" t="str">
        <f>IF(COUNT(Resultados!A121)=0, "", AVERAGE(ABS(Resultados!A121)))</f>
        <v/>
      </c>
      <c r="B121" t="str">
        <f>IF(COUNT(Resultados!B121)=0, "", AVERAGE(ABS(Resultados!B121)))</f>
        <v/>
      </c>
      <c r="C121">
        <f>IF(COUNT(Resultados!C121)=0, "", AVERAGE(ABS(Resultados!C121)))</f>
        <v>94</v>
      </c>
      <c r="D121">
        <f>IF(COUNT(Resultados!D121)=0, "", AVERAGE(ABS(Resultados!D121)))</f>
        <v>1.38E-2</v>
      </c>
      <c r="E121">
        <f>IF(COUNT(Resultados!E121)=0, "", AVERAGE(ABS(Resultados!E121)))</f>
        <v>11.762144265373269</v>
      </c>
      <c r="F121">
        <f>IF(COUNT(Resultados!F121)=0, "", AVERAGE(ABS(Resultados!F121)))</f>
        <v>1166.2318455327879</v>
      </c>
      <c r="G121">
        <f>IF(COUNT(Resultados!G121)=0, "", AVERAGE(ABS(Resultados!G121)))</f>
        <v>3.605</v>
      </c>
      <c r="H121">
        <f>IF(COUNT(Resultados!H121)=0, "", AVERAGE(ABS(Resultados!H121)))</f>
        <v>8.0000000000000004E-4</v>
      </c>
      <c r="I121">
        <f>IF(COUNT(Resultados!I121)=0, "", AVERAGE(ABS(Resultados!I121)))</f>
        <v>23.80312</v>
      </c>
      <c r="J121">
        <v>8.0000000000000004E-4</v>
      </c>
      <c r="K121">
        <v>1.38E-2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1DB1F-3600-4B4B-968E-9E5687DFB640}">
  <sheetPr codeName="Hoja4"/>
  <dimension ref="A1:I121"/>
  <sheetViews>
    <sheetView workbookViewId="0">
      <selection activeCell="K4" sqref="K4"/>
    </sheetView>
  </sheetViews>
  <sheetFormatPr baseColWidth="10" defaultRowHeight="14.4" x14ac:dyDescent="0.3"/>
  <cols>
    <col min="1" max="1" width="4.77734375" bestFit="1" customWidth="1"/>
    <col min="2" max="2" width="4.88671875" bestFit="1" customWidth="1"/>
    <col min="3" max="3" width="6.77734375" bestFit="1" customWidth="1"/>
    <col min="4" max="4" width="11.44140625" bestFit="1" customWidth="1"/>
    <col min="5" max="6" width="12" bestFit="1" customWidth="1"/>
    <col min="7" max="7" width="5.33203125" bestFit="1" customWidth="1"/>
    <col min="8" max="8" width="8" bestFit="1" customWidth="1"/>
    <col min="9" max="9" width="9" bestFit="1" customWidth="1"/>
    <col min="10" max="10" width="12" bestFit="1" customWidth="1"/>
    <col min="11" max="11" width="16.21875" bestFit="1" customWidth="1"/>
    <col min="12" max="12" width="12.88671875" bestFit="1" customWidth="1"/>
    <col min="13" max="13" width="12.33203125" bestFit="1" customWidth="1"/>
    <col min="14" max="16" width="12" bestFit="1" customWidth="1"/>
    <col min="17" max="17" width="9.44140625" bestFit="1" customWidth="1"/>
    <col min="18" max="18" width="9.5546875" bestFit="1" customWidth="1"/>
    <col min="19" max="19" width="12" bestFit="1" customWidth="1"/>
    <col min="20" max="20" width="16.21875" bestFit="1" customWidth="1"/>
    <col min="21" max="21" width="12.88671875" bestFit="1" customWidth="1"/>
    <col min="22" max="22" width="12.33203125" bestFit="1" customWidth="1"/>
    <col min="23" max="24" width="12" bestFit="1" customWidth="1"/>
    <col min="25" max="25" width="11" bestFit="1" customWidth="1"/>
    <col min="26" max="26" width="9.44140625" bestFit="1" customWidth="1"/>
    <col min="27" max="27" width="9.5546875" bestFit="1" customWidth="1"/>
    <col min="28" max="28" width="12" bestFit="1" customWidth="1"/>
    <col min="29" max="29" width="16.21875" bestFit="1" customWidth="1"/>
    <col min="30" max="30" width="12.88671875" bestFit="1" customWidth="1"/>
    <col min="31" max="31" width="12.33203125" bestFit="1" customWidth="1"/>
    <col min="32" max="34" width="12" bestFit="1" customWidth="1"/>
    <col min="35" max="35" width="9.44140625" bestFit="1" customWidth="1"/>
    <col min="36" max="36" width="9.5546875" bestFit="1" customWidth="1"/>
    <col min="37" max="37" width="12" bestFit="1" customWidth="1"/>
    <col min="38" max="38" width="16.21875" bestFit="1" customWidth="1"/>
    <col min="39" max="39" width="12.88671875" bestFit="1" customWidth="1"/>
    <col min="40" max="40" width="12.33203125" bestFit="1" customWidth="1"/>
    <col min="41" max="42" width="12" bestFit="1" customWidth="1"/>
    <col min="43" max="43" width="11" bestFit="1" customWidth="1"/>
    <col min="44" max="44" width="9.44140625" bestFit="1" customWidth="1"/>
    <col min="45" max="45" width="9.5546875" bestFit="1" customWidth="1"/>
    <col min="46" max="46" width="11.44140625" bestFit="1" customWidth="1"/>
    <col min="47" max="47" width="16.21875" bestFit="1" customWidth="1"/>
    <col min="48" max="48" width="12.88671875" bestFit="1" customWidth="1"/>
    <col min="49" max="49" width="12.33203125" bestFit="1" customWidth="1"/>
    <col min="50" max="51" width="12" bestFit="1" customWidth="1"/>
    <col min="52" max="52" width="11" bestFit="1" customWidth="1"/>
    <col min="53" max="53" width="9.44140625" bestFit="1" customWidth="1"/>
    <col min="54" max="54" width="9.5546875" bestFit="1" customWidth="1"/>
    <col min="55" max="55" width="12" bestFit="1" customWidth="1"/>
    <col min="56" max="56" width="16.21875" bestFit="1" customWidth="1"/>
    <col min="57" max="57" width="12.88671875" bestFit="1" customWidth="1"/>
    <col min="58" max="58" width="12.33203125" bestFit="1" customWidth="1"/>
    <col min="59" max="61" width="12" bestFit="1" customWidth="1"/>
    <col min="62" max="62" width="9.44140625" bestFit="1" customWidth="1"/>
    <col min="63" max="63" width="9.5546875" bestFit="1" customWidth="1"/>
    <col min="64" max="64" width="11.44140625" bestFit="1" customWidth="1"/>
    <col min="65" max="65" width="16.21875" bestFit="1" customWidth="1"/>
    <col min="66" max="66" width="12.88671875" bestFit="1" customWidth="1"/>
    <col min="67" max="67" width="12.33203125" bestFit="1" customWidth="1"/>
    <col min="68" max="68" width="12" bestFit="1" customWidth="1"/>
    <col min="69" max="69" width="11" bestFit="1" customWidth="1"/>
    <col min="70" max="70" width="12" bestFit="1" customWidth="1"/>
    <col min="71" max="71" width="9.44140625" bestFit="1" customWidth="1"/>
    <col min="72" max="72" width="9.5546875" bestFit="1" customWidth="1"/>
    <col min="73" max="73" width="12" bestFit="1" customWidth="1"/>
    <col min="74" max="74" width="16.21875" bestFit="1" customWidth="1"/>
    <col min="75" max="75" width="12.88671875" bestFit="1" customWidth="1"/>
    <col min="76" max="76" width="12.33203125" bestFit="1" customWidth="1"/>
    <col min="77" max="79" width="12" bestFit="1" customWidth="1"/>
    <col min="80" max="80" width="10.44140625" bestFit="1" customWidth="1"/>
    <col min="81" max="81" width="10.5546875" bestFit="1" customWidth="1"/>
    <col min="82" max="82" width="12.44140625" bestFit="1" customWidth="1"/>
    <col min="83" max="83" width="17.21875" bestFit="1" customWidth="1"/>
    <col min="84" max="84" width="13.88671875" bestFit="1" customWidth="1"/>
    <col min="85" max="85" width="13.33203125" bestFit="1" customWidth="1"/>
    <col min="86" max="88" width="12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 t="str">
        <f>IF(COUNT(Resultados!A2,Resultados!J2)&lt;=1, "", _xlfn.STDEV.S(ABS(Resultados!A2),ABS(Resultados!J2))/SQRT(COUNT(Resultados!A2,Resultados!J2)))</f>
        <v/>
      </c>
      <c r="B2" t="str">
        <f>IF(COUNT(Resultados!B2,Resultados!K2)&lt;=1, "", _xlfn.STDEV.S(ABS(Resultados!B2),ABS(Resultados!K2))/SQRT(COUNT(Resultados!B2,Resultados!K2)))</f>
        <v/>
      </c>
      <c r="C2">
        <f>IF(COUNT(Resultados!C2,Resultados!L2)&lt;=1, "", _xlfn.STDEV.S(ABS(Resultados!C2),ABS(Resultados!L2))/SQRT(COUNT(Resultados!C2,Resultados!L2)))</f>
        <v>0</v>
      </c>
      <c r="D2">
        <f>IF(COUNT(Resultados!D2,Resultados!M2)&lt;=1, "", _xlfn.STDEV.S(ABS(Resultados!D2),ABS(Resultados!M2))/SQRT(COUNT(Resultados!D2,Resultados!M2)))</f>
        <v>1.7000000000000001E-3</v>
      </c>
      <c r="E2">
        <f>IF(COUNT(Resultados!E2,Resultados!N2)&lt;=1, "", _xlfn.STDEV.S(ABS(Resultados!E2),ABS(Resultados!N2))/SQRT(COUNT(Resultados!E2,Resultados!N2)))</f>
        <v>3.3137151779296659E-3</v>
      </c>
      <c r="F2">
        <f>IF(COUNT(Resultados!F2,Resultados!O2)&lt;=1, "", _xlfn.STDEV.S(ABS(Resultados!F2),ABS(Resultados!O2))/SQRT(COUNT(Resultados!F2,Resultados!O2)))</f>
        <v>0.30883825458249697</v>
      </c>
      <c r="G2">
        <f>IF(COUNT(Resultados!G2,Resultados!P2)&lt;=1, "", _xlfn.STDEV.S(ABS(Resultados!G2),ABS(Resultados!P2))/SQRT(COUNT(Resultados!G2,Resultados!P2)))</f>
        <v>0</v>
      </c>
      <c r="H2">
        <f>IF(COUNT(Resultados!H2,Resultados!Q2)&lt;=1, "", _xlfn.STDEV.S(ABS(Resultados!H2),ABS(Resultados!Q2))/SQRT(COUNT(Resultados!H2,Resultados!Q2)))</f>
        <v>4.9999999999999996E-5</v>
      </c>
      <c r="I2">
        <f>IF(COUNT(Resultados!I2,Resultados!R2)&lt;=1, "", _xlfn.STDEV.S(ABS(Resultados!I2),ABS(Resultados!R2))/SQRT(COUNT(Resultados!I2,Resultados!R2)))</f>
        <v>0</v>
      </c>
    </row>
    <row r="3" spans="1:9" x14ac:dyDescent="0.3">
      <c r="A3" t="str">
        <f>IF(COUNT(Resultados!A3,Resultados!J3)&lt;=1, "", _xlfn.STDEV.S(ABS(Resultados!A3),ABS(Resultados!J3))/SQRT(COUNT(Resultados!A3,Resultados!J3)))</f>
        <v/>
      </c>
      <c r="B3" t="str">
        <f>IF(COUNT(Resultados!B3,Resultados!K3)&lt;=1, "", _xlfn.STDEV.S(ABS(Resultados!B3),ABS(Resultados!K3))/SQRT(COUNT(Resultados!B3,Resultados!K3)))</f>
        <v/>
      </c>
      <c r="C3">
        <f>IF(COUNT(Resultados!C3,Resultados!L3)&lt;=1, "", _xlfn.STDEV.S(ABS(Resultados!C3),ABS(Resultados!L3))/SQRT(COUNT(Resultados!C3,Resultados!L3)))</f>
        <v>0</v>
      </c>
      <c r="D3">
        <f>IF(COUNT(Resultados!D3,Resultados!M3)&lt;=1, "", _xlfn.STDEV.S(ABS(Resultados!D3),ABS(Resultados!M3))/SQRT(COUNT(Resultados!D3,Resultados!M3)))</f>
        <v>3.8000000000000004E-3</v>
      </c>
      <c r="E3">
        <f>IF(COUNT(Resultados!E3,Resultados!N3)&lt;=1, "", _xlfn.STDEV.S(ABS(Resultados!E3),ABS(Resultados!N3))/SQRT(COUNT(Resultados!E3,Resultados!N3)))</f>
        <v>7.8638416395397925E-3</v>
      </c>
      <c r="F3">
        <f>IF(COUNT(Resultados!F3,Resultados!O3)&lt;=1, "", _xlfn.STDEV.S(ABS(Resultados!F3),ABS(Resultados!O3))/SQRT(COUNT(Resultados!F3,Resultados!O3)))</f>
        <v>0.74627857159248367</v>
      </c>
      <c r="G3">
        <f>IF(COUNT(Resultados!G3,Resultados!P3)&lt;=1, "", _xlfn.STDEV.S(ABS(Resultados!G3),ABS(Resultados!P3))/SQRT(COUNT(Resultados!G3,Resultados!P3)))</f>
        <v>0</v>
      </c>
      <c r="H3">
        <f>IF(COUNT(Resultados!H3,Resultados!Q3)&lt;=1, "", _xlfn.STDEV.S(ABS(Resultados!H3),ABS(Resultados!Q3))/SQRT(COUNT(Resultados!H3,Resultados!Q3)))</f>
        <v>1.0000000000000006E-4</v>
      </c>
      <c r="I3">
        <f>IF(COUNT(Resultados!I3,Resultados!R3)&lt;=1, "", _xlfn.STDEV.S(ABS(Resultados!I3),ABS(Resultados!R3))/SQRT(COUNT(Resultados!I3,Resultados!R3)))</f>
        <v>1.0100000000008436E-3</v>
      </c>
    </row>
    <row r="4" spans="1:9" x14ac:dyDescent="0.3">
      <c r="A4" t="str">
        <f>IF(COUNT(Resultados!A4,Resultados!J4)&lt;=1, "", _xlfn.STDEV.S(ABS(Resultados!A4),ABS(Resultados!J4))/SQRT(COUNT(Resultados!A4,Resultados!J4)))</f>
        <v/>
      </c>
      <c r="B4" t="str">
        <f>IF(COUNT(Resultados!B4,Resultados!K4)&lt;=1, "", _xlfn.STDEV.S(ABS(Resultados!B4),ABS(Resultados!K4))/SQRT(COUNT(Resultados!B4,Resultados!K4)))</f>
        <v/>
      </c>
      <c r="C4">
        <f>IF(COUNT(Resultados!C4,Resultados!L4)&lt;=1, "", _xlfn.STDEV.S(ABS(Resultados!C4),ABS(Resultados!L4))/SQRT(COUNT(Resultados!C4,Resultados!L4)))</f>
        <v>0</v>
      </c>
      <c r="D4">
        <f>IF(COUNT(Resultados!D4,Resultados!M4)&lt;=1, "", _xlfn.STDEV.S(ABS(Resultados!D4),ABS(Resultados!M4))/SQRT(COUNT(Resultados!D4,Resultados!M4)))</f>
        <v>3.9500000000000004E-3</v>
      </c>
      <c r="E4">
        <f>IF(COUNT(Resultados!E4,Resultados!N4)&lt;=1, "", _xlfn.STDEV.S(ABS(Resultados!E4),ABS(Resultados!N4))/SQRT(COUNT(Resultados!E4,Resultados!N4)))</f>
        <v>9.8630759927953427E-4</v>
      </c>
      <c r="F4">
        <f>IF(COUNT(Resultados!F4,Resultados!O4)&lt;=1, "", _xlfn.STDEV.S(ABS(Resultados!F4),ABS(Resultados!O4))/SQRT(COUNT(Resultados!F4,Resultados!O4)))</f>
        <v>9.3600591171934852E-2</v>
      </c>
      <c r="G4">
        <f>IF(COUNT(Resultados!G4,Resultados!P4)&lt;=1, "", _xlfn.STDEV.S(ABS(Resultados!G4),ABS(Resultados!P4))/SQRT(COUNT(Resultados!G4,Resultados!P4)))</f>
        <v>0</v>
      </c>
      <c r="H4">
        <f>IF(COUNT(Resultados!H4,Resultados!Q4)&lt;=1, "", _xlfn.STDEV.S(ABS(Resultados!H4),ABS(Resultados!Q4))/SQRT(COUNT(Resultados!H4,Resultados!Q4)))</f>
        <v>4.9999999999999691E-5</v>
      </c>
      <c r="I4">
        <f>IF(COUNT(Resultados!I4,Resultados!R4)&lt;=1, "", _xlfn.STDEV.S(ABS(Resultados!I4),ABS(Resultados!R4))/SQRT(COUNT(Resultados!I4,Resultados!R4)))</f>
        <v>3.8499999999785928E-4</v>
      </c>
    </row>
    <row r="5" spans="1:9" x14ac:dyDescent="0.3">
      <c r="A5" t="str">
        <f>IF(COUNT(Resultados!A5,Resultados!J5)&lt;=1, "", _xlfn.STDEV.S(ABS(Resultados!A5),ABS(Resultados!J5))/SQRT(COUNT(Resultados!A5,Resultados!J5)))</f>
        <v/>
      </c>
      <c r="B5" t="str">
        <f>IF(COUNT(Resultados!B5,Resultados!K5)&lt;=1, "", _xlfn.STDEV.S(ABS(Resultados!B5),ABS(Resultados!K5))/SQRT(COUNT(Resultados!B5,Resultados!K5)))</f>
        <v/>
      </c>
      <c r="C5">
        <f>IF(COUNT(Resultados!C5,Resultados!L5)&lt;=1, "", _xlfn.STDEV.S(ABS(Resultados!C5),ABS(Resultados!L5))/SQRT(COUNT(Resultados!C5,Resultados!L5)))</f>
        <v>0</v>
      </c>
      <c r="D5">
        <f>IF(COUNT(Resultados!D5,Resultados!M5)&lt;=1, "", _xlfn.STDEV.S(ABS(Resultados!D5),ABS(Resultados!M5))/SQRT(COUNT(Resultados!D5,Resultados!M5)))</f>
        <v>1.6499999999999998E-3</v>
      </c>
      <c r="E5">
        <f>IF(COUNT(Resultados!E5,Resultados!N5)&lt;=1, "", _xlfn.STDEV.S(ABS(Resultados!E5),ABS(Resultados!N5))/SQRT(COUNT(Resultados!E5,Resultados!N5)))</f>
        <v>1.3856962879996715E-3</v>
      </c>
      <c r="F5">
        <f>IF(COUNT(Resultados!F5,Resultados!O5)&lt;=1, "", _xlfn.STDEV.S(ABS(Resultados!F5),ABS(Resultados!O5))/SQRT(COUNT(Resultados!F5,Resultados!O5)))</f>
        <v>0.13150257773099835</v>
      </c>
      <c r="G5">
        <f>IF(COUNT(Resultados!G5,Resultados!P5)&lt;=1, "", _xlfn.STDEV.S(ABS(Resultados!G5),ABS(Resultados!P5))/SQRT(COUNT(Resultados!G5,Resultados!P5)))</f>
        <v>0</v>
      </c>
      <c r="H5">
        <f>IF(COUNT(Resultados!H5,Resultados!Q5)&lt;=1, "", _xlfn.STDEV.S(ABS(Resultados!H5),ABS(Resultados!Q5))/SQRT(COUNT(Resultados!H5,Resultados!Q5)))</f>
        <v>0</v>
      </c>
      <c r="I5">
        <f>IF(COUNT(Resultados!I5,Resultados!R5)&lt;=1, "", _xlfn.STDEV.S(ABS(Resultados!I5),ABS(Resultados!R5))/SQRT(COUNT(Resultados!I5,Resultados!R5)))</f>
        <v>3.4499999999582082E-4</v>
      </c>
    </row>
    <row r="6" spans="1:9" x14ac:dyDescent="0.3">
      <c r="A6" t="str">
        <f>IF(COUNT(Resultados!A6,Resultados!J6)&lt;=1, "", _xlfn.STDEV.S(ABS(Resultados!A6),ABS(Resultados!J6))/SQRT(COUNT(Resultados!A6,Resultados!J6)))</f>
        <v/>
      </c>
      <c r="B6" t="str">
        <f>IF(COUNT(Resultados!B6,Resultados!K6)&lt;=1, "", _xlfn.STDEV.S(ABS(Resultados!B6),ABS(Resultados!K6))/SQRT(COUNT(Resultados!B6,Resultados!K6)))</f>
        <v/>
      </c>
      <c r="C6">
        <f>IF(COUNT(Resultados!C6,Resultados!L6)&lt;=1, "", _xlfn.STDEV.S(ABS(Resultados!C6),ABS(Resultados!L6))/SQRT(COUNT(Resultados!C6,Resultados!L6)))</f>
        <v>0</v>
      </c>
      <c r="D6">
        <f>IF(COUNT(Resultados!D6,Resultados!M6)&lt;=1, "", _xlfn.STDEV.S(ABS(Resultados!D6),ABS(Resultados!M6))/SQRT(COUNT(Resultados!D6,Resultados!M6)))</f>
        <v>4.8500000000000001E-3</v>
      </c>
      <c r="E6">
        <f>IF(COUNT(Resultados!E6,Resultados!N6)&lt;=1, "", _xlfn.STDEV.S(ABS(Resultados!E6),ABS(Resultados!N6))/SQRT(COUNT(Resultados!E6,Resultados!N6)))</f>
        <v>2.3067230965398977E-3</v>
      </c>
      <c r="F6">
        <f>IF(COUNT(Resultados!F6,Resultados!O6)&lt;=1, "", _xlfn.STDEV.S(ABS(Resultados!F6),ABS(Resultados!O6))/SQRT(COUNT(Resultados!F6,Resultados!O6)))</f>
        <v>0.21890802186146627</v>
      </c>
      <c r="G6">
        <f>IF(COUNT(Resultados!G6,Resultados!P6)&lt;=1, "", _xlfn.STDEV.S(ABS(Resultados!G6),ABS(Resultados!P6))/SQRT(COUNT(Resultados!G6,Resultados!P6)))</f>
        <v>0</v>
      </c>
      <c r="H6">
        <f>IF(COUNT(Resultados!H6,Resultados!Q6)&lt;=1, "", _xlfn.STDEV.S(ABS(Resultados!H6),ABS(Resultados!Q6))/SQRT(COUNT(Resultados!H6,Resultados!Q6)))</f>
        <v>4.9999999999999691E-5</v>
      </c>
      <c r="I6">
        <f>IF(COUNT(Resultados!I6,Resultados!R6)&lt;=1, "", _xlfn.STDEV.S(ABS(Resultados!I6),ABS(Resultados!R6))/SQRT(COUNT(Resultados!I6,Resultados!R6)))</f>
        <v>1.0999999999938836E-4</v>
      </c>
    </row>
    <row r="7" spans="1:9" x14ac:dyDescent="0.3">
      <c r="A7" t="str">
        <f>IF(COUNT(Resultados!A7,Resultados!J7)&lt;=1, "", _xlfn.STDEV.S(ABS(Resultados!A7),ABS(Resultados!J7))/SQRT(COUNT(Resultados!A7,Resultados!J7)))</f>
        <v/>
      </c>
      <c r="B7" t="str">
        <f>IF(COUNT(Resultados!B7,Resultados!K7)&lt;=1, "", _xlfn.STDEV.S(ABS(Resultados!B7),ABS(Resultados!K7))/SQRT(COUNT(Resultados!B7,Resultados!K7)))</f>
        <v/>
      </c>
      <c r="C7">
        <f>IF(COUNT(Resultados!C7,Resultados!L7)&lt;=1, "", _xlfn.STDEV.S(ABS(Resultados!C7),ABS(Resultados!L7))/SQRT(COUNT(Resultados!C7,Resultados!L7)))</f>
        <v>0</v>
      </c>
      <c r="D7">
        <f>IF(COUNT(Resultados!D7,Resultados!M7)&lt;=1, "", _xlfn.STDEV.S(ABS(Resultados!D7),ABS(Resultados!M7))/SQRT(COUNT(Resultados!D7,Resultados!M7)))</f>
        <v>3.9499999999999908E-3</v>
      </c>
      <c r="E7">
        <f>IF(COUNT(Resultados!E7,Resultados!N7)&lt;=1, "", _xlfn.STDEV.S(ABS(Resultados!E7),ABS(Resultados!N7))/SQRT(COUNT(Resultados!E7,Resultados!N7)))</f>
        <v>4.1205964965005393E-3</v>
      </c>
      <c r="F7">
        <f>IF(COUNT(Resultados!F7,Resultados!O7)&lt;=1, "", _xlfn.STDEV.S(ABS(Resultados!F7),ABS(Resultados!O7))/SQRT(COUNT(Resultados!F7,Resultados!O7)))</f>
        <v>0.39104460751752868</v>
      </c>
      <c r="G7">
        <f>IF(COUNT(Resultados!G7,Resultados!P7)&lt;=1, "", _xlfn.STDEV.S(ABS(Resultados!G7),ABS(Resultados!P7))/SQRT(COUNT(Resultados!G7,Resultados!P7)))</f>
        <v>0</v>
      </c>
      <c r="H7">
        <f>IF(COUNT(Resultados!H7,Resultados!Q7)&lt;=1, "", _xlfn.STDEV.S(ABS(Resultados!H7),ABS(Resultados!Q7))/SQRT(COUNT(Resultados!H7,Resultados!Q7)))</f>
        <v>5.0000000000001425E-5</v>
      </c>
      <c r="I7">
        <f>IF(COUNT(Resultados!I7,Resultados!R7)&lt;=1, "", _xlfn.STDEV.S(ABS(Resultados!I7),ABS(Resultados!R7))/SQRT(COUNT(Resultados!I7,Resultados!R7)))</f>
        <v>2.1549999999947995E-3</v>
      </c>
    </row>
    <row r="8" spans="1:9" x14ac:dyDescent="0.3">
      <c r="A8" t="str">
        <f>IF(COUNT(Resultados!A8,Resultados!J8)&lt;=1, "", _xlfn.STDEV.S(ABS(Resultados!A8),ABS(Resultados!J8))/SQRT(COUNT(Resultados!A8,Resultados!J8)))</f>
        <v/>
      </c>
      <c r="B8" t="str">
        <f>IF(COUNT(Resultados!B8,Resultados!K8)&lt;=1, "", _xlfn.STDEV.S(ABS(Resultados!B8),ABS(Resultados!K8))/SQRT(COUNT(Resultados!B8,Resultados!K8)))</f>
        <v/>
      </c>
      <c r="C8">
        <f>IF(COUNT(Resultados!C8,Resultados!L8)&lt;=1, "", _xlfn.STDEV.S(ABS(Resultados!C8),ABS(Resultados!L8))/SQRT(COUNT(Resultados!C8,Resultados!L8)))</f>
        <v>0</v>
      </c>
      <c r="D8">
        <f>IF(COUNT(Resultados!D8,Resultados!M8)&lt;=1, "", _xlfn.STDEV.S(ABS(Resultados!D8),ABS(Resultados!M8))/SQRT(COUNT(Resultados!D8,Resultados!M8)))</f>
        <v>5.3499999999999919E-3</v>
      </c>
      <c r="E8">
        <f>IF(COUNT(Resultados!E8,Resultados!N8)&lt;=1, "", _xlfn.STDEV.S(ABS(Resultados!E8),ABS(Resultados!N8))/SQRT(COUNT(Resultados!E8,Resultados!N8)))</f>
        <v>3.9817227645944081E-4</v>
      </c>
      <c r="F8">
        <f>IF(COUNT(Resultados!F8,Resultados!O8)&lt;=1, "", _xlfn.STDEV.S(ABS(Resultados!F8),ABS(Resultados!O8))/SQRT(COUNT(Resultados!F8,Resultados!O8)))</f>
        <v>3.7786549036582073E-2</v>
      </c>
      <c r="G8">
        <f>IF(COUNT(Resultados!G8,Resultados!P8)&lt;=1, "", _xlfn.STDEV.S(ABS(Resultados!G8),ABS(Resultados!P8))/SQRT(COUNT(Resultados!G8,Resultados!P8)))</f>
        <v>0</v>
      </c>
      <c r="H8">
        <f>IF(COUNT(Resultados!H8,Resultados!Q8)&lt;=1, "", _xlfn.STDEV.S(ABS(Resultados!H8),ABS(Resultados!Q8))/SQRT(COUNT(Resultados!H8,Resultados!Q8)))</f>
        <v>0</v>
      </c>
      <c r="I8">
        <f>IF(COUNT(Resultados!I8,Resultados!R8)&lt;=1, "", _xlfn.STDEV.S(ABS(Resultados!I8),ABS(Resultados!R8))/SQRT(COUNT(Resultados!I8,Resultados!R8)))</f>
        <v>9.8999999999804778E-4</v>
      </c>
    </row>
    <row r="9" spans="1:9" x14ac:dyDescent="0.3">
      <c r="A9" t="str">
        <f>IF(COUNT(Resultados!A9,Resultados!J9)&lt;=1, "", _xlfn.STDEV.S(ABS(Resultados!A9),ABS(Resultados!J9))/SQRT(COUNT(Resultados!A9,Resultados!J9)))</f>
        <v/>
      </c>
      <c r="B9" t="str">
        <f>IF(COUNT(Resultados!B9,Resultados!K9)&lt;=1, "", _xlfn.STDEV.S(ABS(Resultados!B9),ABS(Resultados!K9))/SQRT(COUNT(Resultados!B9,Resultados!K9)))</f>
        <v/>
      </c>
      <c r="C9">
        <f>IF(COUNT(Resultados!C9,Resultados!L9)&lt;=1, "", _xlfn.STDEV.S(ABS(Resultados!C9),ABS(Resultados!L9))/SQRT(COUNT(Resultados!C9,Resultados!L9)))</f>
        <v>0</v>
      </c>
      <c r="D9">
        <f>IF(COUNT(Resultados!D9,Resultados!M9)&lt;=1, "", _xlfn.STDEV.S(ABS(Resultados!D9),ABS(Resultados!M9))/SQRT(COUNT(Resultados!D9,Resultados!M9)))</f>
        <v>1.9000000000000006E-3</v>
      </c>
      <c r="E9">
        <f>IF(COUNT(Resultados!E9,Resultados!N9)&lt;=1, "", _xlfn.STDEV.S(ABS(Resultados!E9),ABS(Resultados!N9))/SQRT(COUNT(Resultados!E9,Resultados!N9)))</f>
        <v>1.9239587086072873E-4</v>
      </c>
      <c r="F9">
        <f>IF(COUNT(Resultados!F9,Resultados!O9)&lt;=1, "", _xlfn.STDEV.S(ABS(Resultados!F9),ABS(Resultados!O9))/SQRT(COUNT(Resultados!F9,Resultados!O9)))</f>
        <v>1.8258368144529413E-2</v>
      </c>
      <c r="G9">
        <f>IF(COUNT(Resultados!G9,Resultados!P9)&lt;=1, "", _xlfn.STDEV.S(ABS(Resultados!G9),ABS(Resultados!P9))/SQRT(COUNT(Resultados!G9,Resultados!P9)))</f>
        <v>0</v>
      </c>
      <c r="H9">
        <f>IF(COUNT(Resultados!H9,Resultados!Q9)&lt;=1, "", _xlfn.STDEV.S(ABS(Resultados!H9),ABS(Resultados!Q9))/SQRT(COUNT(Resultados!H9,Resultados!Q9)))</f>
        <v>0</v>
      </c>
      <c r="I9">
        <f>IF(COUNT(Resultados!I9,Resultados!R9)&lt;=1, "", _xlfn.STDEV.S(ABS(Resultados!I9),ABS(Resultados!R9))/SQRT(COUNT(Resultados!I9,Resultados!R9)))</f>
        <v>9.3500000000190653E-4</v>
      </c>
    </row>
    <row r="10" spans="1:9" x14ac:dyDescent="0.3">
      <c r="A10" t="str">
        <f>IF(COUNT(Resultados!A10,Resultados!J10)&lt;=1, "", _xlfn.STDEV.S(ABS(Resultados!A10),ABS(Resultados!J10))/SQRT(COUNT(Resultados!A10,Resultados!J10)))</f>
        <v/>
      </c>
      <c r="B10" t="str">
        <f>IF(COUNT(Resultados!B10,Resultados!K10)&lt;=1, "", _xlfn.STDEV.S(ABS(Resultados!B10),ABS(Resultados!K10))/SQRT(COUNT(Resultados!B10,Resultados!K10)))</f>
        <v/>
      </c>
      <c r="C10">
        <f>IF(COUNT(Resultados!C10,Resultados!L10)&lt;=1, "", _xlfn.STDEV.S(ABS(Resultados!C10),ABS(Resultados!L10))/SQRT(COUNT(Resultados!C10,Resultados!L10)))</f>
        <v>0</v>
      </c>
      <c r="D10">
        <f>IF(COUNT(Resultados!D10,Resultados!M10)&lt;=1, "", _xlfn.STDEV.S(ABS(Resultados!D10),ABS(Resultados!M10))/SQRT(COUNT(Resultados!D10,Resultados!M10)))</f>
        <v>4.3000000000000009E-3</v>
      </c>
      <c r="E10">
        <f>IF(COUNT(Resultados!E10,Resultados!N10)&lt;=1, "", _xlfn.STDEV.S(ABS(Resultados!E10),ABS(Resultados!N10))/SQRT(COUNT(Resultados!E10,Resultados!N10)))</f>
        <v>2.2641486677947853E-3</v>
      </c>
      <c r="F10">
        <f>IF(COUNT(Resultados!F10,Resultados!O10)&lt;=1, "", _xlfn.STDEV.S(ABS(Resultados!F10),ABS(Resultados!O10))/SQRT(COUNT(Resultados!F10,Resultados!O10)))</f>
        <v>0.21486770857359258</v>
      </c>
      <c r="G10">
        <f>IF(COUNT(Resultados!G10,Resultados!P10)&lt;=1, "", _xlfn.STDEV.S(ABS(Resultados!G10),ABS(Resultados!P10))/SQRT(COUNT(Resultados!G10,Resultados!P10)))</f>
        <v>0</v>
      </c>
      <c r="H10">
        <f>IF(COUNT(Resultados!H10,Resultados!Q10)&lt;=1, "", _xlfn.STDEV.S(ABS(Resultados!H10),ABS(Resultados!Q10))/SQRT(COUNT(Resultados!H10,Resultados!Q10)))</f>
        <v>5.0000000000001425E-5</v>
      </c>
      <c r="I10">
        <f>IF(COUNT(Resultados!I10,Resultados!R10)&lt;=1, "", _xlfn.STDEV.S(ABS(Resultados!I10),ABS(Resultados!R10))/SQRT(COUNT(Resultados!I10,Resultados!R10)))</f>
        <v>5.399999999973204E-4</v>
      </c>
    </row>
    <row r="11" spans="1:9" x14ac:dyDescent="0.3">
      <c r="A11" t="str">
        <f>IF(COUNT(Resultados!A11,Resultados!J11)&lt;=1, "", _xlfn.STDEV.S(ABS(Resultados!A11),ABS(Resultados!J11))/SQRT(COUNT(Resultados!A11,Resultados!J11)))</f>
        <v/>
      </c>
      <c r="B11" t="str">
        <f>IF(COUNT(Resultados!B11,Resultados!K11)&lt;=1, "", _xlfn.STDEV.S(ABS(Resultados!B11),ABS(Resultados!K11))/SQRT(COUNT(Resultados!B11,Resultados!K11)))</f>
        <v/>
      </c>
      <c r="C11">
        <f>IF(COUNT(Resultados!C11,Resultados!L11)&lt;=1, "", _xlfn.STDEV.S(ABS(Resultados!C11),ABS(Resultados!L11))/SQRT(COUNT(Resultados!C11,Resultados!L11)))</f>
        <v>0</v>
      </c>
      <c r="D11">
        <f>IF(COUNT(Resultados!D11,Resultados!M11)&lt;=1, "", _xlfn.STDEV.S(ABS(Resultados!D11),ABS(Resultados!M11))/SQRT(COUNT(Resultados!D11,Resultados!M11)))</f>
        <v>1.8999999999999987E-3</v>
      </c>
      <c r="E11">
        <f>IF(COUNT(Resultados!E11,Resultados!N11)&lt;=1, "", _xlfn.STDEV.S(ABS(Resultados!E11),ABS(Resultados!N11))/SQRT(COUNT(Resultados!E11,Resultados!N11)))</f>
        <v>1.3421081824027681E-4</v>
      </c>
      <c r="F11">
        <f>IF(COUNT(Resultados!F11,Resultados!O11)&lt;=1, "", _xlfn.STDEV.S(ABS(Resultados!F11),ABS(Resultados!O11))/SQRT(COUNT(Resultados!F11,Resultados!O11)))</f>
        <v>1.2736606651060356E-2</v>
      </c>
      <c r="G11">
        <f>IF(COUNT(Resultados!G11,Resultados!P11)&lt;=1, "", _xlfn.STDEV.S(ABS(Resultados!G11),ABS(Resultados!P11))/SQRT(COUNT(Resultados!G11,Resultados!P11)))</f>
        <v>0</v>
      </c>
      <c r="H11">
        <f>IF(COUNT(Resultados!H11,Resultados!Q11)&lt;=1, "", _xlfn.STDEV.S(ABS(Resultados!H11),ABS(Resultados!Q11))/SQRT(COUNT(Resultados!H11,Resultados!Q11)))</f>
        <v>0</v>
      </c>
      <c r="I11">
        <f>IF(COUNT(Resultados!I11,Resultados!R11)&lt;=1, "", _xlfn.STDEV.S(ABS(Resultados!I11),ABS(Resultados!R11))/SQRT(COUNT(Resultados!I11,Resultados!R11)))</f>
        <v>6.6999999999595161E-4</v>
      </c>
    </row>
    <row r="12" spans="1:9" x14ac:dyDescent="0.3">
      <c r="A12" t="str">
        <f>IF(COUNT(Resultados!A12,Resultados!J12)&lt;=1, "", _xlfn.STDEV.S(ABS(Resultados!A12),ABS(Resultados!J12))/SQRT(COUNT(Resultados!A12,Resultados!J12)))</f>
        <v/>
      </c>
      <c r="B12" t="str">
        <f>IF(COUNT(Resultados!B12,Resultados!K12)&lt;=1, "", _xlfn.STDEV.S(ABS(Resultados!B12),ABS(Resultados!K12))/SQRT(COUNT(Resultados!B12,Resultados!K12)))</f>
        <v/>
      </c>
      <c r="C12">
        <f>IF(COUNT(Resultados!C12,Resultados!L12)&lt;=1, "", _xlfn.STDEV.S(ABS(Resultados!C12),ABS(Resultados!L12))/SQRT(COUNT(Resultados!C12,Resultados!L12)))</f>
        <v>0</v>
      </c>
      <c r="D12">
        <f>IF(COUNT(Resultados!D12,Resultados!M12)&lt;=1, "", _xlfn.STDEV.S(ABS(Resultados!D12),ABS(Resultados!M12))/SQRT(COUNT(Resultados!D12,Resultados!M12)))</f>
        <v>1.7999999999999958E-3</v>
      </c>
      <c r="E12">
        <f>IF(COUNT(Resultados!E12,Resultados!N12)&lt;=1, "", _xlfn.STDEV.S(ABS(Resultados!E12),ABS(Resultados!N12))/SQRT(COUNT(Resultados!E12,Resultados!N12)))</f>
        <v>3.6107170283994344E-4</v>
      </c>
      <c r="F12">
        <f>IF(COUNT(Resultados!F12,Resultados!O12)&lt;=1, "", _xlfn.STDEV.S(ABS(Resultados!F12),ABS(Resultados!O12))/SQRT(COUNT(Resultados!F12,Resultados!O12)))</f>
        <v>3.4265704599533819E-2</v>
      </c>
      <c r="G12">
        <f>IF(COUNT(Resultados!G12,Resultados!P12)&lt;=1, "", _xlfn.STDEV.S(ABS(Resultados!G12),ABS(Resultados!P12))/SQRT(COUNT(Resultados!G12,Resultados!P12)))</f>
        <v>0</v>
      </c>
      <c r="H12">
        <f>IF(COUNT(Resultados!H12,Resultados!Q12)&lt;=1, "", _xlfn.STDEV.S(ABS(Resultados!H12),ABS(Resultados!Q12))/SQRT(COUNT(Resultados!H12,Resultados!Q12)))</f>
        <v>0</v>
      </c>
      <c r="I12">
        <f>IF(COUNT(Resultados!I12,Resultados!R12)&lt;=1, "", _xlfn.STDEV.S(ABS(Resultados!I12),ABS(Resultados!R12))/SQRT(COUNT(Resultados!I12,Resultados!R12)))</f>
        <v>3.4000000000133918E-4</v>
      </c>
    </row>
    <row r="13" spans="1:9" x14ac:dyDescent="0.3">
      <c r="A13" t="str">
        <f>IF(COUNT(Resultados!A13,Resultados!J13)&lt;=1, "", _xlfn.STDEV.S(ABS(Resultados!A13),ABS(Resultados!J13))/SQRT(COUNT(Resultados!A13,Resultados!J13)))</f>
        <v/>
      </c>
      <c r="B13" t="str">
        <f>IF(COUNT(Resultados!B13,Resultados!K13)&lt;=1, "", _xlfn.STDEV.S(ABS(Resultados!B13),ABS(Resultados!K13))/SQRT(COUNT(Resultados!B13,Resultados!K13)))</f>
        <v/>
      </c>
      <c r="C13">
        <f>IF(COUNT(Resultados!C13,Resultados!L13)&lt;=1, "", _xlfn.STDEV.S(ABS(Resultados!C13),ABS(Resultados!L13))/SQRT(COUNT(Resultados!C13,Resultados!L13)))</f>
        <v>0</v>
      </c>
      <c r="D13">
        <f>IF(COUNT(Resultados!D13,Resultados!M13)&lt;=1, "", _xlfn.STDEV.S(ABS(Resultados!D13),ABS(Resultados!M13))/SQRT(COUNT(Resultados!D13,Resultados!M13)))</f>
        <v>4.9999999999994487E-5</v>
      </c>
      <c r="E13">
        <f>IF(COUNT(Resultados!E13,Resultados!N13)&lt;=1, "", _xlfn.STDEV.S(ABS(Resultados!E13),ABS(Resultados!N13))/SQRT(COUNT(Resultados!E13,Resultados!N13)))</f>
        <v>7.2133246418459851E-4</v>
      </c>
      <c r="F13">
        <f>IF(COUNT(Resultados!F13,Resultados!O13)&lt;=1, "", _xlfn.STDEV.S(ABS(Resultados!F13),ABS(Resultados!O13))/SQRT(COUNT(Resultados!F13,Resultados!O13)))</f>
        <v>6.7228185662543183E-2</v>
      </c>
      <c r="G13">
        <f>IF(COUNT(Resultados!G13,Resultados!P13)&lt;=1, "", _xlfn.STDEV.S(ABS(Resultados!G13),ABS(Resultados!P13))/SQRT(COUNT(Resultados!G13,Resultados!P13)))</f>
        <v>0</v>
      </c>
      <c r="H13">
        <f>IF(COUNT(Resultados!H13,Resultados!Q13)&lt;=1, "", _xlfn.STDEV.S(ABS(Resultados!H13),ABS(Resultados!Q13))/SQRT(COUNT(Resultados!H13,Resultados!Q13)))</f>
        <v>0</v>
      </c>
      <c r="I13">
        <f>IF(COUNT(Resultados!I13,Resultados!R13)&lt;=1, "", _xlfn.STDEV.S(ABS(Resultados!I13),ABS(Resultados!R13))/SQRT(COUNT(Resultados!I13,Resultados!R13)))</f>
        <v>2.749999999949182E-4</v>
      </c>
    </row>
    <row r="14" spans="1:9" x14ac:dyDescent="0.3">
      <c r="A14" t="str">
        <f>IF(COUNT(Resultados!A14,Resultados!J14)&lt;=1, "", _xlfn.STDEV.S(ABS(Resultados!A14),ABS(Resultados!J14))/SQRT(COUNT(Resultados!A14,Resultados!J14)))</f>
        <v/>
      </c>
      <c r="B14" t="str">
        <f>IF(COUNT(Resultados!B14,Resultados!K14)&lt;=1, "", _xlfn.STDEV.S(ABS(Resultados!B14),ABS(Resultados!K14))/SQRT(COUNT(Resultados!B14,Resultados!K14)))</f>
        <v/>
      </c>
      <c r="C14">
        <f>IF(COUNT(Resultados!C14,Resultados!L14)&lt;=1, "", _xlfn.STDEV.S(ABS(Resultados!C14),ABS(Resultados!L14))/SQRT(COUNT(Resultados!C14,Resultados!L14)))</f>
        <v>0</v>
      </c>
      <c r="D14">
        <f>IF(COUNT(Resultados!D14,Resultados!M14)&lt;=1, "", _xlfn.STDEV.S(ABS(Resultados!D14),ABS(Resultados!M14))/SQRT(COUNT(Resultados!D14,Resultados!M14)))</f>
        <v>5.0000000000001425E-5</v>
      </c>
      <c r="E14">
        <f>IF(COUNT(Resultados!E14,Resultados!N14)&lt;=1, "", _xlfn.STDEV.S(ABS(Resultados!E14),ABS(Resultados!N14))/SQRT(COUNT(Resultados!E14,Resultados!N14)))</f>
        <v>5.7876894849702145E-3</v>
      </c>
      <c r="F14">
        <f>IF(COUNT(Resultados!F14,Resultados!O14)&lt;=1, "", _xlfn.STDEV.S(ABS(Resultados!F14),ABS(Resultados!O14))/SQRT(COUNT(Resultados!F14,Resultados!O14)))</f>
        <v>0.53941265999901589</v>
      </c>
      <c r="G14">
        <f>IF(COUNT(Resultados!G14,Resultados!P14)&lt;=1, "", _xlfn.STDEV.S(ABS(Resultados!G14),ABS(Resultados!P14))/SQRT(COUNT(Resultados!G14,Resultados!P14)))</f>
        <v>0</v>
      </c>
      <c r="H14">
        <f>IF(COUNT(Resultados!H14,Resultados!Q14)&lt;=1, "", _xlfn.STDEV.S(ABS(Resultados!H14),ABS(Resultados!Q14))/SQRT(COUNT(Resultados!H14,Resultados!Q14)))</f>
        <v>9.9999999999999381E-5</v>
      </c>
      <c r="I14">
        <f>IF(COUNT(Resultados!I14,Resultados!R14)&lt;=1, "", _xlfn.STDEV.S(ABS(Resultados!I14),ABS(Resultados!R14))/SQRT(COUNT(Resultados!I14,Resultados!R14)))</f>
        <v>1.9000000000026771E-3</v>
      </c>
    </row>
    <row r="15" spans="1:9" x14ac:dyDescent="0.3">
      <c r="A15" t="str">
        <f>IF(COUNT(Resultados!A15,Resultados!J15)&lt;=1, "", _xlfn.STDEV.S(ABS(Resultados!A15),ABS(Resultados!J15))/SQRT(COUNT(Resultados!A15,Resultados!J15)))</f>
        <v/>
      </c>
      <c r="B15" t="str">
        <f>IF(COUNT(Resultados!B15,Resultados!K15)&lt;=1, "", _xlfn.STDEV.S(ABS(Resultados!B15),ABS(Resultados!K15))/SQRT(COUNT(Resultados!B15,Resultados!K15)))</f>
        <v/>
      </c>
      <c r="C15">
        <f>IF(COUNT(Resultados!C15,Resultados!L15)&lt;=1, "", _xlfn.STDEV.S(ABS(Resultados!C15),ABS(Resultados!L15))/SQRT(COUNT(Resultados!C15,Resultados!L15)))</f>
        <v>0</v>
      </c>
      <c r="D15">
        <f>IF(COUNT(Resultados!D15,Resultados!M15)&lt;=1, "", _xlfn.STDEV.S(ABS(Resultados!D15),ABS(Resultados!M15))/SQRT(COUNT(Resultados!D15,Resultados!M15)))</f>
        <v>0</v>
      </c>
      <c r="E15">
        <f>IF(COUNT(Resultados!E15,Resultados!N15)&lt;=1, "", _xlfn.STDEV.S(ABS(Resultados!E15),ABS(Resultados!N15))/SQRT(COUNT(Resultados!E15,Resultados!N15)))</f>
        <v>2.5864979140095556E-3</v>
      </c>
      <c r="F15">
        <f>IF(COUNT(Resultados!F15,Resultados!O15)&lt;=1, "", _xlfn.STDEV.S(ABS(Resultados!F15),ABS(Resultados!O15))/SQRT(COUNT(Resultados!F15,Resultados!O15)))</f>
        <v>0.24106160558608278</v>
      </c>
      <c r="G15">
        <f>IF(COUNT(Resultados!G15,Resultados!P15)&lt;=1, "", _xlfn.STDEV.S(ABS(Resultados!G15),ABS(Resultados!P15))/SQRT(COUNT(Resultados!G15,Resultados!P15)))</f>
        <v>0</v>
      </c>
      <c r="H15">
        <f>IF(COUNT(Resultados!H15,Resultados!Q15)&lt;=1, "", _xlfn.STDEV.S(ABS(Resultados!H15),ABS(Resultados!Q15))/SQRT(COUNT(Resultados!H15,Resultados!Q15)))</f>
        <v>0</v>
      </c>
      <c r="I15">
        <f>IF(COUNT(Resultados!I15,Resultados!R15)&lt;=1, "", _xlfn.STDEV.S(ABS(Resultados!I15),ABS(Resultados!R15))/SQRT(COUNT(Resultados!I15,Resultados!R15)))</f>
        <v>9.5000000005285288E-5</v>
      </c>
    </row>
    <row r="16" spans="1:9" x14ac:dyDescent="0.3">
      <c r="A16" t="str">
        <f>IF(COUNT(Resultados!A16,Resultados!J16)&lt;=1, "", _xlfn.STDEV.S(ABS(Resultados!A16),ABS(Resultados!J16))/SQRT(COUNT(Resultados!A16,Resultados!J16)))</f>
        <v/>
      </c>
      <c r="B16" t="str">
        <f>IF(COUNT(Resultados!B16,Resultados!K16)&lt;=1, "", _xlfn.STDEV.S(ABS(Resultados!B16),ABS(Resultados!K16))/SQRT(COUNT(Resultados!B16,Resultados!K16)))</f>
        <v/>
      </c>
      <c r="C16">
        <f>IF(COUNT(Resultados!C16,Resultados!L16)&lt;=1, "", _xlfn.STDEV.S(ABS(Resultados!C16),ABS(Resultados!L16))/SQRT(COUNT(Resultados!C16,Resultados!L16)))</f>
        <v>0</v>
      </c>
      <c r="D16">
        <f>IF(COUNT(Resultados!D16,Resultados!M16)&lt;=1, "", _xlfn.STDEV.S(ABS(Resultados!D16),ABS(Resultados!M16))/SQRT(COUNT(Resultados!D16,Resultados!M16)))</f>
        <v>0</v>
      </c>
      <c r="E16">
        <f>IF(COUNT(Resultados!E16,Resultados!N16)&lt;=1, "", _xlfn.STDEV.S(ABS(Resultados!E16),ABS(Resultados!N16))/SQRT(COUNT(Resultados!E16,Resultados!N16)))</f>
        <v>1.9373392433195136E-3</v>
      </c>
      <c r="F16">
        <f>IF(COUNT(Resultados!F16,Resultados!O16)&lt;=1, "", _xlfn.STDEV.S(ABS(Resultados!F16),ABS(Resultados!O16))/SQRT(COUNT(Resultados!F16,Resultados!O16)))</f>
        <v>0.1805600174780011</v>
      </c>
      <c r="G16">
        <f>IF(COUNT(Resultados!G16,Resultados!P16)&lt;=1, "", _xlfn.STDEV.S(ABS(Resultados!G16),ABS(Resultados!P16))/SQRT(COUNT(Resultados!G16,Resultados!P16)))</f>
        <v>0</v>
      </c>
      <c r="H16">
        <f>IF(COUNT(Resultados!H16,Resultados!Q16)&lt;=1, "", _xlfn.STDEV.S(ABS(Resultados!H16),ABS(Resultados!Q16))/SQRT(COUNT(Resultados!H16,Resultados!Q16)))</f>
        <v>5.0000000000001425E-5</v>
      </c>
      <c r="I16">
        <f>IF(COUNT(Resultados!I16,Resultados!R16)&lt;=1, "", _xlfn.STDEV.S(ABS(Resultados!I16),ABS(Resultados!R16))/SQRT(COUNT(Resultados!I16,Resultados!R16)))</f>
        <v>2.3499999999998519E-4</v>
      </c>
    </row>
    <row r="17" spans="1:9" x14ac:dyDescent="0.3">
      <c r="A17" t="str">
        <f>IF(COUNT(Resultados!A17,Resultados!J17)&lt;=1, "", _xlfn.STDEV.S(ABS(Resultados!A17),ABS(Resultados!J17))/SQRT(COUNT(Resultados!A17,Resultados!J17)))</f>
        <v/>
      </c>
      <c r="B17" t="str">
        <f>IF(COUNT(Resultados!B17,Resultados!K17)&lt;=1, "", _xlfn.STDEV.S(ABS(Resultados!B17),ABS(Resultados!K17))/SQRT(COUNT(Resultados!B17,Resultados!K17)))</f>
        <v/>
      </c>
      <c r="C17">
        <f>IF(COUNT(Resultados!C17,Resultados!L17)&lt;=1, "", _xlfn.STDEV.S(ABS(Resultados!C17),ABS(Resultados!L17))/SQRT(COUNT(Resultados!C17,Resultados!L17)))</f>
        <v>0</v>
      </c>
      <c r="D17">
        <f>IF(COUNT(Resultados!D17,Resultados!M17)&lt;=1, "", _xlfn.STDEV.S(ABS(Resultados!D17),ABS(Resultados!M17))/SQRT(COUNT(Resultados!D17,Resultados!M17)))</f>
        <v>1.4499999999999997E-3</v>
      </c>
      <c r="E17">
        <f>IF(COUNT(Resultados!E17,Resultados!N17)&lt;=1, "", _xlfn.STDEV.S(ABS(Resultados!E17),ABS(Resultados!N17))/SQRT(COUNT(Resultados!E17,Resultados!N17)))</f>
        <v>3.2108215012685008E-2</v>
      </c>
      <c r="F17">
        <f>IF(COUNT(Resultados!F17,Resultados!O17)&lt;=1, "", _xlfn.STDEV.S(ABS(Resultados!F17),ABS(Resultados!O17))/SQRT(COUNT(Resultados!F17,Resultados!O17)))</f>
        <v>2.9924856391819499</v>
      </c>
      <c r="G17">
        <f>IF(COUNT(Resultados!G17,Resultados!P17)&lt;=1, "", _xlfn.STDEV.S(ABS(Resultados!G17),ABS(Resultados!P17))/SQRT(COUNT(Resultados!G17,Resultados!P17)))</f>
        <v>0</v>
      </c>
      <c r="H17">
        <f>IF(COUNT(Resultados!H17,Resultados!Q17)&lt;=1, "", _xlfn.STDEV.S(ABS(Resultados!H17),ABS(Resultados!Q17))/SQRT(COUNT(Resultados!H17,Resultados!Q17)))</f>
        <v>5.0000000000000044E-4</v>
      </c>
      <c r="I17">
        <f>IF(COUNT(Resultados!I17,Resultados!R17)&lt;=1, "", _xlfn.STDEV.S(ABS(Resultados!I17),ABS(Resultados!R17))/SQRT(COUNT(Resultados!I17,Resultados!R17)))</f>
        <v>9.2850000000055371E-3</v>
      </c>
    </row>
    <row r="18" spans="1:9" x14ac:dyDescent="0.3">
      <c r="A18" t="str">
        <f>IF(COUNT(Resultados!A18,Resultados!J18)&lt;=1, "", _xlfn.STDEV.S(ABS(Resultados!A18),ABS(Resultados!J18))/SQRT(COUNT(Resultados!A18,Resultados!J18)))</f>
        <v/>
      </c>
      <c r="B18" t="str">
        <f>IF(COUNT(Resultados!B18,Resultados!K18)&lt;=1, "", _xlfn.STDEV.S(ABS(Resultados!B18),ABS(Resultados!K18))/SQRT(COUNT(Resultados!B18,Resultados!K18)))</f>
        <v/>
      </c>
      <c r="C18">
        <f>IF(COUNT(Resultados!C18,Resultados!L18)&lt;=1, "", _xlfn.STDEV.S(ABS(Resultados!C18),ABS(Resultados!L18))/SQRT(COUNT(Resultados!C18,Resultados!L18)))</f>
        <v>0</v>
      </c>
      <c r="D18">
        <f>IF(COUNT(Resultados!D18,Resultados!M18)&lt;=1, "", _xlfn.STDEV.S(ABS(Resultados!D18),ABS(Resultados!M18))/SQRT(COUNT(Resultados!D18,Resultados!M18)))</f>
        <v>1.2499999999999976E-3</v>
      </c>
      <c r="E18">
        <f>IF(COUNT(Resultados!E18,Resultados!N18)&lt;=1, "", _xlfn.STDEV.S(ABS(Resultados!E18),ABS(Resultados!N18))/SQRT(COUNT(Resultados!E18,Resultados!N18)))</f>
        <v>1.0253747060439798E-2</v>
      </c>
      <c r="F18">
        <f>IF(COUNT(Resultados!F18,Resultados!O18)&lt;=1, "", _xlfn.STDEV.S(ABS(Resultados!F18),ABS(Resultados!O18))/SQRT(COUNT(Resultados!F18,Resultados!O18)))</f>
        <v>0.95564922603250568</v>
      </c>
      <c r="G18">
        <f>IF(COUNT(Resultados!G18,Resultados!P18)&lt;=1, "", _xlfn.STDEV.S(ABS(Resultados!G18),ABS(Resultados!P18))/SQRT(COUNT(Resultados!G18,Resultados!P18)))</f>
        <v>0</v>
      </c>
      <c r="H18">
        <f>IF(COUNT(Resultados!H18,Resultados!Q18)&lt;=1, "", _xlfn.STDEV.S(ABS(Resultados!H18),ABS(Resultados!Q18))/SQRT(COUNT(Resultados!H18,Resultados!Q18)))</f>
        <v>1.4999999999999909E-4</v>
      </c>
      <c r="I18">
        <f>IF(COUNT(Resultados!I18,Resultados!R18)&lt;=1, "", _xlfn.STDEV.S(ABS(Resultados!I18),ABS(Resultados!R18))/SQRT(COUNT(Resultados!I18,Resultados!R18)))</f>
        <v>4.3649999999999523E-3</v>
      </c>
    </row>
    <row r="19" spans="1:9" x14ac:dyDescent="0.3">
      <c r="A19" t="str">
        <f>IF(COUNT(Resultados!A19,Resultados!J19)&lt;=1, "", _xlfn.STDEV.S(ABS(Resultados!A19),ABS(Resultados!J19))/SQRT(COUNT(Resultados!A19,Resultados!J19)))</f>
        <v/>
      </c>
      <c r="B19" t="str">
        <f>IF(COUNT(Resultados!B19,Resultados!K19)&lt;=1, "", _xlfn.STDEV.S(ABS(Resultados!B19),ABS(Resultados!K19))/SQRT(COUNT(Resultados!B19,Resultados!K19)))</f>
        <v/>
      </c>
      <c r="C19">
        <f>IF(COUNT(Resultados!C19,Resultados!L19)&lt;=1, "", _xlfn.STDEV.S(ABS(Resultados!C19),ABS(Resultados!L19))/SQRT(COUNT(Resultados!C19,Resultados!L19)))</f>
        <v>0</v>
      </c>
      <c r="D19">
        <f>IF(COUNT(Resultados!D19,Resultados!M19)&lt;=1, "", _xlfn.STDEV.S(ABS(Resultados!D19),ABS(Resultados!M19))/SQRT(COUNT(Resultados!D19,Resultados!M19)))</f>
        <v>1.4999999999999909E-4</v>
      </c>
      <c r="E19">
        <f>IF(COUNT(Resultados!E19,Resultados!N19)&lt;=1, "", _xlfn.STDEV.S(ABS(Resultados!E19),ABS(Resultados!N19))/SQRT(COUNT(Resultados!E19,Resultados!N19)))</f>
        <v>1.0463780908920306E-2</v>
      </c>
      <c r="F19">
        <f>IF(COUNT(Resultados!F19,Resultados!O19)&lt;=1, "", _xlfn.STDEV.S(ABS(Resultados!F19),ABS(Resultados!O19))/SQRT(COUNT(Resultados!F19,Resultados!O19)))</f>
        <v>0.97522438071098339</v>
      </c>
      <c r="G19">
        <f>IF(COUNT(Resultados!G19,Resultados!P19)&lt;=1, "", _xlfn.STDEV.S(ABS(Resultados!G19),ABS(Resultados!P19))/SQRT(COUNT(Resultados!G19,Resultados!P19)))</f>
        <v>0</v>
      </c>
      <c r="H19">
        <f>IF(COUNT(Resultados!H19,Resultados!Q19)&lt;=1, "", _xlfn.STDEV.S(ABS(Resultados!H19),ABS(Resultados!Q19))/SQRT(COUNT(Resultados!H19,Resultados!Q19)))</f>
        <v>1.4999999999999996E-4</v>
      </c>
      <c r="I19">
        <f>IF(COUNT(Resultados!I19,Resultados!R19)&lt;=1, "", _xlfn.STDEV.S(ABS(Resultados!I19),ABS(Resultados!R19))/SQRT(COUNT(Resultados!I19,Resultados!R19)))</f>
        <v>3.5250000000033306E-3</v>
      </c>
    </row>
    <row r="20" spans="1:9" x14ac:dyDescent="0.3">
      <c r="A20" t="str">
        <f>IF(COUNT(Resultados!A20,Resultados!J20)&lt;=1, "", _xlfn.STDEV.S(ABS(Resultados!A20),ABS(Resultados!J20))/SQRT(COUNT(Resultados!A20,Resultados!J20)))</f>
        <v/>
      </c>
      <c r="B20" t="str">
        <f>IF(COUNT(Resultados!B20,Resultados!K20)&lt;=1, "", _xlfn.STDEV.S(ABS(Resultados!B20),ABS(Resultados!K20))/SQRT(COUNT(Resultados!B20,Resultados!K20)))</f>
        <v/>
      </c>
      <c r="C20">
        <f>IF(COUNT(Resultados!C20,Resultados!L20)&lt;=1, "", _xlfn.STDEV.S(ABS(Resultados!C20),ABS(Resultados!L20))/SQRT(COUNT(Resultados!C20,Resultados!L20)))</f>
        <v>0</v>
      </c>
      <c r="D20">
        <f>IF(COUNT(Resultados!D20,Resultados!M20)&lt;=1, "", _xlfn.STDEV.S(ABS(Resultados!D20),ABS(Resultados!M20))/SQRT(COUNT(Resultados!D20,Resultados!M20)))</f>
        <v>1.9999999999999876E-4</v>
      </c>
      <c r="E20">
        <f>IF(COUNT(Resultados!E20,Resultados!N20)&lt;=1, "", _xlfn.STDEV.S(ABS(Resultados!E20),ABS(Resultados!N20))/SQRT(COUNT(Resultados!E20,Resultados!N20)))</f>
        <v>1.766190039765192E-3</v>
      </c>
      <c r="F20">
        <f>IF(COUNT(Resultados!F20,Resultados!O20)&lt;=1, "", _xlfn.STDEV.S(ABS(Resultados!F20),ABS(Resultados!O20))/SQRT(COUNT(Resultados!F20,Resultados!O20)))</f>
        <v>0.1646089117059546</v>
      </c>
      <c r="G20">
        <f>IF(COUNT(Resultados!G20,Resultados!P20)&lt;=1, "", _xlfn.STDEV.S(ABS(Resultados!G20),ABS(Resultados!P20))/SQRT(COUNT(Resultados!G20,Resultados!P20)))</f>
        <v>0</v>
      </c>
      <c r="H20">
        <f>IF(COUNT(Resultados!H20,Resultados!Q20)&lt;=1, "", _xlfn.STDEV.S(ABS(Resultados!H20),ABS(Resultados!Q20))/SQRT(COUNT(Resultados!H20,Resultados!Q20)))</f>
        <v>4.9999999999999691E-5</v>
      </c>
      <c r="I20">
        <f>IF(COUNT(Resultados!I20,Resultados!R20)&lt;=1, "", _xlfn.STDEV.S(ABS(Resultados!I20),ABS(Resultados!R20))/SQRT(COUNT(Resultados!I20,Resultados!R20)))</f>
        <v>2.2000000000232944E-4</v>
      </c>
    </row>
    <row r="21" spans="1:9" x14ac:dyDescent="0.3">
      <c r="A21" t="str">
        <f>IF(COUNT(Resultados!A21,Resultados!J21)&lt;=1, "", _xlfn.STDEV.S(ABS(Resultados!A21),ABS(Resultados!J21))/SQRT(COUNT(Resultados!A21,Resultados!J21)))</f>
        <v/>
      </c>
      <c r="B21" t="str">
        <f>IF(COUNT(Resultados!B21,Resultados!K21)&lt;=1, "", _xlfn.STDEV.S(ABS(Resultados!B21),ABS(Resultados!K21))/SQRT(COUNT(Resultados!B21,Resultados!K21)))</f>
        <v/>
      </c>
      <c r="C21">
        <f>IF(COUNT(Resultados!C21,Resultados!L21)&lt;=1, "", _xlfn.STDEV.S(ABS(Resultados!C21),ABS(Resultados!L21))/SQRT(COUNT(Resultados!C21,Resultados!L21)))</f>
        <v>0</v>
      </c>
      <c r="D21">
        <f>IF(COUNT(Resultados!D21,Resultados!M21)&lt;=1, "", _xlfn.STDEV.S(ABS(Resultados!D21),ABS(Resultados!M21))/SQRT(COUNT(Resultados!D21,Resultados!M21)))</f>
        <v>4.9999999999999958E-4</v>
      </c>
      <c r="E21">
        <f>IF(COUNT(Resultados!E21,Resultados!N21)&lt;=1, "", _xlfn.STDEV.S(ABS(Resultados!E21),ABS(Resultados!N21))/SQRT(COUNT(Resultados!E21,Resultados!N21)))</f>
        <v>1.4471251065995006E-4</v>
      </c>
      <c r="F21">
        <f>IF(COUNT(Resultados!F21,Resultados!O21)&lt;=1, "", _xlfn.STDEV.S(ABS(Resultados!F21),ABS(Resultados!O21))/SQRT(COUNT(Resultados!F21,Resultados!O21)))</f>
        <v>1.3487205993556017E-2</v>
      </c>
      <c r="G21">
        <f>IF(COUNT(Resultados!G21,Resultados!P21)&lt;=1, "", _xlfn.STDEV.S(ABS(Resultados!G21),ABS(Resultados!P21))/SQRT(COUNT(Resultados!G21,Resultados!P21)))</f>
        <v>0</v>
      </c>
      <c r="H21">
        <f>IF(COUNT(Resultados!H21,Resultados!Q21)&lt;=1, "", _xlfn.STDEV.S(ABS(Resultados!H21),ABS(Resultados!Q21))/SQRT(COUNT(Resultados!H21,Resultados!Q21)))</f>
        <v>0</v>
      </c>
      <c r="I21">
        <f>IF(COUNT(Resultados!I21,Resultados!R21)&lt;=1, "", _xlfn.STDEV.S(ABS(Resultados!I21),ABS(Resultados!R21))/SQRT(COUNT(Resultados!I21,Resultados!R21)))</f>
        <v>6.5500000000184855E-4</v>
      </c>
    </row>
    <row r="22" spans="1:9" x14ac:dyDescent="0.3">
      <c r="A22" t="str">
        <f>IF(COUNT(Resultados!A22,Resultados!J22)&lt;=1, "", _xlfn.STDEV.S(ABS(Resultados!A22),ABS(Resultados!J22))/SQRT(COUNT(Resultados!A22,Resultados!J22)))</f>
        <v/>
      </c>
      <c r="B22" t="str">
        <f>IF(COUNT(Resultados!B22,Resultados!K22)&lt;=1, "", _xlfn.STDEV.S(ABS(Resultados!B22),ABS(Resultados!K22))/SQRT(COUNT(Resultados!B22,Resultados!K22)))</f>
        <v/>
      </c>
      <c r="C22">
        <f>IF(COUNT(Resultados!C22,Resultados!L22)&lt;=1, "", _xlfn.STDEV.S(ABS(Resultados!C22),ABS(Resultados!L22))/SQRT(COUNT(Resultados!C22,Resultados!L22)))</f>
        <v>0</v>
      </c>
      <c r="D22">
        <f>IF(COUNT(Resultados!D22,Resultados!M22)&lt;=1, "", _xlfn.STDEV.S(ABS(Resultados!D22),ABS(Resultados!M22))/SQRT(COUNT(Resultados!D22,Resultados!M22)))</f>
        <v>2.9999999999999987E-4</v>
      </c>
      <c r="E22">
        <f>IF(COUNT(Resultados!E22,Resultados!N22)&lt;=1, "", _xlfn.STDEV.S(ABS(Resultados!E22),ABS(Resultados!N22))/SQRT(COUNT(Resultados!E22,Resultados!N22)))</f>
        <v>5.1006598461977859E-4</v>
      </c>
      <c r="F22">
        <f>IF(COUNT(Resultados!F22,Resultados!O22)&lt;=1, "", _xlfn.STDEV.S(ABS(Resultados!F22),ABS(Resultados!O22))/SQRT(COUNT(Resultados!F22,Resultados!O22)))</f>
        <v>4.7538149766523922E-2</v>
      </c>
      <c r="G22">
        <f>IF(COUNT(Resultados!G22,Resultados!P22)&lt;=1, "", _xlfn.STDEV.S(ABS(Resultados!G22),ABS(Resultados!P22))/SQRT(COUNT(Resultados!G22,Resultados!P22)))</f>
        <v>0</v>
      </c>
      <c r="H22">
        <f>IF(COUNT(Resultados!H22,Resultados!Q22)&lt;=1, "", _xlfn.STDEV.S(ABS(Resultados!H22),ABS(Resultados!Q22))/SQRT(COUNT(Resultados!H22,Resultados!Q22)))</f>
        <v>0</v>
      </c>
      <c r="I22">
        <f>IF(COUNT(Resultados!I22,Resultados!R22)&lt;=1, "", _xlfn.STDEV.S(ABS(Resultados!I22),ABS(Resultados!R22))/SQRT(COUNT(Resultados!I22,Resultados!R22)))</f>
        <v>9.1000000000107661E-4</v>
      </c>
    </row>
    <row r="23" spans="1:9" x14ac:dyDescent="0.3">
      <c r="A23" t="str">
        <f>IF(COUNT(Resultados!A23,Resultados!J23)&lt;=1, "", _xlfn.STDEV.S(ABS(Resultados!A23),ABS(Resultados!J23))/SQRT(COUNT(Resultados!A23,Resultados!J23)))</f>
        <v/>
      </c>
      <c r="B23" t="str">
        <f>IF(COUNT(Resultados!B23,Resultados!K23)&lt;=1, "", _xlfn.STDEV.S(ABS(Resultados!B23),ABS(Resultados!K23))/SQRT(COUNT(Resultados!B23,Resultados!K23)))</f>
        <v/>
      </c>
      <c r="C23">
        <f>IF(COUNT(Resultados!C23,Resultados!L23)&lt;=1, "", _xlfn.STDEV.S(ABS(Resultados!C23),ABS(Resultados!L23))/SQRT(COUNT(Resultados!C23,Resultados!L23)))</f>
        <v>0</v>
      </c>
      <c r="D23">
        <f>IF(COUNT(Resultados!D23,Resultados!M23)&lt;=1, "", _xlfn.STDEV.S(ABS(Resultados!D23),ABS(Resultados!M23))/SQRT(COUNT(Resultados!D23,Resultados!M23)))</f>
        <v>1.9999999999999998E-4</v>
      </c>
      <c r="E23">
        <f>IF(COUNT(Resultados!E23,Resultados!N23)&lt;=1, "", _xlfn.STDEV.S(ABS(Resultados!E23),ABS(Resultados!N23))/SQRT(COUNT(Resultados!E23,Resultados!N23)))</f>
        <v>1.0246245851508462E-4</v>
      </c>
      <c r="F23">
        <f>IF(COUNT(Resultados!F23,Resultados!O23)&lt;=1, "", _xlfn.STDEV.S(ABS(Resultados!F23),ABS(Resultados!O23))/SQRT(COUNT(Resultados!F23,Resultados!O23)))</f>
        <v>9.7236873129986634E-3</v>
      </c>
      <c r="G23">
        <f>IF(COUNT(Resultados!G23,Resultados!P23)&lt;=1, "", _xlfn.STDEV.S(ABS(Resultados!G23),ABS(Resultados!P23))/SQRT(COUNT(Resultados!G23,Resultados!P23)))</f>
        <v>0</v>
      </c>
      <c r="H23">
        <f>IF(COUNT(Resultados!H23,Resultados!Q23)&lt;=1, "", _xlfn.STDEV.S(ABS(Resultados!H23),ABS(Resultados!Q23))/SQRT(COUNT(Resultados!H23,Resultados!Q23)))</f>
        <v>0</v>
      </c>
      <c r="I23">
        <f>IF(COUNT(Resultados!I23,Resultados!R23)&lt;=1, "", _xlfn.STDEV.S(ABS(Resultados!I23),ABS(Resultados!R23))/SQRT(COUNT(Resultados!I23,Resultados!R23)))</f>
        <v>9.3499999999835371E-4</v>
      </c>
    </row>
    <row r="24" spans="1:9" x14ac:dyDescent="0.3">
      <c r="A24" t="str">
        <f>IF(COUNT(Resultados!A24,Resultados!J24)&lt;=1, "", _xlfn.STDEV.S(ABS(Resultados!A24),ABS(Resultados!J24))/SQRT(COUNT(Resultados!A24,Resultados!J24)))</f>
        <v/>
      </c>
      <c r="B24" t="str">
        <f>IF(COUNT(Resultados!B24,Resultados!K24)&lt;=1, "", _xlfn.STDEV.S(ABS(Resultados!B24),ABS(Resultados!K24))/SQRT(COUNT(Resultados!B24,Resultados!K24)))</f>
        <v/>
      </c>
      <c r="C24">
        <f>IF(COUNT(Resultados!C24,Resultados!L24)&lt;=1, "", _xlfn.STDEV.S(ABS(Resultados!C24),ABS(Resultados!L24))/SQRT(COUNT(Resultados!C24,Resultados!L24)))</f>
        <v>0</v>
      </c>
      <c r="D24">
        <f>IF(COUNT(Resultados!D24,Resultados!M24)&lt;=1, "", _xlfn.STDEV.S(ABS(Resultados!D24),ABS(Resultados!M24))/SQRT(COUNT(Resultados!D24,Resultados!M24)))</f>
        <v>5.000000000000003E-5</v>
      </c>
      <c r="E24">
        <f>IF(COUNT(Resultados!E24,Resultados!N24)&lt;=1, "", _xlfn.STDEV.S(ABS(Resultados!E24),ABS(Resultados!N24))/SQRT(COUNT(Resultados!E24,Resultados!N24)))</f>
        <v>8.8919735466497229E-4</v>
      </c>
      <c r="F24">
        <f>IF(COUNT(Resultados!F24,Resultados!O24)&lt;=1, "", _xlfn.STDEV.S(ABS(Resultados!F24),ABS(Resultados!O24))/SQRT(COUNT(Resultados!F24,Resultados!O24)))</f>
        <v>8.4384828957922764E-2</v>
      </c>
      <c r="G24">
        <f>IF(COUNT(Resultados!G24,Resultados!P24)&lt;=1, "", _xlfn.STDEV.S(ABS(Resultados!G24),ABS(Resultados!P24))/SQRT(COUNT(Resultados!G24,Resultados!P24)))</f>
        <v>0</v>
      </c>
      <c r="H24">
        <f>IF(COUNT(Resultados!H24,Resultados!Q24)&lt;=1, "", _xlfn.STDEV.S(ABS(Resultados!H24),ABS(Resultados!Q24))/SQRT(COUNT(Resultados!H24,Resultados!Q24)))</f>
        <v>4.9999999999999691E-5</v>
      </c>
      <c r="I24">
        <f>IF(COUNT(Resultados!I24,Resultados!R24)&lt;=1, "", _xlfn.STDEV.S(ABS(Resultados!I24),ABS(Resultados!R24))/SQRT(COUNT(Resultados!I24,Resultados!R24)))</f>
        <v>4.2999999999793198E-4</v>
      </c>
    </row>
    <row r="25" spans="1:9" x14ac:dyDescent="0.3">
      <c r="A25" t="str">
        <f>IF(COUNT(Resultados!A25,Resultados!J25)&lt;=1, "", _xlfn.STDEV.S(ABS(Resultados!A25),ABS(Resultados!J25))/SQRT(COUNT(Resultados!A25,Resultados!J25)))</f>
        <v/>
      </c>
      <c r="B25" t="str">
        <f>IF(COUNT(Resultados!B25,Resultados!K25)&lt;=1, "", _xlfn.STDEV.S(ABS(Resultados!B25),ABS(Resultados!K25))/SQRT(COUNT(Resultados!B25,Resultados!K25)))</f>
        <v/>
      </c>
      <c r="C25">
        <f>IF(COUNT(Resultados!C25,Resultados!L25)&lt;=1, "", _xlfn.STDEV.S(ABS(Resultados!C25),ABS(Resultados!L25))/SQRT(COUNT(Resultados!C25,Resultados!L25)))</f>
        <v>0</v>
      </c>
      <c r="D25">
        <f>IF(COUNT(Resultados!D25,Resultados!M25)&lt;=1, "", _xlfn.STDEV.S(ABS(Resultados!D25),ABS(Resultados!M25))/SQRT(COUNT(Resultados!D25,Resultados!M25)))</f>
        <v>2.9999999999999987E-4</v>
      </c>
      <c r="E25">
        <f>IF(COUNT(Resultados!E25,Resultados!N25)&lt;=1, "", _xlfn.STDEV.S(ABS(Resultados!E25),ABS(Resultados!N25))/SQRT(COUNT(Resultados!E25,Resultados!N25)))</f>
        <v>2.4530980372450273E-4</v>
      </c>
      <c r="F25">
        <f>IF(COUNT(Resultados!F25,Resultados!O25)&lt;=1, "", _xlfn.STDEV.S(ABS(Resultados!F25),ABS(Resultados!O25))/SQRT(COUNT(Resultados!F25,Resultados!O25)))</f>
        <v>2.32799003740638E-2</v>
      </c>
      <c r="G25">
        <f>IF(COUNT(Resultados!G25,Resultados!P25)&lt;=1, "", _xlfn.STDEV.S(ABS(Resultados!G25),ABS(Resultados!P25))/SQRT(COUNT(Resultados!G25,Resultados!P25)))</f>
        <v>0</v>
      </c>
      <c r="H25">
        <f>IF(COUNT(Resultados!H25,Resultados!Q25)&lt;=1, "", _xlfn.STDEV.S(ABS(Resultados!H25),ABS(Resultados!Q25))/SQRT(COUNT(Resultados!H25,Resultados!Q25)))</f>
        <v>0</v>
      </c>
      <c r="I25">
        <f>IF(COUNT(Resultados!I25,Resultados!R25)&lt;=1, "", _xlfn.STDEV.S(ABS(Resultados!I25),ABS(Resultados!R25))/SQRT(COUNT(Resultados!I25,Resultados!R25)))</f>
        <v>7.6499999999413138E-4</v>
      </c>
    </row>
    <row r="26" spans="1:9" x14ac:dyDescent="0.3">
      <c r="A26" t="str">
        <f>IF(COUNT(Resultados!A26,Resultados!J26)&lt;=1, "", _xlfn.STDEV.S(ABS(Resultados!A26),ABS(Resultados!J26))/SQRT(COUNT(Resultados!A26,Resultados!J26)))</f>
        <v/>
      </c>
      <c r="B26" t="str">
        <f>IF(COUNT(Resultados!B26,Resultados!K26)&lt;=1, "", _xlfn.STDEV.S(ABS(Resultados!B26),ABS(Resultados!K26))/SQRT(COUNT(Resultados!B26,Resultados!K26)))</f>
        <v/>
      </c>
      <c r="C26">
        <f>IF(COUNT(Resultados!C26,Resultados!L26)&lt;=1, "", _xlfn.STDEV.S(ABS(Resultados!C26),ABS(Resultados!L26))/SQRT(COUNT(Resultados!C26,Resultados!L26)))</f>
        <v>0</v>
      </c>
      <c r="D26">
        <f>IF(COUNT(Resultados!D26,Resultados!M26)&lt;=1, "", _xlfn.STDEV.S(ABS(Resultados!D26),ABS(Resultados!M26))/SQRT(COUNT(Resultados!D26,Resultados!M26)))</f>
        <v>4.4999999999999988E-4</v>
      </c>
      <c r="E26">
        <f>IF(COUNT(Resultados!E26,Resultados!N26)&lt;=1, "", _xlfn.STDEV.S(ABS(Resultados!E26),ABS(Resultados!N26))/SQRT(COUNT(Resultados!E26,Resultados!N26)))</f>
        <v>1.2885860433842211E-3</v>
      </c>
      <c r="F26">
        <f>IF(COUNT(Resultados!F26,Resultados!O26)&lt;=1, "", _xlfn.STDEV.S(ABS(Resultados!F26),ABS(Resultados!O26))/SQRT(COUNT(Resultados!F26,Resultados!O26)))</f>
        <v>0.12228681551698627</v>
      </c>
      <c r="G26">
        <f>IF(COUNT(Resultados!G26,Resultados!P26)&lt;=1, "", _xlfn.STDEV.S(ABS(Resultados!G26),ABS(Resultados!P26))/SQRT(COUNT(Resultados!G26,Resultados!P26)))</f>
        <v>0</v>
      </c>
      <c r="H26">
        <f>IF(COUNT(Resultados!H26,Resultados!Q26)&lt;=1, "", _xlfn.STDEV.S(ABS(Resultados!H26),ABS(Resultados!Q26))/SQRT(COUNT(Resultados!H26,Resultados!Q26)))</f>
        <v>0</v>
      </c>
      <c r="I26">
        <f>IF(COUNT(Resultados!I26,Resultados!R26)&lt;=1, "", _xlfn.STDEV.S(ABS(Resultados!I26),ABS(Resultados!R26))/SQRT(COUNT(Resultados!I26,Resultados!R26)))</f>
        <v>1.274999999999693E-3</v>
      </c>
    </row>
    <row r="27" spans="1:9" x14ac:dyDescent="0.3">
      <c r="A27" t="str">
        <f>IF(COUNT(Resultados!A27,Resultados!J27)&lt;=1, "", _xlfn.STDEV.S(ABS(Resultados!A27),ABS(Resultados!J27))/SQRT(COUNT(Resultados!A27,Resultados!J27)))</f>
        <v/>
      </c>
      <c r="B27" t="str">
        <f>IF(COUNT(Resultados!B27,Resultados!K27)&lt;=1, "", _xlfn.STDEV.S(ABS(Resultados!B27),ABS(Resultados!K27))/SQRT(COUNT(Resultados!B27,Resultados!K27)))</f>
        <v/>
      </c>
      <c r="C27">
        <f>IF(COUNT(Resultados!C27,Resultados!L27)&lt;=1, "", _xlfn.STDEV.S(ABS(Resultados!C27),ABS(Resultados!L27))/SQRT(COUNT(Resultados!C27,Resultados!L27)))</f>
        <v>0</v>
      </c>
      <c r="D27">
        <f>IF(COUNT(Resultados!D27,Resultados!M27)&lt;=1, "", _xlfn.STDEV.S(ABS(Resultados!D27),ABS(Resultados!M27))/SQRT(COUNT(Resultados!D27,Resultados!M27)))</f>
        <v>2.4999999999999849E-4</v>
      </c>
      <c r="E27">
        <f>IF(COUNT(Resultados!E27,Resultados!N27)&lt;=1, "", _xlfn.STDEV.S(ABS(Resultados!E27),ABS(Resultados!N27))/SQRT(COUNT(Resultados!E27,Resultados!N27)))</f>
        <v>4.3604324451056442E-3</v>
      </c>
      <c r="F27">
        <f>IF(COUNT(Resultados!F27,Resultados!O27)&lt;=1, "", _xlfn.STDEV.S(ABS(Resultados!F27),ABS(Resultados!O27))/SQRT(COUNT(Resultados!F27,Resultados!O27)))</f>
        <v>0.41380503904008492</v>
      </c>
      <c r="G27">
        <f>IF(COUNT(Resultados!G27,Resultados!P27)&lt;=1, "", _xlfn.STDEV.S(ABS(Resultados!G27),ABS(Resultados!P27))/SQRT(COUNT(Resultados!G27,Resultados!P27)))</f>
        <v>0</v>
      </c>
      <c r="H27">
        <f>IF(COUNT(Resultados!H27,Resultados!Q27)&lt;=1, "", _xlfn.STDEV.S(ABS(Resultados!H27),ABS(Resultados!Q27))/SQRT(COUNT(Resultados!H27,Resultados!Q27)))</f>
        <v>4.9999999999997956E-5</v>
      </c>
      <c r="I27">
        <f>IF(COUNT(Resultados!I27,Resultados!R27)&lt;=1, "", _xlfn.STDEV.S(ABS(Resultados!I27),ABS(Resultados!R27))/SQRT(COUNT(Resultados!I27,Resultados!R27)))</f>
        <v>2.2300000000008424E-3</v>
      </c>
    </row>
    <row r="28" spans="1:9" x14ac:dyDescent="0.3">
      <c r="A28" t="str">
        <f>IF(COUNT(Resultados!A28,Resultados!J28)&lt;=1, "", _xlfn.STDEV.S(ABS(Resultados!A28),ABS(Resultados!J28))/SQRT(COUNT(Resultados!A28,Resultados!J28)))</f>
        <v/>
      </c>
      <c r="B28" t="str">
        <f>IF(COUNT(Resultados!B28,Resultados!K28)&lt;=1, "", _xlfn.STDEV.S(ABS(Resultados!B28),ABS(Resultados!K28))/SQRT(COUNT(Resultados!B28,Resultados!K28)))</f>
        <v/>
      </c>
      <c r="C28">
        <f>IF(COUNT(Resultados!C28,Resultados!L28)&lt;=1, "", _xlfn.STDEV.S(ABS(Resultados!C28),ABS(Resultados!L28))/SQRT(COUNT(Resultados!C28,Resultados!L28)))</f>
        <v>0</v>
      </c>
      <c r="D28">
        <f>IF(COUNT(Resultados!D28,Resultados!M28)&lt;=1, "", _xlfn.STDEV.S(ABS(Resultados!D28),ABS(Resultados!M28))/SQRT(COUNT(Resultados!D28,Resultados!M28)))</f>
        <v>4.0000000000000105E-4</v>
      </c>
      <c r="E28">
        <f>IF(COUNT(Resultados!E28,Resultados!N28)&lt;=1, "", _xlfn.STDEV.S(ABS(Resultados!E28),ABS(Resultados!N28))/SQRT(COUNT(Resultados!E28,Resultados!N28)))</f>
        <v>8.2574118229938875E-4</v>
      </c>
      <c r="F28">
        <f>IF(COUNT(Resultados!F28,Resultados!O28)&lt;=1, "", _xlfn.STDEV.S(ABS(Resultados!F28),ABS(Resultados!O28))/SQRT(COUNT(Resultados!F28,Resultados!O28)))</f>
        <v>7.8362838200519022E-2</v>
      </c>
      <c r="G28">
        <f>IF(COUNT(Resultados!G28,Resultados!P28)&lt;=1, "", _xlfn.STDEV.S(ABS(Resultados!G28),ABS(Resultados!P28))/SQRT(COUNT(Resultados!G28,Resultados!P28)))</f>
        <v>0</v>
      </c>
      <c r="H28">
        <f>IF(COUNT(Resultados!H28,Resultados!Q28)&lt;=1, "", _xlfn.STDEV.S(ABS(Resultados!H28),ABS(Resultados!Q28))/SQRT(COUNT(Resultados!H28,Resultados!Q28)))</f>
        <v>0</v>
      </c>
      <c r="I28">
        <f>IF(COUNT(Resultados!I28,Resultados!R28)&lt;=1, "", _xlfn.STDEV.S(ABS(Resultados!I28),ABS(Resultados!R28))/SQRT(COUNT(Resultados!I28,Resultados!R28)))</f>
        <v>5.7499999999777174E-4</v>
      </c>
    </row>
    <row r="29" spans="1:9" x14ac:dyDescent="0.3">
      <c r="A29" t="str">
        <f>IF(COUNT(Resultados!A29,Resultados!J29)&lt;=1, "", _xlfn.STDEV.S(ABS(Resultados!A29),ABS(Resultados!J29))/SQRT(COUNT(Resultados!A29,Resultados!J29)))</f>
        <v/>
      </c>
      <c r="B29" t="str">
        <f>IF(COUNT(Resultados!B29,Resultados!K29)&lt;=1, "", _xlfn.STDEV.S(ABS(Resultados!B29),ABS(Resultados!K29))/SQRT(COUNT(Resultados!B29,Resultados!K29)))</f>
        <v/>
      </c>
      <c r="C29">
        <f>IF(COUNT(Resultados!C29,Resultados!L29)&lt;=1, "", _xlfn.STDEV.S(ABS(Resultados!C29),ABS(Resultados!L29))/SQRT(COUNT(Resultados!C29,Resultados!L29)))</f>
        <v>0</v>
      </c>
      <c r="D29">
        <f>IF(COUNT(Resultados!D29,Resultados!M29)&lt;=1, "", _xlfn.STDEV.S(ABS(Resultados!D29),ABS(Resultados!M29))/SQRT(COUNT(Resultados!D29,Resultados!M29)))</f>
        <v>5.0000000000001425E-5</v>
      </c>
      <c r="E29">
        <f>IF(COUNT(Resultados!E29,Resultados!N29)&lt;=1, "", _xlfn.STDEV.S(ABS(Resultados!E29),ABS(Resultados!N29))/SQRT(COUNT(Resultados!E29,Resultados!N29)))</f>
        <v>1.1503205176444098E-3</v>
      </c>
      <c r="F29">
        <f>IF(COUNT(Resultados!F29,Resultados!O29)&lt;=1, "", _xlfn.STDEV.S(ABS(Resultados!F29),ABS(Resultados!O29))/SQRT(COUNT(Resultados!F29,Resultados!O29)))</f>
        <v>0.10916541712401794</v>
      </c>
      <c r="G29">
        <f>IF(COUNT(Resultados!G29,Resultados!P29)&lt;=1, "", _xlfn.STDEV.S(ABS(Resultados!G29),ABS(Resultados!P29))/SQRT(COUNT(Resultados!G29,Resultados!P29)))</f>
        <v>0</v>
      </c>
      <c r="H29">
        <f>IF(COUNT(Resultados!H29,Resultados!Q29)&lt;=1, "", _xlfn.STDEV.S(ABS(Resultados!H29),ABS(Resultados!Q29))/SQRT(COUNT(Resultados!H29,Resultados!Q29)))</f>
        <v>5.0000000000001425E-5</v>
      </c>
      <c r="I29">
        <f>IF(COUNT(Resultados!I29,Resultados!R29)&lt;=1, "", _xlfn.STDEV.S(ABS(Resultados!I29),ABS(Resultados!R29))/SQRT(COUNT(Resultados!I29,Resultados!R29)))</f>
        <v>1.3299999999993872E-3</v>
      </c>
    </row>
    <row r="30" spans="1:9" x14ac:dyDescent="0.3">
      <c r="A30" t="str">
        <f>IF(COUNT(Resultados!A30,Resultados!J30)&lt;=1, "", _xlfn.STDEV.S(ABS(Resultados!A30),ABS(Resultados!J30))/SQRT(COUNT(Resultados!A30,Resultados!J30)))</f>
        <v/>
      </c>
      <c r="B30" t="str">
        <f>IF(COUNT(Resultados!B30,Resultados!K30)&lt;=1, "", _xlfn.STDEV.S(ABS(Resultados!B30),ABS(Resultados!K30))/SQRT(COUNT(Resultados!B30,Resultados!K30)))</f>
        <v/>
      </c>
      <c r="C30">
        <f>IF(COUNT(Resultados!C30,Resultados!L30)&lt;=1, "", _xlfn.STDEV.S(ABS(Resultados!C30),ABS(Resultados!L30))/SQRT(COUNT(Resultados!C30,Resultados!L30)))</f>
        <v>0</v>
      </c>
      <c r="D30">
        <f>IF(COUNT(Resultados!D30,Resultados!M30)&lt;=1, "", _xlfn.STDEV.S(ABS(Resultados!D30),ABS(Resultados!M30))/SQRT(COUNT(Resultados!D30,Resultados!M30)))</f>
        <v>2.5000000000000022E-4</v>
      </c>
      <c r="E30">
        <f>IF(COUNT(Resultados!E30,Resultados!N30)&lt;=1, "", _xlfn.STDEV.S(ABS(Resultados!E30),ABS(Resultados!N30))/SQRT(COUNT(Resultados!E30,Resultados!N30)))</f>
        <v>8.1905091492551197E-4</v>
      </c>
      <c r="F30">
        <f>IF(COUNT(Resultados!F30,Resultados!O30)&lt;=1, "", _xlfn.STDEV.S(ABS(Resultados!F30),ABS(Resultados!O30))/SQRT(COUNT(Resultados!F30,Resultados!O30)))</f>
        <v>7.7727931826530039E-2</v>
      </c>
      <c r="G30">
        <f>IF(COUNT(Resultados!G30,Resultados!P30)&lt;=1, "", _xlfn.STDEV.S(ABS(Resultados!G30),ABS(Resultados!P30))/SQRT(COUNT(Resultados!G30,Resultados!P30)))</f>
        <v>0</v>
      </c>
      <c r="H30">
        <f>IF(COUNT(Resultados!H30,Resultados!Q30)&lt;=1, "", _xlfn.STDEV.S(ABS(Resultados!H30),ABS(Resultados!Q30))/SQRT(COUNT(Resultados!H30,Resultados!Q30)))</f>
        <v>0</v>
      </c>
      <c r="I30">
        <f>IF(COUNT(Resultados!I30,Resultados!R30)&lt;=1, "", _xlfn.STDEV.S(ABS(Resultados!I30),ABS(Resultados!R30))/SQRT(COUNT(Resultados!I30,Resultados!R30)))</f>
        <v>3.5499999999544229E-4</v>
      </c>
    </row>
    <row r="31" spans="1:9" x14ac:dyDescent="0.3">
      <c r="A31" t="str">
        <f>IF(COUNT(Resultados!A31,Resultados!J31)&lt;=1, "", _xlfn.STDEV.S(ABS(Resultados!A31),ABS(Resultados!J31))/SQRT(COUNT(Resultados!A31,Resultados!J31)))</f>
        <v/>
      </c>
      <c r="B31" t="str">
        <f>IF(COUNT(Resultados!B31,Resultados!K31)&lt;=1, "", _xlfn.STDEV.S(ABS(Resultados!B31),ABS(Resultados!K31))/SQRT(COUNT(Resultados!B31,Resultados!K31)))</f>
        <v/>
      </c>
      <c r="C31">
        <f>IF(COUNT(Resultados!C31,Resultados!L31)&lt;=1, "", _xlfn.STDEV.S(ABS(Resultados!C31),ABS(Resultados!L31))/SQRT(COUNT(Resultados!C31,Resultados!L31)))</f>
        <v>0</v>
      </c>
      <c r="D31">
        <f>IF(COUNT(Resultados!D31,Resultados!M31)&lt;=1, "", _xlfn.STDEV.S(ABS(Resultados!D31),ABS(Resultados!M31))/SQRT(COUNT(Resultados!D31,Resultados!M31)))</f>
        <v>5.9999999999999984E-4</v>
      </c>
      <c r="E31">
        <f>IF(COUNT(Resultados!E31,Resultados!N31)&lt;=1, "", _xlfn.STDEV.S(ABS(Resultados!E31),ABS(Resultados!N31))/SQRT(COUNT(Resultados!E31,Resultados!N31)))</f>
        <v>2.0111349197993178E-4</v>
      </c>
      <c r="F31">
        <f>IF(COUNT(Resultados!F31,Resultados!O31)&lt;=1, "", _xlfn.STDEV.S(ABS(Resultados!F31),ABS(Resultados!O31))/SQRT(COUNT(Resultados!F31,Resultados!O31)))</f>
        <v>1.9085670389472398E-2</v>
      </c>
      <c r="G31">
        <f>IF(COUNT(Resultados!G31,Resultados!P31)&lt;=1, "", _xlfn.STDEV.S(ABS(Resultados!G31),ABS(Resultados!P31))/SQRT(COUNT(Resultados!G31,Resultados!P31)))</f>
        <v>0</v>
      </c>
      <c r="H31">
        <f>IF(COUNT(Resultados!H31,Resultados!Q31)&lt;=1, "", _xlfn.STDEV.S(ABS(Resultados!H31),ABS(Resultados!Q31))/SQRT(COUNT(Resultados!H31,Resultados!Q31)))</f>
        <v>0</v>
      </c>
      <c r="I31">
        <f>IF(COUNT(Resultados!I31,Resultados!R31)&lt;=1, "", _xlfn.STDEV.S(ABS(Resultados!I31),ABS(Resultados!R31))/SQRT(COUNT(Resultados!I31,Resultados!R31)))</f>
        <v>5.7499999999421902E-4</v>
      </c>
    </row>
    <row r="32" spans="1:9" x14ac:dyDescent="0.3">
      <c r="A32" t="str">
        <f>IF(COUNT(Resultados!A32,Resultados!J32)&lt;=1, "", _xlfn.STDEV.S(ABS(Resultados!A32),ABS(Resultados!J32))/SQRT(COUNT(Resultados!A32,Resultados!J32)))</f>
        <v/>
      </c>
      <c r="B32" t="str">
        <f>IF(COUNT(Resultados!B32,Resultados!K32)&lt;=1, "", _xlfn.STDEV.S(ABS(Resultados!B32),ABS(Resultados!K32))/SQRT(COUNT(Resultados!B32,Resultados!K32)))</f>
        <v/>
      </c>
      <c r="C32">
        <f>IF(COUNT(Resultados!C32,Resultados!L32)&lt;=1, "", _xlfn.STDEV.S(ABS(Resultados!C32),ABS(Resultados!L32))/SQRT(COUNT(Resultados!C32,Resultados!L32)))</f>
        <v>0</v>
      </c>
      <c r="D32">
        <f>IF(COUNT(Resultados!D32,Resultados!M32)&lt;=1, "", _xlfn.STDEV.S(ABS(Resultados!D32),ABS(Resultados!M32))/SQRT(COUNT(Resultados!D32,Resultados!M32)))</f>
        <v>8.9999999999999792E-4</v>
      </c>
      <c r="E32">
        <f>IF(COUNT(Resultados!E32,Resultados!N32)&lt;=1, "", _xlfn.STDEV.S(ABS(Resultados!E32),ABS(Resultados!N32))/SQRT(COUNT(Resultados!E32,Resultados!N32)))</f>
        <v>1.6604027211020164E-4</v>
      </c>
      <c r="F32">
        <f>IF(COUNT(Resultados!F32,Resultados!O32)&lt;=1, "", _xlfn.STDEV.S(ABS(Resultados!F32),ABS(Resultados!O32))/SQRT(COUNT(Resultados!F32,Resultados!O32)))</f>
        <v>1.5757221823491815E-2</v>
      </c>
      <c r="G32">
        <f>IF(COUNT(Resultados!G32,Resultados!P32)&lt;=1, "", _xlfn.STDEV.S(ABS(Resultados!G32),ABS(Resultados!P32))/SQRT(COUNT(Resultados!G32,Resultados!P32)))</f>
        <v>0</v>
      </c>
      <c r="H32">
        <f>IF(COUNT(Resultados!H32,Resultados!Q32)&lt;=1, "", _xlfn.STDEV.S(ABS(Resultados!H32),ABS(Resultados!Q32))/SQRT(COUNT(Resultados!H32,Resultados!Q32)))</f>
        <v>0</v>
      </c>
      <c r="I32">
        <f>IF(COUNT(Resultados!I32,Resultados!R32)&lt;=1, "", _xlfn.STDEV.S(ABS(Resultados!I32),ABS(Resultados!R32))/SQRT(COUNT(Resultados!I32,Resultados!R32)))</f>
        <v>1.4399999999987756E-3</v>
      </c>
    </row>
    <row r="33" spans="1:9" x14ac:dyDescent="0.3">
      <c r="A33" t="str">
        <f>IF(COUNT(Resultados!A33,Resultados!J33)&lt;=1, "", _xlfn.STDEV.S(ABS(Resultados!A33),ABS(Resultados!J33))/SQRT(COUNT(Resultados!A33,Resultados!J33)))</f>
        <v/>
      </c>
      <c r="B33" t="str">
        <f>IF(COUNT(Resultados!B33,Resultados!K33)&lt;=1, "", _xlfn.STDEV.S(ABS(Resultados!B33),ABS(Resultados!K33))/SQRT(COUNT(Resultados!B33,Resultados!K33)))</f>
        <v/>
      </c>
      <c r="C33">
        <f>IF(COUNT(Resultados!C33,Resultados!L33)&lt;=1, "", _xlfn.STDEV.S(ABS(Resultados!C33),ABS(Resultados!L33))/SQRT(COUNT(Resultados!C33,Resultados!L33)))</f>
        <v>0</v>
      </c>
      <c r="D33">
        <f>IF(COUNT(Resultados!D33,Resultados!M33)&lt;=1, "", _xlfn.STDEV.S(ABS(Resultados!D33),ABS(Resultados!M33))/SQRT(COUNT(Resultados!D33,Resultados!M33)))</f>
        <v>0</v>
      </c>
      <c r="E33">
        <f>IF(COUNT(Resultados!E33,Resultados!N33)&lt;=1, "", _xlfn.STDEV.S(ABS(Resultados!E33),ABS(Resultados!N33))/SQRT(COUNT(Resultados!E33,Resultados!N33)))</f>
        <v>2.0780375935469664E-4</v>
      </c>
      <c r="F33">
        <f>IF(COUNT(Resultados!F33,Resultados!O33)&lt;=1, "", _xlfn.STDEV.S(ABS(Resultados!F33),ABS(Resultados!O33))/SQRT(COUNT(Resultados!F33,Resultados!O33)))</f>
        <v>1.9367310371990243E-2</v>
      </c>
      <c r="G33">
        <f>IF(COUNT(Resultados!G33,Resultados!P33)&lt;=1, "", _xlfn.STDEV.S(ABS(Resultados!G33),ABS(Resultados!P33))/SQRT(COUNT(Resultados!G33,Resultados!P33)))</f>
        <v>0</v>
      </c>
      <c r="H33">
        <f>IF(COUNT(Resultados!H33,Resultados!Q33)&lt;=1, "", _xlfn.STDEV.S(ABS(Resultados!H33),ABS(Resultados!Q33))/SQRT(COUNT(Resultados!H33,Resultados!Q33)))</f>
        <v>0</v>
      </c>
      <c r="I33">
        <f>IF(COUNT(Resultados!I33,Resultados!R33)&lt;=1, "", _xlfn.STDEV.S(ABS(Resultados!I33),ABS(Resultados!R33))/SQRT(COUNT(Resultados!I33,Resultados!R33)))</f>
        <v>1.0249999999984991E-3</v>
      </c>
    </row>
    <row r="34" spans="1:9" x14ac:dyDescent="0.3">
      <c r="A34" t="str">
        <f>IF(COUNT(Resultados!A34,Resultados!J34)&lt;=1, "", _xlfn.STDEV.S(ABS(Resultados!A34),ABS(Resultados!J34))/SQRT(COUNT(Resultados!A34,Resultados!J34)))</f>
        <v/>
      </c>
      <c r="B34" t="str">
        <f>IF(COUNT(Resultados!B34,Resultados!K34)&lt;=1, "", _xlfn.STDEV.S(ABS(Resultados!B34),ABS(Resultados!K34))/SQRT(COUNT(Resultados!B34,Resultados!K34)))</f>
        <v/>
      </c>
      <c r="C34">
        <f>IF(COUNT(Resultados!C34,Resultados!L34)&lt;=1, "", _xlfn.STDEV.S(ABS(Resultados!C34),ABS(Resultados!L34))/SQRT(COUNT(Resultados!C34,Resultados!L34)))</f>
        <v>0</v>
      </c>
      <c r="D34">
        <f>IF(COUNT(Resultados!D34,Resultados!M34)&lt;=1, "", _xlfn.STDEV.S(ABS(Resultados!D34),ABS(Resultados!M34))/SQRT(COUNT(Resultados!D34,Resultados!M34)))</f>
        <v>4.4999999999999896E-4</v>
      </c>
      <c r="E34">
        <f>IF(COUNT(Resultados!E34,Resultados!N34)&lt;=1, "", _xlfn.STDEV.S(ABS(Resultados!E34),ABS(Resultados!N34))/SQRT(COUNT(Resultados!E34,Resultados!N34)))</f>
        <v>4.4650438985902596E-3</v>
      </c>
      <c r="F34">
        <f>IF(COUNT(Resultados!F34,Resultados!O34)&lt;=1, "", _xlfn.STDEV.S(ABS(Resultados!F34),ABS(Resultados!O34))/SQRT(COUNT(Resultados!F34,Resultados!O34)))</f>
        <v>0.41614209134900187</v>
      </c>
      <c r="G34">
        <f>IF(COUNT(Resultados!G34,Resultados!P34)&lt;=1, "", _xlfn.STDEV.S(ABS(Resultados!G34),ABS(Resultados!P34))/SQRT(COUNT(Resultados!G34,Resultados!P34)))</f>
        <v>0</v>
      </c>
      <c r="H34">
        <f>IF(COUNT(Resultados!H34,Resultados!Q34)&lt;=1, "", _xlfn.STDEV.S(ABS(Resultados!H34),ABS(Resultados!Q34))/SQRT(COUNT(Resultados!H34,Resultados!Q34)))</f>
        <v>4.9999999999997956E-5</v>
      </c>
      <c r="I34">
        <f>IF(COUNT(Resultados!I34,Resultados!R34)&lt;=1, "", _xlfn.STDEV.S(ABS(Resultados!I34),ABS(Resultados!R34))/SQRT(COUNT(Resultados!I34,Resultados!R34)))</f>
        <v>2.9799999999973177E-3</v>
      </c>
    </row>
    <row r="35" spans="1:9" x14ac:dyDescent="0.3">
      <c r="A35" t="str">
        <f>IF(COUNT(Resultados!A35,Resultados!J35)&lt;=1, "", _xlfn.STDEV.S(ABS(Resultados!A35),ABS(Resultados!J35))/SQRT(COUNT(Resultados!A35,Resultados!J35)))</f>
        <v/>
      </c>
      <c r="B35" t="str">
        <f>IF(COUNT(Resultados!B35,Resultados!K35)&lt;=1, "", _xlfn.STDEV.S(ABS(Resultados!B35),ABS(Resultados!K35))/SQRT(COUNT(Resultados!B35,Resultados!K35)))</f>
        <v/>
      </c>
      <c r="C35">
        <f>IF(COUNT(Resultados!C35,Resultados!L35)&lt;=1, "", _xlfn.STDEV.S(ABS(Resultados!C35),ABS(Resultados!L35))/SQRT(COUNT(Resultados!C35,Resultados!L35)))</f>
        <v>0</v>
      </c>
      <c r="D35">
        <f>IF(COUNT(Resultados!D35,Resultados!M35)&lt;=1, "", _xlfn.STDEV.S(ABS(Resultados!D35),ABS(Resultados!M35))/SQRT(COUNT(Resultados!D35,Resultados!M35)))</f>
        <v>9.9999999999999381E-5</v>
      </c>
      <c r="E35">
        <f>IF(COUNT(Resultados!E35,Resultados!N35)&lt;=1, "", _xlfn.STDEV.S(ABS(Resultados!E35),ABS(Resultados!N35))/SQRT(COUNT(Resultados!E35,Resultados!N35)))</f>
        <v>5.577655636489709E-3</v>
      </c>
      <c r="F35">
        <f>IF(COUNT(Resultados!F35,Resultados!O35)&lt;=1, "", _xlfn.STDEV.S(ABS(Resultados!F35),ABS(Resultados!O35))/SQRT(COUNT(Resultados!F35,Resultados!O35)))</f>
        <v>0.51983750532053818</v>
      </c>
      <c r="G35">
        <f>IF(COUNT(Resultados!G35,Resultados!P35)&lt;=1, "", _xlfn.STDEV.S(ABS(Resultados!G35),ABS(Resultados!P35))/SQRT(COUNT(Resultados!G35,Resultados!P35)))</f>
        <v>0</v>
      </c>
      <c r="H35">
        <f>IF(COUNT(Resultados!H35,Resultados!Q35)&lt;=1, "", _xlfn.STDEV.S(ABS(Resultados!H35),ABS(Resultados!Q35))/SQRT(COUNT(Resultados!H35,Resultados!Q35)))</f>
        <v>4.9999999999997956E-5</v>
      </c>
      <c r="I35">
        <f>IF(COUNT(Resultados!I35,Resultados!R35)&lt;=1, "", _xlfn.STDEV.S(ABS(Resultados!I35),ABS(Resultados!R35))/SQRT(COUNT(Resultados!I35,Resultados!R35)))</f>
        <v>1.1850000000031002E-3</v>
      </c>
    </row>
    <row r="36" spans="1:9" x14ac:dyDescent="0.3">
      <c r="A36" t="str">
        <f>IF(COUNT(Resultados!A36,Resultados!J36)&lt;=1, "", _xlfn.STDEV.S(ABS(Resultados!A36),ABS(Resultados!J36))/SQRT(COUNT(Resultados!A36,Resultados!J36)))</f>
        <v/>
      </c>
      <c r="B36" t="str">
        <f>IF(COUNT(Resultados!B36,Resultados!K36)&lt;=1, "", _xlfn.STDEV.S(ABS(Resultados!B36),ABS(Resultados!K36))/SQRT(COUNT(Resultados!B36,Resultados!K36)))</f>
        <v/>
      </c>
      <c r="C36">
        <f>IF(COUNT(Resultados!C36,Resultados!L36)&lt;=1, "", _xlfn.STDEV.S(ABS(Resultados!C36),ABS(Resultados!L36))/SQRT(COUNT(Resultados!C36,Resultados!L36)))</f>
        <v>0</v>
      </c>
      <c r="D36">
        <f>IF(COUNT(Resultados!D36,Resultados!M36)&lt;=1, "", _xlfn.STDEV.S(ABS(Resultados!D36),ABS(Resultados!M36))/SQRT(COUNT(Resultados!D36,Resultados!M36)))</f>
        <v>2.5000000000000022E-4</v>
      </c>
      <c r="E36">
        <f>IF(COUNT(Resultados!E36,Resultados!N36)&lt;=1, "", _xlfn.STDEV.S(ABS(Resultados!E36),ABS(Resultados!N36))/SQRT(COUNT(Resultados!E36,Resultados!N36)))</f>
        <v>2.6860409831304111E-3</v>
      </c>
      <c r="F36">
        <f>IF(COUNT(Resultados!F36,Resultados!O36)&lt;=1, "", _xlfn.STDEV.S(ABS(Resultados!F36),ABS(Resultados!O36))/SQRT(COUNT(Resultados!F36,Resultados!O36)))</f>
        <v>0.25033901962808613</v>
      </c>
      <c r="G36">
        <f>IF(COUNT(Resultados!G36,Resultados!P36)&lt;=1, "", _xlfn.STDEV.S(ABS(Resultados!G36),ABS(Resultados!P36))/SQRT(COUNT(Resultados!G36,Resultados!P36)))</f>
        <v>0</v>
      </c>
      <c r="H36">
        <f>IF(COUNT(Resultados!H36,Resultados!Q36)&lt;=1, "", _xlfn.STDEV.S(ABS(Resultados!H36),ABS(Resultados!Q36))/SQRT(COUNT(Resultados!H36,Resultados!Q36)))</f>
        <v>5.0000000000001425E-5</v>
      </c>
      <c r="I36">
        <f>IF(COUNT(Resultados!I36,Resultados!R36)&lt;=1, "", _xlfn.STDEV.S(ABS(Resultados!I36),ABS(Resultados!R36))/SQRT(COUNT(Resultados!I36,Resultados!R36)))</f>
        <v>9.9999999996214228E-6</v>
      </c>
    </row>
    <row r="37" spans="1:9" x14ac:dyDescent="0.3">
      <c r="A37" t="str">
        <f>IF(COUNT(Resultados!A37,Resultados!J37)&lt;=1, "", _xlfn.STDEV.S(ABS(Resultados!A37),ABS(Resultados!J37))/SQRT(COUNT(Resultados!A37,Resultados!J37)))</f>
        <v/>
      </c>
      <c r="B37" t="str">
        <f>IF(COUNT(Resultados!B37,Resultados!K37)&lt;=1, "", _xlfn.STDEV.S(ABS(Resultados!B37),ABS(Resultados!K37))/SQRT(COUNT(Resultados!B37,Resultados!K37)))</f>
        <v/>
      </c>
      <c r="C37">
        <f>IF(COUNT(Resultados!C37,Resultados!L37)&lt;=1, "", _xlfn.STDEV.S(ABS(Resultados!C37),ABS(Resultados!L37))/SQRT(COUNT(Resultados!C37,Resultados!L37)))</f>
        <v>0</v>
      </c>
      <c r="D37">
        <f>IF(COUNT(Resultados!D37,Resultados!M37)&lt;=1, "", _xlfn.STDEV.S(ABS(Resultados!D37),ABS(Resultados!M37))/SQRT(COUNT(Resultados!D37,Resultados!M37)))</f>
        <v>5.9999999999999984E-4</v>
      </c>
      <c r="E37">
        <f>IF(COUNT(Resultados!E37,Resultados!N37)&lt;=1, "", _xlfn.STDEV.S(ABS(Resultados!E37),ABS(Resultados!N37))/SQRT(COUNT(Resultados!E37,Resultados!N37)))</f>
        <v>1.3598272541504917E-2</v>
      </c>
      <c r="F37">
        <f>IF(COUNT(Resultados!F37,Resultados!O37)&lt;=1, "", _xlfn.STDEV.S(ABS(Resultados!F37),ABS(Resultados!O37))/SQRT(COUNT(Resultados!F37,Resultados!O37)))</f>
        <v>1.2673590008685094</v>
      </c>
      <c r="G37">
        <f>IF(COUNT(Resultados!G37,Resultados!P37)&lt;=1, "", _xlfn.STDEV.S(ABS(Resultados!G37),ABS(Resultados!P37))/SQRT(COUNT(Resultados!G37,Resultados!P37)))</f>
        <v>0</v>
      </c>
      <c r="H37">
        <f>IF(COUNT(Resultados!H37,Resultados!Q37)&lt;=1, "", _xlfn.STDEV.S(ABS(Resultados!H37),ABS(Resultados!Q37))/SQRT(COUNT(Resultados!H37,Resultados!Q37)))</f>
        <v>1.9999999999999876E-4</v>
      </c>
      <c r="I37">
        <f>IF(COUNT(Resultados!I37,Resultados!R37)&lt;=1, "", _xlfn.STDEV.S(ABS(Resultados!I37),ABS(Resultados!R37))/SQRT(COUNT(Resultados!I37,Resultados!R37)))</f>
        <v>5.1399999999972579E-3</v>
      </c>
    </row>
    <row r="38" spans="1:9" x14ac:dyDescent="0.3">
      <c r="A38" t="str">
        <f>IF(COUNT(Resultados!A38,Resultados!J38)&lt;=1, "", _xlfn.STDEV.S(ABS(Resultados!A38),ABS(Resultados!J38))/SQRT(COUNT(Resultados!A38,Resultados!J38)))</f>
        <v/>
      </c>
      <c r="B38" t="str">
        <f>IF(COUNT(Resultados!B38,Resultados!K38)&lt;=1, "", _xlfn.STDEV.S(ABS(Resultados!B38),ABS(Resultados!K38))/SQRT(COUNT(Resultados!B38,Resultados!K38)))</f>
        <v/>
      </c>
      <c r="C38">
        <f>IF(COUNT(Resultados!C38,Resultados!L38)&lt;=1, "", _xlfn.STDEV.S(ABS(Resultados!C38),ABS(Resultados!L38))/SQRT(COUNT(Resultados!C38,Resultados!L38)))</f>
        <v>0</v>
      </c>
      <c r="D38">
        <f>IF(COUNT(Resultados!D38,Resultados!M38)&lt;=1, "", _xlfn.STDEV.S(ABS(Resultados!D38),ABS(Resultados!M38))/SQRT(COUNT(Resultados!D38,Resultados!M38)))</f>
        <v>3.9999999999999753E-4</v>
      </c>
      <c r="E38">
        <f>IF(COUNT(Resultados!E38,Resultados!N38)&lt;=1, "", _xlfn.STDEV.S(ABS(Resultados!E38),ABS(Resultados!N38))/SQRT(COUNT(Resultados!E38,Resultados!N38)))</f>
        <v>9.2508151603976074E-4</v>
      </c>
      <c r="F38">
        <f>IF(COUNT(Resultados!F38,Resultados!O38)&lt;=1, "", _xlfn.STDEV.S(ABS(Resultados!F38),ABS(Resultados!O38))/SQRT(COUNT(Resultados!F38,Resultados!O38)))</f>
        <v>8.6217597294989887E-2</v>
      </c>
      <c r="G38">
        <f>IF(COUNT(Resultados!G38,Resultados!P38)&lt;=1, "", _xlfn.STDEV.S(ABS(Resultados!G38),ABS(Resultados!P38))/SQRT(COUNT(Resultados!G38,Resultados!P38)))</f>
        <v>0</v>
      </c>
      <c r="H38">
        <f>IF(COUNT(Resultados!H38,Resultados!Q38)&lt;=1, "", _xlfn.STDEV.S(ABS(Resultados!H38),ABS(Resultados!Q38))/SQRT(COUNT(Resultados!H38,Resultados!Q38)))</f>
        <v>4.9999999999999691E-5</v>
      </c>
      <c r="I38">
        <f>IF(COUNT(Resultados!I38,Resultados!R38)&lt;=1, "", _xlfn.STDEV.S(ABS(Resultados!I38),ABS(Resultados!R38))/SQRT(COUNT(Resultados!I38,Resultados!R38)))</f>
        <v>5.4000000000087311E-4</v>
      </c>
    </row>
    <row r="39" spans="1:9" x14ac:dyDescent="0.3">
      <c r="A39" t="str">
        <f>IF(COUNT(Resultados!A39,Resultados!J39)&lt;=1, "", _xlfn.STDEV.S(ABS(Resultados!A39),ABS(Resultados!J39))/SQRT(COUNT(Resultados!A39,Resultados!J39)))</f>
        <v/>
      </c>
      <c r="B39" t="str">
        <f>IF(COUNT(Resultados!B39,Resultados!K39)&lt;=1, "", _xlfn.STDEV.S(ABS(Resultados!B39),ABS(Resultados!K39))/SQRT(COUNT(Resultados!B39,Resultados!K39)))</f>
        <v/>
      </c>
      <c r="C39">
        <f>IF(COUNT(Resultados!C39,Resultados!L39)&lt;=1, "", _xlfn.STDEV.S(ABS(Resultados!C39),ABS(Resultados!L39))/SQRT(COUNT(Resultados!C39,Resultados!L39)))</f>
        <v>0</v>
      </c>
      <c r="D39">
        <f>IF(COUNT(Resultados!D39,Resultados!M39)&lt;=1, "", _xlfn.STDEV.S(ABS(Resultados!D39),ABS(Resultados!M39))/SQRT(COUNT(Resultados!D39,Resultados!M39)))</f>
        <v>5.4999999999999841E-4</v>
      </c>
      <c r="E39">
        <f>IF(COUNT(Resultados!E39,Resultados!N39)&lt;=1, "", _xlfn.STDEV.S(ABS(Resultados!E39),ABS(Resultados!N39))/SQRT(COUNT(Resultados!E39,Resultados!N39)))</f>
        <v>6.6953357587600229E-3</v>
      </c>
      <c r="F39">
        <f>IF(COUNT(Resultados!F39,Resultados!O39)&lt;=1, "", _xlfn.STDEV.S(ABS(Resultados!F39),ABS(Resultados!O39))/SQRT(COUNT(Resultados!F39,Resultados!O39)))</f>
        <v>0.62400529271656069</v>
      </c>
      <c r="G39">
        <f>IF(COUNT(Resultados!G39,Resultados!P39)&lt;=1, "", _xlfn.STDEV.S(ABS(Resultados!G39),ABS(Resultados!P39))/SQRT(COUNT(Resultados!G39,Resultados!P39)))</f>
        <v>0</v>
      </c>
      <c r="H39">
        <f>IF(COUNT(Resultados!H39,Resultados!Q39)&lt;=1, "", _xlfn.STDEV.S(ABS(Resultados!H39),ABS(Resultados!Q39))/SQRT(COUNT(Resultados!H39,Resultados!Q39)))</f>
        <v>1.0000000000000026E-4</v>
      </c>
      <c r="I39">
        <f>IF(COUNT(Resultados!I39,Resultados!R39)&lt;=1, "", _xlfn.STDEV.S(ABS(Resultados!I39),ABS(Resultados!R39))/SQRT(COUNT(Resultados!I39,Resultados!R39)))</f>
        <v>1.9450000000027499E-3</v>
      </c>
    </row>
    <row r="40" spans="1:9" x14ac:dyDescent="0.3">
      <c r="A40" t="str">
        <f>IF(COUNT(Resultados!A40,Resultados!J40)&lt;=1, "", _xlfn.STDEV.S(ABS(Resultados!A40),ABS(Resultados!J40))/SQRT(COUNT(Resultados!A40,Resultados!J40)))</f>
        <v/>
      </c>
      <c r="B40" t="str">
        <f>IF(COUNT(Resultados!B40,Resultados!K40)&lt;=1, "", _xlfn.STDEV.S(ABS(Resultados!B40),ABS(Resultados!K40))/SQRT(COUNT(Resultados!B40,Resultados!K40)))</f>
        <v/>
      </c>
      <c r="C40">
        <f>IF(COUNT(Resultados!C40,Resultados!L40)&lt;=1, "", _xlfn.STDEV.S(ABS(Resultados!C40),ABS(Resultados!L40))/SQRT(COUNT(Resultados!C40,Resultados!L40)))</f>
        <v>0</v>
      </c>
      <c r="D40">
        <f>IF(COUNT(Resultados!D40,Resultados!M40)&lt;=1, "", _xlfn.STDEV.S(ABS(Resultados!D40),ABS(Resultados!M40))/SQRT(COUNT(Resultados!D40,Resultados!M40)))</f>
        <v>9.9999999999999381E-5</v>
      </c>
      <c r="E40">
        <f>IF(COUNT(Resultados!E40,Resultados!N40)&lt;=1, "", _xlfn.STDEV.S(ABS(Resultados!E40),ABS(Resultados!N40))/SQRT(COUNT(Resultados!E40,Resultados!N40)))</f>
        <v>4.6523713850987741E-4</v>
      </c>
      <c r="F40">
        <f>IF(COUNT(Resultados!F40,Resultados!O40)&lt;=1, "", _xlfn.STDEV.S(ABS(Resultados!F40),ABS(Resultados!O40))/SQRT(COUNT(Resultados!F40,Resultados!O40)))</f>
        <v>4.3360101309531267E-2</v>
      </c>
      <c r="G40">
        <f>IF(COUNT(Resultados!G40,Resultados!P40)&lt;=1, "", _xlfn.STDEV.S(ABS(Resultados!G40),ABS(Resultados!P40))/SQRT(COUNT(Resultados!G40,Resultados!P40)))</f>
        <v>0</v>
      </c>
      <c r="H40">
        <f>IF(COUNT(Resultados!H40,Resultados!Q40)&lt;=1, "", _xlfn.STDEV.S(ABS(Resultados!H40),ABS(Resultados!Q40))/SQRT(COUNT(Resultados!H40,Resultados!Q40)))</f>
        <v>0</v>
      </c>
      <c r="I40">
        <f>IF(COUNT(Resultados!I40,Resultados!R40)&lt;=1, "", _xlfn.STDEV.S(ABS(Resultados!I40),ABS(Resultados!R40))/SQRT(COUNT(Resultados!I40,Resultados!R40)))</f>
        <v>5.6999999999618467E-4</v>
      </c>
    </row>
    <row r="41" spans="1:9" x14ac:dyDescent="0.3">
      <c r="A41" t="str">
        <f>IF(COUNT(Resultados!A41,Resultados!J41)&lt;=1, "", _xlfn.STDEV.S(ABS(Resultados!A41),ABS(Resultados!J41))/SQRT(COUNT(Resultados!A41,Resultados!J41)))</f>
        <v/>
      </c>
      <c r="B41" t="str">
        <f>IF(COUNT(Resultados!B41,Resultados!K41)&lt;=1, "", _xlfn.STDEV.S(ABS(Resultados!B41),ABS(Resultados!K41))/SQRT(COUNT(Resultados!B41,Resultados!K41)))</f>
        <v/>
      </c>
      <c r="C41">
        <f>IF(COUNT(Resultados!C41,Resultados!L41)&lt;=1, "", _xlfn.STDEV.S(ABS(Resultados!C41),ABS(Resultados!L41))/SQRT(COUNT(Resultados!C41,Resultados!L41)))</f>
        <v>0</v>
      </c>
      <c r="D41">
        <f>IF(COUNT(Resultados!D41,Resultados!M41)&lt;=1, "", _xlfn.STDEV.S(ABS(Resultados!D41),ABS(Resultados!M41))/SQRT(COUNT(Resultados!D41,Resultados!M41)))</f>
        <v>5.5000000000000014E-4</v>
      </c>
      <c r="E41">
        <f>IF(COUNT(Resultados!E41,Resultados!N41)&lt;=1, "", _xlfn.STDEV.S(ABS(Resultados!E41),ABS(Resultados!N41))/SQRT(COUNT(Resultados!E41,Resultados!N41)))</f>
        <v>1.0323893500157053E-3</v>
      </c>
      <c r="F41">
        <f>IF(COUNT(Resultados!F41,Resultados!O41)&lt;=1, "", _xlfn.STDEV.S(ABS(Resultados!F41),ABS(Resultados!O41))/SQRT(COUNT(Resultados!F41,Resultados!O41)))</f>
        <v>9.621868742146944E-2</v>
      </c>
      <c r="G41">
        <f>IF(COUNT(Resultados!G41,Resultados!P41)&lt;=1, "", _xlfn.STDEV.S(ABS(Resultados!G41),ABS(Resultados!P41))/SQRT(COUNT(Resultados!G41,Resultados!P41)))</f>
        <v>0</v>
      </c>
      <c r="H41">
        <f>IF(COUNT(Resultados!H41,Resultados!Q41)&lt;=1, "", _xlfn.STDEV.S(ABS(Resultados!H41),ABS(Resultados!Q41))/SQRT(COUNT(Resultados!H41,Resultados!Q41)))</f>
        <v>0</v>
      </c>
      <c r="I41">
        <f>IF(COUNT(Resultados!I41,Resultados!R41)&lt;=1, "", _xlfn.STDEV.S(ABS(Resultados!I41),ABS(Resultados!R41))/SQRT(COUNT(Resultados!I41,Resultados!R41)))</f>
        <v>6.0000000000570708E-4</v>
      </c>
    </row>
    <row r="42" spans="1:9" x14ac:dyDescent="0.3">
      <c r="A42" t="str">
        <f>IF(COUNT(Resultados!A42,Resultados!J42)&lt;=1, "", _xlfn.STDEV.S(ABS(Resultados!A42),ABS(Resultados!J42))/SQRT(COUNT(Resultados!A42,Resultados!J42)))</f>
        <v/>
      </c>
      <c r="B42" t="str">
        <f>IF(COUNT(Resultados!B42,Resultados!K42)&lt;=1, "", _xlfn.STDEV.S(ABS(Resultados!B42),ABS(Resultados!K42))/SQRT(COUNT(Resultados!B42,Resultados!K42)))</f>
        <v/>
      </c>
      <c r="C42">
        <f>IF(COUNT(Resultados!C42,Resultados!L42)&lt;=1, "", _xlfn.STDEV.S(ABS(Resultados!C42),ABS(Resultados!L42))/SQRT(COUNT(Resultados!C42,Resultados!L42)))</f>
        <v>0</v>
      </c>
      <c r="D42">
        <f>IF(COUNT(Resultados!D42,Resultados!M42)&lt;=1, "", _xlfn.STDEV.S(ABS(Resultados!D42),ABS(Resultados!M42))/SQRT(COUNT(Resultados!D42,Resultados!M42)))</f>
        <v>2.4999999999999979E-4</v>
      </c>
      <c r="E42">
        <f>IF(COUNT(Resultados!E42,Resultados!N42)&lt;=1, "", _xlfn.STDEV.S(ABS(Resultados!E42),ABS(Resultados!N42))/SQRT(COUNT(Resultados!E42,Resultados!N42)))</f>
        <v>5.5646805724229857E-5</v>
      </c>
      <c r="F42">
        <f>IF(COUNT(Resultados!F42,Resultados!O42)&lt;=1, "", _xlfn.STDEV.S(ABS(Resultados!F42),ABS(Resultados!O42))/SQRT(COUNT(Resultados!F42,Resultados!O42)))</f>
        <v>5.1862822934936039E-3</v>
      </c>
      <c r="G42">
        <f>IF(COUNT(Resultados!G42,Resultados!P42)&lt;=1, "", _xlfn.STDEV.S(ABS(Resultados!G42),ABS(Resultados!P42))/SQRT(COUNT(Resultados!G42,Resultados!P42)))</f>
        <v>0</v>
      </c>
      <c r="H42">
        <f>IF(COUNT(Resultados!H42,Resultados!Q42)&lt;=1, "", _xlfn.STDEV.S(ABS(Resultados!H42),ABS(Resultados!Q42))/SQRT(COUNT(Resultados!H42,Resultados!Q42)))</f>
        <v>0</v>
      </c>
      <c r="I42">
        <f>IF(COUNT(Resultados!I42,Resultados!R42)&lt;=1, "", _xlfn.STDEV.S(ABS(Resultados!I42),ABS(Resultados!R42))/SQRT(COUNT(Resultados!I42,Resultados!R42)))</f>
        <v>1.0499999999993292E-3</v>
      </c>
    </row>
    <row r="43" spans="1:9" x14ac:dyDescent="0.3">
      <c r="A43" t="str">
        <f>IF(COUNT(Resultados!A43,Resultados!J43)&lt;=1, "", _xlfn.STDEV.S(ABS(Resultados!A43),ABS(Resultados!J43))/SQRT(COUNT(Resultados!A43,Resultados!J43)))</f>
        <v/>
      </c>
      <c r="B43" t="str">
        <f>IF(COUNT(Resultados!B43,Resultados!K43)&lt;=1, "", _xlfn.STDEV.S(ABS(Resultados!B43),ABS(Resultados!K43))/SQRT(COUNT(Resultados!B43,Resultados!K43)))</f>
        <v/>
      </c>
      <c r="C43">
        <f>IF(COUNT(Resultados!C43,Resultados!L43)&lt;=1, "", _xlfn.STDEV.S(ABS(Resultados!C43),ABS(Resultados!L43))/SQRT(COUNT(Resultados!C43,Resultados!L43)))</f>
        <v>0</v>
      </c>
      <c r="D43">
        <f>IF(COUNT(Resultados!D43,Resultados!M43)&lt;=1, "", _xlfn.STDEV.S(ABS(Resultados!D43),ABS(Resultados!M43))/SQRT(COUNT(Resultados!D43,Resultados!M43)))</f>
        <v>0</v>
      </c>
      <c r="E43">
        <f>IF(COUNT(Resultados!E43,Resultados!N43)&lt;=1, "", _xlfn.STDEV.S(ABS(Resultados!E43),ABS(Resultados!N43))/SQRT(COUNT(Resultados!E43,Resultados!N43)))</f>
        <v>1.0930477742148168E-3</v>
      </c>
      <c r="F43">
        <f>IF(COUNT(Resultados!F43,Resultados!O43)&lt;=1, "", _xlfn.STDEV.S(ABS(Resultados!F43),ABS(Resultados!O43))/SQRT(COUNT(Resultados!F43,Resultados!O43)))</f>
        <v>0.10373023377303525</v>
      </c>
      <c r="G43">
        <f>IF(COUNT(Resultados!G43,Resultados!P43)&lt;=1, "", _xlfn.STDEV.S(ABS(Resultados!G43),ABS(Resultados!P43))/SQRT(COUNT(Resultados!G43,Resultados!P43)))</f>
        <v>0</v>
      </c>
      <c r="H43">
        <f>IF(COUNT(Resultados!H43,Resultados!Q43)&lt;=1, "", _xlfn.STDEV.S(ABS(Resultados!H43),ABS(Resultados!Q43))/SQRT(COUNT(Resultados!H43,Resultados!Q43)))</f>
        <v>0</v>
      </c>
      <c r="I43">
        <f>IF(COUNT(Resultados!I43,Resultados!R43)&lt;=1, "", _xlfn.STDEV.S(ABS(Resultados!I43),ABS(Resultados!R43))/SQRT(COUNT(Resultados!I43,Resultados!R43)))</f>
        <v>2.5000000000829914E-5</v>
      </c>
    </row>
    <row r="44" spans="1:9" x14ac:dyDescent="0.3">
      <c r="A44" t="str">
        <f>IF(COUNT(Resultados!A44,Resultados!J44)&lt;=1, "", _xlfn.STDEV.S(ABS(Resultados!A44),ABS(Resultados!J44))/SQRT(COUNT(Resultados!A44,Resultados!J44)))</f>
        <v/>
      </c>
      <c r="B44" t="str">
        <f>IF(COUNT(Resultados!B44,Resultados!K44)&lt;=1, "", _xlfn.STDEV.S(ABS(Resultados!B44),ABS(Resultados!K44))/SQRT(COUNT(Resultados!B44,Resultados!K44)))</f>
        <v/>
      </c>
      <c r="C44">
        <f>IF(COUNT(Resultados!C44,Resultados!L44)&lt;=1, "", _xlfn.STDEV.S(ABS(Resultados!C44),ABS(Resultados!L44))/SQRT(COUNT(Resultados!C44,Resultados!L44)))</f>
        <v>0</v>
      </c>
      <c r="D44">
        <f>IF(COUNT(Resultados!D44,Resultados!M44)&lt;=1, "", _xlfn.STDEV.S(ABS(Resultados!D44),ABS(Resultados!M44))/SQRT(COUNT(Resultados!D44,Resultados!M44)))</f>
        <v>1.5000000000000001E-4</v>
      </c>
      <c r="E44">
        <f>IF(COUNT(Resultados!E44,Resultados!N44)&lt;=1, "", _xlfn.STDEV.S(ABS(Resultados!E44),ABS(Resultados!N44))/SQRT(COUNT(Resultados!E44,Resultados!N44)))</f>
        <v>1.4434758698698145E-3</v>
      </c>
      <c r="F44">
        <f>IF(COUNT(Resultados!F44,Resultados!O44)&lt;=1, "", _xlfn.STDEV.S(ABS(Resultados!F44),ABS(Resultados!O44))/SQRT(COUNT(Resultados!F44,Resultados!O44)))</f>
        <v>0.13698586005045851</v>
      </c>
      <c r="G44">
        <f>IF(COUNT(Resultados!G44,Resultados!P44)&lt;=1, "", _xlfn.STDEV.S(ABS(Resultados!G44),ABS(Resultados!P44))/SQRT(COUNT(Resultados!G44,Resultados!P44)))</f>
        <v>0</v>
      </c>
      <c r="H44">
        <f>IF(COUNT(Resultados!H44,Resultados!Q44)&lt;=1, "", _xlfn.STDEV.S(ABS(Resultados!H44),ABS(Resultados!Q44))/SQRT(COUNT(Resultados!H44,Resultados!Q44)))</f>
        <v>4.9999999999999691E-5</v>
      </c>
      <c r="I44">
        <f>IF(COUNT(Resultados!I44,Resultados!R44)&lt;=1, "", _xlfn.STDEV.S(ABS(Resultados!I44),ABS(Resultados!R44))/SQRT(COUNT(Resultados!I44,Resultados!R44)))</f>
        <v>1.6499999999908255E-4</v>
      </c>
    </row>
    <row r="45" spans="1:9" x14ac:dyDescent="0.3">
      <c r="A45" t="str">
        <f>IF(COUNT(Resultados!A45,Resultados!J45)&lt;=1, "", _xlfn.STDEV.S(ABS(Resultados!A45),ABS(Resultados!J45))/SQRT(COUNT(Resultados!A45,Resultados!J45)))</f>
        <v/>
      </c>
      <c r="B45" t="str">
        <f>IF(COUNT(Resultados!B45,Resultados!K45)&lt;=1, "", _xlfn.STDEV.S(ABS(Resultados!B45),ABS(Resultados!K45))/SQRT(COUNT(Resultados!B45,Resultados!K45)))</f>
        <v/>
      </c>
      <c r="C45">
        <f>IF(COUNT(Resultados!C45,Resultados!L45)&lt;=1, "", _xlfn.STDEV.S(ABS(Resultados!C45),ABS(Resultados!L45))/SQRT(COUNT(Resultados!C45,Resultados!L45)))</f>
        <v>0</v>
      </c>
      <c r="D45">
        <f>IF(COUNT(Resultados!D45,Resultados!M45)&lt;=1, "", _xlfn.STDEV.S(ABS(Resultados!D45),ABS(Resultados!M45))/SQRT(COUNT(Resultados!D45,Resultados!M45)))</f>
        <v>3.5000000000000043E-4</v>
      </c>
      <c r="E45">
        <f>IF(COUNT(Resultados!E45,Resultados!N45)&lt;=1, "", _xlfn.STDEV.S(ABS(Resultados!E45),ABS(Resultados!N45))/SQRT(COUNT(Resultados!E45,Resultados!N45)))</f>
        <v>5.5628559541194269E-3</v>
      </c>
      <c r="F45">
        <f>IF(COUNT(Resultados!F45,Resultados!O45)&lt;=1, "", _xlfn.STDEV.S(ABS(Resultados!F45),ABS(Resultados!O45))/SQRT(COUNT(Resultados!F45,Resultados!O45)))</f>
        <v>0.52791503004596052</v>
      </c>
      <c r="G45">
        <f>IF(COUNT(Resultados!G45,Resultados!P45)&lt;=1, "", _xlfn.STDEV.S(ABS(Resultados!G45),ABS(Resultados!P45))/SQRT(COUNT(Resultados!G45,Resultados!P45)))</f>
        <v>0</v>
      </c>
      <c r="H45">
        <f>IF(COUNT(Resultados!H45,Resultados!Q45)&lt;=1, "", _xlfn.STDEV.S(ABS(Resultados!H45),ABS(Resultados!Q45))/SQRT(COUNT(Resultados!H45,Resultados!Q45)))</f>
        <v>5.0000000000000565E-5</v>
      </c>
      <c r="I45">
        <f>IF(COUNT(Resultados!I45,Resultados!R45)&lt;=1, "", _xlfn.STDEV.S(ABS(Resultados!I45),ABS(Resultados!R45))/SQRT(COUNT(Resultados!I45,Resultados!R45)))</f>
        <v>2.8899999999971726E-3</v>
      </c>
    </row>
    <row r="46" spans="1:9" x14ac:dyDescent="0.3">
      <c r="A46" t="str">
        <f>IF(COUNT(Resultados!A46,Resultados!J46)&lt;=1, "", _xlfn.STDEV.S(ABS(Resultados!A46),ABS(Resultados!J46))/SQRT(COUNT(Resultados!A46,Resultados!J46)))</f>
        <v/>
      </c>
      <c r="B46" t="str">
        <f>IF(COUNT(Resultados!B46,Resultados!K46)&lt;=1, "", _xlfn.STDEV.S(ABS(Resultados!B46),ABS(Resultados!K46))/SQRT(COUNT(Resultados!B46,Resultados!K46)))</f>
        <v/>
      </c>
      <c r="C46">
        <f>IF(COUNT(Resultados!C46,Resultados!L46)&lt;=1, "", _xlfn.STDEV.S(ABS(Resultados!C46),ABS(Resultados!L46))/SQRT(COUNT(Resultados!C46,Resultados!L46)))</f>
        <v>0</v>
      </c>
      <c r="D46">
        <f>IF(COUNT(Resultados!D46,Resultados!M46)&lt;=1, "", _xlfn.STDEV.S(ABS(Resultados!D46),ABS(Resultados!M46))/SQRT(COUNT(Resultados!D46,Resultados!M46)))</f>
        <v>8.0000000000000026E-4</v>
      </c>
      <c r="E46">
        <f>IF(COUNT(Resultados!E46,Resultados!N46)&lt;=1, "", _xlfn.STDEV.S(ABS(Resultados!E46),ABS(Resultados!N46))/SQRT(COUNT(Resultados!E46,Resultados!N46)))</f>
        <v>3.8133307621759371E-2</v>
      </c>
      <c r="F46">
        <f>IF(COUNT(Resultados!F46,Resultados!O46)&lt;=1, "", _xlfn.STDEV.S(ABS(Resultados!F46),ABS(Resultados!O46))/SQRT(COUNT(Resultados!F46,Resultados!O46)))</f>
        <v>3.6188508933055341</v>
      </c>
      <c r="G46">
        <f>IF(COUNT(Resultados!G46,Resultados!P46)&lt;=1, "", _xlfn.STDEV.S(ABS(Resultados!G46),ABS(Resultados!P46))/SQRT(COUNT(Resultados!G46,Resultados!P46)))</f>
        <v>0</v>
      </c>
      <c r="H46">
        <f>IF(COUNT(Resultados!H46,Resultados!Q46)&lt;=1, "", _xlfn.STDEV.S(ABS(Resultados!H46),ABS(Resultados!Q46))/SQRT(COUNT(Resultados!H46,Resultados!Q46)))</f>
        <v>5.9999999999999973E-4</v>
      </c>
      <c r="I46">
        <f>IF(COUNT(Resultados!I46,Resultados!R46)&lt;=1, "", _xlfn.STDEV.S(ABS(Resultados!I46),ABS(Resultados!R46))/SQRT(COUNT(Resultados!I46,Resultados!R46)))</f>
        <v>1.1379999999999056E-2</v>
      </c>
    </row>
    <row r="47" spans="1:9" x14ac:dyDescent="0.3">
      <c r="A47" t="str">
        <f>IF(COUNT(Resultados!A47,Resultados!J47)&lt;=1, "", _xlfn.STDEV.S(ABS(Resultados!A47),ABS(Resultados!J47))/SQRT(COUNT(Resultados!A47,Resultados!J47)))</f>
        <v/>
      </c>
      <c r="B47" t="str">
        <f>IF(COUNT(Resultados!B47,Resultados!K47)&lt;=1, "", _xlfn.STDEV.S(ABS(Resultados!B47),ABS(Resultados!K47))/SQRT(COUNT(Resultados!B47,Resultados!K47)))</f>
        <v/>
      </c>
      <c r="C47">
        <f>IF(COUNT(Resultados!C47,Resultados!L47)&lt;=1, "", _xlfn.STDEV.S(ABS(Resultados!C47),ABS(Resultados!L47))/SQRT(COUNT(Resultados!C47,Resultados!L47)))</f>
        <v>0</v>
      </c>
      <c r="D47">
        <f>IF(COUNT(Resultados!D47,Resultados!M47)&lt;=1, "", _xlfn.STDEV.S(ABS(Resultados!D47),ABS(Resultados!M47))/SQRT(COUNT(Resultados!D47,Resultados!M47)))</f>
        <v>3.4999999999999962E-4</v>
      </c>
      <c r="E47">
        <f>IF(COUNT(Resultados!E47,Resultados!N47)&lt;=1, "", _xlfn.STDEV.S(ABS(Resultados!E47),ABS(Resultados!N47))/SQRT(COUNT(Resultados!E47,Resultados!N47)))</f>
        <v>1.9953215605701402E-3</v>
      </c>
      <c r="F47">
        <f>IF(COUNT(Resultados!F47,Resultados!O47)&lt;=1, "", _xlfn.STDEV.S(ABS(Resultados!F47),ABS(Resultados!O47))/SQRT(COUNT(Resultados!F47,Resultados!O47)))</f>
        <v>0.18935601609746297</v>
      </c>
      <c r="G47">
        <f>IF(COUNT(Resultados!G47,Resultados!P47)&lt;=1, "", _xlfn.STDEV.S(ABS(Resultados!G47),ABS(Resultados!P47))/SQRT(COUNT(Resultados!G47,Resultados!P47)))</f>
        <v>0</v>
      </c>
      <c r="H47">
        <f>IF(COUNT(Resultados!H47,Resultados!Q47)&lt;=1, "", _xlfn.STDEV.S(ABS(Resultados!H47),ABS(Resultados!Q47))/SQRT(COUNT(Resultados!H47,Resultados!Q47)))</f>
        <v>4.9999999999997956E-5</v>
      </c>
      <c r="I47">
        <f>IF(COUNT(Resultados!I47,Resultados!R47)&lt;=1, "", _xlfn.STDEV.S(ABS(Resultados!I47),ABS(Resultados!R47))/SQRT(COUNT(Resultados!I47,Resultados!R47)))</f>
        <v>1.4849999999988484E-3</v>
      </c>
    </row>
    <row r="48" spans="1:9" x14ac:dyDescent="0.3">
      <c r="A48" t="str">
        <f>IF(COUNT(Resultados!A48,Resultados!J48)&lt;=1, "", _xlfn.STDEV.S(ABS(Resultados!A48),ABS(Resultados!J48))/SQRT(COUNT(Resultados!A48,Resultados!J48)))</f>
        <v/>
      </c>
      <c r="B48" t="str">
        <f>IF(COUNT(Resultados!B48,Resultados!K48)&lt;=1, "", _xlfn.STDEV.S(ABS(Resultados!B48),ABS(Resultados!K48))/SQRT(COUNT(Resultados!B48,Resultados!K48)))</f>
        <v/>
      </c>
      <c r="C48">
        <f>IF(COUNT(Resultados!C48,Resultados!L48)&lt;=1, "", _xlfn.STDEV.S(ABS(Resultados!C48),ABS(Resultados!L48))/SQRT(COUNT(Resultados!C48,Resultados!L48)))</f>
        <v>0</v>
      </c>
      <c r="D48">
        <f>IF(COUNT(Resultados!D48,Resultados!M48)&lt;=1, "", _xlfn.STDEV.S(ABS(Resultados!D48),ABS(Resultados!M48))/SQRT(COUNT(Resultados!D48,Resultados!M48)))</f>
        <v>4.5000000000000075E-4</v>
      </c>
      <c r="E48">
        <f>IF(COUNT(Resultados!E48,Resultados!N48)&lt;=1, "", _xlfn.STDEV.S(ABS(Resultados!E48),ABS(Resultados!N48))/SQRT(COUNT(Resultados!E48,Resultados!N48)))</f>
        <v>7.9634455292509898E-4</v>
      </c>
      <c r="F48">
        <f>IF(COUNT(Resultados!F48,Resultados!O48)&lt;=1, "", _xlfn.STDEV.S(ABS(Resultados!F48),ABS(Resultados!O48))/SQRT(COUNT(Resultados!F48,Resultados!O48)))</f>
        <v>7.5573098072482026E-2</v>
      </c>
      <c r="G48">
        <f>IF(COUNT(Resultados!G48,Resultados!P48)&lt;=1, "", _xlfn.STDEV.S(ABS(Resultados!G48),ABS(Resultados!P48))/SQRT(COUNT(Resultados!G48,Resultados!P48)))</f>
        <v>0</v>
      </c>
      <c r="H48">
        <f>IF(COUNT(Resultados!H48,Resultados!Q48)&lt;=1, "", _xlfn.STDEV.S(ABS(Resultados!H48),ABS(Resultados!Q48))/SQRT(COUNT(Resultados!H48,Resultados!Q48)))</f>
        <v>0</v>
      </c>
      <c r="I48">
        <f>IF(COUNT(Resultados!I48,Resultados!R48)&lt;=1, "", _xlfn.STDEV.S(ABS(Resultados!I48),ABS(Resultados!R48))/SQRT(COUNT(Resultados!I48,Resultados!R48)))</f>
        <v>5.8500000000094587E-4</v>
      </c>
    </row>
    <row r="49" spans="1:9" x14ac:dyDescent="0.3">
      <c r="A49" t="str">
        <f>IF(COUNT(Resultados!A49,Resultados!J49)&lt;=1, "", _xlfn.STDEV.S(ABS(Resultados!A49),ABS(Resultados!J49))/SQRT(COUNT(Resultados!A49,Resultados!J49)))</f>
        <v/>
      </c>
      <c r="B49" t="str">
        <f>IF(COUNT(Resultados!B49,Resultados!K49)&lt;=1, "", _xlfn.STDEV.S(ABS(Resultados!B49),ABS(Resultados!K49))/SQRT(COUNT(Resultados!B49,Resultados!K49)))</f>
        <v/>
      </c>
      <c r="C49">
        <f>IF(COUNT(Resultados!C49,Resultados!L49)&lt;=1, "", _xlfn.STDEV.S(ABS(Resultados!C49),ABS(Resultados!L49))/SQRT(COUNT(Resultados!C49,Resultados!L49)))</f>
        <v>0</v>
      </c>
      <c r="D49">
        <f>IF(COUNT(Resultados!D49,Resultados!M49)&lt;=1, "", _xlfn.STDEV.S(ABS(Resultados!D49),ABS(Resultados!M49))/SQRT(COUNT(Resultados!D49,Resultados!M49)))</f>
        <v>2.9999999999999818E-4</v>
      </c>
      <c r="E49">
        <f>IF(COUNT(Resultados!E49,Resultados!N49)&lt;=1, "", _xlfn.STDEV.S(ABS(Resultados!E49),ABS(Resultados!N49))/SQRT(COUNT(Resultados!E49,Resultados!N49)))</f>
        <v>3.128004100590331E-3</v>
      </c>
      <c r="F49">
        <f>IF(COUNT(Resultados!F49,Resultados!O49)&lt;=1, "", _xlfn.STDEV.S(ABS(Resultados!F49),ABS(Resultados!O49))/SQRT(COUNT(Resultados!F49,Resultados!O49)))</f>
        <v>0.29684758914606846</v>
      </c>
      <c r="G49">
        <f>IF(COUNT(Resultados!G49,Resultados!P49)&lt;=1, "", _xlfn.STDEV.S(ABS(Resultados!G49),ABS(Resultados!P49))/SQRT(COUNT(Resultados!G49,Resultados!P49)))</f>
        <v>0</v>
      </c>
      <c r="H49">
        <f>IF(COUNT(Resultados!H49,Resultados!Q49)&lt;=1, "", _xlfn.STDEV.S(ABS(Resultados!H49),ABS(Resultados!Q49))/SQRT(COUNT(Resultados!H49,Resultados!Q49)))</f>
        <v>4.9999999999997956E-5</v>
      </c>
      <c r="I49">
        <f>IF(COUNT(Resultados!I49,Resultados!R49)&lt;=1, "", _xlfn.STDEV.S(ABS(Resultados!I49),ABS(Resultados!R49))/SQRT(COUNT(Resultados!I49,Resultados!R49)))</f>
        <v>2.1599999999999397E-3</v>
      </c>
    </row>
    <row r="50" spans="1:9" x14ac:dyDescent="0.3">
      <c r="A50" t="str">
        <f>IF(COUNT(Resultados!A50,Resultados!J50)&lt;=1, "", _xlfn.STDEV.S(ABS(Resultados!A50),ABS(Resultados!J50))/SQRT(COUNT(Resultados!A50,Resultados!J50)))</f>
        <v/>
      </c>
      <c r="B50" t="str">
        <f>IF(COUNT(Resultados!B50,Resultados!K50)&lt;=1, "", _xlfn.STDEV.S(ABS(Resultados!B50),ABS(Resultados!K50))/SQRT(COUNT(Resultados!B50,Resultados!K50)))</f>
        <v/>
      </c>
      <c r="C50">
        <f>IF(COUNT(Resultados!C50,Resultados!L50)&lt;=1, "", _xlfn.STDEV.S(ABS(Resultados!C50),ABS(Resultados!L50))/SQRT(COUNT(Resultados!C50,Resultados!L50)))</f>
        <v>0</v>
      </c>
      <c r="D50">
        <f>IF(COUNT(Resultados!D50,Resultados!M50)&lt;=1, "", _xlfn.STDEV.S(ABS(Resultados!D50),ABS(Resultados!M50))/SQRT(COUNT(Resultados!D50,Resultados!M50)))</f>
        <v>9.0000000000000149E-4</v>
      </c>
      <c r="E50">
        <f>IF(COUNT(Resultados!E50,Resultados!N50)&lt;=1, "", _xlfn.STDEV.S(ABS(Resultados!E50),ABS(Resultados!N50))/SQRT(COUNT(Resultados!E50,Resultados!N50)))</f>
        <v>1.2737863610050582E-3</v>
      </c>
      <c r="F50">
        <f>IF(COUNT(Resultados!F50,Resultados!O50)&lt;=1, "", _xlfn.STDEV.S(ABS(Resultados!F50),ABS(Resultados!O50))/SQRT(COUNT(Resultados!F50,Resultados!O50)))</f>
        <v>0.12088232565952239</v>
      </c>
      <c r="G50">
        <f>IF(COUNT(Resultados!G50,Resultados!P50)&lt;=1, "", _xlfn.STDEV.S(ABS(Resultados!G50),ABS(Resultados!P50))/SQRT(COUNT(Resultados!G50,Resultados!P50)))</f>
        <v>0</v>
      </c>
      <c r="H50">
        <f>IF(COUNT(Resultados!H50,Resultados!Q50)&lt;=1, "", _xlfn.STDEV.S(ABS(Resultados!H50),ABS(Resultados!Q50))/SQRT(COUNT(Resultados!H50,Resultados!Q50)))</f>
        <v>0</v>
      </c>
      <c r="I50">
        <f>IF(COUNT(Resultados!I50,Resultados!R50)&lt;=1, "", _xlfn.STDEV.S(ABS(Resultados!I50),ABS(Resultados!R50))/SQRT(COUNT(Resultados!I50,Resultados!R50)))</f>
        <v>7.4999999998937028E-5</v>
      </c>
    </row>
    <row r="51" spans="1:9" x14ac:dyDescent="0.3">
      <c r="A51" t="str">
        <f>IF(COUNT(Resultados!A51,Resultados!J51)&lt;=1, "", _xlfn.STDEV.S(ABS(Resultados!A51),ABS(Resultados!J51))/SQRT(COUNT(Resultados!A51,Resultados!J51)))</f>
        <v/>
      </c>
      <c r="B51" t="str">
        <f>IF(COUNT(Resultados!B51,Resultados!K51)&lt;=1, "", _xlfn.STDEV.S(ABS(Resultados!B51),ABS(Resultados!K51))/SQRT(COUNT(Resultados!B51,Resultados!K51)))</f>
        <v/>
      </c>
      <c r="C51">
        <f>IF(COUNT(Resultados!C51,Resultados!L51)&lt;=1, "", _xlfn.STDEV.S(ABS(Resultados!C51),ABS(Resultados!L51))/SQRT(COUNT(Resultados!C51,Resultados!L51)))</f>
        <v>0</v>
      </c>
      <c r="D51">
        <f>IF(COUNT(Resultados!D51,Resultados!M51)&lt;=1, "", _xlfn.STDEV.S(ABS(Resultados!D51),ABS(Resultados!M51))/SQRT(COUNT(Resultados!D51,Resultados!M51)))</f>
        <v>3.000000000000016E-4</v>
      </c>
      <c r="E51">
        <f>IF(COUNT(Resultados!E51,Resultados!N51)&lt;=1, "", _xlfn.STDEV.S(ABS(Resultados!E51),ABS(Resultados!N51))/SQRT(COUNT(Resultados!E51,Resultados!N51)))</f>
        <v>1.694867734842731E-4</v>
      </c>
      <c r="F51">
        <f>IF(COUNT(Resultados!F51,Resultados!O51)&lt;=1, "", _xlfn.STDEV.S(ABS(Resultados!F51),ABS(Resultados!O51))/SQRT(COUNT(Resultados!F51,Resultados!O51)))</f>
        <v>1.6084294803476947E-2</v>
      </c>
      <c r="G51">
        <f>IF(COUNT(Resultados!G51,Resultados!P51)&lt;=1, "", _xlfn.STDEV.S(ABS(Resultados!G51),ABS(Resultados!P51))/SQRT(COUNT(Resultados!G51,Resultados!P51)))</f>
        <v>0</v>
      </c>
      <c r="H51">
        <f>IF(COUNT(Resultados!H51,Resultados!Q51)&lt;=1, "", _xlfn.STDEV.S(ABS(Resultados!H51),ABS(Resultados!Q51))/SQRT(COUNT(Resultados!H51,Resultados!Q51)))</f>
        <v>0</v>
      </c>
      <c r="I51">
        <f>IF(COUNT(Resultados!I51,Resultados!R51)&lt;=1, "", _xlfn.STDEV.S(ABS(Resultados!I51),ABS(Resultados!R51))/SQRT(COUNT(Resultados!I51,Resultados!R51)))</f>
        <v>6.1499999999981014E-4</v>
      </c>
    </row>
    <row r="52" spans="1:9" x14ac:dyDescent="0.3">
      <c r="A52" t="str">
        <f>IF(COUNT(Resultados!A52,Resultados!J52)&lt;=1, "", _xlfn.STDEV.S(ABS(Resultados!A52),ABS(Resultados!J52))/SQRT(COUNT(Resultados!A52,Resultados!J52)))</f>
        <v/>
      </c>
      <c r="B52" t="str">
        <f>IF(COUNT(Resultados!B52,Resultados!K52)&lt;=1, "", _xlfn.STDEV.S(ABS(Resultados!B52),ABS(Resultados!K52))/SQRT(COUNT(Resultados!B52,Resultados!K52)))</f>
        <v/>
      </c>
      <c r="C52">
        <f>IF(COUNT(Resultados!C52,Resultados!L52)&lt;=1, "", _xlfn.STDEV.S(ABS(Resultados!C52),ABS(Resultados!L52))/SQRT(COUNT(Resultados!C52,Resultados!L52)))</f>
        <v>0</v>
      </c>
      <c r="D52">
        <f>IF(COUNT(Resultados!D52,Resultados!M52)&lt;=1, "", _xlfn.STDEV.S(ABS(Resultados!D52),ABS(Resultados!M52))/SQRT(COUNT(Resultados!D52,Resultados!M52)))</f>
        <v>7.9999999999999505E-4</v>
      </c>
      <c r="E52">
        <f>IF(COUNT(Resultados!E52,Resultados!N52)&lt;=1, "", _xlfn.STDEV.S(ABS(Resultados!E52),ABS(Resultados!N52))/SQRT(COUNT(Resultados!E52,Resultados!N52)))</f>
        <v>1.9726151985466342E-4</v>
      </c>
      <c r="F52">
        <f>IF(COUNT(Resultados!F52,Resultados!O52)&lt;=1, "", _xlfn.STDEV.S(ABS(Resultados!F52),ABS(Resultados!O52))/SQRT(COUNT(Resultados!F52,Resultados!O52)))</f>
        <v>1.8720118234000438E-2</v>
      </c>
      <c r="G52">
        <f>IF(COUNT(Resultados!G52,Resultados!P52)&lt;=1, "", _xlfn.STDEV.S(ABS(Resultados!G52),ABS(Resultados!P52))/SQRT(COUNT(Resultados!G52,Resultados!P52)))</f>
        <v>0</v>
      </c>
      <c r="H52">
        <f>IF(COUNT(Resultados!H52,Resultados!Q52)&lt;=1, "", _xlfn.STDEV.S(ABS(Resultados!H52),ABS(Resultados!Q52))/SQRT(COUNT(Resultados!H52,Resultados!Q52)))</f>
        <v>0</v>
      </c>
      <c r="I52">
        <f>IF(COUNT(Resultados!I52,Resultados!R52)&lt;=1, "", _xlfn.STDEV.S(ABS(Resultados!I52),ABS(Resultados!R52))/SQRT(COUNT(Resultados!I52,Resultados!R52)))</f>
        <v>1.5049999999945383E-3</v>
      </c>
    </row>
    <row r="53" spans="1:9" x14ac:dyDescent="0.3">
      <c r="A53" t="str">
        <f>IF(COUNT(Resultados!A53,Resultados!J53)&lt;=1, "", _xlfn.STDEV.S(ABS(Resultados!A53),ABS(Resultados!J53))/SQRT(COUNT(Resultados!A53,Resultados!J53)))</f>
        <v/>
      </c>
      <c r="B53" t="str">
        <f>IF(COUNT(Resultados!B53,Resultados!K53)&lt;=1, "", _xlfn.STDEV.S(ABS(Resultados!B53),ABS(Resultados!K53))/SQRT(COUNT(Resultados!B53,Resultados!K53)))</f>
        <v/>
      </c>
      <c r="C53">
        <f>IF(COUNT(Resultados!C53,Resultados!L53)&lt;=1, "", _xlfn.STDEV.S(ABS(Resultados!C53),ABS(Resultados!L53))/SQRT(COUNT(Resultados!C53,Resultados!L53)))</f>
        <v>0</v>
      </c>
      <c r="D53">
        <f>IF(COUNT(Resultados!D53,Resultados!M53)&lt;=1, "", _xlfn.STDEV.S(ABS(Resultados!D53),ABS(Resultados!M53))/SQRT(COUNT(Resultados!D53,Resultados!M53)))</f>
        <v>5.0000000000001425E-5</v>
      </c>
      <c r="E53">
        <f>IF(COUNT(Resultados!E53,Resultados!N53)&lt;=1, "", _xlfn.STDEV.S(ABS(Resultados!E53),ABS(Resultados!N53))/SQRT(COUNT(Resultados!E53,Resultados!N53)))</f>
        <v>5.0460834833021551E-4</v>
      </c>
      <c r="F53">
        <f>IF(COUNT(Resultados!F53,Resultados!O53)&lt;=1, "", _xlfn.STDEV.S(ABS(Resultados!F53),ABS(Resultados!O53))/SQRT(COUNT(Resultados!F53,Resultados!O53)))</f>
        <v>4.702949806448941E-2</v>
      </c>
      <c r="G53">
        <f>IF(COUNT(Resultados!G53,Resultados!P53)&lt;=1, "", _xlfn.STDEV.S(ABS(Resultados!G53),ABS(Resultados!P53))/SQRT(COUNT(Resultados!G53,Resultados!P53)))</f>
        <v>0</v>
      </c>
      <c r="H53">
        <f>IF(COUNT(Resultados!H53,Resultados!Q53)&lt;=1, "", _xlfn.STDEV.S(ABS(Resultados!H53),ABS(Resultados!Q53))/SQRT(COUNT(Resultados!H53,Resultados!Q53)))</f>
        <v>0</v>
      </c>
      <c r="I53">
        <f>IF(COUNT(Resultados!I53,Resultados!R53)&lt;=1, "", _xlfn.STDEV.S(ABS(Resultados!I53),ABS(Resultados!R53))/SQRT(COUNT(Resultados!I53,Resultados!R53)))</f>
        <v>4.500000000007276E-4</v>
      </c>
    </row>
    <row r="54" spans="1:9" x14ac:dyDescent="0.3">
      <c r="A54" t="str">
        <f>IF(COUNT(Resultados!A54,Resultados!J54)&lt;=1, "", _xlfn.STDEV.S(ABS(Resultados!A54),ABS(Resultados!J54))/SQRT(COUNT(Resultados!A54,Resultados!J54)))</f>
        <v/>
      </c>
      <c r="B54" t="str">
        <f>IF(COUNT(Resultados!B54,Resultados!K54)&lt;=1, "", _xlfn.STDEV.S(ABS(Resultados!B54),ABS(Resultados!K54))/SQRT(COUNT(Resultados!B54,Resultados!K54)))</f>
        <v/>
      </c>
      <c r="C54">
        <f>IF(COUNT(Resultados!C54,Resultados!L54)&lt;=1, "", _xlfn.STDEV.S(ABS(Resultados!C54),ABS(Resultados!L54))/SQRT(COUNT(Resultados!C54,Resultados!L54)))</f>
        <v>0</v>
      </c>
      <c r="D54">
        <f>IF(COUNT(Resultados!D54,Resultados!M54)&lt;=1, "", _xlfn.STDEV.S(ABS(Resultados!D54),ABS(Resultados!M54))/SQRT(COUNT(Resultados!D54,Resultados!M54)))</f>
        <v>6.9999999999999923E-4</v>
      </c>
      <c r="E54">
        <f>IF(COUNT(Resultados!E54,Resultados!N54)&lt;=1, "", _xlfn.STDEV.S(ABS(Resultados!E54),ABS(Resultados!N54))/SQRT(COUNT(Resultados!E54,Resultados!N54)))</f>
        <v>1.113017208645317E-3</v>
      </c>
      <c r="F54">
        <f>IF(COUNT(Resultados!F54,Resultados!O54)&lt;=1, "", _xlfn.STDEV.S(ABS(Resultados!F54),ABS(Resultados!O54))/SQRT(COUNT(Resultados!F54,Resultados!O54)))</f>
        <v>0.10373320384599082</v>
      </c>
      <c r="G54">
        <f>IF(COUNT(Resultados!G54,Resultados!P54)&lt;=1, "", _xlfn.STDEV.S(ABS(Resultados!G54),ABS(Resultados!P54))/SQRT(COUNT(Resultados!G54,Resultados!P54)))</f>
        <v>0</v>
      </c>
      <c r="H54">
        <f>IF(COUNT(Resultados!H54,Resultados!Q54)&lt;=1, "", _xlfn.STDEV.S(ABS(Resultados!H54),ABS(Resultados!Q54))/SQRT(COUNT(Resultados!H54,Resultados!Q54)))</f>
        <v>5.0000000000001425E-5</v>
      </c>
      <c r="I54">
        <f>IF(COUNT(Resultados!I54,Resultados!R54)&lt;=1, "", _xlfn.STDEV.S(ABS(Resultados!I54),ABS(Resultados!R54))/SQRT(COUNT(Resultados!I54,Resultados!R54)))</f>
        <v>3.2500000000013069E-4</v>
      </c>
    </row>
    <row r="55" spans="1:9" x14ac:dyDescent="0.3">
      <c r="A55" t="str">
        <f>IF(COUNT(Resultados!A55,Resultados!J55)&lt;=1, "", _xlfn.STDEV.S(ABS(Resultados!A55),ABS(Resultados!J55))/SQRT(COUNT(Resultados!A55,Resultados!J55)))</f>
        <v/>
      </c>
      <c r="B55" t="str">
        <f>IF(COUNT(Resultados!B55,Resultados!K55)&lt;=1, "", _xlfn.STDEV.S(ABS(Resultados!B55),ABS(Resultados!K55))/SQRT(COUNT(Resultados!B55,Resultados!K55)))</f>
        <v/>
      </c>
      <c r="C55">
        <f>IF(COUNT(Resultados!C55,Resultados!L55)&lt;=1, "", _xlfn.STDEV.S(ABS(Resultados!C55),ABS(Resultados!L55))/SQRT(COUNT(Resultados!C55,Resultados!L55)))</f>
        <v>0</v>
      </c>
      <c r="D55">
        <f>IF(COUNT(Resultados!D55,Resultados!M55)&lt;=1, "", _xlfn.STDEV.S(ABS(Resultados!D55),ABS(Resultados!M55))/SQRT(COUNT(Resultados!D55,Resultados!M55)))</f>
        <v>7.5000000000000067E-4</v>
      </c>
      <c r="E55">
        <f>IF(COUNT(Resultados!E55,Resultados!N55)&lt;=1, "", _xlfn.STDEV.S(ABS(Resultados!E55),ABS(Resultados!N55))/SQRT(COUNT(Resultados!E55,Resultados!N55)))</f>
        <v>9.9401154353451204E-4</v>
      </c>
      <c r="F55">
        <f>IF(COUNT(Resultados!F55,Resultados!O55)&lt;=1, "", _xlfn.STDEV.S(ABS(Resultados!F55),ABS(Resultados!O55))/SQRT(COUNT(Resultados!F55,Resultados!O55)))</f>
        <v>9.264187585745276E-2</v>
      </c>
      <c r="G55">
        <f>IF(COUNT(Resultados!G55,Resultados!P55)&lt;=1, "", _xlfn.STDEV.S(ABS(Resultados!G55),ABS(Resultados!P55))/SQRT(COUNT(Resultados!G55,Resultados!P55)))</f>
        <v>0</v>
      </c>
      <c r="H55">
        <f>IF(COUNT(Resultados!H55,Resultados!Q55)&lt;=1, "", _xlfn.STDEV.S(ABS(Resultados!H55),ABS(Resultados!Q55))/SQRT(COUNT(Resultados!H55,Resultados!Q55)))</f>
        <v>5.0000000000001425E-5</v>
      </c>
      <c r="I55">
        <f>IF(COUNT(Resultados!I55,Resultados!R55)&lt;=1, "", _xlfn.STDEV.S(ABS(Resultados!I55),ABS(Resultados!R55))/SQRT(COUNT(Resultados!I55,Resultados!R55)))</f>
        <v>4.9500000000080036E-4</v>
      </c>
    </row>
    <row r="56" spans="1:9" x14ac:dyDescent="0.3">
      <c r="A56" t="str">
        <f>IF(COUNT(Resultados!A56,Resultados!J56)&lt;=1, "", _xlfn.STDEV.S(ABS(Resultados!A56),ABS(Resultados!J56))/SQRT(COUNT(Resultados!A56,Resultados!J56)))</f>
        <v/>
      </c>
      <c r="B56" t="str">
        <f>IF(COUNT(Resultados!B56,Resultados!K56)&lt;=1, "", _xlfn.STDEV.S(ABS(Resultados!B56),ABS(Resultados!K56))/SQRT(COUNT(Resultados!B56,Resultados!K56)))</f>
        <v/>
      </c>
      <c r="C56">
        <f>IF(COUNT(Resultados!C56,Resultados!L56)&lt;=1, "", _xlfn.STDEV.S(ABS(Resultados!C56),ABS(Resultados!L56))/SQRT(COUNT(Resultados!C56,Resultados!L56)))</f>
        <v>0</v>
      </c>
      <c r="D56">
        <f>IF(COUNT(Resultados!D56,Resultados!M56)&lt;=1, "", _xlfn.STDEV.S(ABS(Resultados!D56),ABS(Resultados!M56))/SQRT(COUNT(Resultados!D56,Resultados!M56)))</f>
        <v>9.9999999999999381E-5</v>
      </c>
      <c r="E56">
        <f>IF(COUNT(Resultados!E56,Resultados!N56)&lt;=1, "", _xlfn.STDEV.S(ABS(Resultados!E56),ABS(Resultados!N56))/SQRT(COUNT(Resultados!E56,Resultados!N56)))</f>
        <v>1.2792602161493249E-4</v>
      </c>
      <c r="F56">
        <f>IF(COUNT(Resultados!F56,Resultados!O56)&lt;=1, "", _xlfn.STDEV.S(ABS(Resultados!F56),ABS(Resultados!O56))/SQRT(COUNT(Resultados!F56,Resultados!O56)))</f>
        <v>1.1922705214487904E-2</v>
      </c>
      <c r="G56">
        <f>IF(COUNT(Resultados!G56,Resultados!P56)&lt;=1, "", _xlfn.STDEV.S(ABS(Resultados!G56),ABS(Resultados!P56))/SQRT(COUNT(Resultados!G56,Resultados!P56)))</f>
        <v>0</v>
      </c>
      <c r="H56">
        <f>IF(COUNT(Resultados!H56,Resultados!Q56)&lt;=1, "", _xlfn.STDEV.S(ABS(Resultados!H56),ABS(Resultados!Q56))/SQRT(COUNT(Resultados!H56,Resultados!Q56)))</f>
        <v>0</v>
      </c>
      <c r="I56">
        <f>IF(COUNT(Resultados!I56,Resultados!R56)&lt;=1, "", _xlfn.STDEV.S(ABS(Resultados!I56),ABS(Resultados!R56))/SQRT(COUNT(Resultados!I56,Resultados!R56)))</f>
        <v>8.9999999999790237E-4</v>
      </c>
    </row>
    <row r="57" spans="1:9" x14ac:dyDescent="0.3">
      <c r="A57" t="str">
        <f>IF(COUNT(Resultados!A57,Resultados!J57)&lt;=1, "", _xlfn.STDEV.S(ABS(Resultados!A57),ABS(Resultados!J57))/SQRT(COUNT(Resultados!A57,Resultados!J57)))</f>
        <v/>
      </c>
      <c r="B57" t="str">
        <f>IF(COUNT(Resultados!B57,Resultados!K57)&lt;=1, "", _xlfn.STDEV.S(ABS(Resultados!B57),ABS(Resultados!K57))/SQRT(COUNT(Resultados!B57,Resultados!K57)))</f>
        <v/>
      </c>
      <c r="C57">
        <f>IF(COUNT(Resultados!C57,Resultados!L57)&lt;=1, "", _xlfn.STDEV.S(ABS(Resultados!C57),ABS(Resultados!L57))/SQRT(COUNT(Resultados!C57,Resultados!L57)))</f>
        <v>0</v>
      </c>
      <c r="D57">
        <f>IF(COUNT(Resultados!D57,Resultados!M57)&lt;=1, "", _xlfn.STDEV.S(ABS(Resultados!D57),ABS(Resultados!M57))/SQRT(COUNT(Resultados!D57,Resultados!M57)))</f>
        <v>2.5000000000000022E-4</v>
      </c>
      <c r="E57">
        <f>IF(COUNT(Resultados!E57,Resultados!N57)&lt;=1, "", _xlfn.STDEV.S(ABS(Resultados!E57),ABS(Resultados!N57))/SQRT(COUNT(Resultados!E57,Resultados!N57)))</f>
        <v>6.8932054847454785E-3</v>
      </c>
      <c r="F57">
        <f>IF(COUNT(Resultados!F57,Resultados!O57)&lt;=1, "", _xlfn.STDEV.S(ABS(Resultados!F57),ABS(Resultados!O57))/SQRT(COUNT(Resultados!F57,Resultados!O57)))</f>
        <v>0.64244675117856787</v>
      </c>
      <c r="G57">
        <f>IF(COUNT(Resultados!G57,Resultados!P57)&lt;=1, "", _xlfn.STDEV.S(ABS(Resultados!G57),ABS(Resultados!P57))/SQRT(COUNT(Resultados!G57,Resultados!P57)))</f>
        <v>0</v>
      </c>
      <c r="H57">
        <f>IF(COUNT(Resultados!H57,Resultados!Q57)&lt;=1, "", _xlfn.STDEV.S(ABS(Resultados!H57),ABS(Resultados!Q57))/SQRT(COUNT(Resultados!H57,Resultados!Q57)))</f>
        <v>1.4999999999999909E-4</v>
      </c>
      <c r="I57">
        <f>IF(COUNT(Resultados!I57,Resultados!R57)&lt;=1, "", _xlfn.STDEV.S(ABS(Resultados!I57),ABS(Resultados!R57))/SQRT(COUNT(Resultados!I57,Resultados!R57)))</f>
        <v>1.3200000000068712E-3</v>
      </c>
    </row>
    <row r="58" spans="1:9" x14ac:dyDescent="0.3">
      <c r="A58" t="str">
        <f>IF(COUNT(Resultados!A58,Resultados!J58)&lt;=1, "", _xlfn.STDEV.S(ABS(Resultados!A58),ABS(Resultados!J58))/SQRT(COUNT(Resultados!A58,Resultados!J58)))</f>
        <v/>
      </c>
      <c r="B58" t="str">
        <f>IF(COUNT(Resultados!B58,Resultados!K58)&lt;=1, "", _xlfn.STDEV.S(ABS(Resultados!B58),ABS(Resultados!K58))/SQRT(COUNT(Resultados!B58,Resultados!K58)))</f>
        <v/>
      </c>
      <c r="C58">
        <f>IF(COUNT(Resultados!C58,Resultados!L58)&lt;=1, "", _xlfn.STDEV.S(ABS(Resultados!C58),ABS(Resultados!L58))/SQRT(COUNT(Resultados!C58,Resultados!L58)))</f>
        <v>0</v>
      </c>
      <c r="D58">
        <f>IF(COUNT(Resultados!D58,Resultados!M58)&lt;=1, "", _xlfn.STDEV.S(ABS(Resultados!D58),ABS(Resultados!M58))/SQRT(COUNT(Resultados!D58,Resultados!M58)))</f>
        <v>1.4999999999999736E-4</v>
      </c>
      <c r="E58">
        <f>IF(COUNT(Resultados!E58,Resultados!N58)&lt;=1, "", _xlfn.STDEV.S(ABS(Resultados!E58),ABS(Resultados!N58))/SQRT(COUNT(Resultados!E58,Resultados!N58)))</f>
        <v>2.844377310999846E-4</v>
      </c>
      <c r="F58">
        <f>IF(COUNT(Resultados!F58,Resultados!O58)&lt;=1, "", _xlfn.STDEV.S(ABS(Resultados!F58),ABS(Resultados!O58))/SQRT(COUNT(Resultados!F58,Resultados!O58)))</f>
        <v>2.650959653851714E-2</v>
      </c>
      <c r="G58">
        <f>IF(COUNT(Resultados!G58,Resultados!P58)&lt;=1, "", _xlfn.STDEV.S(ABS(Resultados!G58),ABS(Resultados!P58))/SQRT(COUNT(Resultados!G58,Resultados!P58)))</f>
        <v>0</v>
      </c>
      <c r="H58">
        <f>IF(COUNT(Resultados!H58,Resultados!Q58)&lt;=1, "", _xlfn.STDEV.S(ABS(Resultados!H58),ABS(Resultados!Q58))/SQRT(COUNT(Resultados!H58,Resultados!Q58)))</f>
        <v>0</v>
      </c>
      <c r="I58">
        <f>IF(COUNT(Resultados!I58,Resultados!R58)&lt;=1, "", _xlfn.STDEV.S(ABS(Resultados!I58),ABS(Resultados!R58))/SQRT(COUNT(Resultados!I58,Resultados!R58)))</f>
        <v>9.5499999999759655E-4</v>
      </c>
    </row>
    <row r="59" spans="1:9" x14ac:dyDescent="0.3">
      <c r="A59" t="str">
        <f>IF(COUNT(Resultados!A59,Resultados!J59)&lt;=1, "", _xlfn.STDEV.S(ABS(Resultados!A59),ABS(Resultados!J59))/SQRT(COUNT(Resultados!A59,Resultados!J59)))</f>
        <v/>
      </c>
      <c r="B59" t="str">
        <f>IF(COUNT(Resultados!B59,Resultados!K59)&lt;=1, "", _xlfn.STDEV.S(ABS(Resultados!B59),ABS(Resultados!K59))/SQRT(COUNT(Resultados!B59,Resultados!K59)))</f>
        <v/>
      </c>
      <c r="C59">
        <f>IF(COUNT(Resultados!C59,Resultados!L59)&lt;=1, "", _xlfn.STDEV.S(ABS(Resultados!C59),ABS(Resultados!L59))/SQRT(COUNT(Resultados!C59,Resultados!L59)))</f>
        <v>0</v>
      </c>
      <c r="D59">
        <f>IF(COUNT(Resultados!D59,Resultados!M59)&lt;=1, "", _xlfn.STDEV.S(ABS(Resultados!D59),ABS(Resultados!M59))/SQRT(COUNT(Resultados!D59,Resultados!M59)))</f>
        <v>3.4999999999999962E-4</v>
      </c>
      <c r="E59">
        <f>IF(COUNT(Resultados!E59,Resultados!N59)&lt;=1, "", _xlfn.STDEV.S(ABS(Resultados!E59),ABS(Resultados!N59))/SQRT(COUNT(Resultados!E59,Resultados!N59)))</f>
        <v>3.0369759172543809E-4</v>
      </c>
      <c r="F59">
        <f>IF(COUNT(Resultados!F59,Resultados!O59)&lt;=1, "", _xlfn.STDEV.S(ABS(Resultados!F59),ABS(Resultados!O59))/SQRT(COUNT(Resultados!F59,Resultados!O59)))</f>
        <v>2.8304615548563561E-2</v>
      </c>
      <c r="G59">
        <f>IF(COUNT(Resultados!G59,Resultados!P59)&lt;=1, "", _xlfn.STDEV.S(ABS(Resultados!G59),ABS(Resultados!P59))/SQRT(COUNT(Resultados!G59,Resultados!P59)))</f>
        <v>0</v>
      </c>
      <c r="H59">
        <f>IF(COUNT(Resultados!H59,Resultados!Q59)&lt;=1, "", _xlfn.STDEV.S(ABS(Resultados!H59),ABS(Resultados!Q59))/SQRT(COUNT(Resultados!H59,Resultados!Q59)))</f>
        <v>0</v>
      </c>
      <c r="I59">
        <f>IF(COUNT(Resultados!I59,Resultados!R59)&lt;=1, "", _xlfn.STDEV.S(ABS(Resultados!I59),ABS(Resultados!R59))/SQRT(COUNT(Resultados!I59,Resultados!R59)))</f>
        <v>7.2999999999723286E-4</v>
      </c>
    </row>
    <row r="60" spans="1:9" x14ac:dyDescent="0.3">
      <c r="A60" t="str">
        <f>IF(COUNT(Resultados!A60,Resultados!J60)&lt;=1, "", _xlfn.STDEV.S(ABS(Resultados!A60),ABS(Resultados!J60))/SQRT(COUNT(Resultados!A60,Resultados!J60)))</f>
        <v/>
      </c>
      <c r="B60" t="str">
        <f>IF(COUNT(Resultados!B60,Resultados!K60)&lt;=1, "", _xlfn.STDEV.S(ABS(Resultados!B60),ABS(Resultados!K60))/SQRT(COUNT(Resultados!B60,Resultados!K60)))</f>
        <v/>
      </c>
      <c r="C60">
        <f>IF(COUNT(Resultados!C60,Resultados!L60)&lt;=1, "", _xlfn.STDEV.S(ABS(Resultados!C60),ABS(Resultados!L60))/SQRT(COUNT(Resultados!C60,Resultados!L60)))</f>
        <v>0</v>
      </c>
      <c r="D60">
        <f>IF(COUNT(Resultados!D60,Resultados!M60)&lt;=1, "", _xlfn.STDEV.S(ABS(Resultados!D60),ABS(Resultados!M60))/SQRT(COUNT(Resultados!D60,Resultados!M60)))</f>
        <v>5.5000000000000014E-4</v>
      </c>
      <c r="E60">
        <f>IF(COUNT(Resultados!E60,Resultados!N60)&lt;=1, "", _xlfn.STDEV.S(ABS(Resultados!E60),ABS(Resultados!N60))/SQRT(COUNT(Resultados!E60,Resultados!N60)))</f>
        <v>8.6847779934551284E-4</v>
      </c>
      <c r="F60">
        <f>IF(COUNT(Resultados!F60,Resultados!O60)&lt;=1, "", _xlfn.STDEV.S(ABS(Resultados!F60),ABS(Resultados!O60))/SQRT(COUNT(Resultados!F60,Resultados!O60)))</f>
        <v>8.0942130899074982E-2</v>
      </c>
      <c r="G60">
        <f>IF(COUNT(Resultados!G60,Resultados!P60)&lt;=1, "", _xlfn.STDEV.S(ABS(Resultados!G60),ABS(Resultados!P60))/SQRT(COUNT(Resultados!G60,Resultados!P60)))</f>
        <v>0</v>
      </c>
      <c r="H60">
        <f>IF(COUNT(Resultados!H60,Resultados!Q60)&lt;=1, "", _xlfn.STDEV.S(ABS(Resultados!H60),ABS(Resultados!Q60))/SQRT(COUNT(Resultados!H60,Resultados!Q60)))</f>
        <v>4.9999999999999691E-5</v>
      </c>
      <c r="I60">
        <f>IF(COUNT(Resultados!I60,Resultados!R60)&lt;=1, "", _xlfn.STDEV.S(ABS(Resultados!I60),ABS(Resultados!R60))/SQRT(COUNT(Resultados!I60,Resultados!R60)))</f>
        <v>3.1999999999854362E-4</v>
      </c>
    </row>
    <row r="61" spans="1:9" x14ac:dyDescent="0.3">
      <c r="A61" t="str">
        <f>IF(COUNT(Resultados!A61,Resultados!J61)&lt;=1, "", _xlfn.STDEV.S(ABS(Resultados!A61),ABS(Resultados!J61))/SQRT(COUNT(Resultados!A61,Resultados!J61)))</f>
        <v/>
      </c>
      <c r="B61" t="str">
        <f>IF(COUNT(Resultados!B61,Resultados!K61)&lt;=1, "", _xlfn.STDEV.S(ABS(Resultados!B61),ABS(Resultados!K61))/SQRT(COUNT(Resultados!B61,Resultados!K61)))</f>
        <v/>
      </c>
      <c r="C61">
        <f>IF(COUNT(Resultados!C61,Resultados!L61)&lt;=1, "", _xlfn.STDEV.S(ABS(Resultados!C61),ABS(Resultados!L61))/SQRT(COUNT(Resultados!C61,Resultados!L61)))</f>
        <v>0</v>
      </c>
      <c r="D61">
        <f>IF(COUNT(Resultados!D61,Resultados!M61)&lt;=1, "", _xlfn.STDEV.S(ABS(Resultados!D61),ABS(Resultados!M61))/SQRT(COUNT(Resultados!D61,Resultados!M61)))</f>
        <v>7.5000000000000067E-4</v>
      </c>
      <c r="E61">
        <f>IF(COUNT(Resultados!E61,Resultados!N61)&lt;=1, "", _xlfn.STDEV.S(ABS(Resultados!E61),ABS(Resultados!N61))/SQRT(COUNT(Resultados!E61,Resultados!N61)))</f>
        <v>1.2845313359033381E-4</v>
      </c>
      <c r="F61">
        <f>IF(COUNT(Resultados!F61,Resultados!O61)&lt;=1, "", _xlfn.STDEV.S(ABS(Resultados!F61),ABS(Resultados!O61))/SQRT(COUNT(Resultados!F61,Resultados!O61)))</f>
        <v>1.1971832050448938E-2</v>
      </c>
      <c r="G61">
        <f>IF(COUNT(Resultados!G61,Resultados!P61)&lt;=1, "", _xlfn.STDEV.S(ABS(Resultados!G61),ABS(Resultados!P61))/SQRT(COUNT(Resultados!G61,Resultados!P61)))</f>
        <v>0</v>
      </c>
      <c r="H61">
        <f>IF(COUNT(Resultados!H61,Resultados!Q61)&lt;=1, "", _xlfn.STDEV.S(ABS(Resultados!H61),ABS(Resultados!Q61))/SQRT(COUNT(Resultados!H61,Resultados!Q61)))</f>
        <v>0</v>
      </c>
      <c r="I61">
        <f>IF(COUNT(Resultados!I61,Resultados!R61)&lt;=1, "", _xlfn.STDEV.S(ABS(Resultados!I61),ABS(Resultados!R61))/SQRT(COUNT(Resultados!I61,Resultados!R61)))</f>
        <v>1.0350000000016735E-3</v>
      </c>
    </row>
    <row r="62" spans="1:9" x14ac:dyDescent="0.3">
      <c r="A62" t="str">
        <f>IF(COUNT(Resultados!A62,Resultados!J62)&lt;=1, "", _xlfn.STDEV.S(ABS(Resultados!A62),ABS(Resultados!J62))/SQRT(COUNT(Resultados!A62,Resultados!J62)))</f>
        <v/>
      </c>
      <c r="B62" t="str">
        <f>IF(COUNT(Resultados!B62,Resultados!K62)&lt;=1, "", _xlfn.STDEV.S(ABS(Resultados!B62),ABS(Resultados!K62))/SQRT(COUNT(Resultados!B62,Resultados!K62)))</f>
        <v/>
      </c>
      <c r="C62">
        <f>IF(COUNT(Resultados!C62,Resultados!L62)&lt;=1, "", _xlfn.STDEV.S(ABS(Resultados!C62),ABS(Resultados!L62))/SQRT(COUNT(Resultados!C62,Resultados!L62)))</f>
        <v>0</v>
      </c>
      <c r="D62">
        <f>IF(COUNT(Resultados!D62,Resultados!M62)&lt;=1, "", _xlfn.STDEV.S(ABS(Resultados!D62),ABS(Resultados!M62))/SQRT(COUNT(Resultados!D62,Resultados!M62)))</f>
        <v>4.0000000000000013E-4</v>
      </c>
      <c r="E62">
        <f>IF(COUNT(Resultados!E62,Resultados!N62)&lt;=1, "", _xlfn.STDEV.S(ABS(Resultados!E62),ABS(Resultados!N62))/SQRT(COUNT(Resultados!E62,Resultados!N62)))</f>
        <v>1.6857243694445856E-4</v>
      </c>
      <c r="F62">
        <f>IF(COUNT(Resultados!F62,Resultados!O62)&lt;=1, "", _xlfn.STDEV.S(ABS(Resultados!F62),ABS(Resultados!O62))/SQRT(COUNT(Resultados!F62,Resultados!O62)))</f>
        <v>1.571095112308285E-2</v>
      </c>
      <c r="G62">
        <f>IF(COUNT(Resultados!G62,Resultados!P62)&lt;=1, "", _xlfn.STDEV.S(ABS(Resultados!G62),ABS(Resultados!P62))/SQRT(COUNT(Resultados!G62,Resultados!P62)))</f>
        <v>0</v>
      </c>
      <c r="H62">
        <f>IF(COUNT(Resultados!H62,Resultados!Q62)&lt;=1, "", _xlfn.STDEV.S(ABS(Resultados!H62),ABS(Resultados!Q62))/SQRT(COUNT(Resultados!H62,Resultados!Q62)))</f>
        <v>0</v>
      </c>
      <c r="I62">
        <f>IF(COUNT(Resultados!I62,Resultados!R62)&lt;=1, "", _xlfn.STDEV.S(ABS(Resultados!I62),ABS(Resultados!R62))/SQRT(COUNT(Resultados!I62,Resultados!R62)))</f>
        <v>2.8999999999612669E-4</v>
      </c>
    </row>
    <row r="63" spans="1:9" x14ac:dyDescent="0.3">
      <c r="A63" t="str">
        <f>IF(COUNT(Resultados!A63,Resultados!J63)&lt;=1, "", _xlfn.STDEV.S(ABS(Resultados!A63),ABS(Resultados!J63))/SQRT(COUNT(Resultados!A63,Resultados!J63)))</f>
        <v/>
      </c>
      <c r="B63" t="str">
        <f>IF(COUNT(Resultados!B63,Resultados!K63)&lt;=1, "", _xlfn.STDEV.S(ABS(Resultados!B63),ABS(Resultados!K63))/SQRT(COUNT(Resultados!B63,Resultados!K63)))</f>
        <v/>
      </c>
      <c r="C63">
        <f>IF(COUNT(Resultados!C63,Resultados!L63)&lt;=1, "", _xlfn.STDEV.S(ABS(Resultados!C63),ABS(Resultados!L63))/SQRT(COUNT(Resultados!C63,Resultados!L63)))</f>
        <v>0</v>
      </c>
      <c r="D63">
        <f>IF(COUNT(Resultados!D63,Resultados!M63)&lt;=1, "", _xlfn.STDEV.S(ABS(Resultados!D63),ABS(Resultados!M63))/SQRT(COUNT(Resultados!D63,Resultados!M63)))</f>
        <v>9.9999999999999991E-5</v>
      </c>
      <c r="E63">
        <f>IF(COUNT(Resultados!E63,Resultados!N63)&lt;=1, "", _xlfn.STDEV.S(ABS(Resultados!E63),ABS(Resultados!N63))/SQRT(COUNT(Resultados!E63,Resultados!N63)))</f>
        <v>5.4154673365047756E-4</v>
      </c>
      <c r="F63">
        <f>IF(COUNT(Resultados!F63,Resultados!O63)&lt;=1, "", _xlfn.STDEV.S(ABS(Resultados!F63),ABS(Resultados!O63))/SQRT(COUNT(Resultados!F63,Resultados!O63)))</f>
        <v>5.139278502349498E-2</v>
      </c>
      <c r="G63">
        <f>IF(COUNT(Resultados!G63,Resultados!P63)&lt;=1, "", _xlfn.STDEV.S(ABS(Resultados!G63),ABS(Resultados!P63))/SQRT(COUNT(Resultados!G63,Resultados!P63)))</f>
        <v>0</v>
      </c>
      <c r="H63">
        <f>IF(COUNT(Resultados!H63,Resultados!Q63)&lt;=1, "", _xlfn.STDEV.S(ABS(Resultados!H63),ABS(Resultados!Q63))/SQRT(COUNT(Resultados!H63,Resultados!Q63)))</f>
        <v>0</v>
      </c>
      <c r="I63">
        <f>IF(COUNT(Resultados!I63,Resultados!R63)&lt;=1, "", _xlfn.STDEV.S(ABS(Resultados!I63),ABS(Resultados!R63))/SQRT(COUNT(Resultados!I63,Resultados!R63)))</f>
        <v>4.2499999999989768E-4</v>
      </c>
    </row>
    <row r="64" spans="1:9" x14ac:dyDescent="0.3">
      <c r="A64" t="str">
        <f>IF(COUNT(Resultados!A64,Resultados!J64)&lt;=1, "", _xlfn.STDEV.S(ABS(Resultados!A64),ABS(Resultados!J64))/SQRT(COUNT(Resultados!A64,Resultados!J64)))</f>
        <v/>
      </c>
      <c r="B64" t="str">
        <f>IF(COUNT(Resultados!B64,Resultados!K64)&lt;=1, "", _xlfn.STDEV.S(ABS(Resultados!B64),ABS(Resultados!K64))/SQRT(COUNT(Resultados!B64,Resultados!K64)))</f>
        <v/>
      </c>
      <c r="C64">
        <f>IF(COUNT(Resultados!C64,Resultados!L64)&lt;=1, "", _xlfn.STDEV.S(ABS(Resultados!C64),ABS(Resultados!L64))/SQRT(COUNT(Resultados!C64,Resultados!L64)))</f>
        <v>0</v>
      </c>
      <c r="D64">
        <f>IF(COUNT(Resultados!D64,Resultados!M64)&lt;=1, "", _xlfn.STDEV.S(ABS(Resultados!D64),ABS(Resultados!M64))/SQRT(COUNT(Resultados!D64,Resultados!M64)))</f>
        <v>0</v>
      </c>
      <c r="E64">
        <f>IF(COUNT(Resultados!E64,Resultados!N64)&lt;=1, "", _xlfn.STDEV.S(ABS(Resultados!E64),ABS(Resultados!N64))/SQRT(COUNT(Resultados!E64,Resultados!N64)))</f>
        <v>4.3452272919743962E-3</v>
      </c>
      <c r="F64">
        <f>IF(COUNT(Resultados!F64,Resultados!O64)&lt;=1, "", _xlfn.STDEV.S(ABS(Resultados!F64),ABS(Resultados!O64))/SQRT(COUNT(Resultados!F64,Resultados!O64)))</f>
        <v>0.41236207000895314</v>
      </c>
      <c r="G64">
        <f>IF(COUNT(Resultados!G64,Resultados!P64)&lt;=1, "", _xlfn.STDEV.S(ABS(Resultados!G64),ABS(Resultados!P64))/SQRT(COUNT(Resultados!G64,Resultados!P64)))</f>
        <v>0</v>
      </c>
      <c r="H64">
        <f>IF(COUNT(Resultados!H64,Resultados!Q64)&lt;=1, "", _xlfn.STDEV.S(ABS(Resultados!H64),ABS(Resultados!Q64))/SQRT(COUNT(Resultados!H64,Resultados!Q64)))</f>
        <v>5.0000000000000565E-5</v>
      </c>
      <c r="I64">
        <f>IF(COUNT(Resultados!I64,Resultados!R64)&lt;=1, "", _xlfn.STDEV.S(ABS(Resultados!I64),ABS(Resultados!R64))/SQRT(COUNT(Resultados!I64,Resultados!R64)))</f>
        <v>2.9199999999995892E-3</v>
      </c>
    </row>
    <row r="65" spans="1:9" x14ac:dyDescent="0.3">
      <c r="A65" t="str">
        <f>IF(COUNT(Resultados!A65,Resultados!J65)&lt;=1, "", _xlfn.STDEV.S(ABS(Resultados!A65),ABS(Resultados!J65))/SQRT(COUNT(Resultados!A65,Resultados!J65)))</f>
        <v/>
      </c>
      <c r="B65" t="str">
        <f>IF(COUNT(Resultados!B65,Resultados!K65)&lt;=1, "", _xlfn.STDEV.S(ABS(Resultados!B65),ABS(Resultados!K65))/SQRT(COUNT(Resultados!B65,Resultados!K65)))</f>
        <v/>
      </c>
      <c r="C65">
        <f>IF(COUNT(Resultados!C65,Resultados!L65)&lt;=1, "", _xlfn.STDEV.S(ABS(Resultados!C65),ABS(Resultados!L65))/SQRT(COUNT(Resultados!C65,Resultados!L65)))</f>
        <v>0</v>
      </c>
      <c r="D65">
        <f>IF(COUNT(Resultados!D65,Resultados!M65)&lt;=1, "", _xlfn.STDEV.S(ABS(Resultados!D65),ABS(Resultados!M65))/SQRT(COUNT(Resultados!D65,Resultados!M65)))</f>
        <v>9.9999999999999381E-5</v>
      </c>
      <c r="E65">
        <f>IF(COUNT(Resultados!E65,Resultados!N65)&lt;=1, "", _xlfn.STDEV.S(ABS(Resultados!E65),ABS(Resultados!N65))/SQRT(COUNT(Resultados!E65,Resultados!N65)))</f>
        <v>3.0858351425893105E-3</v>
      </c>
      <c r="F65">
        <f>IF(COUNT(Resultados!F65,Resultados!O65)&lt;=1, "", _xlfn.STDEV.S(ABS(Resultados!F65),ABS(Resultados!O65))/SQRT(COUNT(Resultados!F65,Resultados!O65)))</f>
        <v>0.29284575503197624</v>
      </c>
      <c r="G65">
        <f>IF(COUNT(Resultados!G65,Resultados!P65)&lt;=1, "", _xlfn.STDEV.S(ABS(Resultados!G65),ABS(Resultados!P65))/SQRT(COUNT(Resultados!G65,Resultados!P65)))</f>
        <v>0</v>
      </c>
      <c r="H65">
        <f>IF(COUNT(Resultados!H65,Resultados!Q65)&lt;=1, "", _xlfn.STDEV.S(ABS(Resultados!H65),ABS(Resultados!Q65))/SQRT(COUNT(Resultados!H65,Resultados!Q65)))</f>
        <v>5.0000000000000565E-5</v>
      </c>
      <c r="I65">
        <f>IF(COUNT(Resultados!I65,Resultados!R65)&lt;=1, "", _xlfn.STDEV.S(ABS(Resultados!I65),ABS(Resultados!R65))/SQRT(COUNT(Resultados!I65,Resultados!R65)))</f>
        <v>2.7000000000043656E-4</v>
      </c>
    </row>
    <row r="66" spans="1:9" x14ac:dyDescent="0.3">
      <c r="A66" t="str">
        <f>IF(COUNT(Resultados!A66,Resultados!J66)&lt;=1, "", _xlfn.STDEV.S(ABS(Resultados!A66),ABS(Resultados!J66))/SQRT(COUNT(Resultados!A66,Resultados!J66)))</f>
        <v/>
      </c>
      <c r="B66" t="str">
        <f>IF(COUNT(Resultados!B66,Resultados!K66)&lt;=1, "", _xlfn.STDEV.S(ABS(Resultados!B66),ABS(Resultados!K66))/SQRT(COUNT(Resultados!B66,Resultados!K66)))</f>
        <v/>
      </c>
      <c r="C66">
        <f>IF(COUNT(Resultados!C66,Resultados!L66)&lt;=1, "", _xlfn.STDEV.S(ABS(Resultados!C66),ABS(Resultados!L66))/SQRT(COUNT(Resultados!C66,Resultados!L66)))</f>
        <v>0</v>
      </c>
      <c r="D66">
        <f>IF(COUNT(Resultados!D66,Resultados!M66)&lt;=1, "", _xlfn.STDEV.S(ABS(Resultados!D66),ABS(Resultados!M66))/SQRT(COUNT(Resultados!D66,Resultados!M66)))</f>
        <v>1.4999999999999996E-4</v>
      </c>
      <c r="E66">
        <f>IF(COUNT(Resultados!E66,Resultados!N66)&lt;=1, "", _xlfn.STDEV.S(ABS(Resultados!E66),ABS(Resultados!N66))/SQRT(COUNT(Resultados!E66,Resultados!N66)))</f>
        <v>4.360432445099427E-3</v>
      </c>
      <c r="F66">
        <f>IF(COUNT(Resultados!F66,Resultados!O66)&lt;=1, "", _xlfn.STDEV.S(ABS(Resultados!F66),ABS(Resultados!O66))/SQRT(COUNT(Resultados!F66,Resultados!O66)))</f>
        <v>0.41380503904008492</v>
      </c>
      <c r="G66">
        <f>IF(COUNT(Resultados!G66,Resultados!P66)&lt;=1, "", _xlfn.STDEV.S(ABS(Resultados!G66),ABS(Resultados!P66))/SQRT(COUNT(Resultados!G66,Resultados!P66)))</f>
        <v>0</v>
      </c>
      <c r="H66">
        <f>IF(COUNT(Resultados!H66,Resultados!Q66)&lt;=1, "", _xlfn.STDEV.S(ABS(Resultados!H66),ABS(Resultados!Q66))/SQRT(COUNT(Resultados!H66,Resultados!Q66)))</f>
        <v>4.9999999999999691E-5</v>
      </c>
      <c r="I66">
        <f>IF(COUNT(Resultados!I66,Resultados!R66)&lt;=1, "", _xlfn.STDEV.S(ABS(Resultados!I66),ABS(Resultados!R66))/SQRT(COUNT(Resultados!I66,Resultados!R66)))</f>
        <v>5.5000000000049454E-4</v>
      </c>
    </row>
    <row r="67" spans="1:9" x14ac:dyDescent="0.3">
      <c r="A67" t="str">
        <f>IF(COUNT(Resultados!A67,Resultados!J67)&lt;=1, "", _xlfn.STDEV.S(ABS(Resultados!A67),ABS(Resultados!J67))/SQRT(COUNT(Resultados!A67,Resultados!J67)))</f>
        <v/>
      </c>
      <c r="B67" t="str">
        <f>IF(COUNT(Resultados!B67,Resultados!K67)&lt;=1, "", _xlfn.STDEV.S(ABS(Resultados!B67),ABS(Resultados!K67))/SQRT(COUNT(Resultados!B67,Resultados!K67)))</f>
        <v/>
      </c>
      <c r="C67">
        <f>IF(COUNT(Resultados!C67,Resultados!L67)&lt;=1, "", _xlfn.STDEV.S(ABS(Resultados!C67),ABS(Resultados!L67))/SQRT(COUNT(Resultados!C67,Resultados!L67)))</f>
        <v>0</v>
      </c>
      <c r="D67">
        <f>IF(COUNT(Resultados!D67,Resultados!M67)&lt;=1, "", _xlfn.STDEV.S(ABS(Resultados!D67),ABS(Resultados!M67))/SQRT(COUNT(Resultados!D67,Resultados!M67)))</f>
        <v>9.9999999999999381E-5</v>
      </c>
      <c r="E67">
        <f>IF(COUNT(Resultados!E67,Resultados!N67)&lt;=1, "", _xlfn.STDEV.S(ABS(Resultados!E67),ABS(Resultados!N67))/SQRT(COUNT(Resultados!E67,Resultados!N67)))</f>
        <v>6.0267144920693738E-3</v>
      </c>
      <c r="F67">
        <f>IF(COUNT(Resultados!F67,Resultados!O67)&lt;=1, "", _xlfn.STDEV.S(ABS(Resultados!F67),ABS(Resultados!O67))/SQRT(COUNT(Resultados!F67,Resultados!O67)))</f>
        <v>0.57193520529801845</v>
      </c>
      <c r="G67">
        <f>IF(COUNT(Resultados!G67,Resultados!P67)&lt;=1, "", _xlfn.STDEV.S(ABS(Resultados!G67),ABS(Resultados!P67))/SQRT(COUNT(Resultados!G67,Resultados!P67)))</f>
        <v>0</v>
      </c>
      <c r="H67">
        <f>IF(COUNT(Resultados!H67,Resultados!Q67)&lt;=1, "", _xlfn.STDEV.S(ABS(Resultados!H67),ABS(Resultados!Q67))/SQRT(COUNT(Resultados!H67,Resultados!Q67)))</f>
        <v>9.9999999999999381E-5</v>
      </c>
      <c r="I67">
        <f>IF(COUNT(Resultados!I67,Resultados!R67)&lt;=1, "", _xlfn.STDEV.S(ABS(Resultados!I67),ABS(Resultados!R67))/SQRT(COUNT(Resultados!I67,Resultados!R67)))</f>
        <v>1.0450000000012949E-3</v>
      </c>
    </row>
    <row r="68" spans="1:9" x14ac:dyDescent="0.3">
      <c r="A68" t="str">
        <f>IF(COUNT(Resultados!A68,Resultados!J68)&lt;=1, "", _xlfn.STDEV.S(ABS(Resultados!A68),ABS(Resultados!J68))/SQRT(COUNT(Resultados!A68,Resultados!J68)))</f>
        <v/>
      </c>
      <c r="B68" t="str">
        <f>IF(COUNT(Resultados!B68,Resultados!K68)&lt;=1, "", _xlfn.STDEV.S(ABS(Resultados!B68),ABS(Resultados!K68))/SQRT(COUNT(Resultados!B68,Resultados!K68)))</f>
        <v/>
      </c>
      <c r="C68">
        <f>IF(COUNT(Resultados!C68,Resultados!L68)&lt;=1, "", _xlfn.STDEV.S(ABS(Resultados!C68),ABS(Resultados!L68))/SQRT(COUNT(Resultados!C68,Resultados!L68)))</f>
        <v>0</v>
      </c>
      <c r="D68">
        <f>IF(COUNT(Resultados!D68,Resultados!M68)&lt;=1, "", _xlfn.STDEV.S(ABS(Resultados!D68),ABS(Resultados!M68))/SQRT(COUNT(Resultados!D68,Resultados!M68)))</f>
        <v>4.9999999999999691E-5</v>
      </c>
      <c r="E68">
        <f>IF(COUNT(Resultados!E68,Resultados!N68)&lt;=1, "", _xlfn.STDEV.S(ABS(Resultados!E68),ABS(Resultados!N68))/SQRT(COUNT(Resultados!E68,Resultados!N68)))</f>
        <v>0</v>
      </c>
      <c r="F68">
        <f>IF(COUNT(Resultados!F68,Resultados!O68)&lt;=1, "", _xlfn.STDEV.S(ABS(Resultados!F68),ABS(Resultados!O68))/SQRT(COUNT(Resultados!F68,Resultados!O68)))</f>
        <v>0</v>
      </c>
      <c r="G68">
        <f>IF(COUNT(Resultados!G68,Resultados!P68)&lt;=1, "", _xlfn.STDEV.S(ABS(Resultados!G68),ABS(Resultados!P68))/SQRT(COUNT(Resultados!G68,Resultados!P68)))</f>
        <v>0</v>
      </c>
      <c r="H68">
        <f>IF(COUNT(Resultados!H68,Resultados!Q68)&lt;=1, "", _xlfn.STDEV.S(ABS(Resultados!H68),ABS(Resultados!Q68))/SQRT(COUNT(Resultados!H68,Resultados!Q68)))</f>
        <v>0</v>
      </c>
      <c r="I68">
        <f>IF(COUNT(Resultados!I68,Resultados!R68)&lt;=1, "", _xlfn.STDEV.S(ABS(Resultados!I68),ABS(Resultados!R68))/SQRT(COUNT(Resultados!I68,Resultados!R68)))</f>
        <v>8.5499999999782961E-4</v>
      </c>
    </row>
    <row r="69" spans="1:9" x14ac:dyDescent="0.3">
      <c r="A69" t="str">
        <f>IF(COUNT(Resultados!A69,Resultados!J69)&lt;=1, "", _xlfn.STDEV.S(ABS(Resultados!A69),ABS(Resultados!J69))/SQRT(COUNT(Resultados!A69,Resultados!J69)))</f>
        <v/>
      </c>
      <c r="B69" t="str">
        <f>IF(COUNT(Resultados!B69,Resultados!K69)&lt;=1, "", _xlfn.STDEV.S(ABS(Resultados!B69),ABS(Resultados!K69))/SQRT(COUNT(Resultados!B69,Resultados!K69)))</f>
        <v/>
      </c>
      <c r="C69">
        <f>IF(COUNT(Resultados!C69,Resultados!L69)&lt;=1, "", _xlfn.STDEV.S(ABS(Resultados!C69),ABS(Resultados!L69))/SQRT(COUNT(Resultados!C69,Resultados!L69)))</f>
        <v>0</v>
      </c>
      <c r="D69">
        <f>IF(COUNT(Resultados!D69,Resultados!M69)&lt;=1, "", _xlfn.STDEV.S(ABS(Resultados!D69),ABS(Resultados!M69))/SQRT(COUNT(Resultados!D69,Resultados!M69)))</f>
        <v>1.500000000000008E-4</v>
      </c>
      <c r="E69">
        <f>IF(COUNT(Resultados!E69,Resultados!N69)&lt;=1, "", _xlfn.STDEV.S(ABS(Resultados!E69),ABS(Resultados!N69))/SQRT(COUNT(Resultados!E69,Resultados!N69)))</f>
        <v>1.8065749264604136E-3</v>
      </c>
      <c r="F69">
        <f>IF(COUNT(Resultados!F69,Resultados!O69)&lt;=1, "", _xlfn.STDEV.S(ABS(Resultados!F69),ABS(Resultados!O69))/SQRT(COUNT(Resultados!F69,Resultados!O69)))</f>
        <v>0.17144396052094635</v>
      </c>
      <c r="G69">
        <f>IF(COUNT(Resultados!G69,Resultados!P69)&lt;=1, "", _xlfn.STDEV.S(ABS(Resultados!G69),ABS(Resultados!P69))/SQRT(COUNT(Resultados!G69,Resultados!P69)))</f>
        <v>0</v>
      </c>
      <c r="H69">
        <f>IF(COUNT(Resultados!H69,Resultados!Q69)&lt;=1, "", _xlfn.STDEV.S(ABS(Resultados!H69),ABS(Resultados!Q69))/SQRT(COUNT(Resultados!H69,Resultados!Q69)))</f>
        <v>0</v>
      </c>
      <c r="I69">
        <f>IF(COUNT(Resultados!I69,Resultados!R69)&lt;=1, "", _xlfn.STDEV.S(ABS(Resultados!I69),ABS(Resultados!R69))/SQRT(COUNT(Resultados!I69,Resultados!R69)))</f>
        <v>9.9999999999766928E-5</v>
      </c>
    </row>
    <row r="70" spans="1:9" x14ac:dyDescent="0.3">
      <c r="A70" t="str">
        <f>IF(COUNT(Resultados!A70,Resultados!J70)&lt;=1, "", _xlfn.STDEV.S(ABS(Resultados!A70),ABS(Resultados!J70))/SQRT(COUNT(Resultados!A70,Resultados!J70)))</f>
        <v/>
      </c>
      <c r="B70" t="str">
        <f>IF(COUNT(Resultados!B70,Resultados!K70)&lt;=1, "", _xlfn.STDEV.S(ABS(Resultados!B70),ABS(Resultados!K70))/SQRT(COUNT(Resultados!B70,Resultados!K70)))</f>
        <v/>
      </c>
      <c r="C70">
        <f>IF(COUNT(Resultados!C70,Resultados!L70)&lt;=1, "", _xlfn.STDEV.S(ABS(Resultados!C70),ABS(Resultados!L70))/SQRT(COUNT(Resultados!C70,Resultados!L70)))</f>
        <v>0</v>
      </c>
      <c r="D70">
        <f>IF(COUNT(Resultados!D70,Resultados!M70)&lt;=1, "", _xlfn.STDEV.S(ABS(Resultados!D70),ABS(Resultados!M70))/SQRT(COUNT(Resultados!D70,Resultados!M70)))</f>
        <v>2.5000000000000022E-4</v>
      </c>
      <c r="E70">
        <f>IF(COUNT(Resultados!E70,Resultados!N70)&lt;=1, "", _xlfn.STDEV.S(ABS(Resultados!E70),ABS(Resultados!N70))/SQRT(COUNT(Resultados!E70,Resultados!N70)))</f>
        <v>1.5529529723501412E-4</v>
      </c>
      <c r="F70">
        <f>IF(COUNT(Resultados!F70,Resultados!O70)&lt;=1, "", _xlfn.STDEV.S(ABS(Resultados!F70),ABS(Resultados!O70))/SQRT(COUNT(Resultados!F70,Resultados!O70)))</f>
        <v>1.4737523707481159E-2</v>
      </c>
      <c r="G70">
        <f>IF(COUNT(Resultados!G70,Resultados!P70)&lt;=1, "", _xlfn.STDEV.S(ABS(Resultados!G70),ABS(Resultados!P70))/SQRT(COUNT(Resultados!G70,Resultados!P70)))</f>
        <v>0</v>
      </c>
      <c r="H70">
        <f>IF(COUNT(Resultados!H70,Resultados!Q70)&lt;=1, "", _xlfn.STDEV.S(ABS(Resultados!H70),ABS(Resultados!Q70))/SQRT(COUNT(Resultados!H70,Resultados!Q70)))</f>
        <v>0</v>
      </c>
      <c r="I70">
        <f>IF(COUNT(Resultados!I70,Resultados!R70)&lt;=1, "", _xlfn.STDEV.S(ABS(Resultados!I70),ABS(Resultados!R70))/SQRT(COUNT(Resultados!I70,Resultados!R70)))</f>
        <v>7.6000000000320245E-4</v>
      </c>
    </row>
    <row r="71" spans="1:9" x14ac:dyDescent="0.3">
      <c r="A71" t="str">
        <f>IF(COUNT(Resultados!A71,Resultados!J71)&lt;=1, "", _xlfn.STDEV.S(ABS(Resultados!A71),ABS(Resultados!J71))/SQRT(COUNT(Resultados!A71,Resultados!J71)))</f>
        <v/>
      </c>
      <c r="B71" t="str">
        <f>IF(COUNT(Resultados!B71,Resultados!K71)&lt;=1, "", _xlfn.STDEV.S(ABS(Resultados!B71),ABS(Resultados!K71))/SQRT(COUNT(Resultados!B71,Resultados!K71)))</f>
        <v/>
      </c>
      <c r="C71">
        <f>IF(COUNT(Resultados!C71,Resultados!L71)&lt;=1, "", _xlfn.STDEV.S(ABS(Resultados!C71),ABS(Resultados!L71))/SQRT(COUNT(Resultados!C71,Resultados!L71)))</f>
        <v>0</v>
      </c>
      <c r="D71">
        <f>IF(COUNT(Resultados!D71,Resultados!M71)&lt;=1, "", _xlfn.STDEV.S(ABS(Resultados!D71),ABS(Resultados!M71))/SQRT(COUNT(Resultados!D71,Resultados!M71)))</f>
        <v>1.1000000000000003E-3</v>
      </c>
      <c r="E71">
        <f>IF(COUNT(Resultados!E71,Resultados!N71)&lt;=1, "", _xlfn.STDEV.S(ABS(Resultados!E71),ABS(Resultados!N71))/SQRT(COUNT(Resultados!E71,Resultados!N71)))</f>
        <v>1.0039455769099701E-3</v>
      </c>
      <c r="F71">
        <f>IF(COUNT(Resultados!F71,Resultados!O71)&lt;=1, "", _xlfn.STDEV.S(ABS(Resultados!F71),ABS(Resultados!O71))/SQRT(COUNT(Resultados!F71,Resultados!O71)))</f>
        <v>9.5274435248484224E-2</v>
      </c>
      <c r="G71">
        <f>IF(COUNT(Resultados!G71,Resultados!P71)&lt;=1, "", _xlfn.STDEV.S(ABS(Resultados!G71),ABS(Resultados!P71))/SQRT(COUNT(Resultados!G71,Resultados!P71)))</f>
        <v>0</v>
      </c>
      <c r="H71">
        <f>IF(COUNT(Resultados!H71,Resultados!Q71)&lt;=1, "", _xlfn.STDEV.S(ABS(Resultados!H71),ABS(Resultados!Q71))/SQRT(COUNT(Resultados!H71,Resultados!Q71)))</f>
        <v>0</v>
      </c>
      <c r="I71">
        <f>IF(COUNT(Resultados!I71,Resultados!R71)&lt;=1, "", _xlfn.STDEV.S(ABS(Resultados!I71),ABS(Resultados!R71))/SQRT(COUNT(Resultados!I71,Resultados!R71)))</f>
        <v>5.6000000000366857E-4</v>
      </c>
    </row>
    <row r="72" spans="1:9" x14ac:dyDescent="0.3">
      <c r="A72" t="str">
        <f>IF(COUNT(Resultados!A72,Resultados!J72)&lt;=1, "", _xlfn.STDEV.S(ABS(Resultados!A72),ABS(Resultados!J72))/SQRT(COUNT(Resultados!A72,Resultados!J72)))</f>
        <v/>
      </c>
      <c r="B72" t="str">
        <f>IF(COUNT(Resultados!B72,Resultados!K72)&lt;=1, "", _xlfn.STDEV.S(ABS(Resultados!B72),ABS(Resultados!K72))/SQRT(COUNT(Resultados!B72,Resultados!K72)))</f>
        <v/>
      </c>
      <c r="C72">
        <f>IF(COUNT(Resultados!C72,Resultados!L72)&lt;=1, "", _xlfn.STDEV.S(ABS(Resultados!C72),ABS(Resultados!L72))/SQRT(COUNT(Resultados!C72,Resultados!L72)))</f>
        <v>0</v>
      </c>
      <c r="D72">
        <f>IF(COUNT(Resultados!D72,Resultados!M72)&lt;=1, "", _xlfn.STDEV.S(ABS(Resultados!D72),ABS(Resultados!M72))/SQRT(COUNT(Resultados!D72,Resultados!M72)))</f>
        <v>3.5000000000000309E-4</v>
      </c>
      <c r="E72">
        <f>IF(COUNT(Resultados!E72,Resultados!N72)&lt;=1, "", _xlfn.STDEV.S(ABS(Resultados!E72),ABS(Resultados!N72))/SQRT(COUNT(Resultados!E72,Resultados!N72)))</f>
        <v>9.883349530346306E-4</v>
      </c>
      <c r="F72">
        <f>IF(COUNT(Resultados!F72,Resultados!O72)&lt;=1, "", _xlfn.STDEV.S(ABS(Resultados!F72),ABS(Resultados!O72))/SQRT(COUNT(Resultados!F72,Resultados!O72)))</f>
        <v>9.3792987043002526E-2</v>
      </c>
      <c r="G72">
        <f>IF(COUNT(Resultados!G72,Resultados!P72)&lt;=1, "", _xlfn.STDEV.S(ABS(Resultados!G72),ABS(Resultados!P72))/SQRT(COUNT(Resultados!G72,Resultados!P72)))</f>
        <v>0</v>
      </c>
      <c r="H72">
        <f>IF(COUNT(Resultados!H72,Resultados!Q72)&lt;=1, "", _xlfn.STDEV.S(ABS(Resultados!H72),ABS(Resultados!Q72))/SQRT(COUNT(Resultados!H72,Resultados!Q72)))</f>
        <v>5.0000000000001425E-5</v>
      </c>
      <c r="I72">
        <f>IF(COUNT(Resultados!I72,Resultados!R72)&lt;=1, "", _xlfn.STDEV.S(ABS(Resultados!I72),ABS(Resultados!R72))/SQRT(COUNT(Resultados!I72,Resultados!R72)))</f>
        <v>4.1099999999936179E-3</v>
      </c>
    </row>
    <row r="73" spans="1:9" x14ac:dyDescent="0.3">
      <c r="A73" t="str">
        <f>IF(COUNT(Resultados!A73,Resultados!J73)&lt;=1, "", _xlfn.STDEV.S(ABS(Resultados!A73),ABS(Resultados!J73))/SQRT(COUNT(Resultados!A73,Resultados!J73)))</f>
        <v/>
      </c>
      <c r="B73" t="str">
        <f>IF(COUNT(Resultados!B73,Resultados!K73)&lt;=1, "", _xlfn.STDEV.S(ABS(Resultados!B73),ABS(Resultados!K73))/SQRT(COUNT(Resultados!B73,Resultados!K73)))</f>
        <v/>
      </c>
      <c r="C73">
        <f>IF(COUNT(Resultados!C73,Resultados!L73)&lt;=1, "", _xlfn.STDEV.S(ABS(Resultados!C73),ABS(Resultados!L73))/SQRT(COUNT(Resultados!C73,Resultados!L73)))</f>
        <v>0</v>
      </c>
      <c r="D73">
        <f>IF(COUNT(Resultados!D73,Resultados!M73)&lt;=1, "", _xlfn.STDEV.S(ABS(Resultados!D73),ABS(Resultados!M73))/SQRT(COUNT(Resultados!D73,Resultados!M73)))</f>
        <v>5.0000000000001425E-5</v>
      </c>
      <c r="E73">
        <f>IF(COUNT(Resultados!E73,Resultados!N73)&lt;=1, "", _xlfn.STDEV.S(ABS(Resultados!E73),ABS(Resultados!N73))/SQRT(COUNT(Resultados!E73,Resultados!N73)))</f>
        <v>5.5813048731945258E-4</v>
      </c>
      <c r="F73">
        <f>IF(COUNT(Resultados!F73,Resultados!O73)&lt;=1, "", _xlfn.STDEV.S(ABS(Resultados!F73),ABS(Resultados!O73))/SQRT(COUNT(Resultados!F73,Resultados!O73)))</f>
        <v>5.2017761418483133E-2</v>
      </c>
      <c r="G73">
        <f>IF(COUNT(Resultados!G73,Resultados!P73)&lt;=1, "", _xlfn.STDEV.S(ABS(Resultados!G73),ABS(Resultados!P73))/SQRT(COUNT(Resultados!G73,Resultados!P73)))</f>
        <v>0</v>
      </c>
      <c r="H73">
        <f>IF(COUNT(Resultados!H73,Resultados!Q73)&lt;=1, "", _xlfn.STDEV.S(ABS(Resultados!H73),ABS(Resultados!Q73))/SQRT(COUNT(Resultados!H73,Resultados!Q73)))</f>
        <v>0</v>
      </c>
      <c r="I73">
        <f>IF(COUNT(Resultados!I73,Resultados!R73)&lt;=1, "", _xlfn.STDEV.S(ABS(Resultados!I73),ABS(Resultados!R73))/SQRT(COUNT(Resultados!I73,Resultados!R73)))</f>
        <v>1.3049999999985571E-3</v>
      </c>
    </row>
    <row r="74" spans="1:9" x14ac:dyDescent="0.3">
      <c r="A74" t="str">
        <f>IF(COUNT(Resultados!A74,Resultados!J74)&lt;=1, "", _xlfn.STDEV.S(ABS(Resultados!A74),ABS(Resultados!J74))/SQRT(COUNT(Resultados!A74,Resultados!J74)))</f>
        <v/>
      </c>
      <c r="B74" t="str">
        <f>IF(COUNT(Resultados!B74,Resultados!K74)&lt;=1, "", _xlfn.STDEV.S(ABS(Resultados!B74),ABS(Resultados!K74))/SQRT(COUNT(Resultados!B74,Resultados!K74)))</f>
        <v/>
      </c>
      <c r="C74">
        <f>IF(COUNT(Resultados!C74,Resultados!L74)&lt;=1, "", _xlfn.STDEV.S(ABS(Resultados!C74),ABS(Resultados!L74))/SQRT(COUNT(Resultados!C74,Resultados!L74)))</f>
        <v>0</v>
      </c>
      <c r="D74">
        <f>IF(COUNT(Resultados!D74,Resultados!M74)&lt;=1, "", _xlfn.STDEV.S(ABS(Resultados!D74),ABS(Resultados!M74))/SQRT(COUNT(Resultados!D74,Resultados!M74)))</f>
        <v>5.0000000000001425E-5</v>
      </c>
      <c r="E74">
        <f>IF(COUNT(Resultados!E74,Resultados!N74)&lt;=1, "", _xlfn.STDEV.S(ABS(Resultados!E74),ABS(Resultados!N74))/SQRT(COUNT(Resultados!E74,Resultados!N74)))</f>
        <v>2.6416419360106858E-3</v>
      </c>
      <c r="F74">
        <f>IF(COUNT(Resultados!F74,Resultados!O74)&lt;=1, "", _xlfn.STDEV.S(ABS(Resultados!F74),ABS(Resultados!O74))/SQRT(COUNT(Resultados!F74,Resultados!O74)))</f>
        <v>0.24620102843653055</v>
      </c>
      <c r="G74">
        <f>IF(COUNT(Resultados!G74,Resultados!P74)&lt;=1, "", _xlfn.STDEV.S(ABS(Resultados!G74),ABS(Resultados!P74))/SQRT(COUNT(Resultados!G74,Resultados!P74)))</f>
        <v>0</v>
      </c>
      <c r="H74">
        <f>IF(COUNT(Resultados!H74,Resultados!Q74)&lt;=1, "", _xlfn.STDEV.S(ABS(Resultados!H74),ABS(Resultados!Q74))/SQRT(COUNT(Resultados!H74,Resultados!Q74)))</f>
        <v>4.9999999999997956E-5</v>
      </c>
      <c r="I74">
        <f>IF(COUNT(Resultados!I74,Resultados!R74)&lt;=1, "", _xlfn.STDEV.S(ABS(Resultados!I74),ABS(Resultados!R74))/SQRT(COUNT(Resultados!I74,Resultados!R74)))</f>
        <v>4.0000000000262048E-4</v>
      </c>
    </row>
    <row r="75" spans="1:9" x14ac:dyDescent="0.3">
      <c r="A75" t="str">
        <f>IF(COUNT(Resultados!A75,Resultados!J75)&lt;=1, "", _xlfn.STDEV.S(ABS(Resultados!A75),ABS(Resultados!J75))/SQRT(COUNT(Resultados!A75,Resultados!J75)))</f>
        <v/>
      </c>
      <c r="B75" t="str">
        <f>IF(COUNT(Resultados!B75,Resultados!K75)&lt;=1, "", _xlfn.STDEV.S(ABS(Resultados!B75),ABS(Resultados!K75))/SQRT(COUNT(Resultados!B75,Resultados!K75)))</f>
        <v/>
      </c>
      <c r="C75">
        <f>IF(COUNT(Resultados!C75,Resultados!L75)&lt;=1, "", _xlfn.STDEV.S(ABS(Resultados!C75),ABS(Resultados!L75))/SQRT(COUNT(Resultados!C75,Resultados!L75)))</f>
        <v>0</v>
      </c>
      <c r="D75">
        <f>IF(COUNT(Resultados!D75,Resultados!M75)&lt;=1, "", _xlfn.STDEV.S(ABS(Resultados!D75),ABS(Resultados!M75))/SQRT(COUNT(Resultados!D75,Resultados!M75)))</f>
        <v>6.9999999999999923E-4</v>
      </c>
      <c r="E75">
        <f>IF(COUNT(Resultados!E75,Resultados!N75)&lt;=1, "", _xlfn.STDEV.S(ABS(Resultados!E75),ABS(Resultados!N75))/SQRT(COUNT(Resultados!E75,Resultados!N75)))</f>
        <v>2.1895420498019289E-4</v>
      </c>
      <c r="F75">
        <f>IF(COUNT(Resultados!F75,Resultados!O75)&lt;=1, "", _xlfn.STDEV.S(ABS(Resultados!F75),ABS(Resultados!O75))/SQRT(COUNT(Resultados!F75,Resultados!O75)))</f>
        <v>2.0406531904086474E-2</v>
      </c>
      <c r="G75">
        <f>IF(COUNT(Resultados!G75,Resultados!P75)&lt;=1, "", _xlfn.STDEV.S(ABS(Resultados!G75),ABS(Resultados!P75))/SQRT(COUNT(Resultados!G75,Resultados!P75)))</f>
        <v>0</v>
      </c>
      <c r="H75">
        <f>IF(COUNT(Resultados!H75,Resultados!Q75)&lt;=1, "", _xlfn.STDEV.S(ABS(Resultados!H75),ABS(Resultados!Q75))/SQRT(COUNT(Resultados!H75,Resultados!Q75)))</f>
        <v>0</v>
      </c>
      <c r="I75">
        <f>IF(COUNT(Resultados!I75,Resultados!R75)&lt;=1, "", _xlfn.STDEV.S(ABS(Resultados!I75),ABS(Resultados!R75))/SQRT(COUNT(Resultados!I75,Resultados!R75)))</f>
        <v>7.7500000000085823E-4</v>
      </c>
    </row>
    <row r="76" spans="1:9" x14ac:dyDescent="0.3">
      <c r="A76" t="str">
        <f>IF(COUNT(Resultados!A76,Resultados!J76)&lt;=1, "", _xlfn.STDEV.S(ABS(Resultados!A76),ABS(Resultados!J76))/SQRT(COUNT(Resultados!A76,Resultados!J76)))</f>
        <v/>
      </c>
      <c r="B76" t="str">
        <f>IF(COUNT(Resultados!B76,Resultados!K76)&lt;=1, "", _xlfn.STDEV.S(ABS(Resultados!B76),ABS(Resultados!K76))/SQRT(COUNT(Resultados!B76,Resultados!K76)))</f>
        <v/>
      </c>
      <c r="C76">
        <f>IF(COUNT(Resultados!C76,Resultados!L76)&lt;=1, "", _xlfn.STDEV.S(ABS(Resultados!C76),ABS(Resultados!L76))/SQRT(COUNT(Resultados!C76,Resultados!L76)))</f>
        <v>0</v>
      </c>
      <c r="D76">
        <f>IF(COUNT(Resultados!D76,Resultados!M76)&lt;=1, "", _xlfn.STDEV.S(ABS(Resultados!D76),ABS(Resultados!M76))/SQRT(COUNT(Resultados!D76,Resultados!M76)))</f>
        <v>4.4999999999999896E-4</v>
      </c>
      <c r="E76">
        <f>IF(COUNT(Resultados!E76,Resultados!N76)&lt;=1, "", _xlfn.STDEV.S(ABS(Resultados!E76),ABS(Resultados!N76))/SQRT(COUNT(Resultados!E76,Resultados!N76)))</f>
        <v>4.2229778608504626E-4</v>
      </c>
      <c r="F76">
        <f>IF(COUNT(Resultados!F76,Resultados!O76)&lt;=1, "", _xlfn.STDEV.S(ABS(Resultados!F76),ABS(Resultados!O76))/SQRT(COUNT(Resultados!F76,Resultados!O76)))</f>
        <v>3.9358153663442863E-2</v>
      </c>
      <c r="G76">
        <f>IF(COUNT(Resultados!G76,Resultados!P76)&lt;=1, "", _xlfn.STDEV.S(ABS(Resultados!G76),ABS(Resultados!P76))/SQRT(COUNT(Resultados!G76,Resultados!P76)))</f>
        <v>0</v>
      </c>
      <c r="H76">
        <f>IF(COUNT(Resultados!H76,Resultados!Q76)&lt;=1, "", _xlfn.STDEV.S(ABS(Resultados!H76),ABS(Resultados!Q76))/SQRT(COUNT(Resultados!H76,Resultados!Q76)))</f>
        <v>0</v>
      </c>
      <c r="I76">
        <f>IF(COUNT(Resultados!I76,Resultados!R76)&lt;=1, "", _xlfn.STDEV.S(ABS(Resultados!I76),ABS(Resultados!R76))/SQRT(COUNT(Resultados!I76,Resultados!R76)))</f>
        <v>7.1999999999761144E-4</v>
      </c>
    </row>
    <row r="77" spans="1:9" x14ac:dyDescent="0.3">
      <c r="A77" t="str">
        <f>IF(COUNT(Resultados!A77,Resultados!J77)&lt;=1, "", _xlfn.STDEV.S(ABS(Resultados!A77),ABS(Resultados!J77))/SQRT(COUNT(Resultados!A77,Resultados!J77)))</f>
        <v/>
      </c>
      <c r="B77" t="str">
        <f>IF(COUNT(Resultados!B77,Resultados!K77)&lt;=1, "", _xlfn.STDEV.S(ABS(Resultados!B77),ABS(Resultados!K77))/SQRT(COUNT(Resultados!B77,Resultados!K77)))</f>
        <v/>
      </c>
      <c r="C77">
        <f>IF(COUNT(Resultados!C77,Resultados!L77)&lt;=1, "", _xlfn.STDEV.S(ABS(Resultados!C77),ABS(Resultados!L77))/SQRT(COUNT(Resultados!C77,Resultados!L77)))</f>
        <v>0</v>
      </c>
      <c r="D77">
        <f>IF(COUNT(Resultados!D77,Resultados!M77)&lt;=1, "", _xlfn.STDEV.S(ABS(Resultados!D77),ABS(Resultados!M77))/SQRT(COUNT(Resultados!D77,Resultados!M77)))</f>
        <v>8.5000000000000006E-4</v>
      </c>
      <c r="E77">
        <f>IF(COUNT(Resultados!E77,Resultados!N77)&lt;=1, "", _xlfn.STDEV.S(ABS(Resultados!E77),ABS(Resultados!N77))/SQRT(COUNT(Resultados!E77,Resultados!N77)))</f>
        <v>3.1280041005894428E-3</v>
      </c>
      <c r="F77">
        <f>IF(COUNT(Resultados!F77,Resultados!O77)&lt;=1, "", _xlfn.STDEV.S(ABS(Resultados!F77),ABS(Resultados!O77))/SQRT(COUNT(Resultados!F77,Resultados!O77)))</f>
        <v>0.29152998217443837</v>
      </c>
      <c r="G77">
        <f>IF(COUNT(Resultados!G77,Resultados!P77)&lt;=1, "", _xlfn.STDEV.S(ABS(Resultados!G77),ABS(Resultados!P77))/SQRT(COUNT(Resultados!G77,Resultados!P77)))</f>
        <v>0</v>
      </c>
      <c r="H77">
        <f>IF(COUNT(Resultados!H77,Resultados!Q77)&lt;=1, "", _xlfn.STDEV.S(ABS(Resultados!H77),ABS(Resultados!Q77))/SQRT(COUNT(Resultados!H77,Resultados!Q77)))</f>
        <v>4.9999999999999691E-5</v>
      </c>
      <c r="I77">
        <f>IF(COUNT(Resultados!I77,Resultados!R77)&lt;=1, "", _xlfn.STDEV.S(ABS(Resultados!I77),ABS(Resultados!R77))/SQRT(COUNT(Resultados!I77,Resultados!R77)))</f>
        <v>1.300000000021839E-4</v>
      </c>
    </row>
    <row r="78" spans="1:9" x14ac:dyDescent="0.3">
      <c r="A78" t="str">
        <f>IF(COUNT(Resultados!A78,Resultados!J78)&lt;=1, "", _xlfn.STDEV.S(ABS(Resultados!A78),ABS(Resultados!J78))/SQRT(COUNT(Resultados!A78,Resultados!J78)))</f>
        <v/>
      </c>
      <c r="B78" t="str">
        <f>IF(COUNT(Resultados!B78,Resultados!K78)&lt;=1, "", _xlfn.STDEV.S(ABS(Resultados!B78),ABS(Resultados!K78))/SQRT(COUNT(Resultados!B78,Resultados!K78)))</f>
        <v/>
      </c>
      <c r="C78">
        <f>IF(COUNT(Resultados!C78,Resultados!L78)&lt;=1, "", _xlfn.STDEV.S(ABS(Resultados!C78),ABS(Resultados!L78))/SQRT(COUNT(Resultados!C78,Resultados!L78)))</f>
        <v>0</v>
      </c>
      <c r="D78">
        <f>IF(COUNT(Resultados!D78,Resultados!M78)&lt;=1, "", _xlfn.STDEV.S(ABS(Resultados!D78),ABS(Resultados!M78))/SQRT(COUNT(Resultados!D78,Resultados!M78)))</f>
        <v>8.5000000000000006E-4</v>
      </c>
      <c r="E78">
        <f>IF(COUNT(Resultados!E78,Resultados!N78)&lt;=1, "", _xlfn.STDEV.S(ABS(Resultados!E78),ABS(Resultados!N78))/SQRT(COUNT(Resultados!E78,Resultados!N78)))</f>
        <v>7.4588371809403142E-3</v>
      </c>
      <c r="F78">
        <f>IF(COUNT(Resultados!F78,Resultados!O78)&lt;=1, "", _xlfn.STDEV.S(ABS(Resultados!F78),ABS(Resultados!O78))/SQRT(COUNT(Resultados!F78,Resultados!O78)))</f>
        <v>0.69516362526394448</v>
      </c>
      <c r="G78">
        <f>IF(COUNT(Resultados!G78,Resultados!P78)&lt;=1, "", _xlfn.STDEV.S(ABS(Resultados!G78),ABS(Resultados!P78))/SQRT(COUNT(Resultados!G78,Resultados!P78)))</f>
        <v>0</v>
      </c>
      <c r="H78">
        <f>IF(COUNT(Resultados!H78,Resultados!Q78)&lt;=1, "", _xlfn.STDEV.S(ABS(Resultados!H78),ABS(Resultados!Q78))/SQRT(COUNT(Resultados!H78,Resultados!Q78)))</f>
        <v>1.4999999999999909E-4</v>
      </c>
      <c r="I78">
        <f>IF(COUNT(Resultados!I78,Resultados!R78)&lt;=1, "", _xlfn.STDEV.S(ABS(Resultados!I78),ABS(Resultados!R78))/SQRT(COUNT(Resultados!I78,Resultados!R78)))</f>
        <v>1.6899999999999691E-3</v>
      </c>
    </row>
    <row r="79" spans="1:9" x14ac:dyDescent="0.3">
      <c r="A79" t="str">
        <f>IF(COUNT(Resultados!A79,Resultados!J79)&lt;=1, "", _xlfn.STDEV.S(ABS(Resultados!A79),ABS(Resultados!J79))/SQRT(COUNT(Resultados!A79,Resultados!J79)))</f>
        <v/>
      </c>
      <c r="B79" t="str">
        <f>IF(COUNT(Resultados!B79,Resultados!K79)&lt;=1, "", _xlfn.STDEV.S(ABS(Resultados!B79),ABS(Resultados!K79))/SQRT(COUNT(Resultados!B79,Resultados!K79)))</f>
        <v/>
      </c>
      <c r="C79">
        <f>IF(COUNT(Resultados!C79,Resultados!L79)&lt;=1, "", _xlfn.STDEV.S(ABS(Resultados!C79),ABS(Resultados!L79))/SQRT(COUNT(Resultados!C79,Resultados!L79)))</f>
        <v>0</v>
      </c>
      <c r="D79">
        <f>IF(COUNT(Resultados!D79,Resultados!M79)&lt;=1, "", _xlfn.STDEV.S(ABS(Resultados!D79),ABS(Resultados!M79))/SQRT(COUNT(Resultados!D79,Resultados!M79)))</f>
        <v>2.9999999999999992E-4</v>
      </c>
      <c r="E79">
        <f>IF(COUNT(Resultados!E79,Resultados!N79)&lt;=1, "", _xlfn.STDEV.S(ABS(Resultados!E79),ABS(Resultados!N79))/SQRT(COUNT(Resultados!E79,Resultados!N79)))</f>
        <v>1.5243672844844625E-3</v>
      </c>
      <c r="F79">
        <f>IF(COUNT(Resultados!F79,Resultados!O79)&lt;=1, "", _xlfn.STDEV.S(ABS(Resultados!F79),ABS(Resultados!O79))/SQRT(COUNT(Resultados!F79,Resultados!O79)))</f>
        <v>0.14207103091405313</v>
      </c>
      <c r="G79">
        <f>IF(COUNT(Resultados!G79,Resultados!P79)&lt;=1, "", _xlfn.STDEV.S(ABS(Resultados!G79),ABS(Resultados!P79))/SQRT(COUNT(Resultados!G79,Resultados!P79)))</f>
        <v>0</v>
      </c>
      <c r="H79">
        <f>IF(COUNT(Resultados!H79,Resultados!Q79)&lt;=1, "", _xlfn.STDEV.S(ABS(Resultados!H79),ABS(Resultados!Q79))/SQRT(COUNT(Resultados!H79,Resultados!Q79)))</f>
        <v>4.9999999999999691E-5</v>
      </c>
      <c r="I79">
        <f>IF(COUNT(Resultados!I79,Resultados!R79)&lt;=1, "", _xlfn.STDEV.S(ABS(Resultados!I79),ABS(Resultados!R79))/SQRT(COUNT(Resultados!I79,Resultados!R79)))</f>
        <v>2.2499999999681108E-4</v>
      </c>
    </row>
    <row r="80" spans="1:9" x14ac:dyDescent="0.3">
      <c r="A80" t="str">
        <f>IF(COUNT(Resultados!A80,Resultados!J80)&lt;=1, "", _xlfn.STDEV.S(ABS(Resultados!A80),ABS(Resultados!J80))/SQRT(COUNT(Resultados!A80,Resultados!J80)))</f>
        <v/>
      </c>
      <c r="B80" t="str">
        <f>IF(COUNT(Resultados!B80,Resultados!K80)&lt;=1, "", _xlfn.STDEV.S(ABS(Resultados!B80),ABS(Resultados!K80))/SQRT(COUNT(Resultados!B80,Resultados!K80)))</f>
        <v/>
      </c>
      <c r="C80">
        <f>IF(COUNT(Resultados!C80,Resultados!L80)&lt;=1, "", _xlfn.STDEV.S(ABS(Resultados!C80),ABS(Resultados!L80))/SQRT(COUNT(Resultados!C80,Resultados!L80)))</f>
        <v>0</v>
      </c>
      <c r="D80">
        <f>IF(COUNT(Resultados!D80,Resultados!M80)&lt;=1, "", _xlfn.STDEV.S(ABS(Resultados!D80),ABS(Resultados!M80))/SQRT(COUNT(Resultados!D80,Resultados!M80)))</f>
        <v>9.9999999999999381E-5</v>
      </c>
      <c r="E80">
        <f>IF(COUNT(Resultados!E80,Resultados!N80)&lt;=1, "", _xlfn.STDEV.S(ABS(Resultados!E80),ABS(Resultados!N80))/SQRT(COUNT(Resultados!E80,Resultados!N80)))</f>
        <v>1.1566864084198156E-3</v>
      </c>
      <c r="F80">
        <f>IF(COUNT(Resultados!F80,Resultados!O80)&lt;=1, "", _xlfn.STDEV.S(ABS(Resultados!F80),ABS(Resultados!O80))/SQRT(COUNT(Resultados!F80,Resultados!O80)))</f>
        <v>0.10780317326498333</v>
      </c>
      <c r="G80">
        <f>IF(COUNT(Resultados!G80,Resultados!P80)&lt;=1, "", _xlfn.STDEV.S(ABS(Resultados!G80),ABS(Resultados!P80))/SQRT(COUNT(Resultados!G80,Resultados!P80)))</f>
        <v>0</v>
      </c>
      <c r="H80">
        <f>IF(COUNT(Resultados!H80,Resultados!Q80)&lt;=1, "", _xlfn.STDEV.S(ABS(Resultados!H80),ABS(Resultados!Q80))/SQRT(COUNT(Resultados!H80,Resultados!Q80)))</f>
        <v>0</v>
      </c>
      <c r="I80">
        <f>IF(COUNT(Resultados!I80,Resultados!R80)&lt;=1, "", _xlfn.STDEV.S(ABS(Resultados!I80),ABS(Resultados!R80))/SQRT(COUNT(Resultados!I80,Resultados!R80)))</f>
        <v>1.449999999998397E-4</v>
      </c>
    </row>
    <row r="81" spans="1:9" x14ac:dyDescent="0.3">
      <c r="A81" t="str">
        <f>IF(COUNT(Resultados!A81,Resultados!J81)&lt;=1, "", _xlfn.STDEV.S(ABS(Resultados!A81),ABS(Resultados!J81))/SQRT(COUNT(Resultados!A81,Resultados!J81)))</f>
        <v/>
      </c>
      <c r="B81" t="str">
        <f>IF(COUNT(Resultados!B81,Resultados!K81)&lt;=1, "", _xlfn.STDEV.S(ABS(Resultados!B81),ABS(Resultados!K81))/SQRT(COUNT(Resultados!B81,Resultados!K81)))</f>
        <v/>
      </c>
      <c r="C81">
        <f>IF(COUNT(Resultados!C81,Resultados!L81)&lt;=1, "", _xlfn.STDEV.S(ABS(Resultados!C81),ABS(Resultados!L81))/SQRT(COUNT(Resultados!C81,Resultados!L81)))</f>
        <v>0</v>
      </c>
      <c r="D81">
        <f>IF(COUNT(Resultados!D81,Resultados!M81)&lt;=1, "", _xlfn.STDEV.S(ABS(Resultados!D81),ABS(Resultados!M81))/SQRT(COUNT(Resultados!D81,Resultados!M81)))</f>
        <v>3.9999999999999931E-4</v>
      </c>
      <c r="E81">
        <f>IF(COUNT(Resultados!E81,Resultados!N81)&lt;=1, "", _xlfn.STDEV.S(ABS(Resultados!E81),ABS(Resultados!N81))/SQRT(COUNT(Resultados!E81,Resultados!N81)))</f>
        <v>9.013412036305013E-4</v>
      </c>
      <c r="F81">
        <f>IF(COUNT(Resultados!F81,Resultados!O81)&lt;=1, "", _xlfn.STDEV.S(ABS(Resultados!F81),ABS(Resultados!O81))/SQRT(COUNT(Resultados!F81,Resultados!O81)))</f>
        <v>8.4005000178422051E-2</v>
      </c>
      <c r="G81">
        <f>IF(COUNT(Resultados!G81,Resultados!P81)&lt;=1, "", _xlfn.STDEV.S(ABS(Resultados!G81),ABS(Resultados!P81))/SQRT(COUNT(Resultados!G81,Resultados!P81)))</f>
        <v>0</v>
      </c>
      <c r="H81">
        <f>IF(COUNT(Resultados!H81,Resultados!Q81)&lt;=1, "", _xlfn.STDEV.S(ABS(Resultados!H81),ABS(Resultados!Q81))/SQRT(COUNT(Resultados!H81,Resultados!Q81)))</f>
        <v>0</v>
      </c>
      <c r="I81">
        <f>IF(COUNT(Resultados!I81,Resultados!R81)&lt;=1, "", _xlfn.STDEV.S(ABS(Resultados!I81),ABS(Resultados!R81))/SQRT(COUNT(Resultados!I81,Resultados!R81)))</f>
        <v>4.150000000002762E-4</v>
      </c>
    </row>
    <row r="82" spans="1:9" x14ac:dyDescent="0.3">
      <c r="A82" t="str">
        <f>IF(COUNT(Resultados!A82,Resultados!J82)&lt;=1, "", _xlfn.STDEV.S(ABS(Resultados!A82),ABS(Resultados!J82))/SQRT(COUNT(Resultados!A82,Resultados!J82)))</f>
        <v/>
      </c>
      <c r="B82" t="str">
        <f>IF(COUNT(Resultados!B82,Resultados!K82)&lt;=1, "", _xlfn.STDEV.S(ABS(Resultados!B82),ABS(Resultados!K82))/SQRT(COUNT(Resultados!B82,Resultados!K82)))</f>
        <v/>
      </c>
      <c r="C82">
        <f>IF(COUNT(Resultados!C82,Resultados!L82)&lt;=1, "", _xlfn.STDEV.S(ABS(Resultados!C82),ABS(Resultados!L82))/SQRT(COUNT(Resultados!C82,Resultados!L82)))</f>
        <v>0</v>
      </c>
      <c r="D82">
        <f>IF(COUNT(Resultados!D82,Resultados!M82)&lt;=1, "", _xlfn.STDEV.S(ABS(Resultados!D82),ABS(Resultados!M82))/SQRT(COUNT(Resultados!D82,Resultados!M82)))</f>
        <v>9.9999999999999829E-5</v>
      </c>
      <c r="E82">
        <f>IF(COUNT(Resultados!E82,Resultados!N82)&lt;=1, "", _xlfn.STDEV.S(ABS(Resultados!E82),ABS(Resultados!N82))/SQRT(COUNT(Resultados!E82,Resultados!N82)))</f>
        <v>3.8620480727491469E-4</v>
      </c>
      <c r="F82">
        <f>IF(COUNT(Resultados!F82,Resultados!O82)&lt;=1, "", _xlfn.STDEV.S(ABS(Resultados!F82),ABS(Resultados!O82))/SQRT(COUNT(Resultados!F82,Resultados!O82)))</f>
        <v>3.5994288038523337E-2</v>
      </c>
      <c r="G82">
        <f>IF(COUNT(Resultados!G82,Resultados!P82)&lt;=1, "", _xlfn.STDEV.S(ABS(Resultados!G82),ABS(Resultados!P82))/SQRT(COUNT(Resultados!G82,Resultados!P82)))</f>
        <v>0</v>
      </c>
      <c r="H82">
        <f>IF(COUNT(Resultados!H82,Resultados!Q82)&lt;=1, "", _xlfn.STDEV.S(ABS(Resultados!H82),ABS(Resultados!Q82))/SQRT(COUNT(Resultados!H82,Resultados!Q82)))</f>
        <v>0</v>
      </c>
      <c r="I82">
        <f>IF(COUNT(Resultados!I82,Resultados!R82)&lt;=1, "", _xlfn.STDEV.S(ABS(Resultados!I82),ABS(Resultados!R82))/SQRT(COUNT(Resultados!I82,Resultados!R82)))</f>
        <v>5.0500000000042178E-4</v>
      </c>
    </row>
    <row r="83" spans="1:9" x14ac:dyDescent="0.3">
      <c r="A83" t="str">
        <f>IF(COUNT(Resultados!A83,Resultados!J83)&lt;=1, "", _xlfn.STDEV.S(ABS(Resultados!A83),ABS(Resultados!J83))/SQRT(COUNT(Resultados!A83,Resultados!J83)))</f>
        <v/>
      </c>
      <c r="B83" t="str">
        <f>IF(COUNT(Resultados!B83,Resultados!K83)&lt;=1, "", _xlfn.STDEV.S(ABS(Resultados!B83),ABS(Resultados!K83))/SQRT(COUNT(Resultados!B83,Resultados!K83)))</f>
        <v/>
      </c>
      <c r="C83">
        <f>IF(COUNT(Resultados!C83,Resultados!L83)&lt;=1, "", _xlfn.STDEV.S(ABS(Resultados!C83),ABS(Resultados!L83))/SQRT(COUNT(Resultados!C83,Resultados!L83)))</f>
        <v>0</v>
      </c>
      <c r="D83">
        <f>IF(COUNT(Resultados!D83,Resultados!M83)&lt;=1, "", _xlfn.STDEV.S(ABS(Resultados!D83),ABS(Resultados!M83))/SQRT(COUNT(Resultados!D83,Resultados!M83)))</f>
        <v>4.9999999999999996E-5</v>
      </c>
      <c r="E83">
        <f>IF(COUNT(Resultados!E83,Resultados!N83)&lt;=1, "", _xlfn.STDEV.S(ABS(Resultados!E83),ABS(Resultados!N83))/SQRT(COUNT(Resultados!E83,Resultados!N83)))</f>
        <v>1.3442774508902742E-3</v>
      </c>
      <c r="F83">
        <f>IF(COUNT(Resultados!F83,Resultados!O83)&lt;=1, "", _xlfn.STDEV.S(ABS(Resultados!F83),ABS(Resultados!O83))/SQRT(COUNT(Resultados!F83,Resultados!O83)))</f>
        <v>0.12757193008951617</v>
      </c>
      <c r="G83">
        <f>IF(COUNT(Resultados!G83,Resultados!P83)&lt;=1, "", _xlfn.STDEV.S(ABS(Resultados!G83),ABS(Resultados!P83))/SQRT(COUNT(Resultados!G83,Resultados!P83)))</f>
        <v>0</v>
      </c>
      <c r="H83">
        <f>IF(COUNT(Resultados!H83,Resultados!Q83)&lt;=1, "", _xlfn.STDEV.S(ABS(Resultados!H83),ABS(Resultados!Q83))/SQRT(COUNT(Resultados!H83,Resultados!Q83)))</f>
        <v>0</v>
      </c>
      <c r="I83">
        <f>IF(COUNT(Resultados!I83,Resultados!R83)&lt;=1, "", _xlfn.STDEV.S(ABS(Resultados!I83),ABS(Resultados!R83))/SQRT(COUNT(Resultados!I83,Resultados!R83)))</f>
        <v>2.3000000000550355E-4</v>
      </c>
    </row>
    <row r="84" spans="1:9" x14ac:dyDescent="0.3">
      <c r="A84" t="str">
        <f>IF(COUNT(Resultados!A84,Resultados!J84)&lt;=1, "", _xlfn.STDEV.S(ABS(Resultados!A84),ABS(Resultados!J84))/SQRT(COUNT(Resultados!A84,Resultados!J84)))</f>
        <v/>
      </c>
      <c r="B84" t="str">
        <f>IF(COUNT(Resultados!B84,Resultados!K84)&lt;=1, "", _xlfn.STDEV.S(ABS(Resultados!B84),ABS(Resultados!K84))/SQRT(COUNT(Resultados!B84,Resultados!K84)))</f>
        <v/>
      </c>
      <c r="C84">
        <f>IF(COUNT(Resultados!C84,Resultados!L84)&lt;=1, "", _xlfn.STDEV.S(ABS(Resultados!C84),ABS(Resultados!L84))/SQRT(COUNT(Resultados!C84,Resultados!L84)))</f>
        <v>0</v>
      </c>
      <c r="D84">
        <f>IF(COUNT(Resultados!D84,Resultados!M84)&lt;=1, "", _xlfn.STDEV.S(ABS(Resultados!D84),ABS(Resultados!M84))/SQRT(COUNT(Resultados!D84,Resultados!M84)))</f>
        <v>9.9999999999999978E-5</v>
      </c>
      <c r="E84">
        <f>IF(COUNT(Resultados!E84,Resultados!N84)&lt;=1, "", _xlfn.STDEV.S(ABS(Resultados!E84),ABS(Resultados!N84))/SQRT(COUNT(Resultados!E84,Resultados!N84)))</f>
        <v>3.3958175309400929E-3</v>
      </c>
      <c r="F84">
        <f>IF(COUNT(Resultados!F84,Resultados!O84)&lt;=1, "", _xlfn.STDEV.S(ABS(Resultados!F84),ABS(Resultados!O84))/SQRT(COUNT(Resultados!F84,Resultados!O84)))</f>
        <v>0.32226308368592521</v>
      </c>
      <c r="G84">
        <f>IF(COUNT(Resultados!G84,Resultados!P84)&lt;=1, "", _xlfn.STDEV.S(ABS(Resultados!G84),ABS(Resultados!P84))/SQRT(COUNT(Resultados!G84,Resultados!P84)))</f>
        <v>0</v>
      </c>
      <c r="H84">
        <f>IF(COUNT(Resultados!H84,Resultados!Q84)&lt;=1, "", _xlfn.STDEV.S(ABS(Resultados!H84),ABS(Resultados!Q84))/SQRT(COUNT(Resultados!H84,Resultados!Q84)))</f>
        <v>4.9999999999999691E-5</v>
      </c>
      <c r="I84">
        <f>IF(COUNT(Resultados!I84,Resultados!R84)&lt;=1, "", _xlfn.STDEV.S(ABS(Resultados!I84),ABS(Resultados!R84))/SQRT(COUNT(Resultados!I84,Resultados!R84)))</f>
        <v>7.649999999976842E-4</v>
      </c>
    </row>
    <row r="85" spans="1:9" x14ac:dyDescent="0.3">
      <c r="A85" t="str">
        <f>IF(COUNT(Resultados!A85,Resultados!J85)&lt;=1, "", _xlfn.STDEV.S(ABS(Resultados!A85),ABS(Resultados!J85))/SQRT(COUNT(Resultados!A85,Resultados!J85)))</f>
        <v/>
      </c>
      <c r="B85" t="str">
        <f>IF(COUNT(Resultados!B85,Resultados!K85)&lt;=1, "", _xlfn.STDEV.S(ABS(Resultados!B85),ABS(Resultados!K85))/SQRT(COUNT(Resultados!B85,Resultados!K85)))</f>
        <v/>
      </c>
      <c r="C85">
        <f>IF(COUNT(Resultados!C85,Resultados!L85)&lt;=1, "", _xlfn.STDEV.S(ABS(Resultados!C85),ABS(Resultados!L85))/SQRT(COUNT(Resultados!C85,Resultados!L85)))</f>
        <v>0</v>
      </c>
      <c r="D85">
        <f>IF(COUNT(Resultados!D85,Resultados!M85)&lt;=1, "", _xlfn.STDEV.S(ABS(Resultados!D85),ABS(Resultados!M85))/SQRT(COUNT(Resultados!D85,Resultados!M85)))</f>
        <v>8.9999999999999965E-4</v>
      </c>
      <c r="E85">
        <f>IF(COUNT(Resultados!E85,Resultados!N85)&lt;=1, "", _xlfn.STDEV.S(ABS(Resultados!E85),ABS(Resultados!N85))/SQRT(COUNT(Resultados!E85,Resultados!N85)))</f>
        <v>6.82204536815334E-4</v>
      </c>
      <c r="F85">
        <f>IF(COUNT(Resultados!F85,Resultados!O85)&lt;=1, "", _xlfn.STDEV.S(ABS(Resultados!F85),ABS(Resultados!O85))/SQRT(COUNT(Resultados!F85,Resultados!O85)))</f>
        <v>6.4741210543502348E-2</v>
      </c>
      <c r="G85">
        <f>IF(COUNT(Resultados!G85,Resultados!P85)&lt;=1, "", _xlfn.STDEV.S(ABS(Resultados!G85),ABS(Resultados!P85))/SQRT(COUNT(Resultados!G85,Resultados!P85)))</f>
        <v>0</v>
      </c>
      <c r="H85">
        <f>IF(COUNT(Resultados!H85,Resultados!Q85)&lt;=1, "", _xlfn.STDEV.S(ABS(Resultados!H85),ABS(Resultados!Q85))/SQRT(COUNT(Resultados!H85,Resultados!Q85)))</f>
        <v>4.9999999999999691E-5</v>
      </c>
      <c r="I85">
        <f>IF(COUNT(Resultados!I85,Resultados!R85)&lt;=1, "", _xlfn.STDEV.S(ABS(Resultados!I85),ABS(Resultados!R85))/SQRT(COUNT(Resultados!I85,Resultados!R85)))</f>
        <v>1.1049999999990234E-3</v>
      </c>
    </row>
    <row r="86" spans="1:9" x14ac:dyDescent="0.3">
      <c r="A86" t="str">
        <f>IF(COUNT(Resultados!A86,Resultados!J86)&lt;=1, "", _xlfn.STDEV.S(ABS(Resultados!A86),ABS(Resultados!J86))/SQRT(COUNT(Resultados!A86,Resultados!J86)))</f>
        <v/>
      </c>
      <c r="B86" t="str">
        <f>IF(COUNT(Resultados!B86,Resultados!K86)&lt;=1, "", _xlfn.STDEV.S(ABS(Resultados!B86),ABS(Resultados!K86))/SQRT(COUNT(Resultados!B86,Resultados!K86)))</f>
        <v/>
      </c>
      <c r="C86">
        <f>IF(COUNT(Resultados!C86,Resultados!L86)&lt;=1, "", _xlfn.STDEV.S(ABS(Resultados!C86),ABS(Resultados!L86))/SQRT(COUNT(Resultados!C86,Resultados!L86)))</f>
        <v>0</v>
      </c>
      <c r="D86">
        <f>IF(COUNT(Resultados!D86,Resultados!M86)&lt;=1, "", _xlfn.STDEV.S(ABS(Resultados!D86),ABS(Resultados!M86))/SQRT(COUNT(Resultados!D86,Resultados!M86)))</f>
        <v>7.9999999999999939E-4</v>
      </c>
      <c r="E86">
        <f>IF(COUNT(Resultados!E86,Resultados!N86)&lt;=1, "", _xlfn.STDEV.S(ABS(Resultados!E86),ABS(Resultados!N86))/SQRT(COUNT(Resultados!E86,Resultados!N86)))</f>
        <v>2.7894360243703176E-3</v>
      </c>
      <c r="F86">
        <f>IF(COUNT(Resultados!F86,Resultados!O86)&lt;=1, "", _xlfn.STDEV.S(ABS(Resultados!F86),ABS(Resultados!O86))/SQRT(COUNT(Resultados!F86,Resultados!O86)))</f>
        <v>0.26471747871244128</v>
      </c>
      <c r="G86">
        <f>IF(COUNT(Resultados!G86,Resultados!P86)&lt;=1, "", _xlfn.STDEV.S(ABS(Resultados!G86),ABS(Resultados!P86))/SQRT(COUNT(Resultados!G86,Resultados!P86)))</f>
        <v>0</v>
      </c>
      <c r="H86">
        <f>IF(COUNT(Resultados!H86,Resultados!Q86)&lt;=1, "", _xlfn.STDEV.S(ABS(Resultados!H86),ABS(Resultados!Q86))/SQRT(COUNT(Resultados!H86,Resultados!Q86)))</f>
        <v>4.9999999999999691E-5</v>
      </c>
      <c r="I86">
        <f>IF(COUNT(Resultados!I86,Resultados!R86)&lt;=1, "", _xlfn.STDEV.S(ABS(Resultados!I86),ABS(Resultados!R86))/SQRT(COUNT(Resultados!I86,Resultados!R86)))</f>
        <v>4.5000000003625473E-5</v>
      </c>
    </row>
    <row r="87" spans="1:9" x14ac:dyDescent="0.3">
      <c r="A87" t="str">
        <f>IF(COUNT(Resultados!A87,Resultados!J87)&lt;=1, "", _xlfn.STDEV.S(ABS(Resultados!A87),ABS(Resultados!J87))/SQRT(COUNT(Resultados!A87,Resultados!J87)))</f>
        <v/>
      </c>
      <c r="B87" t="str">
        <f>IF(COUNT(Resultados!B87,Resultados!K87)&lt;=1, "", _xlfn.STDEV.S(ABS(Resultados!B87),ABS(Resultados!K87))/SQRT(COUNT(Resultados!B87,Resultados!K87)))</f>
        <v/>
      </c>
      <c r="C87">
        <f>IF(COUNT(Resultados!C87,Resultados!L87)&lt;=1, "", _xlfn.STDEV.S(ABS(Resultados!C87),ABS(Resultados!L87))/SQRT(COUNT(Resultados!C87,Resultados!L87)))</f>
        <v>0</v>
      </c>
      <c r="D87">
        <f>IF(COUNT(Resultados!D87,Resultados!M87)&lt;=1, "", _xlfn.STDEV.S(ABS(Resultados!D87),ABS(Resultados!M87))/SQRT(COUNT(Resultados!D87,Resultados!M87)))</f>
        <v>9.9999999999999381E-5</v>
      </c>
      <c r="E87">
        <f>IF(COUNT(Resultados!E87,Resultados!N87)&lt;=1, "", _xlfn.STDEV.S(ABS(Resultados!E87),ABS(Resultados!N87))/SQRT(COUNT(Resultados!E87,Resultados!N87)))</f>
        <v>8.5967908407100779E-3</v>
      </c>
      <c r="F87">
        <f>IF(COUNT(Resultados!F87,Resultados!O87)&lt;=1, "", _xlfn.STDEV.S(ABS(Resultados!F87),ABS(Resultados!O87))/SQRT(COUNT(Resultados!F87,Resultados!O87)))</f>
        <v>0.81583545078399311</v>
      </c>
      <c r="G87">
        <f>IF(COUNT(Resultados!G87,Resultados!P87)&lt;=1, "", _xlfn.STDEV.S(ABS(Resultados!G87),ABS(Resultados!P87))/SQRT(COUNT(Resultados!G87,Resultados!P87)))</f>
        <v>0</v>
      </c>
      <c r="H87">
        <f>IF(COUNT(Resultados!H87,Resultados!Q87)&lt;=1, "", _xlfn.STDEV.S(ABS(Resultados!H87),ABS(Resultados!Q87))/SQRT(COUNT(Resultados!H87,Resultados!Q87)))</f>
        <v>9.9999999999999381E-5</v>
      </c>
      <c r="I87">
        <f>IF(COUNT(Resultados!I87,Resultados!R87)&lt;=1, "", _xlfn.STDEV.S(ABS(Resultados!I87),ABS(Resultados!R87))/SQRT(COUNT(Resultados!I87,Resultados!R87)))</f>
        <v>1.859999999997086E-3</v>
      </c>
    </row>
    <row r="88" spans="1:9" x14ac:dyDescent="0.3">
      <c r="A88" t="str">
        <f>IF(COUNT(Resultados!A88,Resultados!J88)&lt;=1, "", _xlfn.STDEV.S(ABS(Resultados!A88),ABS(Resultados!J88))/SQRT(COUNT(Resultados!A88,Resultados!J88)))</f>
        <v/>
      </c>
      <c r="B88" t="str">
        <f>IF(COUNT(Resultados!B88,Resultados!K88)&lt;=1, "", _xlfn.STDEV.S(ABS(Resultados!B88),ABS(Resultados!K88))/SQRT(COUNT(Resultados!B88,Resultados!K88)))</f>
        <v/>
      </c>
      <c r="C88">
        <f>IF(COUNT(Resultados!C88,Resultados!L88)&lt;=1, "", _xlfn.STDEV.S(ABS(Resultados!C88),ABS(Resultados!L88))/SQRT(COUNT(Resultados!C88,Resultados!L88)))</f>
        <v>0</v>
      </c>
      <c r="D88">
        <f>IF(COUNT(Resultados!D88,Resultados!M88)&lt;=1, "", _xlfn.STDEV.S(ABS(Resultados!D88),ABS(Resultados!M88))/SQRT(COUNT(Resultados!D88,Resultados!M88)))</f>
        <v>1.500000000000008E-4</v>
      </c>
      <c r="E88">
        <f>IF(COUNT(Resultados!E88,Resultados!N88)&lt;=1, "", _xlfn.STDEV.S(ABS(Resultados!E88),ABS(Resultados!N88))/SQRT(COUNT(Resultados!E88,Resultados!N88)))</f>
        <v>2.0070802123157705E-3</v>
      </c>
      <c r="F88">
        <f>IF(COUNT(Resultados!F88,Resultados!O88)&lt;=1, "", _xlfn.STDEV.S(ABS(Resultados!F88),ABS(Resultados!O88))/SQRT(COUNT(Resultados!F88,Resultados!O88)))</f>
        <v>0.19047191214895065</v>
      </c>
      <c r="G88">
        <f>IF(COUNT(Resultados!G88,Resultados!P88)&lt;=1, "", _xlfn.STDEV.S(ABS(Resultados!G88),ABS(Resultados!P88))/SQRT(COUNT(Resultados!G88,Resultados!P88)))</f>
        <v>0</v>
      </c>
      <c r="H88">
        <f>IF(COUNT(Resultados!H88,Resultados!Q88)&lt;=1, "", _xlfn.STDEV.S(ABS(Resultados!H88),ABS(Resultados!Q88))/SQRT(COUNT(Resultados!H88,Resultados!Q88)))</f>
        <v>5.0000000000001425E-5</v>
      </c>
      <c r="I88">
        <f>IF(COUNT(Resultados!I88,Resultados!R88)&lt;=1, "", _xlfn.STDEV.S(ABS(Resultados!I88),ABS(Resultados!R88))/SQRT(COUNT(Resultados!I88,Resultados!R88)))</f>
        <v>1.7000000000066959E-4</v>
      </c>
    </row>
    <row r="89" spans="1:9" x14ac:dyDescent="0.3">
      <c r="A89" t="str">
        <f>IF(COUNT(Resultados!A89,Resultados!J89)&lt;=1, "", _xlfn.STDEV.S(ABS(Resultados!A89),ABS(Resultados!J89))/SQRT(COUNT(Resultados!A89,Resultados!J89)))</f>
        <v/>
      </c>
      <c r="B89" t="str">
        <f>IF(COUNT(Resultados!B89,Resultados!K89)&lt;=1, "", _xlfn.STDEV.S(ABS(Resultados!B89),ABS(Resultados!K89))/SQRT(COUNT(Resultados!B89,Resultados!K89)))</f>
        <v/>
      </c>
      <c r="C89">
        <f>IF(COUNT(Resultados!C89,Resultados!L89)&lt;=1, "", _xlfn.STDEV.S(ABS(Resultados!C89),ABS(Resultados!L89))/SQRT(COUNT(Resultados!C89,Resultados!L89)))</f>
        <v>0</v>
      </c>
      <c r="D89">
        <f>IF(COUNT(Resultados!D89,Resultados!M89)&lt;=1, "", _xlfn.STDEV.S(ABS(Resultados!D89),ABS(Resultados!M89))/SQRT(COUNT(Resultados!D89,Resultados!M89)))</f>
        <v>0</v>
      </c>
      <c r="E89">
        <f>IF(COUNT(Resultados!E89,Resultados!N89)&lt;=1, "", _xlfn.STDEV.S(ABS(Resultados!E89),ABS(Resultados!N89))/SQRT(COUNT(Resultados!E89,Resultados!N89)))</f>
        <v>2.4445831515249594E-3</v>
      </c>
      <c r="F89">
        <f>IF(COUNT(Resultados!F89,Resultados!O89)&lt;=1, "", _xlfn.STDEV.S(ABS(Resultados!F89),ABS(Resultados!O89))/SQRT(COUNT(Resultados!F89,Resultados!O89)))</f>
        <v>0.23199094107997098</v>
      </c>
      <c r="G89">
        <f>IF(COUNT(Resultados!G89,Resultados!P89)&lt;=1, "", _xlfn.STDEV.S(ABS(Resultados!G89),ABS(Resultados!P89))/SQRT(COUNT(Resultados!G89,Resultados!P89)))</f>
        <v>0</v>
      </c>
      <c r="H89">
        <f>IF(COUNT(Resultados!H89,Resultados!Q89)&lt;=1, "", _xlfn.STDEV.S(ABS(Resultados!H89),ABS(Resultados!Q89))/SQRT(COUNT(Resultados!H89,Resultados!Q89)))</f>
        <v>5.0000000000001425E-5</v>
      </c>
      <c r="I89">
        <f>IF(COUNT(Resultados!I89,Resultados!R89)&lt;=1, "", _xlfn.STDEV.S(ABS(Resultados!I89),ABS(Resultados!R89))/SQRT(COUNT(Resultados!I89,Resultados!R89)))</f>
        <v>1.6499999999908255E-4</v>
      </c>
    </row>
    <row r="90" spans="1:9" x14ac:dyDescent="0.3">
      <c r="A90" t="str">
        <f>IF(COUNT(Resultados!A90,Resultados!J90)&lt;=1, "", _xlfn.STDEV.S(ABS(Resultados!A90),ABS(Resultados!J90))/SQRT(COUNT(Resultados!A90,Resultados!J90)))</f>
        <v/>
      </c>
      <c r="B90" t="str">
        <f>IF(COUNT(Resultados!B90,Resultados!K90)&lt;=1, "", _xlfn.STDEV.S(ABS(Resultados!B90),ABS(Resultados!K90))/SQRT(COUNT(Resultados!B90,Resultados!K90)))</f>
        <v/>
      </c>
      <c r="C90">
        <f>IF(COUNT(Resultados!C90,Resultados!L90)&lt;=1, "", _xlfn.STDEV.S(ABS(Resultados!C90),ABS(Resultados!L90))/SQRT(COUNT(Resultados!C90,Resultados!L90)))</f>
        <v>0</v>
      </c>
      <c r="D90">
        <f>IF(COUNT(Resultados!D90,Resultados!M90)&lt;=1, "", _xlfn.STDEV.S(ABS(Resultados!D90),ABS(Resultados!M90))/SQRT(COUNT(Resultados!D90,Resultados!M90)))</f>
        <v>7.5000000000000067E-4</v>
      </c>
      <c r="E90">
        <f>IF(COUNT(Resultados!E90,Resultados!N90)&lt;=1, "", _xlfn.STDEV.S(ABS(Resultados!E90),ABS(Resultados!N90))/SQRT(COUNT(Resultados!E90,Resultados!N90)))</f>
        <v>8.0222387880546353E-4</v>
      </c>
      <c r="F90">
        <f>IF(COUNT(Resultados!F90,Resultados!O90)&lt;=1, "", _xlfn.STDEV.S(ABS(Resultados!F90),ABS(Resultados!O90))/SQRT(COUNT(Resultados!F90,Resultados!O90)))</f>
        <v>7.6131046097998464E-2</v>
      </c>
      <c r="G90">
        <f>IF(COUNT(Resultados!G90,Resultados!P90)&lt;=1, "", _xlfn.STDEV.S(ABS(Resultados!G90),ABS(Resultados!P90))/SQRT(COUNT(Resultados!G90,Resultados!P90)))</f>
        <v>0</v>
      </c>
      <c r="H90">
        <f>IF(COUNT(Resultados!H90,Resultados!Q90)&lt;=1, "", _xlfn.STDEV.S(ABS(Resultados!H90),ABS(Resultados!Q90))/SQRT(COUNT(Resultados!H90,Resultados!Q90)))</f>
        <v>0</v>
      </c>
      <c r="I90">
        <f>IF(COUNT(Resultados!I90,Resultados!R90)&lt;=1, "", _xlfn.STDEV.S(ABS(Resultados!I90),ABS(Resultados!R90))/SQRT(COUNT(Resultados!I90,Resultados!R90)))</f>
        <v>1.3399999999954557E-3</v>
      </c>
    </row>
    <row r="91" spans="1:9" x14ac:dyDescent="0.3">
      <c r="A91" t="str">
        <f>IF(COUNT(Resultados!A91,Resultados!J91)&lt;=1, "", _xlfn.STDEV.S(ABS(Resultados!A91),ABS(Resultados!J91))/SQRT(COUNT(Resultados!A91,Resultados!J91)))</f>
        <v/>
      </c>
      <c r="B91" t="str">
        <f>IF(COUNT(Resultados!B91,Resultados!K91)&lt;=1, "", _xlfn.STDEV.S(ABS(Resultados!B91),ABS(Resultados!K91))/SQRT(COUNT(Resultados!B91,Resultados!K91)))</f>
        <v/>
      </c>
      <c r="C91">
        <f>IF(COUNT(Resultados!C91,Resultados!L91)&lt;=1, "", _xlfn.STDEV.S(ABS(Resultados!C91),ABS(Resultados!L91))/SQRT(COUNT(Resultados!C91,Resultados!L91)))</f>
        <v>0</v>
      </c>
      <c r="D91">
        <f>IF(COUNT(Resultados!D91,Resultados!M91)&lt;=1, "", _xlfn.STDEV.S(ABS(Resultados!D91),ABS(Resultados!M91))/SQRT(COUNT(Resultados!D91,Resultados!M91)))</f>
        <v>9.0000000000000149E-4</v>
      </c>
      <c r="E91">
        <f>IF(COUNT(Resultados!E91,Resultados!N91)&lt;=1, "", _xlfn.STDEV.S(ABS(Resultados!E91),ABS(Resultados!N91))/SQRT(COUNT(Resultados!E91,Resultados!N91)))</f>
        <v>8.4946122120399523E-5</v>
      </c>
      <c r="F91">
        <f>IF(COUNT(Resultados!F91,Resultados!O91)&lt;=1, "", _xlfn.STDEV.S(ABS(Resultados!F91),ABS(Resultados!O91))/SQRT(COUNT(Resultados!F91,Resultados!O91)))</f>
        <v>8.0613869885155509E-3</v>
      </c>
      <c r="G91">
        <f>IF(COUNT(Resultados!G91,Resultados!P91)&lt;=1, "", _xlfn.STDEV.S(ABS(Resultados!G91),ABS(Resultados!P91))/SQRT(COUNT(Resultados!G91,Resultados!P91)))</f>
        <v>0</v>
      </c>
      <c r="H91">
        <f>IF(COUNT(Resultados!H91,Resultados!Q91)&lt;=1, "", _xlfn.STDEV.S(ABS(Resultados!H91),ABS(Resultados!Q91))/SQRT(COUNT(Resultados!H91,Resultados!Q91)))</f>
        <v>0</v>
      </c>
      <c r="I91">
        <f>IF(COUNT(Resultados!I91,Resultados!R91)&lt;=1, "", _xlfn.STDEV.S(ABS(Resultados!I91),ABS(Resultados!R91))/SQRT(COUNT(Resultados!I91,Resultados!R91)))</f>
        <v>7.3499999999526722E-4</v>
      </c>
    </row>
    <row r="92" spans="1:9" x14ac:dyDescent="0.3">
      <c r="A92" t="str">
        <f>IF(COUNT(Resultados!A92,Resultados!J92)&lt;=1, "", _xlfn.STDEV.S(ABS(Resultados!A92),ABS(Resultados!J92))/SQRT(COUNT(Resultados!A92,Resultados!J92)))</f>
        <v/>
      </c>
      <c r="B92" t="str">
        <f>IF(COUNT(Resultados!B92,Resultados!K92)&lt;=1, "", _xlfn.STDEV.S(ABS(Resultados!B92),ABS(Resultados!K92))/SQRT(COUNT(Resultados!B92,Resultados!K92)))</f>
        <v/>
      </c>
      <c r="C92">
        <f>IF(COUNT(Resultados!C92,Resultados!L92)&lt;=1, "", _xlfn.STDEV.S(ABS(Resultados!C92),ABS(Resultados!L92))/SQRT(COUNT(Resultados!C92,Resultados!L92)))</f>
        <v>0</v>
      </c>
      <c r="D92">
        <f>IF(COUNT(Resultados!D92,Resultados!M92)&lt;=1, "", _xlfn.STDEV.S(ABS(Resultados!D92),ABS(Resultados!M92))/SQRT(COUNT(Resultados!D92,Resultados!M92)))</f>
        <v>1.9999999999999876E-4</v>
      </c>
      <c r="E92">
        <f>IF(COUNT(Resultados!E92,Resultados!N92)&lt;=1, "", _xlfn.STDEV.S(ABS(Resultados!E92),ABS(Resultados!N92))/SQRT(COUNT(Resultados!E92,Resultados!N92)))</f>
        <v>2.7065172559925799E-4</v>
      </c>
      <c r="F92">
        <f>IF(COUNT(Resultados!F92,Resultados!O92)&lt;=1, "", _xlfn.STDEV.S(ABS(Resultados!F92),ABS(Resultados!O92))/SQRT(COUNT(Resultados!F92,Resultados!O92)))</f>
        <v>2.5684848758942277E-2</v>
      </c>
      <c r="G92">
        <f>IF(COUNT(Resultados!G92,Resultados!P92)&lt;=1, "", _xlfn.STDEV.S(ABS(Resultados!G92),ABS(Resultados!P92))/SQRT(COUNT(Resultados!G92,Resultados!P92)))</f>
        <v>0</v>
      </c>
      <c r="H92">
        <f>IF(COUNT(Resultados!H92,Resultados!Q92)&lt;=1, "", _xlfn.STDEV.S(ABS(Resultados!H92),ABS(Resultados!Q92))/SQRT(COUNT(Resultados!H92,Resultados!Q92)))</f>
        <v>0</v>
      </c>
      <c r="I92">
        <f>IF(COUNT(Resultados!I92,Resultados!R92)&lt;=1, "", _xlfn.STDEV.S(ABS(Resultados!I92),ABS(Resultados!R92))/SQRT(COUNT(Resultados!I92,Resultados!R92)))</f>
        <v>1.8050000000009447E-3</v>
      </c>
    </row>
    <row r="93" spans="1:9" x14ac:dyDescent="0.3">
      <c r="A93" t="str">
        <f>IF(COUNT(Resultados!A93,Resultados!J93)&lt;=1, "", _xlfn.STDEV.S(ABS(Resultados!A93),ABS(Resultados!J93))/SQRT(COUNT(Resultados!A93,Resultados!J93)))</f>
        <v/>
      </c>
      <c r="B93" t="str">
        <f>IF(COUNT(Resultados!B93,Resultados!K93)&lt;=1, "", _xlfn.STDEV.S(ABS(Resultados!B93),ABS(Resultados!K93))/SQRT(COUNT(Resultados!B93,Resultados!K93)))</f>
        <v/>
      </c>
      <c r="C93">
        <f>IF(COUNT(Resultados!C93,Resultados!L93)&lt;=1, "", _xlfn.STDEV.S(ABS(Resultados!C93),ABS(Resultados!L93))/SQRT(COUNT(Resultados!C93,Resultados!L93)))</f>
        <v>0</v>
      </c>
      <c r="D93">
        <f>IF(COUNT(Resultados!D93,Resultados!M93)&lt;=1, "", _xlfn.STDEV.S(ABS(Resultados!D93),ABS(Resultados!M93))/SQRT(COUNT(Resultados!D93,Resultados!M93)))</f>
        <v>5.0000000000001425E-5</v>
      </c>
      <c r="E93">
        <f>IF(COUNT(Resultados!E93,Resultados!N93)&lt;=1, "", _xlfn.STDEV.S(ABS(Resultados!E93),ABS(Resultados!N93))/SQRT(COUNT(Resultados!E93,Resultados!N93)))</f>
        <v>3.0207570870466327E-5</v>
      </c>
      <c r="F93">
        <f>IF(COUNT(Resultados!F93,Resultados!O93)&lt;=1, "", _xlfn.STDEV.S(ABS(Resultados!F93),ABS(Resultados!O93))/SQRT(COUNT(Resultados!F93,Resultados!O93)))</f>
        <v>2.8153456055406418E-3</v>
      </c>
      <c r="G93">
        <f>IF(COUNT(Resultados!G93,Resultados!P93)&lt;=1, "", _xlfn.STDEV.S(ABS(Resultados!G93),ABS(Resultados!P93))/SQRT(COUNT(Resultados!G93,Resultados!P93)))</f>
        <v>0</v>
      </c>
      <c r="H93">
        <f>IF(COUNT(Resultados!H93,Resultados!Q93)&lt;=1, "", _xlfn.STDEV.S(ABS(Resultados!H93),ABS(Resultados!Q93))/SQRT(COUNT(Resultados!H93,Resultados!Q93)))</f>
        <v>0</v>
      </c>
      <c r="I93">
        <f>IF(COUNT(Resultados!I93,Resultados!R93)&lt;=1, "", _xlfn.STDEV.S(ABS(Resultados!I93),ABS(Resultados!R93))/SQRT(COUNT(Resultados!I93,Resultados!R93)))</f>
        <v>8.299999999969997E-4</v>
      </c>
    </row>
    <row r="94" spans="1:9" x14ac:dyDescent="0.3">
      <c r="A94" t="str">
        <f>IF(COUNT(Resultados!A94,Resultados!J94)&lt;=1, "", _xlfn.STDEV.S(ABS(Resultados!A94),ABS(Resultados!J94))/SQRT(COUNT(Resultados!A94,Resultados!J94)))</f>
        <v/>
      </c>
      <c r="B94" t="str">
        <f>IF(COUNT(Resultados!B94,Resultados!K94)&lt;=1, "", _xlfn.STDEV.S(ABS(Resultados!B94),ABS(Resultados!K94))/SQRT(COUNT(Resultados!B94,Resultados!K94)))</f>
        <v/>
      </c>
      <c r="C94">
        <f>IF(COUNT(Resultados!C94,Resultados!L94)&lt;=1, "", _xlfn.STDEV.S(ABS(Resultados!C94),ABS(Resultados!L94))/SQRT(COUNT(Resultados!C94,Resultados!L94)))</f>
        <v>0</v>
      </c>
      <c r="D94">
        <f>IF(COUNT(Resultados!D94,Resultados!M94)&lt;=1, "", _xlfn.STDEV.S(ABS(Resultados!D94),ABS(Resultados!M94))/SQRT(COUNT(Resultados!D94,Resultados!M94)))</f>
        <v>2.9999999999999472E-4</v>
      </c>
      <c r="E94">
        <f>IF(COUNT(Resultados!E94,Resultados!N94)&lt;=1, "", _xlfn.STDEV.S(ABS(Resultados!E94),ABS(Resultados!N94))/SQRT(COUNT(Resultados!E94,Resultados!N94)))</f>
        <v>2.3799105669102261E-3</v>
      </c>
      <c r="F94">
        <f>IF(COUNT(Resultados!F94,Resultados!O94)&lt;=1, "", _xlfn.STDEV.S(ABS(Resultados!F94),ABS(Resultados!O94))/SQRT(COUNT(Resultados!F94,Resultados!O94)))</f>
        <v>0.22180766483597836</v>
      </c>
      <c r="G94">
        <f>IF(COUNT(Resultados!G94,Resultados!P94)&lt;=1, "", _xlfn.STDEV.S(ABS(Resultados!G94),ABS(Resultados!P94))/SQRT(COUNT(Resultados!G94,Resultados!P94)))</f>
        <v>0</v>
      </c>
      <c r="H94">
        <f>IF(COUNT(Resultados!H94,Resultados!Q94)&lt;=1, "", _xlfn.STDEV.S(ABS(Resultados!H94),ABS(Resultados!Q94))/SQRT(COUNT(Resultados!H94,Resultados!Q94)))</f>
        <v>5.0000000000001425E-5</v>
      </c>
      <c r="I94">
        <f>IF(COUNT(Resultados!I94,Resultados!R94)&lt;=1, "", _xlfn.STDEV.S(ABS(Resultados!I94),ABS(Resultados!R94))/SQRT(COUNT(Resultados!I94,Resultados!R94)))</f>
        <v>2.8000000000005793E-4</v>
      </c>
    </row>
    <row r="95" spans="1:9" x14ac:dyDescent="0.3">
      <c r="A95" t="str">
        <f>IF(COUNT(Resultados!A95,Resultados!J95)&lt;=1, "", _xlfn.STDEV.S(ABS(Resultados!A95),ABS(Resultados!J95))/SQRT(COUNT(Resultados!A95,Resultados!J95)))</f>
        <v/>
      </c>
      <c r="B95" t="str">
        <f>IF(COUNT(Resultados!B95,Resultados!K95)&lt;=1, "", _xlfn.STDEV.S(ABS(Resultados!B95),ABS(Resultados!K95))/SQRT(COUNT(Resultados!B95,Resultados!K95)))</f>
        <v/>
      </c>
      <c r="C95">
        <f>IF(COUNT(Resultados!C95,Resultados!L95)&lt;=1, "", _xlfn.STDEV.S(ABS(Resultados!C95),ABS(Resultados!L95))/SQRT(COUNT(Resultados!C95,Resultados!L95)))</f>
        <v>0</v>
      </c>
      <c r="D95">
        <f>IF(COUNT(Resultados!D95,Resultados!M95)&lt;=1, "", _xlfn.STDEV.S(ABS(Resultados!D95),ABS(Resultados!M95))/SQRT(COUNT(Resultados!D95,Resultados!M95)))</f>
        <v>6.5000000000000127E-4</v>
      </c>
      <c r="E95">
        <f>IF(COUNT(Resultados!E95,Resultados!N95)&lt;=1, "", _xlfn.STDEV.S(ABS(Resultados!E95),ABS(Resultados!N95))/SQRT(COUNT(Resultados!E95,Resultados!N95)))</f>
        <v>4.5068073858445246E-4</v>
      </c>
      <c r="F95">
        <f>IF(COUNT(Resultados!F95,Resultados!O95)&lt;=1, "", _xlfn.STDEV.S(ABS(Resultados!F95),ABS(Resultados!O95))/SQRT(COUNT(Resultados!F95,Resultados!O95)))</f>
        <v>4.2003444836495867E-2</v>
      </c>
      <c r="G95">
        <f>IF(COUNT(Resultados!G95,Resultados!P95)&lt;=1, "", _xlfn.STDEV.S(ABS(Resultados!G95),ABS(Resultados!P95))/SQRT(COUNT(Resultados!G95,Resultados!P95)))</f>
        <v>0</v>
      </c>
      <c r="H95">
        <f>IF(COUNT(Resultados!H95,Resultados!Q95)&lt;=1, "", _xlfn.STDEV.S(ABS(Resultados!H95),ABS(Resultados!Q95))/SQRT(COUNT(Resultados!H95,Resultados!Q95)))</f>
        <v>5.0000000000001425E-5</v>
      </c>
      <c r="I95">
        <f>IF(COUNT(Resultados!I95,Resultados!R95)&lt;=1, "", _xlfn.STDEV.S(ABS(Resultados!I95),ABS(Resultados!R95))/SQRT(COUNT(Resultados!I95,Resultados!R95)))</f>
        <v>6.8999999999519435E-4</v>
      </c>
    </row>
    <row r="96" spans="1:9" x14ac:dyDescent="0.3">
      <c r="A96" t="str">
        <f>IF(COUNT(Resultados!A96,Resultados!J96)&lt;=1, "", _xlfn.STDEV.S(ABS(Resultados!A96),ABS(Resultados!J96))/SQRT(COUNT(Resultados!A96,Resultados!J96)))</f>
        <v/>
      </c>
      <c r="B96" t="str">
        <f>IF(COUNT(Resultados!B96,Resultados!K96)&lt;=1, "", _xlfn.STDEV.S(ABS(Resultados!B96),ABS(Resultados!K96))/SQRT(COUNT(Resultados!B96,Resultados!K96)))</f>
        <v/>
      </c>
      <c r="C96">
        <f>IF(COUNT(Resultados!C96,Resultados!L96)&lt;=1, "", _xlfn.STDEV.S(ABS(Resultados!C96),ABS(Resultados!L96))/SQRT(COUNT(Resultados!C96,Resultados!L96)))</f>
        <v>0</v>
      </c>
      <c r="D96">
        <f>IF(COUNT(Resultados!D96,Resultados!M96)&lt;=1, "", _xlfn.STDEV.S(ABS(Resultados!D96),ABS(Resultados!M96))/SQRT(COUNT(Resultados!D96,Resultados!M96)))</f>
        <v>5.9999999999999984E-4</v>
      </c>
      <c r="E96">
        <f>IF(COUNT(Resultados!E96,Resultados!N96)&lt;=1, "", _xlfn.STDEV.S(ABS(Resultados!E96),ABS(Resultados!N96))/SQRT(COUNT(Resultados!E96,Resultados!N96)))</f>
        <v>2.9564899733554029E-3</v>
      </c>
      <c r="F96">
        <f>IF(COUNT(Resultados!F96,Resultados!O96)&lt;=1, "", _xlfn.STDEV.S(ABS(Resultados!F96),ABS(Resultados!O96))/SQRT(COUNT(Resultados!F96,Resultados!O96)))</f>
        <v>0.27554486551650825</v>
      </c>
      <c r="G96">
        <f>IF(COUNT(Resultados!G96,Resultados!P96)&lt;=1, "", _xlfn.STDEV.S(ABS(Resultados!G96),ABS(Resultados!P96))/SQRT(COUNT(Resultados!G96,Resultados!P96)))</f>
        <v>0</v>
      </c>
      <c r="H96">
        <f>IF(COUNT(Resultados!H96,Resultados!Q96)&lt;=1, "", _xlfn.STDEV.S(ABS(Resultados!H96),ABS(Resultados!Q96))/SQRT(COUNT(Resultados!H96,Resultados!Q96)))</f>
        <v>5.0000000000001425E-5</v>
      </c>
      <c r="I96">
        <f>IF(COUNT(Resultados!I96,Resultados!R96)&lt;=1, "", _xlfn.STDEV.S(ABS(Resultados!I96),ABS(Resultados!R96))/SQRT(COUNT(Resultados!I96,Resultados!R96)))</f>
        <v>1.8049999999938391E-3</v>
      </c>
    </row>
    <row r="97" spans="1:9" x14ac:dyDescent="0.3">
      <c r="A97" t="str">
        <f>IF(COUNT(Resultados!A97,Resultados!J97)&lt;=1, "", _xlfn.STDEV.S(ABS(Resultados!A97),ABS(Resultados!J97))/SQRT(COUNT(Resultados!A97,Resultados!J97)))</f>
        <v/>
      </c>
      <c r="B97" t="str">
        <f>IF(COUNT(Resultados!B97,Resultados!K97)&lt;=1, "", _xlfn.STDEV.S(ABS(Resultados!B97),ABS(Resultados!K97))/SQRT(COUNT(Resultados!B97,Resultados!K97)))</f>
        <v/>
      </c>
      <c r="C97">
        <f>IF(COUNT(Resultados!C97,Resultados!L97)&lt;=1, "", _xlfn.STDEV.S(ABS(Resultados!C97),ABS(Resultados!L97))/SQRT(COUNT(Resultados!C97,Resultados!L97)))</f>
        <v>0</v>
      </c>
      <c r="D97">
        <f>IF(COUNT(Resultados!D97,Resultados!M97)&lt;=1, "", _xlfn.STDEV.S(ABS(Resultados!D97),ABS(Resultados!M97))/SQRT(COUNT(Resultados!D97,Resultados!M97)))</f>
        <v>6.499999999999978E-4</v>
      </c>
      <c r="E97">
        <f>IF(COUNT(Resultados!E97,Resultados!N97)&lt;=1, "", _xlfn.STDEV.S(ABS(Resultados!E97),ABS(Resultados!N97))/SQRT(COUNT(Resultados!E97,Resultados!N97)))</f>
        <v>1.2506948017979802E-2</v>
      </c>
      <c r="F97">
        <f>IF(COUNT(Resultados!F97,Resultados!O97)&lt;=1, "", _xlfn.STDEV.S(ABS(Resultados!F97),ABS(Resultados!O97))/SQRT(COUNT(Resultados!F97,Resultados!O97)))</f>
        <v>1.1656475552755408</v>
      </c>
      <c r="G97">
        <f>IF(COUNT(Resultados!G97,Resultados!P97)&lt;=1, "", _xlfn.STDEV.S(ABS(Resultados!G97),ABS(Resultados!P97))/SQRT(COUNT(Resultados!G97,Resultados!P97)))</f>
        <v>0</v>
      </c>
      <c r="H97">
        <f>IF(COUNT(Resultados!H97,Resultados!Q97)&lt;=1, "", _xlfn.STDEV.S(ABS(Resultados!H97),ABS(Resultados!Q97))/SQRT(COUNT(Resultados!H97,Resultados!Q97)))</f>
        <v>2.0000000000000052E-4</v>
      </c>
      <c r="I97">
        <f>IF(COUNT(Resultados!I97,Resultados!R97)&lt;=1, "", _xlfn.STDEV.S(ABS(Resultados!I97),ABS(Resultados!R97))/SQRT(COUNT(Resultados!I97,Resultados!R97)))</f>
        <v>3.0899999999967061E-3</v>
      </c>
    </row>
    <row r="98" spans="1:9" x14ac:dyDescent="0.3">
      <c r="A98" t="str">
        <f>IF(COUNT(Resultados!A98,Resultados!J98)&lt;=1, "", _xlfn.STDEV.S(ABS(Resultados!A98),ABS(Resultados!J98))/SQRT(COUNT(Resultados!A98,Resultados!J98)))</f>
        <v/>
      </c>
      <c r="B98" t="str">
        <f>IF(COUNT(Resultados!B98,Resultados!K98)&lt;=1, "", _xlfn.STDEV.S(ABS(Resultados!B98),ABS(Resultados!K98))/SQRT(COUNT(Resultados!B98,Resultados!K98)))</f>
        <v/>
      </c>
      <c r="C98">
        <f>IF(COUNT(Resultados!C98,Resultados!L98)&lt;=1, "", _xlfn.STDEV.S(ABS(Resultados!C98),ABS(Resultados!L98))/SQRT(COUNT(Resultados!C98,Resultados!L98)))</f>
        <v>0</v>
      </c>
      <c r="D98">
        <f>IF(COUNT(Resultados!D98,Resultados!M98)&lt;=1, "", _xlfn.STDEV.S(ABS(Resultados!D98),ABS(Resultados!M98))/SQRT(COUNT(Resultados!D98,Resultados!M98)))</f>
        <v>3.4999999999999962E-4</v>
      </c>
      <c r="E98">
        <f>IF(COUNT(Resultados!E98,Resultados!N98)&lt;=1, "", _xlfn.STDEV.S(ABS(Resultados!E98),ABS(Resultados!N98))/SQRT(COUNT(Resultados!E98,Resultados!N98)))</f>
        <v>1.9199040011041998E-4</v>
      </c>
      <c r="F98">
        <f>IF(COUNT(Resultados!F98,Resultados!O98)&lt;=1, "", _xlfn.STDEV.S(ABS(Resultados!F98),ABS(Resultados!O98))/SQRT(COUNT(Resultados!F98,Resultados!O98)))</f>
        <v>1.7893505290430763E-2</v>
      </c>
      <c r="G98">
        <f>IF(COUNT(Resultados!G98,Resultados!P98)&lt;=1, "", _xlfn.STDEV.S(ABS(Resultados!G98),ABS(Resultados!P98))/SQRT(COUNT(Resultados!G98,Resultados!P98)))</f>
        <v>0</v>
      </c>
      <c r="H98">
        <f>IF(COUNT(Resultados!H98,Resultados!Q98)&lt;=1, "", _xlfn.STDEV.S(ABS(Resultados!H98),ABS(Resultados!Q98))/SQRT(COUNT(Resultados!H98,Resultados!Q98)))</f>
        <v>0</v>
      </c>
      <c r="I98">
        <f>IF(COUNT(Resultados!I98,Resultados!R98)&lt;=1, "", _xlfn.STDEV.S(ABS(Resultados!I98),ABS(Resultados!R98))/SQRT(COUNT(Resultados!I98,Resultados!R98)))</f>
        <v>9.2499999999873239E-4</v>
      </c>
    </row>
    <row r="99" spans="1:9" x14ac:dyDescent="0.3">
      <c r="A99" t="str">
        <f>IF(COUNT(Resultados!A99,Resultados!J99)&lt;=1, "", _xlfn.STDEV.S(ABS(Resultados!A99),ABS(Resultados!J99))/SQRT(COUNT(Resultados!A99,Resultados!J99)))</f>
        <v/>
      </c>
      <c r="B99" t="str">
        <f>IF(COUNT(Resultados!B99,Resultados!K99)&lt;=1, "", _xlfn.STDEV.S(ABS(Resultados!B99),ABS(Resultados!K99))/SQRT(COUNT(Resultados!B99,Resultados!K99)))</f>
        <v/>
      </c>
      <c r="C99">
        <f>IF(COUNT(Resultados!C99,Resultados!L99)&lt;=1, "", _xlfn.STDEV.S(ABS(Resultados!C99),ABS(Resultados!L99))/SQRT(COUNT(Resultados!C99,Resultados!L99)))</f>
        <v>0.5</v>
      </c>
      <c r="D99">
        <f>IF(COUNT(Resultados!D99,Resultados!M99)&lt;=1, "", _xlfn.STDEV.S(ABS(Resultados!D99),ABS(Resultados!M99))/SQRT(COUNT(Resultados!D99,Resultados!M99)))</f>
        <v>4.5000000000000075E-4</v>
      </c>
      <c r="E99">
        <f>IF(COUNT(Resultados!E99,Resultados!N99)&lt;=1, "", _xlfn.STDEV.S(ABS(Resultados!E99),ABS(Resultados!N99))/SQRT(COUNT(Resultados!E99,Resultados!N99)))</f>
        <v>3.3583114865693982E-3</v>
      </c>
      <c r="F99">
        <f>IF(COUNT(Resultados!F99,Resultados!O99)&lt;=1, "", _xlfn.STDEV.S(ABS(Resultados!F99),ABS(Resultados!O99))/SQRT(COUNT(Resultados!F99,Resultados!O99)))</f>
        <v>0.31299463054801885</v>
      </c>
      <c r="G99">
        <f>IF(COUNT(Resultados!G99,Resultados!P99)&lt;=1, "", _xlfn.STDEV.S(ABS(Resultados!G99),ABS(Resultados!P99))/SQRT(COUNT(Resultados!G99,Resultados!P99)))</f>
        <v>0</v>
      </c>
      <c r="H99">
        <f>IF(COUNT(Resultados!H99,Resultados!Q99)&lt;=1, "", _xlfn.STDEV.S(ABS(Resultados!H99),ABS(Resultados!Q99))/SQRT(COUNT(Resultados!H99,Resultados!Q99)))</f>
        <v>4.9999999999999691E-5</v>
      </c>
      <c r="I99">
        <f>IF(COUNT(Resultados!I99,Resultados!R99)&lt;=1, "", _xlfn.STDEV.S(ABS(Resultados!I99),ABS(Resultados!R99))/SQRT(COUNT(Resultados!I99,Resultados!R99)))</f>
        <v>5.4500000000601279E-4</v>
      </c>
    </row>
    <row r="100" spans="1:9" x14ac:dyDescent="0.3">
      <c r="A100" t="str">
        <f>IF(COUNT(Resultados!A100,Resultados!J100)&lt;=1, "", _xlfn.STDEV.S(ABS(Resultados!A100),ABS(Resultados!J100))/SQRT(COUNT(Resultados!A100,Resultados!J100)))</f>
        <v/>
      </c>
      <c r="B100" t="str">
        <f>IF(COUNT(Resultados!B100,Resultados!K100)&lt;=1, "", _xlfn.STDEV.S(ABS(Resultados!B100),ABS(Resultados!K100))/SQRT(COUNT(Resultados!B100,Resultados!K100)))</f>
        <v/>
      </c>
      <c r="C100">
        <f>IF(COUNT(Resultados!C100,Resultados!L100)&lt;=1, "", _xlfn.STDEV.S(ABS(Resultados!C100),ABS(Resultados!L100))/SQRT(COUNT(Resultados!C100,Resultados!L100)))</f>
        <v>0.5</v>
      </c>
      <c r="D100">
        <f>IF(COUNT(Resultados!D100,Resultados!M100)&lt;=1, "", _xlfn.STDEV.S(ABS(Resultados!D100),ABS(Resultados!M100))/SQRT(COUNT(Resultados!D100,Resultados!M100)))</f>
        <v>3.4999999999999962E-4</v>
      </c>
      <c r="E100">
        <f>IF(COUNT(Resultados!E100,Resultados!N100)&lt;=1, "", _xlfn.STDEV.S(ABS(Resultados!E100),ABS(Resultados!N100))/SQRT(COUNT(Resultados!E100,Resultados!N100)))</f>
        <v>1.9122000567950437E-4</v>
      </c>
      <c r="F100">
        <f>IF(COUNT(Resultados!F100,Resultados!O100)&lt;=1, "", _xlfn.STDEV.S(ABS(Resultados!F100),ABS(Resultados!O100))/SQRT(COUNT(Resultados!F100,Resultados!O100)))</f>
        <v>1.782170452941045E-2</v>
      </c>
      <c r="G100">
        <f>IF(COUNT(Resultados!G100,Resultados!P100)&lt;=1, "", _xlfn.STDEV.S(ABS(Resultados!G100),ABS(Resultados!P100))/SQRT(COUNT(Resultados!G100,Resultados!P100)))</f>
        <v>0</v>
      </c>
      <c r="H100">
        <f>IF(COUNT(Resultados!H100,Resultados!Q100)&lt;=1, "", _xlfn.STDEV.S(ABS(Resultados!H100),ABS(Resultados!Q100))/SQRT(COUNT(Resultados!H100,Resultados!Q100)))</f>
        <v>0</v>
      </c>
      <c r="I100">
        <f>IF(COUNT(Resultados!I100,Resultados!R100)&lt;=1, "", _xlfn.STDEV.S(ABS(Resultados!I100),ABS(Resultados!R100))/SQRT(COUNT(Resultados!I100,Resultados!R100)))</f>
        <v>7.3499999999526722E-4</v>
      </c>
    </row>
    <row r="101" spans="1:9" x14ac:dyDescent="0.3">
      <c r="A101" t="str">
        <f>IF(COUNT(Resultados!A101,Resultados!J101)&lt;=1, "", _xlfn.STDEV.S(ABS(Resultados!A101),ABS(Resultados!J101))/SQRT(COUNT(Resultados!A101,Resultados!J101)))</f>
        <v/>
      </c>
      <c r="B101" t="str">
        <f>IF(COUNT(Resultados!B101,Resultados!K101)&lt;=1, "", _xlfn.STDEV.S(ABS(Resultados!B101),ABS(Resultados!K101))/SQRT(COUNT(Resultados!B101,Resultados!K101)))</f>
        <v/>
      </c>
      <c r="C101">
        <f>IF(COUNT(Resultados!C101,Resultados!L101)&lt;=1, "", _xlfn.STDEV.S(ABS(Resultados!C101),ABS(Resultados!L101))/SQRT(COUNT(Resultados!C101,Resultados!L101)))</f>
        <v>0.5</v>
      </c>
      <c r="D101">
        <f>IF(COUNT(Resultados!D101,Resultados!M101)&lt;=1, "", _xlfn.STDEV.S(ABS(Resultados!D101),ABS(Resultados!M101))/SQRT(COUNT(Resultados!D101,Resultados!M101)))</f>
        <v>2.0000000000000052E-4</v>
      </c>
      <c r="E101">
        <f>IF(COUNT(Resultados!E101,Resultados!N101)&lt;=1, "", _xlfn.STDEV.S(ABS(Resultados!E101),ABS(Resultados!N101))/SQRT(COUNT(Resultados!E101,Resultados!N101)))</f>
        <v>3.1363162510622544E-5</v>
      </c>
      <c r="F101">
        <f>IF(COUNT(Resultados!F101,Resultados!O101)&lt;=1, "", _xlfn.STDEV.S(ABS(Resultados!F101),ABS(Resultados!O101))/SQRT(COUNT(Resultados!F101,Resultados!O101)))</f>
        <v>2.9230467461047738E-3</v>
      </c>
      <c r="G101">
        <f>IF(COUNT(Resultados!G101,Resultados!P101)&lt;=1, "", _xlfn.STDEV.S(ABS(Resultados!G101),ABS(Resultados!P101))/SQRT(COUNT(Resultados!G101,Resultados!P101)))</f>
        <v>0</v>
      </c>
      <c r="H101">
        <f>IF(COUNT(Resultados!H101,Resultados!Q101)&lt;=1, "", _xlfn.STDEV.S(ABS(Resultados!H101),ABS(Resultados!Q101))/SQRT(COUNT(Resultados!H101,Resultados!Q101)))</f>
        <v>0</v>
      </c>
      <c r="I101">
        <f>IF(COUNT(Resultados!I101,Resultados!R101)&lt;=1, "", _xlfn.STDEV.S(ABS(Resultados!I101),ABS(Resultados!R101))/SQRT(COUNT(Resultados!I101,Resultados!R101)))</f>
        <v>8.1499999999934403E-4</v>
      </c>
    </row>
    <row r="102" spans="1:9" x14ac:dyDescent="0.3">
      <c r="A102" t="str">
        <f>IF(COUNT(Resultados!A102)&lt;=1, "", _xlfn.STDEV.S(ABS(Resultados!A102))/SQRT(COUNT(Resultados!A102)))</f>
        <v/>
      </c>
      <c r="B102" t="str">
        <f>IF(COUNT(Resultados!B102)&lt;=1, "", _xlfn.STDEV.S(ABS(Resultados!B102))/SQRT(COUNT(Resultados!B102)))</f>
        <v/>
      </c>
      <c r="C102" t="str">
        <f>IF(COUNT(Resultados!C102)&lt;=1, "", _xlfn.STDEV.S(ABS(Resultados!C102))/SQRT(COUNT(Resultados!C102)))</f>
        <v/>
      </c>
      <c r="D102" t="str">
        <f>IF(COUNT(Resultados!D102)&lt;=1, "", _xlfn.STDEV.S(ABS(Resultados!D102))/SQRT(COUNT(Resultados!D102)))</f>
        <v/>
      </c>
      <c r="E102" t="str">
        <f>IF(COUNT(Resultados!E102)&lt;=1, "", _xlfn.STDEV.S(ABS(Resultados!E102))/SQRT(COUNT(Resultados!E102)))</f>
        <v/>
      </c>
      <c r="F102" t="str">
        <f>IF(COUNT(Resultados!F102)&lt;=1, "", _xlfn.STDEV.S(ABS(Resultados!F102))/SQRT(COUNT(Resultados!F102)))</f>
        <v/>
      </c>
      <c r="G102" t="str">
        <f>IF(COUNT(Resultados!G102)&lt;=1, "", _xlfn.STDEV.S(ABS(Resultados!G102))/SQRT(COUNT(Resultados!G102)))</f>
        <v/>
      </c>
      <c r="H102" t="str">
        <f>IF(COUNT(Resultados!H102)&lt;=1, "", _xlfn.STDEV.S(ABS(Resultados!H102))/SQRT(COUNT(Resultados!H102)))</f>
        <v/>
      </c>
      <c r="I102" t="str">
        <f>IF(COUNT(Resultados!I102)&lt;=1, "", _xlfn.STDEV.S(ABS(Resultados!I102))/SQRT(COUNT(Resultados!I102)))</f>
        <v/>
      </c>
    </row>
    <row r="103" spans="1:9" x14ac:dyDescent="0.3">
      <c r="A103" t="str">
        <f>IF(COUNT(Resultados!A103)&lt;=1, "", _xlfn.STDEV.S(ABS(Resultados!A103))/SQRT(COUNT(Resultados!A103)))</f>
        <v/>
      </c>
      <c r="B103" t="str">
        <f>IF(COUNT(Resultados!B103)&lt;=1, "", _xlfn.STDEV.S(ABS(Resultados!B103))/SQRT(COUNT(Resultados!B103)))</f>
        <v/>
      </c>
      <c r="C103" t="str">
        <f>IF(COUNT(Resultados!C103)&lt;=1, "", _xlfn.STDEV.S(ABS(Resultados!C103))/SQRT(COUNT(Resultados!C103)))</f>
        <v/>
      </c>
      <c r="D103" t="str">
        <f>IF(COUNT(Resultados!D103)&lt;=1, "", _xlfn.STDEV.S(ABS(Resultados!D103))/SQRT(COUNT(Resultados!D103)))</f>
        <v/>
      </c>
      <c r="E103" t="str">
        <f>IF(COUNT(Resultados!E103)&lt;=1, "", _xlfn.STDEV.S(ABS(Resultados!E103))/SQRT(COUNT(Resultados!E103)))</f>
        <v/>
      </c>
      <c r="F103" t="str">
        <f>IF(COUNT(Resultados!F103)&lt;=1, "", _xlfn.STDEV.S(ABS(Resultados!F103))/SQRT(COUNT(Resultados!F103)))</f>
        <v/>
      </c>
      <c r="G103" t="str">
        <f>IF(COUNT(Resultados!G103)&lt;=1, "", _xlfn.STDEV.S(ABS(Resultados!G103))/SQRT(COUNT(Resultados!G103)))</f>
        <v/>
      </c>
      <c r="H103" t="str">
        <f>IF(COUNT(Resultados!H103)&lt;=1, "", _xlfn.STDEV.S(ABS(Resultados!H103))/SQRT(COUNT(Resultados!H103)))</f>
        <v/>
      </c>
      <c r="I103" t="str">
        <f>IF(COUNT(Resultados!I103)&lt;=1, "", _xlfn.STDEV.S(ABS(Resultados!I103))/SQRT(COUNT(Resultados!I103)))</f>
        <v/>
      </c>
    </row>
    <row r="104" spans="1:9" x14ac:dyDescent="0.3">
      <c r="A104" t="str">
        <f>IF(COUNT(Resultados!A104)&lt;=1, "", _xlfn.STDEV.S(ABS(Resultados!A104))/SQRT(COUNT(Resultados!A104)))</f>
        <v/>
      </c>
      <c r="B104" t="str">
        <f>IF(COUNT(Resultados!B104)&lt;=1, "", _xlfn.STDEV.S(ABS(Resultados!B104))/SQRT(COUNT(Resultados!B104)))</f>
        <v/>
      </c>
      <c r="C104" t="str">
        <f>IF(COUNT(Resultados!C104)&lt;=1, "", _xlfn.STDEV.S(ABS(Resultados!C104))/SQRT(COUNT(Resultados!C104)))</f>
        <v/>
      </c>
      <c r="D104" t="str">
        <f>IF(COUNT(Resultados!D104)&lt;=1, "", _xlfn.STDEV.S(ABS(Resultados!D104))/SQRT(COUNT(Resultados!D104)))</f>
        <v/>
      </c>
      <c r="E104" t="str">
        <f>IF(COUNT(Resultados!E104)&lt;=1, "", _xlfn.STDEV.S(ABS(Resultados!E104))/SQRT(COUNT(Resultados!E104)))</f>
        <v/>
      </c>
      <c r="F104" t="str">
        <f>IF(COUNT(Resultados!F104)&lt;=1, "", _xlfn.STDEV.S(ABS(Resultados!F104))/SQRT(COUNT(Resultados!F104)))</f>
        <v/>
      </c>
      <c r="G104" t="str">
        <f>IF(COUNT(Resultados!G104)&lt;=1, "", _xlfn.STDEV.S(ABS(Resultados!G104))/SQRT(COUNT(Resultados!G104)))</f>
        <v/>
      </c>
      <c r="H104" t="str">
        <f>IF(COUNT(Resultados!H104)&lt;=1, "", _xlfn.STDEV.S(ABS(Resultados!H104))/SQRT(COUNT(Resultados!H104)))</f>
        <v/>
      </c>
      <c r="I104" t="str">
        <f>IF(COUNT(Resultados!I104)&lt;=1, "", _xlfn.STDEV.S(ABS(Resultados!I104))/SQRT(COUNT(Resultados!I104)))</f>
        <v/>
      </c>
    </row>
    <row r="105" spans="1:9" x14ac:dyDescent="0.3">
      <c r="A105" t="str">
        <f>IF(COUNT(Resultados!A105)&lt;=1, "", _xlfn.STDEV.S(ABS(Resultados!A105))/SQRT(COUNT(Resultados!A105)))</f>
        <v/>
      </c>
      <c r="B105" t="str">
        <f>IF(COUNT(Resultados!B105)&lt;=1, "", _xlfn.STDEV.S(ABS(Resultados!B105))/SQRT(COUNT(Resultados!B105)))</f>
        <v/>
      </c>
      <c r="C105" t="str">
        <f>IF(COUNT(Resultados!C105)&lt;=1, "", _xlfn.STDEV.S(ABS(Resultados!C105))/SQRT(COUNT(Resultados!C105)))</f>
        <v/>
      </c>
      <c r="D105" t="str">
        <f>IF(COUNT(Resultados!D105)&lt;=1, "", _xlfn.STDEV.S(ABS(Resultados!D105))/SQRT(COUNT(Resultados!D105)))</f>
        <v/>
      </c>
      <c r="E105" t="str">
        <f>IF(COUNT(Resultados!E105)&lt;=1, "", _xlfn.STDEV.S(ABS(Resultados!E105))/SQRT(COUNT(Resultados!E105)))</f>
        <v/>
      </c>
      <c r="F105" t="str">
        <f>IF(COUNT(Resultados!F105)&lt;=1, "", _xlfn.STDEV.S(ABS(Resultados!F105))/SQRT(COUNT(Resultados!F105)))</f>
        <v/>
      </c>
      <c r="G105" t="str">
        <f>IF(COUNT(Resultados!G105)&lt;=1, "", _xlfn.STDEV.S(ABS(Resultados!G105))/SQRT(COUNT(Resultados!G105)))</f>
        <v/>
      </c>
      <c r="H105" t="str">
        <f>IF(COUNT(Resultados!H105)&lt;=1, "", _xlfn.STDEV.S(ABS(Resultados!H105))/SQRT(COUNT(Resultados!H105)))</f>
        <v/>
      </c>
      <c r="I105" t="str">
        <f>IF(COUNT(Resultados!I105)&lt;=1, "", _xlfn.STDEV.S(ABS(Resultados!I105))/SQRT(COUNT(Resultados!I105)))</f>
        <v/>
      </c>
    </row>
    <row r="106" spans="1:9" x14ac:dyDescent="0.3">
      <c r="A106" t="str">
        <f>IF(COUNT(Resultados!A106)&lt;=1, "", _xlfn.STDEV.S(ABS(Resultados!A106))/SQRT(COUNT(Resultados!A106)))</f>
        <v/>
      </c>
      <c r="B106" t="str">
        <f>IF(COUNT(Resultados!B106)&lt;=1, "", _xlfn.STDEV.S(ABS(Resultados!B106))/SQRT(COUNT(Resultados!B106)))</f>
        <v/>
      </c>
      <c r="C106" t="str">
        <f>IF(COUNT(Resultados!C106)&lt;=1, "", _xlfn.STDEV.S(ABS(Resultados!C106))/SQRT(COUNT(Resultados!C106)))</f>
        <v/>
      </c>
      <c r="D106" t="str">
        <f>IF(COUNT(Resultados!D106)&lt;=1, "", _xlfn.STDEV.S(ABS(Resultados!D106))/SQRT(COUNT(Resultados!D106)))</f>
        <v/>
      </c>
      <c r="E106" t="str">
        <f>IF(COUNT(Resultados!E106)&lt;=1, "", _xlfn.STDEV.S(ABS(Resultados!E106))/SQRT(COUNT(Resultados!E106)))</f>
        <v/>
      </c>
      <c r="F106" t="str">
        <f>IF(COUNT(Resultados!F106)&lt;=1, "", _xlfn.STDEV.S(ABS(Resultados!F106))/SQRT(COUNT(Resultados!F106)))</f>
        <v/>
      </c>
      <c r="G106" t="str">
        <f>IF(COUNT(Resultados!G106)&lt;=1, "", _xlfn.STDEV.S(ABS(Resultados!G106))/SQRT(COUNT(Resultados!G106)))</f>
        <v/>
      </c>
      <c r="H106" t="str">
        <f>IF(COUNT(Resultados!H106)&lt;=1, "", _xlfn.STDEV.S(ABS(Resultados!H106))/SQRT(COUNT(Resultados!H106)))</f>
        <v/>
      </c>
      <c r="I106" t="str">
        <f>IF(COUNT(Resultados!I106)&lt;=1, "", _xlfn.STDEV.S(ABS(Resultados!I106))/SQRT(COUNT(Resultados!I106)))</f>
        <v/>
      </c>
    </row>
    <row r="107" spans="1:9" x14ac:dyDescent="0.3">
      <c r="A107" t="str">
        <f>IF(COUNT(Resultados!A107)&lt;=1, "", _xlfn.STDEV.S(ABS(Resultados!A107))/SQRT(COUNT(Resultados!A107)))</f>
        <v/>
      </c>
      <c r="B107" t="str">
        <f>IF(COUNT(Resultados!B107)&lt;=1, "", _xlfn.STDEV.S(ABS(Resultados!B107))/SQRT(COUNT(Resultados!B107)))</f>
        <v/>
      </c>
      <c r="C107" t="str">
        <f>IF(COUNT(Resultados!C107)&lt;=1, "", _xlfn.STDEV.S(ABS(Resultados!C107))/SQRT(COUNT(Resultados!C107)))</f>
        <v/>
      </c>
      <c r="D107" t="str">
        <f>IF(COUNT(Resultados!D107)&lt;=1, "", _xlfn.STDEV.S(ABS(Resultados!D107))/SQRT(COUNT(Resultados!D107)))</f>
        <v/>
      </c>
      <c r="E107" t="str">
        <f>IF(COUNT(Resultados!E107)&lt;=1, "", _xlfn.STDEV.S(ABS(Resultados!E107))/SQRT(COUNT(Resultados!E107)))</f>
        <v/>
      </c>
      <c r="F107" t="str">
        <f>IF(COUNT(Resultados!F107)&lt;=1, "", _xlfn.STDEV.S(ABS(Resultados!F107))/SQRT(COUNT(Resultados!F107)))</f>
        <v/>
      </c>
      <c r="G107" t="str">
        <f>IF(COUNT(Resultados!G107)&lt;=1, "", _xlfn.STDEV.S(ABS(Resultados!G107))/SQRT(COUNT(Resultados!G107)))</f>
        <v/>
      </c>
      <c r="H107" t="str">
        <f>IF(COUNT(Resultados!H107)&lt;=1, "", _xlfn.STDEV.S(ABS(Resultados!H107))/SQRT(COUNT(Resultados!H107)))</f>
        <v/>
      </c>
      <c r="I107" t="str">
        <f>IF(COUNT(Resultados!I107)&lt;=1, "", _xlfn.STDEV.S(ABS(Resultados!I107))/SQRT(COUNT(Resultados!I107)))</f>
        <v/>
      </c>
    </row>
    <row r="108" spans="1:9" x14ac:dyDescent="0.3">
      <c r="A108" t="str">
        <f>IF(COUNT(Resultados!A108)&lt;=1, "", _xlfn.STDEV.S(ABS(Resultados!A108))/SQRT(COUNT(Resultados!A108)))</f>
        <v/>
      </c>
      <c r="B108" t="str">
        <f>IF(COUNT(Resultados!B108)&lt;=1, "", _xlfn.STDEV.S(ABS(Resultados!B108))/SQRT(COUNT(Resultados!B108)))</f>
        <v/>
      </c>
      <c r="C108" t="str">
        <f>IF(COUNT(Resultados!C108)&lt;=1, "", _xlfn.STDEV.S(ABS(Resultados!C108))/SQRT(COUNT(Resultados!C108)))</f>
        <v/>
      </c>
      <c r="D108" t="str">
        <f>IF(COUNT(Resultados!D108)&lt;=1, "", _xlfn.STDEV.S(ABS(Resultados!D108))/SQRT(COUNT(Resultados!D108)))</f>
        <v/>
      </c>
      <c r="E108" t="str">
        <f>IF(COUNT(Resultados!E108)&lt;=1, "", _xlfn.STDEV.S(ABS(Resultados!E108))/SQRT(COUNT(Resultados!E108)))</f>
        <v/>
      </c>
      <c r="F108" t="str">
        <f>IF(COUNT(Resultados!F108)&lt;=1, "", _xlfn.STDEV.S(ABS(Resultados!F108))/SQRT(COUNT(Resultados!F108)))</f>
        <v/>
      </c>
      <c r="G108" t="str">
        <f>IF(COUNT(Resultados!G108)&lt;=1, "", _xlfn.STDEV.S(ABS(Resultados!G108))/SQRT(COUNT(Resultados!G108)))</f>
        <v/>
      </c>
      <c r="H108" t="str">
        <f>IF(COUNT(Resultados!H108)&lt;=1, "", _xlfn.STDEV.S(ABS(Resultados!H108))/SQRT(COUNT(Resultados!H108)))</f>
        <v/>
      </c>
      <c r="I108" t="str">
        <f>IF(COUNT(Resultados!I108)&lt;=1, "", _xlfn.STDEV.S(ABS(Resultados!I108))/SQRT(COUNT(Resultados!I108)))</f>
        <v/>
      </c>
    </row>
    <row r="109" spans="1:9" x14ac:dyDescent="0.3">
      <c r="A109" t="str">
        <f>IF(COUNT(Resultados!A109)&lt;=1, "", _xlfn.STDEV.S(ABS(Resultados!A109))/SQRT(COUNT(Resultados!A109)))</f>
        <v/>
      </c>
      <c r="B109" t="str">
        <f>IF(COUNT(Resultados!B109)&lt;=1, "", _xlfn.STDEV.S(ABS(Resultados!B109))/SQRT(COUNT(Resultados!B109)))</f>
        <v/>
      </c>
      <c r="C109" t="str">
        <f>IF(COUNT(Resultados!C109)&lt;=1, "", _xlfn.STDEV.S(ABS(Resultados!C109))/SQRT(COUNT(Resultados!C109)))</f>
        <v/>
      </c>
      <c r="D109" t="str">
        <f>IF(COUNT(Resultados!D109)&lt;=1, "", _xlfn.STDEV.S(ABS(Resultados!D109))/SQRT(COUNT(Resultados!D109)))</f>
        <v/>
      </c>
      <c r="E109" t="str">
        <f>IF(COUNT(Resultados!E109)&lt;=1, "", _xlfn.STDEV.S(ABS(Resultados!E109))/SQRT(COUNT(Resultados!E109)))</f>
        <v/>
      </c>
      <c r="F109" t="str">
        <f>IF(COUNT(Resultados!F109)&lt;=1, "", _xlfn.STDEV.S(ABS(Resultados!F109))/SQRT(COUNT(Resultados!F109)))</f>
        <v/>
      </c>
      <c r="G109" t="str">
        <f>IF(COUNT(Resultados!G109)&lt;=1, "", _xlfn.STDEV.S(ABS(Resultados!G109))/SQRT(COUNT(Resultados!G109)))</f>
        <v/>
      </c>
      <c r="H109" t="str">
        <f>IF(COUNT(Resultados!H109)&lt;=1, "", _xlfn.STDEV.S(ABS(Resultados!H109))/SQRT(COUNT(Resultados!H109)))</f>
        <v/>
      </c>
      <c r="I109" t="str">
        <f>IF(COUNT(Resultados!I109)&lt;=1, "", _xlfn.STDEV.S(ABS(Resultados!I109))/SQRT(COUNT(Resultados!I109)))</f>
        <v/>
      </c>
    </row>
    <row r="110" spans="1:9" x14ac:dyDescent="0.3">
      <c r="A110" t="str">
        <f>IF(COUNT(Resultados!A110)&lt;=1, "", _xlfn.STDEV.S(ABS(Resultados!A110))/SQRT(COUNT(Resultados!A110)))</f>
        <v/>
      </c>
      <c r="B110" t="str">
        <f>IF(COUNT(Resultados!B110)&lt;=1, "", _xlfn.STDEV.S(ABS(Resultados!B110))/SQRT(COUNT(Resultados!B110)))</f>
        <v/>
      </c>
      <c r="C110" t="str">
        <f>IF(COUNT(Resultados!C110)&lt;=1, "", _xlfn.STDEV.S(ABS(Resultados!C110))/SQRT(COUNT(Resultados!C110)))</f>
        <v/>
      </c>
      <c r="D110" t="str">
        <f>IF(COUNT(Resultados!D110)&lt;=1, "", _xlfn.STDEV.S(ABS(Resultados!D110))/SQRT(COUNT(Resultados!D110)))</f>
        <v/>
      </c>
      <c r="E110" t="str">
        <f>IF(COUNT(Resultados!E110)&lt;=1, "", _xlfn.STDEV.S(ABS(Resultados!E110))/SQRT(COUNT(Resultados!E110)))</f>
        <v/>
      </c>
      <c r="F110" t="str">
        <f>IF(COUNT(Resultados!F110)&lt;=1, "", _xlfn.STDEV.S(ABS(Resultados!F110))/SQRT(COUNT(Resultados!F110)))</f>
        <v/>
      </c>
      <c r="G110" t="str">
        <f>IF(COUNT(Resultados!G110)&lt;=1, "", _xlfn.STDEV.S(ABS(Resultados!G110))/SQRT(COUNT(Resultados!G110)))</f>
        <v/>
      </c>
      <c r="H110" t="str">
        <f>IF(COUNT(Resultados!H110)&lt;=1, "", _xlfn.STDEV.S(ABS(Resultados!H110))/SQRT(COUNT(Resultados!H110)))</f>
        <v/>
      </c>
      <c r="I110" t="str">
        <f>IF(COUNT(Resultados!I110)&lt;=1, "", _xlfn.STDEV.S(ABS(Resultados!I110))/SQRT(COUNT(Resultados!I110)))</f>
        <v/>
      </c>
    </row>
    <row r="111" spans="1:9" x14ac:dyDescent="0.3">
      <c r="A111" t="str">
        <f>IF(COUNT(Resultados!A111)&lt;=1, "", _xlfn.STDEV.S(ABS(Resultados!A111))/SQRT(COUNT(Resultados!A111)))</f>
        <v/>
      </c>
      <c r="B111" t="str">
        <f>IF(COUNT(Resultados!B111)&lt;=1, "", _xlfn.STDEV.S(ABS(Resultados!B111))/SQRT(COUNT(Resultados!B111)))</f>
        <v/>
      </c>
      <c r="C111" t="str">
        <f>IF(COUNT(Resultados!C111)&lt;=1, "", _xlfn.STDEV.S(ABS(Resultados!C111))/SQRT(COUNT(Resultados!C111)))</f>
        <v/>
      </c>
      <c r="D111" t="str">
        <f>IF(COUNT(Resultados!D111)&lt;=1, "", _xlfn.STDEV.S(ABS(Resultados!D111))/SQRT(COUNT(Resultados!D111)))</f>
        <v/>
      </c>
      <c r="E111" t="str">
        <f>IF(COUNT(Resultados!E111)&lt;=1, "", _xlfn.STDEV.S(ABS(Resultados!E111))/SQRT(COUNT(Resultados!E111)))</f>
        <v/>
      </c>
      <c r="F111" t="str">
        <f>IF(COUNT(Resultados!F111)&lt;=1, "", _xlfn.STDEV.S(ABS(Resultados!F111))/SQRT(COUNT(Resultados!F111)))</f>
        <v/>
      </c>
      <c r="G111" t="str">
        <f>IF(COUNT(Resultados!G111)&lt;=1, "", _xlfn.STDEV.S(ABS(Resultados!G111))/SQRT(COUNT(Resultados!G111)))</f>
        <v/>
      </c>
      <c r="H111" t="str">
        <f>IF(COUNT(Resultados!H111)&lt;=1, "", _xlfn.STDEV.S(ABS(Resultados!H111))/SQRT(COUNT(Resultados!H111)))</f>
        <v/>
      </c>
      <c r="I111" t="str">
        <f>IF(COUNT(Resultados!I111)&lt;=1, "", _xlfn.STDEV.S(ABS(Resultados!I111))/SQRT(COUNT(Resultados!I111)))</f>
        <v/>
      </c>
    </row>
    <row r="112" spans="1:9" x14ac:dyDescent="0.3">
      <c r="A112" t="str">
        <f>IF(COUNT(Resultados!A112)&lt;=1, "", _xlfn.STDEV.S(ABS(Resultados!A112))/SQRT(COUNT(Resultados!A112)))</f>
        <v/>
      </c>
      <c r="B112" t="str">
        <f>IF(COUNT(Resultados!B112)&lt;=1, "", _xlfn.STDEV.S(ABS(Resultados!B112))/SQRT(COUNT(Resultados!B112)))</f>
        <v/>
      </c>
      <c r="C112" t="str">
        <f>IF(COUNT(Resultados!C112)&lt;=1, "", _xlfn.STDEV.S(ABS(Resultados!C112))/SQRT(COUNT(Resultados!C112)))</f>
        <v/>
      </c>
      <c r="D112" t="str">
        <f>IF(COUNT(Resultados!D112)&lt;=1, "", _xlfn.STDEV.S(ABS(Resultados!D112))/SQRT(COUNT(Resultados!D112)))</f>
        <v/>
      </c>
      <c r="E112" t="str">
        <f>IF(COUNT(Resultados!E112)&lt;=1, "", _xlfn.STDEV.S(ABS(Resultados!E112))/SQRT(COUNT(Resultados!E112)))</f>
        <v/>
      </c>
      <c r="F112" t="str">
        <f>IF(COUNT(Resultados!F112)&lt;=1, "", _xlfn.STDEV.S(ABS(Resultados!F112))/SQRT(COUNT(Resultados!F112)))</f>
        <v/>
      </c>
      <c r="G112" t="str">
        <f>IF(COUNT(Resultados!G112)&lt;=1, "", _xlfn.STDEV.S(ABS(Resultados!G112))/SQRT(COUNT(Resultados!G112)))</f>
        <v/>
      </c>
      <c r="H112" t="str">
        <f>IF(COUNT(Resultados!H112)&lt;=1, "", _xlfn.STDEV.S(ABS(Resultados!H112))/SQRT(COUNT(Resultados!H112)))</f>
        <v/>
      </c>
      <c r="I112" t="str">
        <f>IF(COUNT(Resultados!I112)&lt;=1, "", _xlfn.STDEV.S(ABS(Resultados!I112))/SQRT(COUNT(Resultados!I112)))</f>
        <v/>
      </c>
    </row>
    <row r="113" spans="1:9" x14ac:dyDescent="0.3">
      <c r="A113" t="str">
        <f>IF(COUNT(Resultados!A113)&lt;=1, "", _xlfn.STDEV.S(ABS(Resultados!A113))/SQRT(COUNT(Resultados!A113)))</f>
        <v/>
      </c>
      <c r="B113" t="str">
        <f>IF(COUNT(Resultados!B113)&lt;=1, "", _xlfn.STDEV.S(ABS(Resultados!B113))/SQRT(COUNT(Resultados!B113)))</f>
        <v/>
      </c>
      <c r="C113" t="str">
        <f>IF(COUNT(Resultados!C113)&lt;=1, "", _xlfn.STDEV.S(ABS(Resultados!C113))/SQRT(COUNT(Resultados!C113)))</f>
        <v/>
      </c>
      <c r="D113" t="str">
        <f>IF(COUNT(Resultados!D113)&lt;=1, "", _xlfn.STDEV.S(ABS(Resultados!D113))/SQRT(COUNT(Resultados!D113)))</f>
        <v/>
      </c>
      <c r="E113" t="str">
        <f>IF(COUNT(Resultados!E113)&lt;=1, "", _xlfn.STDEV.S(ABS(Resultados!E113))/SQRT(COUNT(Resultados!E113)))</f>
        <v/>
      </c>
      <c r="F113" t="str">
        <f>IF(COUNT(Resultados!F113)&lt;=1, "", _xlfn.STDEV.S(ABS(Resultados!F113))/SQRT(COUNT(Resultados!F113)))</f>
        <v/>
      </c>
      <c r="G113" t="str">
        <f>IF(COUNT(Resultados!G113)&lt;=1, "", _xlfn.STDEV.S(ABS(Resultados!G113))/SQRT(COUNT(Resultados!G113)))</f>
        <v/>
      </c>
      <c r="H113" t="str">
        <f>IF(COUNT(Resultados!H113)&lt;=1, "", _xlfn.STDEV.S(ABS(Resultados!H113))/SQRT(COUNT(Resultados!H113)))</f>
        <v/>
      </c>
      <c r="I113" t="str">
        <f>IF(COUNT(Resultados!I113)&lt;=1, "", _xlfn.STDEV.S(ABS(Resultados!I113))/SQRT(COUNT(Resultados!I113)))</f>
        <v/>
      </c>
    </row>
    <row r="114" spans="1:9" x14ac:dyDescent="0.3">
      <c r="A114" t="str">
        <f>IF(COUNT(Resultados!A114)&lt;=1, "", _xlfn.STDEV.S(ABS(Resultados!A114))/SQRT(COUNT(Resultados!A114)))</f>
        <v/>
      </c>
      <c r="B114" t="str">
        <f>IF(COUNT(Resultados!B114)&lt;=1, "", _xlfn.STDEV.S(ABS(Resultados!B114))/SQRT(COUNT(Resultados!B114)))</f>
        <v/>
      </c>
      <c r="C114" t="str">
        <f>IF(COUNT(Resultados!C114)&lt;=1, "", _xlfn.STDEV.S(ABS(Resultados!C114))/SQRT(COUNT(Resultados!C114)))</f>
        <v/>
      </c>
      <c r="D114" t="str">
        <f>IF(COUNT(Resultados!D114)&lt;=1, "", _xlfn.STDEV.S(ABS(Resultados!D114))/SQRT(COUNT(Resultados!D114)))</f>
        <v/>
      </c>
      <c r="E114" t="str">
        <f>IF(COUNT(Resultados!E114)&lt;=1, "", _xlfn.STDEV.S(ABS(Resultados!E114))/SQRT(COUNT(Resultados!E114)))</f>
        <v/>
      </c>
      <c r="F114" t="str">
        <f>IF(COUNT(Resultados!F114)&lt;=1, "", _xlfn.STDEV.S(ABS(Resultados!F114))/SQRT(COUNT(Resultados!F114)))</f>
        <v/>
      </c>
      <c r="G114" t="str">
        <f>IF(COUNT(Resultados!G114)&lt;=1, "", _xlfn.STDEV.S(ABS(Resultados!G114))/SQRT(COUNT(Resultados!G114)))</f>
        <v/>
      </c>
      <c r="H114" t="str">
        <f>IF(COUNT(Resultados!H114)&lt;=1, "", _xlfn.STDEV.S(ABS(Resultados!H114))/SQRT(COUNT(Resultados!H114)))</f>
        <v/>
      </c>
      <c r="I114" t="str">
        <f>IF(COUNT(Resultados!I114)&lt;=1, "", _xlfn.STDEV.S(ABS(Resultados!I114))/SQRT(COUNT(Resultados!I114)))</f>
        <v/>
      </c>
    </row>
    <row r="115" spans="1:9" x14ac:dyDescent="0.3">
      <c r="A115" t="str">
        <f>IF(COUNT(Resultados!A115)&lt;=1, "", _xlfn.STDEV.S(ABS(Resultados!A115))/SQRT(COUNT(Resultados!A115)))</f>
        <v/>
      </c>
      <c r="B115" t="str">
        <f>IF(COUNT(Resultados!B115)&lt;=1, "", _xlfn.STDEV.S(ABS(Resultados!B115))/SQRT(COUNT(Resultados!B115)))</f>
        <v/>
      </c>
      <c r="C115" t="str">
        <f>IF(COUNT(Resultados!C115)&lt;=1, "", _xlfn.STDEV.S(ABS(Resultados!C115))/SQRT(COUNT(Resultados!C115)))</f>
        <v/>
      </c>
      <c r="D115" t="str">
        <f>IF(COUNT(Resultados!D115)&lt;=1, "", _xlfn.STDEV.S(ABS(Resultados!D115))/SQRT(COUNT(Resultados!D115)))</f>
        <v/>
      </c>
      <c r="E115" t="str">
        <f>IF(COUNT(Resultados!E115)&lt;=1, "", _xlfn.STDEV.S(ABS(Resultados!E115))/SQRT(COUNT(Resultados!E115)))</f>
        <v/>
      </c>
      <c r="F115" t="str">
        <f>IF(COUNT(Resultados!F115)&lt;=1, "", _xlfn.STDEV.S(ABS(Resultados!F115))/SQRT(COUNT(Resultados!F115)))</f>
        <v/>
      </c>
      <c r="G115" t="str">
        <f>IF(COUNT(Resultados!G115)&lt;=1, "", _xlfn.STDEV.S(ABS(Resultados!G115))/SQRT(COUNT(Resultados!G115)))</f>
        <v/>
      </c>
      <c r="H115" t="str">
        <f>IF(COUNT(Resultados!H115)&lt;=1, "", _xlfn.STDEV.S(ABS(Resultados!H115))/SQRT(COUNT(Resultados!H115)))</f>
        <v/>
      </c>
      <c r="I115" t="str">
        <f>IF(COUNT(Resultados!I115)&lt;=1, "", _xlfn.STDEV.S(ABS(Resultados!I115))/SQRT(COUNT(Resultados!I115)))</f>
        <v/>
      </c>
    </row>
    <row r="116" spans="1:9" x14ac:dyDescent="0.3">
      <c r="A116" t="str">
        <f>IF(COUNT(Resultados!A116)&lt;=1, "", _xlfn.STDEV.S(ABS(Resultados!A116))/SQRT(COUNT(Resultados!A116)))</f>
        <v/>
      </c>
      <c r="B116" t="str">
        <f>IF(COUNT(Resultados!B116)&lt;=1, "", _xlfn.STDEV.S(ABS(Resultados!B116))/SQRT(COUNT(Resultados!B116)))</f>
        <v/>
      </c>
      <c r="C116" t="str">
        <f>IF(COUNT(Resultados!C116)&lt;=1, "", _xlfn.STDEV.S(ABS(Resultados!C116))/SQRT(COUNT(Resultados!C116)))</f>
        <v/>
      </c>
      <c r="D116" t="str">
        <f>IF(COUNT(Resultados!D116)&lt;=1, "", _xlfn.STDEV.S(ABS(Resultados!D116))/SQRT(COUNT(Resultados!D116)))</f>
        <v/>
      </c>
      <c r="E116" t="str">
        <f>IF(COUNT(Resultados!E116)&lt;=1, "", _xlfn.STDEV.S(ABS(Resultados!E116))/SQRT(COUNT(Resultados!E116)))</f>
        <v/>
      </c>
      <c r="F116" t="str">
        <f>IF(COUNT(Resultados!F116)&lt;=1, "", _xlfn.STDEV.S(ABS(Resultados!F116))/SQRT(COUNT(Resultados!F116)))</f>
        <v/>
      </c>
      <c r="G116" t="str">
        <f>IF(COUNT(Resultados!G116)&lt;=1, "", _xlfn.STDEV.S(ABS(Resultados!G116))/SQRT(COUNT(Resultados!G116)))</f>
        <v/>
      </c>
      <c r="H116" t="str">
        <f>IF(COUNT(Resultados!H116)&lt;=1, "", _xlfn.STDEV.S(ABS(Resultados!H116))/SQRT(COUNT(Resultados!H116)))</f>
        <v/>
      </c>
      <c r="I116" t="str">
        <f>IF(COUNT(Resultados!I116)&lt;=1, "", _xlfn.STDEV.S(ABS(Resultados!I116))/SQRT(COUNT(Resultados!I116)))</f>
        <v/>
      </c>
    </row>
    <row r="117" spans="1:9" x14ac:dyDescent="0.3">
      <c r="A117" t="str">
        <f>IF(COUNT(Resultados!A117)&lt;=1, "", _xlfn.STDEV.S(ABS(Resultados!A117))/SQRT(COUNT(Resultados!A117)))</f>
        <v/>
      </c>
      <c r="B117" t="str">
        <f>IF(COUNT(Resultados!B117)&lt;=1, "", _xlfn.STDEV.S(ABS(Resultados!B117))/SQRT(COUNT(Resultados!B117)))</f>
        <v/>
      </c>
      <c r="C117" t="str">
        <f>IF(COUNT(Resultados!C117)&lt;=1, "", _xlfn.STDEV.S(ABS(Resultados!C117))/SQRT(COUNT(Resultados!C117)))</f>
        <v/>
      </c>
      <c r="D117" t="str">
        <f>IF(COUNT(Resultados!D117)&lt;=1, "", _xlfn.STDEV.S(ABS(Resultados!D117))/SQRT(COUNT(Resultados!D117)))</f>
        <v/>
      </c>
      <c r="E117" t="str">
        <f>IF(COUNT(Resultados!E117)&lt;=1, "", _xlfn.STDEV.S(ABS(Resultados!E117))/SQRT(COUNT(Resultados!E117)))</f>
        <v/>
      </c>
      <c r="F117" t="str">
        <f>IF(COUNT(Resultados!F117)&lt;=1, "", _xlfn.STDEV.S(ABS(Resultados!F117))/SQRT(COUNT(Resultados!F117)))</f>
        <v/>
      </c>
      <c r="G117" t="str">
        <f>IF(COUNT(Resultados!G117)&lt;=1, "", _xlfn.STDEV.S(ABS(Resultados!G117))/SQRT(COUNT(Resultados!G117)))</f>
        <v/>
      </c>
      <c r="H117" t="str">
        <f>IF(COUNT(Resultados!H117)&lt;=1, "", _xlfn.STDEV.S(ABS(Resultados!H117))/SQRT(COUNT(Resultados!H117)))</f>
        <v/>
      </c>
      <c r="I117" t="str">
        <f>IF(COUNT(Resultados!I117)&lt;=1, "", _xlfn.STDEV.S(ABS(Resultados!I117))/SQRT(COUNT(Resultados!I117)))</f>
        <v/>
      </c>
    </row>
    <row r="118" spans="1:9" x14ac:dyDescent="0.3">
      <c r="A118" t="str">
        <f>IF(COUNT(Resultados!A118)&lt;=1, "", _xlfn.STDEV.S(ABS(Resultados!A118))/SQRT(COUNT(Resultados!A118)))</f>
        <v/>
      </c>
      <c r="B118" t="str">
        <f>IF(COUNT(Resultados!B118)&lt;=1, "", _xlfn.STDEV.S(ABS(Resultados!B118))/SQRT(COUNT(Resultados!B118)))</f>
        <v/>
      </c>
      <c r="C118" t="str">
        <f>IF(COUNT(Resultados!C118)&lt;=1, "", _xlfn.STDEV.S(ABS(Resultados!C118))/SQRT(COUNT(Resultados!C118)))</f>
        <v/>
      </c>
      <c r="D118" t="str">
        <f>IF(COUNT(Resultados!D118)&lt;=1, "", _xlfn.STDEV.S(ABS(Resultados!D118))/SQRT(COUNT(Resultados!D118)))</f>
        <v/>
      </c>
      <c r="E118" t="str">
        <f>IF(COUNT(Resultados!E118)&lt;=1, "", _xlfn.STDEV.S(ABS(Resultados!E118))/SQRT(COUNT(Resultados!E118)))</f>
        <v/>
      </c>
      <c r="F118" t="str">
        <f>IF(COUNT(Resultados!F118)&lt;=1, "", _xlfn.STDEV.S(ABS(Resultados!F118))/SQRT(COUNT(Resultados!F118)))</f>
        <v/>
      </c>
      <c r="G118" t="str">
        <f>IF(COUNT(Resultados!G118)&lt;=1, "", _xlfn.STDEV.S(ABS(Resultados!G118))/SQRT(COUNT(Resultados!G118)))</f>
        <v/>
      </c>
      <c r="H118" t="str">
        <f>IF(COUNT(Resultados!H118)&lt;=1, "", _xlfn.STDEV.S(ABS(Resultados!H118))/SQRT(COUNT(Resultados!H118)))</f>
        <v/>
      </c>
      <c r="I118" t="str">
        <f>IF(COUNT(Resultados!I118)&lt;=1, "", _xlfn.STDEV.S(ABS(Resultados!I118))/SQRT(COUNT(Resultados!I118)))</f>
        <v/>
      </c>
    </row>
    <row r="119" spans="1:9" x14ac:dyDescent="0.3">
      <c r="A119" t="str">
        <f>IF(COUNT(Resultados!A119)&lt;=1, "", _xlfn.STDEV.S(ABS(Resultados!A119))/SQRT(COUNT(Resultados!A119)))</f>
        <v/>
      </c>
      <c r="B119" t="str">
        <f>IF(COUNT(Resultados!B119)&lt;=1, "", _xlfn.STDEV.S(ABS(Resultados!B119))/SQRT(COUNT(Resultados!B119)))</f>
        <v/>
      </c>
      <c r="C119" t="str">
        <f>IF(COUNT(Resultados!C119)&lt;=1, "", _xlfn.STDEV.S(ABS(Resultados!C119))/SQRT(COUNT(Resultados!C119)))</f>
        <v/>
      </c>
      <c r="D119" t="str">
        <f>IF(COUNT(Resultados!D119)&lt;=1, "", _xlfn.STDEV.S(ABS(Resultados!D119))/SQRT(COUNT(Resultados!D119)))</f>
        <v/>
      </c>
      <c r="E119" t="str">
        <f>IF(COUNT(Resultados!E119)&lt;=1, "", _xlfn.STDEV.S(ABS(Resultados!E119))/SQRT(COUNT(Resultados!E119)))</f>
        <v/>
      </c>
      <c r="F119" t="str">
        <f>IF(COUNT(Resultados!F119)&lt;=1, "", _xlfn.STDEV.S(ABS(Resultados!F119))/SQRT(COUNT(Resultados!F119)))</f>
        <v/>
      </c>
      <c r="G119" t="str">
        <f>IF(COUNT(Resultados!G119)&lt;=1, "", _xlfn.STDEV.S(ABS(Resultados!G119))/SQRT(COUNT(Resultados!G119)))</f>
        <v/>
      </c>
      <c r="H119" t="str">
        <f>IF(COUNT(Resultados!H119)&lt;=1, "", _xlfn.STDEV.S(ABS(Resultados!H119))/SQRT(COUNT(Resultados!H119)))</f>
        <v/>
      </c>
      <c r="I119" t="str">
        <f>IF(COUNT(Resultados!I119)&lt;=1, "", _xlfn.STDEV.S(ABS(Resultados!I119))/SQRT(COUNT(Resultados!I119)))</f>
        <v/>
      </c>
    </row>
    <row r="120" spans="1:9" x14ac:dyDescent="0.3">
      <c r="A120" t="str">
        <f>IF(COUNT(Resultados!A120)&lt;=1, "", _xlfn.STDEV.S(ABS(Resultados!A120))/SQRT(COUNT(Resultados!A120)))</f>
        <v/>
      </c>
      <c r="B120" t="str">
        <f>IF(COUNT(Resultados!B120)&lt;=1, "", _xlfn.STDEV.S(ABS(Resultados!B120))/SQRT(COUNT(Resultados!B120)))</f>
        <v/>
      </c>
      <c r="C120" t="str">
        <f>IF(COUNT(Resultados!C120)&lt;=1, "", _xlfn.STDEV.S(ABS(Resultados!C120))/SQRT(COUNT(Resultados!C120)))</f>
        <v/>
      </c>
      <c r="D120" t="str">
        <f>IF(COUNT(Resultados!D120)&lt;=1, "", _xlfn.STDEV.S(ABS(Resultados!D120))/SQRT(COUNT(Resultados!D120)))</f>
        <v/>
      </c>
      <c r="E120" t="str">
        <f>IF(COUNT(Resultados!E120)&lt;=1, "", _xlfn.STDEV.S(ABS(Resultados!E120))/SQRT(COUNT(Resultados!E120)))</f>
        <v/>
      </c>
      <c r="F120" t="str">
        <f>IF(COUNT(Resultados!F120)&lt;=1, "", _xlfn.STDEV.S(ABS(Resultados!F120))/SQRT(COUNT(Resultados!F120)))</f>
        <v/>
      </c>
      <c r="G120" t="str">
        <f>IF(COUNT(Resultados!G120)&lt;=1, "", _xlfn.STDEV.S(ABS(Resultados!G120))/SQRT(COUNT(Resultados!G120)))</f>
        <v/>
      </c>
      <c r="H120" t="str">
        <f>IF(COUNT(Resultados!H120)&lt;=1, "", _xlfn.STDEV.S(ABS(Resultados!H120))/SQRT(COUNT(Resultados!H120)))</f>
        <v/>
      </c>
      <c r="I120" t="str">
        <f>IF(COUNT(Resultados!I120)&lt;=1, "", _xlfn.STDEV.S(ABS(Resultados!I120))/SQRT(COUNT(Resultados!I120)))</f>
        <v/>
      </c>
    </row>
    <row r="121" spans="1:9" x14ac:dyDescent="0.3">
      <c r="A121" t="str">
        <f>IF(COUNT(Resultados!A121)&lt;=1, "", _xlfn.STDEV.S(ABS(Resultados!A121))/SQRT(COUNT(Resultados!A121)))</f>
        <v/>
      </c>
      <c r="B121" t="str">
        <f>IF(COUNT(Resultados!B121)&lt;=1, "", _xlfn.STDEV.S(ABS(Resultados!B121))/SQRT(COUNT(Resultados!B121)))</f>
        <v/>
      </c>
      <c r="C121" t="str">
        <f>IF(COUNT(Resultados!C121)&lt;=1, "", _xlfn.STDEV.S(ABS(Resultados!C121))/SQRT(COUNT(Resultados!C121)))</f>
        <v/>
      </c>
      <c r="D121" t="str">
        <f>IF(COUNT(Resultados!D121)&lt;=1, "", _xlfn.STDEV.S(ABS(Resultados!D121))/SQRT(COUNT(Resultados!D121)))</f>
        <v/>
      </c>
      <c r="E121" t="str">
        <f>IF(COUNT(Resultados!E121)&lt;=1, "", _xlfn.STDEV.S(ABS(Resultados!E121))/SQRT(COUNT(Resultados!E121)))</f>
        <v/>
      </c>
      <c r="F121" t="str">
        <f>IF(COUNT(Resultados!F121)&lt;=1, "", _xlfn.STDEV.S(ABS(Resultados!F121))/SQRT(COUNT(Resultados!F121)))</f>
        <v/>
      </c>
      <c r="G121" t="str">
        <f>IF(COUNT(Resultados!G121)&lt;=1, "", _xlfn.STDEV.S(ABS(Resultados!G121))/SQRT(COUNT(Resultados!G121)))</f>
        <v/>
      </c>
      <c r="H121" t="str">
        <f>IF(COUNT(Resultados!H121)&lt;=1, "", _xlfn.STDEV.S(ABS(Resultados!H121))/SQRT(COUNT(Resultados!H121)))</f>
        <v/>
      </c>
      <c r="I121" t="str">
        <f>IF(COUNT(Resultados!I121)&lt;=1, "", _xlfn.STDEV.S(ABS(Resultados!I121))/SQRT(COUNT(Resultados!I121)))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Datos_app</vt:lpstr>
      <vt:lpstr>Resultados</vt:lpstr>
      <vt:lpstr>Promedios</vt:lpstr>
      <vt:lpstr>ErroresEstandar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Yovani Garcia Munera</dc:creator>
  <cp:lastModifiedBy>Yovani Garcia Munera</cp:lastModifiedBy>
  <dcterms:created xsi:type="dcterms:W3CDTF">2025-02-27T00:43:15Z</dcterms:created>
  <dcterms:modified xsi:type="dcterms:W3CDTF">2025-04-21T20:55:25Z</dcterms:modified>
</cp:coreProperties>
</file>