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sine\Processing\"/>
    </mc:Choice>
  </mc:AlternateContent>
  <xr:revisionPtr revIDLastSave="0" documentId="13_ncr:1_{78977E5C-0244-43E1-BB98-B7264B3E8A56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16" l="1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<sst xmlns="http://schemas.openxmlformats.org/spreadsheetml/2006/main" count="4714" uniqueCount="1822">
  <si>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</si>
  <si>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</si>
  <si>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</si>
  <si>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</si>
  <si>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</si>
  <si>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</si>
  <si>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</si>
  <si>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</si>
  <si>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</si>
  <si>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</si>
  <si>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</si>
  <si>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</si>
  <si>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</si>
  <si>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</si>
  <si>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</si>
  <si>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</si>
  <si>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</si>
  <si>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</si>
  <si>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</si>
  <si>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</si>
  <si>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</si>
  <si>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</si>
  <si>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</si>
  <si>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</si>
  <si>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</si>
  <si>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</si>
  <si>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</si>
  <si>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</si>
  <si>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</si>
  <si>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</si>
  <si>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</si>
  <si>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</si>
  <si>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</si>
  <si>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</si>
  <si>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</si>
  <si>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</si>
  <si>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</si>
  <si>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</si>
  <si>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</si>
  <si>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</si>
  <si>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</si>
  <si>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</si>
  <si>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</si>
  <si>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</si>
  <si>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</si>
  <si>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</si>
  <si>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</si>
  <si>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</si>
  <si>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</si>
  <si>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</si>
  <si>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</si>
  <si>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</si>
  <si>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</si>
  <si>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</si>
  <si>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</si>
  <si>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</si>
  <si>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</si>
  <si>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</si>
  <si>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</si>
  <si>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</si>
  <si>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</si>
  <si>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</si>
  <si>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</si>
  <si>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</si>
  <si>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</si>
  <si>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</si>
  <si>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</si>
  <si>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</si>
  <si>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</si>
  <si>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</si>
  <si>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</si>
  <si>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</si>
  <si>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</si>
  <si>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</si>
  <si>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</si>
  <si>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</si>
  <si>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</si>
  <si>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</si>
  <si>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</si>
  <si>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</si>
  <si>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</si>
  <si>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</si>
  <si>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</si>
  <si>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</si>
  <si>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</si>
  <si>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</si>
  <si>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</si>
  <si>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</si>
  <si>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</si>
  <si>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</si>
  <si>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</si>
  <si>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</si>
  <si>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</si>
  <si>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</si>
  <si>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</si>
  <si>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</si>
  <si>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</si>
  <si>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</si>
  <si>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</si>
  <si>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</si>
  <si>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20:28:18:468</t>
  </si>
  <si>
    <t>20:28:18:666</t>
  </si>
  <si>
    <t>20:28:18:891</t>
  </si>
  <si>
    <t>20:28:19:069</t>
  </si>
  <si>
    <t>20:28:19:269</t>
  </si>
  <si>
    <t>20:28:19:463</t>
  </si>
  <si>
    <t>20:28:19:667</t>
  </si>
  <si>
    <t>20:28:19:864</t>
  </si>
  <si>
    <t>20:28:20:069</t>
  </si>
  <si>
    <t>20:28:20:267</t>
  </si>
  <si>
    <t>20:28:20:466</t>
  </si>
  <si>
    <t>20:28:20:667</t>
  </si>
  <si>
    <t>20:28:20:869</t>
  </si>
  <si>
    <t>20:28:21:067</t>
  </si>
  <si>
    <t>20:28:21:266</t>
  </si>
  <si>
    <t>20:28:21:466</t>
  </si>
  <si>
    <t>20:28:21:667</t>
  </si>
  <si>
    <t>20:28:21:864</t>
  </si>
  <si>
    <t>20:28:22:070</t>
  </si>
  <si>
    <t>20:28:22:270</t>
  </si>
  <si>
    <t>20:28:22:490</t>
  </si>
  <si>
    <t>20:28:22:663</t>
  </si>
  <si>
    <t>20:28:22:867</t>
  </si>
  <si>
    <t>20:28:23:068</t>
  </si>
  <si>
    <t>20:28:23:268</t>
  </si>
  <si>
    <t>20:28:23:467</t>
  </si>
  <si>
    <t>20:28:23:689</t>
  </si>
  <si>
    <t>20:28:23:869</t>
  </si>
  <si>
    <t>20:28:24:067</t>
  </si>
  <si>
    <t>20:28:24:289</t>
  </si>
  <si>
    <t>20:28:24:467</t>
  </si>
  <si>
    <t>20:28:24:676</t>
  </si>
  <si>
    <t>20:28:24:902</t>
  </si>
  <si>
    <t>20:28:25:066</t>
  </si>
  <si>
    <t>20:28:25:268</t>
  </si>
  <si>
    <t>20:28:25:469</t>
  </si>
  <si>
    <t>20:28:25:675</t>
  </si>
  <si>
    <t>20:28:25:867</t>
  </si>
  <si>
    <t>20:28:26:067</t>
  </si>
  <si>
    <t>20:28:26:268</t>
  </si>
  <si>
    <t>20:28:26:469</t>
  </si>
  <si>
    <t>20:28:26:670</t>
  </si>
  <si>
    <t>20:28:26:870</t>
  </si>
  <si>
    <t>20:28:27:068</t>
  </si>
  <si>
    <t>20:28:27:265</t>
  </si>
  <si>
    <t>20:28:27:470</t>
  </si>
  <si>
    <t>20:28:27:665</t>
  </si>
  <si>
    <t>20:28:27:865</t>
  </si>
  <si>
    <t>20:28:28:068</t>
  </si>
  <si>
    <t>20:28:28:273</t>
  </si>
  <si>
    <t>20:28:28:463</t>
  </si>
  <si>
    <t>20:28:28:670</t>
  </si>
  <si>
    <t>20:28:28:867</t>
  </si>
  <si>
    <t>20:28:29:066</t>
  </si>
  <si>
    <t>20:28:29:264</t>
  </si>
  <si>
    <t>20:28:29:467</t>
  </si>
  <si>
    <t>20:28:29:686</t>
  </si>
  <si>
    <t>20:28:29:873</t>
  </si>
  <si>
    <t>20:28:30:066</t>
  </si>
  <si>
    <t>20:28:30:267</t>
  </si>
  <si>
    <t>20:28:30:469</t>
  </si>
  <si>
    <t>20:28:30:668</t>
  </si>
  <si>
    <t>20:28:30:868</t>
  </si>
  <si>
    <t>20:28:31:067</t>
  </si>
  <si>
    <t>20:28:31:266</t>
  </si>
  <si>
    <t>20:28:31:490</t>
  </si>
  <si>
    <t>20:28:31:672</t>
  </si>
  <si>
    <t>20:28:31:864</t>
  </si>
  <si>
    <t>20:28:32:067</t>
  </si>
  <si>
    <t>20:28:32:270</t>
  </si>
  <si>
    <t>20:28:32:465</t>
  </si>
  <si>
    <t>20:28:32:667</t>
  </si>
  <si>
    <t>20:28:32:869</t>
  </si>
  <si>
    <t>20:28:33:065</t>
  </si>
  <si>
    <t>20:28:33:279</t>
  </si>
  <si>
    <t>20:28:33:480</t>
  </si>
  <si>
    <t>20:28:33:665</t>
  </si>
  <si>
    <t>20:28:33:864</t>
  </si>
  <si>
    <t>20:28:34:071</t>
  </si>
  <si>
    <t>20:28:34:266</t>
  </si>
  <si>
    <t>20:28:34:469</t>
  </si>
  <si>
    <t>20:28:34:670</t>
  </si>
  <si>
    <t>20:28:34:868</t>
  </si>
  <si>
    <t>20:28:35:067</t>
  </si>
  <si>
    <t>20:28:35:268</t>
  </si>
  <si>
    <t>20:28:35:469</t>
  </si>
  <si>
    <t>20:28:35:689</t>
  </si>
  <si>
    <t>20:28:35:869</t>
  </si>
  <si>
    <t>20:28:36:069</t>
  </si>
  <si>
    <t>20:28:36:266</t>
  </si>
  <si>
    <t>20:28:36:468</t>
  </si>
  <si>
    <t>20:28:36:668</t>
  </si>
  <si>
    <t>20:28:36:868</t>
  </si>
  <si>
    <t>20:28:37:066</t>
  </si>
  <si>
    <t>20:28:37:272</t>
  </si>
  <si>
    <t>20:28:37:471</t>
  </si>
  <si>
    <t>20:28:37:663</t>
  </si>
  <si>
    <t>20:28:37:869</t>
  </si>
  <si>
    <t>20:28:38:091</t>
  </si>
  <si>
    <t>20:28:38:270</t>
  </si>
  <si>
    <t>20:28:38:467</t>
  </si>
  <si>
    <t>20:28:38:668</t>
  </si>
  <si>
    <t>20:28:38:868</t>
  </si>
  <si>
    <t>20:28:39:069</t>
  </si>
  <si>
    <t>20:28:39:268</t>
  </si>
  <si>
    <t>20:28:39:470</t>
  </si>
  <si>
    <t>20:28:39:668</t>
  </si>
  <si>
    <t>20:28:39:867</t>
  </si>
  <si>
    <t>20:28:40:068</t>
  </si>
  <si>
    <t>20:28:40:269</t>
  </si>
  <si>
    <t>20:28:40:466</t>
  </si>
  <si>
    <t>20:28:40:668</t>
  </si>
  <si>
    <t>20:28:40:864</t>
  </si>
  <si>
    <t>20:28:41:066</t>
  </si>
  <si>
    <t>20:28:41:271</t>
  </si>
  <si>
    <t>20:28:41:471</t>
  </si>
  <si>
    <t>20:28:41:692</t>
  </si>
  <si>
    <t>20:28:41:871</t>
  </si>
  <si>
    <t>20:28:42:067</t>
  </si>
  <si>
    <t>20:28:42:268</t>
  </si>
  <si>
    <t>20:28:42:469</t>
  </si>
  <si>
    <t>20:28:42:674</t>
  </si>
  <si>
    <t>20:28:42:886</t>
  </si>
  <si>
    <t>20:28:43:068</t>
  </si>
  <si>
    <t>20:28:43:508</t>
  </si>
  <si>
    <t>20:28:43:582</t>
  </si>
  <si>
    <t>20:28:43:665</t>
  </si>
  <si>
    <t>20:28:43:868</t>
  </si>
  <si>
    <t>20:28:44:065</t>
  </si>
  <si>
    <t>20:28:44:269</t>
  </si>
  <si>
    <t>20:28:44:469</t>
  </si>
  <si>
    <t>20:28:44:669</t>
  </si>
  <si>
    <t>20:28:44:868</t>
  </si>
  <si>
    <t>20:28:45:068</t>
  </si>
  <si>
    <t>20:28:45:291</t>
  </si>
  <si>
    <t>20:28:45:469</t>
  </si>
  <si>
    <t>20:28:45:669</t>
  </si>
  <si>
    <t>20:28:45:869</t>
  </si>
  <si>
    <t>20:28:46:066</t>
  </si>
  <si>
    <t>20:28:46:269</t>
  </si>
  <si>
    <t>20:28:46:470</t>
  </si>
  <si>
    <t>20:28:46:673</t>
  </si>
  <si>
    <t>20:28:46:872</t>
  </si>
  <si>
    <t>20:28:47:087</t>
  </si>
  <si>
    <t>20:28:47:271</t>
  </si>
  <si>
    <t>20:28:47:469</t>
  </si>
  <si>
    <t>20:28:47:665</t>
  </si>
  <si>
    <t>20:28:47:864</t>
  </si>
  <si>
    <t>20:28:48:068</t>
  </si>
  <si>
    <t>20:28:48:266</t>
  </si>
  <si>
    <t>20:28:48:470</t>
  </si>
  <si>
    <t>20:28:48:669</t>
  </si>
  <si>
    <t>20:28:48:864</t>
  </si>
  <si>
    <t>20:28:49:070</t>
  </si>
  <si>
    <t>20:28:49:270</t>
  </si>
  <si>
    <t>20:28:49:490</t>
  </si>
  <si>
    <t>20:28:49:667</t>
  </si>
  <si>
    <t>20:28:49:868</t>
  </si>
  <si>
    <t>20:28:50:090</t>
  </si>
  <si>
    <t>20:28:50:264</t>
  </si>
  <si>
    <t>20:28:50:513</t>
  </si>
  <si>
    <t>20:28:50:669</t>
  </si>
  <si>
    <t>20:28:50:866</t>
  </si>
  <si>
    <t>20:28:51:070</t>
  </si>
  <si>
    <t>20:28:51:290</t>
  </si>
  <si>
    <t>20:28:51:468</t>
  </si>
  <si>
    <t>20:28:51:668</t>
  </si>
  <si>
    <t>20:28:51:864</t>
  </si>
  <si>
    <t>20:28:52:079</t>
  </si>
  <si>
    <t>20:28:52:268</t>
  </si>
  <si>
    <t>20:28:52:490</t>
  </si>
  <si>
    <t>20:28:52:670</t>
  </si>
  <si>
    <t>20:28:52:869</t>
  </si>
  <si>
    <t>20:28:53:091</t>
  </si>
  <si>
    <t>20:28:53:270</t>
  </si>
  <si>
    <t>20:28:53:469</t>
  </si>
  <si>
    <t>20:28:53:690</t>
  </si>
  <si>
    <t>20:28:53:871</t>
  </si>
  <si>
    <t>20:28:54:066</t>
  </si>
  <si>
    <t>20:28:54:352</t>
  </si>
  <si>
    <t>20:28:54:532</t>
  </si>
  <si>
    <t>20:28:54:692</t>
  </si>
  <si>
    <t>20:28:54:867</t>
  </si>
  <si>
    <t>20:28:55:127</t>
  </si>
  <si>
    <t>20:28:55:268</t>
  </si>
  <si>
    <t>20:28:55:468</t>
  </si>
  <si>
    <t>20:28:55:670</t>
  </si>
  <si>
    <t>20:28:55:868</t>
  </si>
  <si>
    <t>20:28:56:090</t>
  </si>
  <si>
    <t>20:28:56:270</t>
  </si>
  <si>
    <t>20:28:56:467</t>
  </si>
  <si>
    <t>20:28:56:669</t>
  </si>
  <si>
    <t>20:28:56:867</t>
  </si>
  <si>
    <t>20:28:57:068</t>
  </si>
  <si>
    <t>20:28:57:291</t>
  </si>
  <si>
    <t>20:28:57:471</t>
  </si>
  <si>
    <t>20:28:57:670</t>
  </si>
  <si>
    <t>20:28:57:870</t>
  </si>
  <si>
    <t>20:28:58:070</t>
  </si>
  <si>
    <t>20:28:58:265</t>
  </si>
  <si>
    <t>20:28:58:490</t>
  </si>
  <si>
    <t>20:28:58:675</t>
  </si>
  <si>
    <t>20:28:58:872</t>
  </si>
  <si>
    <t>20:28:59:069</t>
  </si>
  <si>
    <t>20:28:59:268</t>
  </si>
  <si>
    <t>20:28:59:470</t>
  </si>
  <si>
    <t>20:28:59:668</t>
  </si>
  <si>
    <t>20:28:59:869</t>
  </si>
  <si>
    <t>20:29:00:067</t>
  </si>
  <si>
    <t>20:29:00:270</t>
  </si>
  <si>
    <t>20:29:00:709</t>
  </si>
  <si>
    <t>20:29:00:759</t>
  </si>
  <si>
    <t>20:29:00:866</t>
  </si>
  <si>
    <t>20:29:01:069</t>
  </si>
  <si>
    <t>20:29:01:269</t>
  </si>
  <si>
    <t>20:29:01:469</t>
  </si>
  <si>
    <t>20:29:01:674</t>
  </si>
  <si>
    <t>20:29:01:871</t>
  </si>
  <si>
    <t>20:29:02:069</t>
  </si>
  <si>
    <t>20:29:02:269</t>
  </si>
  <si>
    <t>20:29:02:468</t>
  </si>
  <si>
    <t>20:29:02:691</t>
  </si>
  <si>
    <t>20:29:02:867</t>
  </si>
  <si>
    <t>20:29:03:069</t>
  </si>
  <si>
    <t>20:29:03:277</t>
  </si>
  <si>
    <t>20:29:03:466</t>
  </si>
  <si>
    <t>20:29:03:711</t>
  </si>
  <si>
    <t>20:29:03:898</t>
  </si>
  <si>
    <t>20:29:04:071</t>
  </si>
  <si>
    <t>20:29:04:270</t>
  </si>
  <si>
    <t>20:29:04:470</t>
  </si>
  <si>
    <t>20:29:04:669</t>
  </si>
  <si>
    <t>20:29:04:870</t>
  </si>
  <si>
    <t>20:29:05:090</t>
  </si>
  <si>
    <t>20:29:05:272</t>
  </si>
  <si>
    <t>20:29:05:469</t>
  </si>
  <si>
    <t>20:29:05:687</t>
  </si>
  <si>
    <t>20:29:05:872</t>
  </si>
  <si>
    <t>20:29:06:071</t>
  </si>
  <si>
    <t>20:29:06:268</t>
  </si>
  <si>
    <t>20:29:06:470</t>
  </si>
  <si>
    <t>20:29:06:666</t>
  </si>
  <si>
    <t>20:29:06:890</t>
  </si>
  <si>
    <t>20:29:07:068</t>
  </si>
  <si>
    <t>20:29:07:270</t>
  </si>
  <si>
    <t>20:29:07:469</t>
  </si>
  <si>
    <t>20:29:07:668</t>
  </si>
  <si>
    <t>20:29:07:865</t>
  </si>
  <si>
    <t>20:29:08:087</t>
  </si>
  <si>
    <t>20:29:08:273</t>
  </si>
  <si>
    <t>20:29:08:470</t>
  </si>
  <si>
    <t>20:29:08:689</t>
  </si>
  <si>
    <t>20:29:08:871</t>
  </si>
  <si>
    <t>20:29:09:071</t>
  </si>
  <si>
    <t>20:29:09:291</t>
  </si>
  <si>
    <t>20:29:09:471</t>
  </si>
  <si>
    <t>20:29:09:669</t>
  </si>
  <si>
    <t>20:29:09:870</t>
  </si>
  <si>
    <t>20:29:10:069</t>
  </si>
  <si>
    <t>20:29:10:266</t>
  </si>
  <si>
    <t>20:29:10:466</t>
  </si>
  <si>
    <t>20:29:10:668</t>
  </si>
  <si>
    <t>20:29:10:866</t>
  </si>
  <si>
    <t>20:29:11:069</t>
  </si>
  <si>
    <t>20:29:11:268</t>
  </si>
  <si>
    <t>20:29:11:467</t>
  </si>
  <si>
    <t>20:29:11:672</t>
  </si>
  <si>
    <t>20:29:11:866</t>
  </si>
  <si>
    <t>20:29:12:067</t>
  </si>
  <si>
    <t>20:29:12:268</t>
  </si>
  <si>
    <t>20:29:12:472</t>
  </si>
  <si>
    <t>20:29:12:667</t>
  </si>
  <si>
    <t>20:29:12:897</t>
  </si>
  <si>
    <t>20:29:13:065</t>
  </si>
  <si>
    <t>20:29:13:268</t>
  </si>
  <si>
    <t>20:29:13:496</t>
  </si>
  <si>
    <t>20:29:13:671</t>
  </si>
  <si>
    <t>20:29:13:870</t>
  </si>
  <si>
    <t>20:29:14:070</t>
  </si>
  <si>
    <t>20:29:14:267</t>
  </si>
  <si>
    <t>20:29:14:472</t>
  </si>
  <si>
    <t>20:29:14:691</t>
  </si>
  <si>
    <t>20:29:14:870</t>
  </si>
  <si>
    <t>20:29:15:069</t>
  </si>
  <si>
    <t>20:29:15:291</t>
  </si>
  <si>
    <t>20:29:15:468</t>
  </si>
  <si>
    <t>20:29:15:670</t>
  </si>
  <si>
    <t>20:29:15:872</t>
  </si>
  <si>
    <t>20:29:16:080</t>
  </si>
  <si>
    <t>20:29:16:269</t>
  </si>
  <si>
    <t>20:29:16:466</t>
  </si>
  <si>
    <t>20:29:16:671</t>
  </si>
  <si>
    <t>20:29:16:872</t>
  </si>
  <si>
    <t>20:29:17:092</t>
  </si>
  <si>
    <t>20:29:17:271</t>
  </si>
  <si>
    <t>20:29:17:470</t>
  </si>
  <si>
    <t>20:29:17:695</t>
  </si>
  <si>
    <t>20:29:17:871</t>
  </si>
  <si>
    <t>20:29:18:071</t>
  </si>
  <si>
    <t>20:29:18:268</t>
  </si>
  <si>
    <t>20:29:18:469</t>
  </si>
  <si>
    <t>20:29:18:670</t>
  </si>
  <si>
    <t>20:29:18:892</t>
  </si>
  <si>
    <t>20:29:19:072</t>
  </si>
  <si>
    <t>20:29:19:270</t>
  </si>
  <si>
    <t>20:29:19:466</t>
  </si>
  <si>
    <t>20:29:19:669</t>
  </si>
  <si>
    <t>20:29:19:865</t>
  </si>
  <si>
    <t>20:29:20:065</t>
  </si>
  <si>
    <t>20:29:20:271</t>
  </si>
  <si>
    <t>20:29:20:470</t>
  </si>
  <si>
    <t>20:29:20:688</t>
  </si>
  <si>
    <t>20:29:20:871</t>
  </si>
  <si>
    <t>20:29:21:074</t>
  </si>
  <si>
    <t>20:29:21:270</t>
  </si>
  <si>
    <t>20:29:21:471</t>
  </si>
  <si>
    <t>20:29:21:667</t>
  </si>
  <si>
    <t>20:29:21:871</t>
  </si>
  <si>
    <t>20:29:22:070</t>
  </si>
  <si>
    <t>20:29:22:271</t>
  </si>
  <si>
    <t>20:29:22:501</t>
  </si>
  <si>
    <t>20:29:22:676</t>
  </si>
  <si>
    <t>20:29:22:868</t>
  </si>
  <si>
    <t>20:29:23:069</t>
  </si>
  <si>
    <t>20:29:23:273</t>
  </si>
  <si>
    <t>20:29:23:466</t>
  </si>
  <si>
    <t>20:29:23:672</t>
  </si>
  <si>
    <t>20:29:23:868</t>
  </si>
  <si>
    <t>20:29:24:065</t>
  </si>
  <si>
    <t>20:29:24:270</t>
  </si>
  <si>
    <t>20:29:24:471</t>
  </si>
  <si>
    <t>20:29:24:672</t>
  </si>
  <si>
    <t>20:29:24:892</t>
  </si>
  <si>
    <t>20:29:25:072</t>
  </si>
  <si>
    <t>20:29:25:276</t>
  </si>
  <si>
    <t>20:29:25:471</t>
  </si>
  <si>
    <t>20:29:25:671</t>
  </si>
  <si>
    <t>20:29:25:871</t>
  </si>
  <si>
    <t>20:29:26:072</t>
  </si>
  <si>
    <t>20:29:26:272</t>
  </si>
  <si>
    <t>20:29:26:473</t>
  </si>
  <si>
    <t>20:29:26:692</t>
  </si>
  <si>
    <t>20:29:26:871</t>
  </si>
  <si>
    <t>20:29:27:069</t>
  </si>
  <si>
    <t>20:29:27:271</t>
  </si>
  <si>
    <t>20:29:27:465</t>
  </si>
  <si>
    <t>20:29:27:668</t>
  </si>
  <si>
    <t>20:29:27:866</t>
  </si>
  <si>
    <t>20:29:28:068</t>
  </si>
  <si>
    <t>20:29:28:271</t>
  </si>
  <si>
    <t>20:29:28:469</t>
  </si>
  <si>
    <t>20:29:28:667</t>
  </si>
  <si>
    <t>20:29:28:912</t>
  </si>
  <si>
    <t>20:29:29:091</t>
  </si>
  <si>
    <t>20:29:29:268</t>
  </si>
  <si>
    <t>20:29:29:471</t>
  </si>
  <si>
    <t>20:29:29:667</t>
  </si>
  <si>
    <t>20:29:29:869</t>
  </si>
  <si>
    <t>20:29:30:069</t>
  </si>
  <si>
    <t>20:29:30:270</t>
  </si>
  <si>
    <t>20:29:30:471</t>
  </si>
  <si>
    <t>20:29:30:671</t>
  </si>
  <si>
    <t>20:29:30:891</t>
  </si>
  <si>
    <t>20:29:31:070</t>
  </si>
  <si>
    <t>20:29:31:271</t>
  </si>
  <si>
    <t>20:29:31:491</t>
  </si>
  <si>
    <t>20:29:31:673</t>
  </si>
  <si>
    <t>20:29:31:870</t>
  </si>
  <si>
    <t>20:29:32:067</t>
  </si>
  <si>
    <t>20:29:32:268</t>
  </si>
  <si>
    <t>20:29:32:469</t>
  </si>
  <si>
    <t>20:29:32:691</t>
  </si>
  <si>
    <t>20:29:32:871</t>
  </si>
  <si>
    <t>20:29:33:070</t>
  </si>
  <si>
    <t>20:29:33:265</t>
  </si>
  <si>
    <t>20:29:33:471</t>
  </si>
  <si>
    <t>20:29:33:671</t>
  </si>
  <si>
    <t>20:29:33:870</t>
  </si>
  <si>
    <t>20:29:34:070</t>
  </si>
  <si>
    <t>20:29:34:277</t>
  </si>
  <si>
    <t>20:29:34:490</t>
  </si>
  <si>
    <t>20:29:34:672</t>
  </si>
  <si>
    <t>20:29:34:871</t>
  </si>
  <si>
    <t>20:29:35:069</t>
  </si>
  <si>
    <t>20:29:35:270</t>
  </si>
  <si>
    <t>20:29:35:471</t>
  </si>
  <si>
    <t>20:29:35:692</t>
  </si>
  <si>
    <t>20:29:35:872</t>
  </si>
  <si>
    <t>20:29:36:067</t>
  </si>
  <si>
    <t>20:29:36:266</t>
  </si>
  <si>
    <t>20:29:36:471</t>
  </si>
  <si>
    <t>20:29:36:668</t>
  </si>
  <si>
    <t>20:29:36:882</t>
  </si>
  <si>
    <t>20:29:37:069</t>
  </si>
  <si>
    <t>20:29:37:275</t>
  </si>
  <si>
    <t>20:29:37:473</t>
  </si>
  <si>
    <t>20:29:37:671</t>
  </si>
  <si>
    <t>20:29:37:869</t>
  </si>
  <si>
    <t>20:29:38:176</t>
  </si>
  <si>
    <t>20:29:38:268</t>
  </si>
  <si>
    <t>20:29:38:472</t>
  </si>
  <si>
    <t>20:29:38:671</t>
  </si>
  <si>
    <t>20:29:38:871</t>
  </si>
  <si>
    <t>20:29:39:069</t>
  </si>
  <si>
    <t>20:29:39:273</t>
  </si>
  <si>
    <t>20:29:39:471</t>
  </si>
  <si>
    <t>20:29:39:669</t>
  </si>
  <si>
    <t>20:29:39:871</t>
  </si>
  <si>
    <t>20:29:40:072</t>
  </si>
  <si>
    <t>20:29:40:270</t>
  </si>
  <si>
    <t>20:29:40:475</t>
  </si>
  <si>
    <t>20:29:40:667</t>
  </si>
  <si>
    <t>20:29:40:869</t>
  </si>
  <si>
    <t>20:29:41:092</t>
  </si>
  <si>
    <t>20:29:41:274</t>
  </si>
  <si>
    <t>20:29:41:470</t>
  </si>
  <si>
    <t>20:29:41:703</t>
  </si>
  <si>
    <t>20:29:41:871</t>
  </si>
  <si>
    <t>20:29:42:072</t>
  </si>
  <si>
    <t>20:29:42:270</t>
  </si>
  <si>
    <t>20:29:42:469</t>
  </si>
  <si>
    <t>20:29:42:666</t>
  </si>
  <si>
    <t>20:29:42:870</t>
  </si>
  <si>
    <t>20:29:43:070</t>
  </si>
  <si>
    <t>20:29:43:269</t>
  </si>
  <si>
    <t>20:29:43:492</t>
  </si>
  <si>
    <t>20:29:43:671</t>
  </si>
  <si>
    <t>20:29:43:869</t>
  </si>
  <si>
    <t>20:29:44:072</t>
  </si>
  <si>
    <t>20:29:44:272</t>
  </si>
  <si>
    <t>20:29:44:471</t>
  </si>
  <si>
    <t>20:29:44:668</t>
  </si>
  <si>
    <t>20:29:44:873</t>
  </si>
  <si>
    <t>20:29:45:069</t>
  </si>
  <si>
    <t>20:29:45:292</t>
  </si>
  <si>
    <t>20:29:45:471</t>
  </si>
  <si>
    <t>20:29:45:667</t>
  </si>
  <si>
    <t>20:29:45:891</t>
  </si>
  <si>
    <t>20:29:46:068</t>
  </si>
  <si>
    <t>20:29:46:272</t>
  </si>
  <si>
    <t>20:29:46:476</t>
  </si>
  <si>
    <t>20:29:46:670</t>
  </si>
  <si>
    <t>20:29:46:871</t>
  </si>
  <si>
    <t>20:29:47:071</t>
  </si>
  <si>
    <t>20:29:47:271</t>
  </si>
  <si>
    <t>20:29:47:470</t>
  </si>
  <si>
    <t>20:29:47:692</t>
  </si>
  <si>
    <t>20:29:47:872</t>
  </si>
  <si>
    <t>20:29:48:112</t>
  </si>
  <si>
    <t>20:29:48:274</t>
  </si>
  <si>
    <t>20:29:48:471</t>
  </si>
  <si>
    <t>20:29:48:671</t>
  </si>
  <si>
    <t>20:29:48:892</t>
  </si>
  <si>
    <t>20:29:49:066</t>
  </si>
  <si>
    <t>20:29:49:269</t>
  </si>
  <si>
    <t>20:29:49:473</t>
  </si>
  <si>
    <t>20:29:49:669</t>
  </si>
  <si>
    <t>20:29:49:880</t>
  </si>
  <si>
    <t>20:29:50:069</t>
  </si>
  <si>
    <t>20:29:50:270</t>
  </si>
  <si>
    <t>20:29:50:470</t>
  </si>
  <si>
    <t>20:29:50:692</t>
  </si>
  <si>
    <t>20:29:50:878</t>
  </si>
  <si>
    <t>20:29:51:071</t>
  </si>
  <si>
    <t>20:29:51:269</t>
  </si>
  <si>
    <t>20:29:51:467</t>
  </si>
  <si>
    <t>20:29:51:670</t>
  </si>
  <si>
    <t>20:29:51:867</t>
  </si>
  <si>
    <t>20:29:52:070</t>
  </si>
  <si>
    <t>20:29:52:272</t>
  </si>
  <si>
    <t>20:29:52:467</t>
  </si>
  <si>
    <t>20:29:52:668</t>
  </si>
  <si>
    <t>20:29:52:866</t>
  </si>
  <si>
    <t>20:29:53:092</t>
  </si>
  <si>
    <t>20:29:53:272</t>
  </si>
  <si>
    <t>20:29:53:471</t>
  </si>
  <si>
    <t>20:29:53:689</t>
  </si>
  <si>
    <t>20:29:53:867</t>
  </si>
  <si>
    <t>20:29:54:068</t>
  </si>
  <si>
    <t>20:29:54:357</t>
  </si>
  <si>
    <t>20:29:54:561</t>
  </si>
  <si>
    <t>20:29:54:823</t>
  </si>
  <si>
    <t>20:29:55:018</t>
  </si>
  <si>
    <t>20:29:55:334</t>
  </si>
  <si>
    <t>20:29:55:399</t>
  </si>
  <si>
    <t>20:29:55:489</t>
  </si>
  <si>
    <t>20:29:55:675</t>
  </si>
  <si>
    <t>20:29:55:872</t>
  </si>
  <si>
    <t>20:29:56:072</t>
  </si>
  <si>
    <t>20:29:56:273</t>
  </si>
  <si>
    <t>20:29:56:470</t>
  </si>
  <si>
    <t>20:29:56:689</t>
  </si>
  <si>
    <t>20:29:56:872</t>
  </si>
  <si>
    <t>20:29:57:073</t>
  </si>
  <si>
    <t>20:29:57:268</t>
  </si>
  <si>
    <t>20:29:57:471</t>
  </si>
  <si>
    <t>20:29:57:671</t>
  </si>
  <si>
    <t>20:29:57:893</t>
  </si>
  <si>
    <t>20:29:58:072</t>
  </si>
  <si>
    <t>20:29:58:270</t>
  </si>
  <si>
    <t>20:29:58:467</t>
  </si>
  <si>
    <t>20:29:58:680</t>
  </si>
  <si>
    <t>20:29:58:871</t>
  </si>
  <si>
    <t>20:29:59:091</t>
  </si>
  <si>
    <t>20:29:59:269</t>
  </si>
  <si>
    <t>20:29:59:475</t>
  </si>
  <si>
    <t>20:29:59:670</t>
  </si>
  <si>
    <t>20:29:59:867</t>
  </si>
  <si>
    <t>20:30:00:067</t>
  </si>
  <si>
    <t>20:30:00:296</t>
  </si>
  <si>
    <t>20:30:00:472</t>
  </si>
  <si>
    <t>20:30:00:666</t>
  </si>
  <si>
    <t>20:30:00:870</t>
  </si>
  <si>
    <t>20:30:01:072</t>
  </si>
  <si>
    <t>20:30:01:272</t>
  </si>
  <si>
    <t>20:30:01:471</t>
  </si>
  <si>
    <t>20:30:01:670</t>
  </si>
  <si>
    <t>20:30:01:868</t>
  </si>
  <si>
    <t>20:30:02:070</t>
  </si>
  <si>
    <t>20:30:02:272</t>
  </si>
  <si>
    <t>20:30:02:469</t>
  </si>
  <si>
    <t>20:30:02:674</t>
  </si>
  <si>
    <t>20:30:02:876</t>
  </si>
  <si>
    <t>20:30:03:068</t>
  </si>
  <si>
    <t>20:30:03:266</t>
  </si>
  <si>
    <t>20:30:03:473</t>
  </si>
  <si>
    <t>20:30:03:675</t>
  </si>
  <si>
    <t>20:30:03:893</t>
  </si>
  <si>
    <t>20:30:04:072</t>
  </si>
  <si>
    <t>20:30:04:280</t>
  </si>
  <si>
    <t>20:30:04:470</t>
  </si>
  <si>
    <t>20:30:04:673</t>
  </si>
  <si>
    <t>20:30:04:871</t>
  </si>
  <si>
    <t>20:30:05:092</t>
  </si>
  <si>
    <t>20:30:05:272</t>
  </si>
  <si>
    <t>20:30:05:474</t>
  </si>
  <si>
    <t>20:30:05:673</t>
  </si>
  <si>
    <t>20:30:05:872</t>
  </si>
  <si>
    <t>20:30:06:074</t>
  </si>
  <si>
    <t>20:30:06:272</t>
  </si>
  <si>
    <t>20:30:06:470</t>
  </si>
  <si>
    <t>20:30:07:087</t>
  </si>
  <si>
    <t>20:30:07:137</t>
  </si>
  <si>
    <t>20:30:07:185</t>
  </si>
  <si>
    <t>20:30:07:310</t>
  </si>
  <si>
    <t>20:30:07:471</t>
  </si>
  <si>
    <t>20:30:07:669</t>
  </si>
  <si>
    <t>20:30:07:872</t>
  </si>
  <si>
    <t>20:30:08:074</t>
  </si>
  <si>
    <t>20:30:08:271</t>
  </si>
  <si>
    <t>20:30:08:472</t>
  </si>
  <si>
    <t>20:30:08:692</t>
  </si>
  <si>
    <t>20:30:08:870</t>
  </si>
  <si>
    <t>20:30:09:073</t>
  </si>
  <si>
    <t>20:30:09:292</t>
  </si>
  <si>
    <t>20:30:09:472</t>
  </si>
  <si>
    <t>20:30:09:671</t>
  </si>
  <si>
    <t>20:30:09:871</t>
  </si>
  <si>
    <t>20:30:10:073</t>
  </si>
  <si>
    <t>20:30:10:272</t>
  </si>
  <si>
    <t>20:30:10:468</t>
  </si>
  <si>
    <t>20:30:10:670</t>
  </si>
  <si>
    <t>20:30:10:872</t>
  </si>
  <si>
    <t>20:30:11:070</t>
  </si>
  <si>
    <t>20:30:11:278</t>
  </si>
  <si>
    <t>20:30:11:468</t>
  </si>
  <si>
    <t>20:30:11:685</t>
  </si>
  <si>
    <t>20:30:11:875</t>
  </si>
  <si>
    <t>20:30:12:072</t>
  </si>
  <si>
    <t>20:30:12:277</t>
  </si>
  <si>
    <t>20:30:12:481</t>
  </si>
  <si>
    <t>20:30:12:667</t>
  </si>
  <si>
    <t>20:30:12:891</t>
  </si>
  <si>
    <t>20:30:13:072</t>
  </si>
  <si>
    <t>20:30:13:272</t>
  </si>
  <si>
    <t>20:30:13:470</t>
  </si>
  <si>
    <t>20:30:13:671</t>
  </si>
  <si>
    <t>20:30:13:872</t>
  </si>
  <si>
    <t>20:30:14:071</t>
  </si>
  <si>
    <t>20:30:14:271</t>
  </si>
  <si>
    <t>20:30:14:477</t>
  </si>
  <si>
    <t>20:30:14:675</t>
  </si>
  <si>
    <t>20:30:14:874</t>
  </si>
  <si>
    <t>20:30:15:069</t>
  </si>
  <si>
    <t>20:30:15:271</t>
  </si>
  <si>
    <t>20:30:15:474</t>
  </si>
  <si>
    <t>20:30:15:670</t>
  </si>
  <si>
    <t>20:30:15:869</t>
  </si>
  <si>
    <t>20:30:16:071</t>
  </si>
  <si>
    <t>20:30:16:270</t>
  </si>
  <si>
    <t>20:30:16:493</t>
  </si>
  <si>
    <t>20:30:16:681</t>
  </si>
  <si>
    <t>20:30:16:872</t>
  </si>
  <si>
    <t>20:30:17:071</t>
  </si>
  <si>
    <t>20:30:17:270</t>
  </si>
  <si>
    <t>20:30:17:471</t>
  </si>
  <si>
    <t>20:30:17:672</t>
  </si>
  <si>
    <t>20:30:17:867</t>
  </si>
  <si>
    <t>20:30:18:070</t>
  </si>
  <si>
    <t>20:30:18:294</t>
  </si>
  <si>
    <t>20:30:18:474</t>
  </si>
  <si>
    <t>20:30:18:672</t>
  </si>
  <si>
    <t>20:30:18:873</t>
  </si>
  <si>
    <t>20:30:19:071</t>
  </si>
  <si>
    <t>20:30:19:274</t>
  </si>
  <si>
    <t>20:30:19:477</t>
  </si>
  <si>
    <t>20:30:19:674</t>
  </si>
  <si>
    <t>20:30:19:874</t>
  </si>
  <si>
    <t>20:30:20:072</t>
  </si>
  <si>
    <t>20:30:20:273</t>
  </si>
  <si>
    <t>20:30:20:478</t>
  </si>
  <si>
    <t>20:30:20:674</t>
  </si>
  <si>
    <t>20:30:20:872</t>
  </si>
  <si>
    <t>20:30:21:088</t>
  </si>
  <si>
    <t>20:30:21:295</t>
  </si>
  <si>
    <t>20:30:21:472</t>
  </si>
  <si>
    <t>20:30:21:673</t>
  </si>
  <si>
    <t>20:30:21:870</t>
  </si>
  <si>
    <t>20:30:22:070</t>
  </si>
  <si>
    <t>20:30:22:272</t>
  </si>
  <si>
    <t>20:30:22:472</t>
  </si>
  <si>
    <t>20:30:22:673</t>
  </si>
  <si>
    <t>20:30:22:871</t>
  </si>
  <si>
    <t>20:30:23:069</t>
  </si>
  <si>
    <t>20:30:23:273</t>
  </si>
  <si>
    <t>20:30:23:475</t>
  </si>
  <si>
    <t>20:30:23:670</t>
  </si>
  <si>
    <t>20:30:23:874</t>
  </si>
  <si>
    <t>20:30:24:071</t>
  </si>
  <si>
    <t>20:30:24:268</t>
  </si>
  <si>
    <t>20:30:24:470</t>
  </si>
  <si>
    <t>20:30:24:674</t>
  </si>
  <si>
    <t>20:30:24:872</t>
  </si>
  <si>
    <t>20:30:25:068</t>
  </si>
  <si>
    <t>20:30:25:273</t>
  </si>
  <si>
    <t>20:30:25:474</t>
  </si>
  <si>
    <t>20:30:25:671</t>
  </si>
  <si>
    <t>20:30:25:870</t>
  </si>
  <si>
    <t>20:30:26:068</t>
  </si>
  <si>
    <t>20:30:26:272</t>
  </si>
  <si>
    <t>20:30:26:468</t>
  </si>
  <si>
    <t>20:30:26:673</t>
  </si>
  <si>
    <t>20:30:26:872</t>
  </si>
  <si>
    <t>20:30:27:070</t>
  </si>
  <si>
    <t>20:30:27:293</t>
  </si>
  <si>
    <t>20:30:27:473</t>
  </si>
  <si>
    <t>20:30:27:668</t>
  </si>
  <si>
    <t>20:30:27:871</t>
  </si>
  <si>
    <t>20:30:28:069</t>
  </si>
  <si>
    <t>20:30:28:274</t>
  </si>
  <si>
    <t>20:30:28:493</t>
  </si>
  <si>
    <t>20:30:28:670</t>
  </si>
  <si>
    <t>20:30:28:869</t>
  </si>
  <si>
    <t>20:30:29:072</t>
  </si>
  <si>
    <t>20:30:29:275</t>
  </si>
  <si>
    <t>20:30:29:472</t>
  </si>
  <si>
    <t>20:30:29:692</t>
  </si>
  <si>
    <t>20:30:29:883</t>
  </si>
  <si>
    <t>20:30:30:071</t>
  </si>
  <si>
    <t>20:30:30:273</t>
  </si>
  <si>
    <t>20:30:30:473</t>
  </si>
  <si>
    <t>20:30:30:673</t>
  </si>
  <si>
    <t>20:30:30:871</t>
  </si>
  <si>
    <t>20:30:31:069</t>
  </si>
  <si>
    <t>20:30:31:270</t>
  </si>
  <si>
    <t>20:30:31:493</t>
  </si>
  <si>
    <t>20:30:31:668</t>
  </si>
  <si>
    <t>20:30:31:874</t>
  </si>
  <si>
    <t>20:30:32:068</t>
  </si>
  <si>
    <t>20:30:32:273</t>
  </si>
  <si>
    <t>20:30:32:471</t>
  </si>
  <si>
    <t>20:30:32:691</t>
  </si>
  <si>
    <t>20:30:32:884</t>
  </si>
  <si>
    <t>20:30:33:071</t>
  </si>
  <si>
    <t>20:30:33:293</t>
  </si>
  <si>
    <t>20:30:33:484</t>
  </si>
  <si>
    <t>20:30:33:668</t>
  </si>
  <si>
    <t>20:30:33:871</t>
  </si>
  <si>
    <t>20:30:34:073</t>
  </si>
  <si>
    <t>20:30:34:272</t>
  </si>
  <si>
    <t>20:30:34:489</t>
  </si>
  <si>
    <t>20:30:34:671</t>
  </si>
  <si>
    <t>20:30:34:871</t>
  </si>
  <si>
    <t>20:30:35:069</t>
  </si>
  <si>
    <t>20:30:35:272</t>
  </si>
  <si>
    <t>20:30:35:474</t>
  </si>
  <si>
    <t>20:30:35:670</t>
  </si>
  <si>
    <t>20:30:35:874</t>
  </si>
  <si>
    <t>20:30:36:073</t>
  </si>
  <si>
    <t>20:30:36:271</t>
  </si>
  <si>
    <t>20:30:36:475</t>
  </si>
  <si>
    <t>20:30:36:672</t>
  </si>
  <si>
    <t>20:30:36:869</t>
  </si>
  <si>
    <t>20:30:37:076</t>
  </si>
  <si>
    <t>20:30:37:271</t>
  </si>
  <si>
    <t>20:30:37:491</t>
  </si>
  <si>
    <t>20:30:37:672</t>
  </si>
  <si>
    <t>20:30:37:877</t>
  </si>
  <si>
    <t>20:30:38:090</t>
  </si>
  <si>
    <t>20:30:38:271</t>
  </si>
  <si>
    <t>20:30:38:471</t>
  </si>
  <si>
    <t>20:30:38:672</t>
  </si>
  <si>
    <t>20:30:38:869</t>
  </si>
  <si>
    <t>20:30:39:071</t>
  </si>
  <si>
    <t>20:30:39:305</t>
  </si>
  <si>
    <t>20:30:39:473</t>
  </si>
  <si>
    <t>20:30:39:673</t>
  </si>
  <si>
    <t>20:30:39:871</t>
  </si>
  <si>
    <t>20:30:40:071</t>
  </si>
  <si>
    <t>20:30:40:270</t>
  </si>
  <si>
    <t>20:30:40:473</t>
  </si>
  <si>
    <t>20:30:40:673</t>
  </si>
  <si>
    <t>20:30:40:870</t>
  </si>
  <si>
    <t>20:30:41:093</t>
  </si>
  <si>
    <t>20:30:41:272</t>
  </si>
  <si>
    <t>20:30:41:472</t>
  </si>
  <si>
    <t>20:30:41:686</t>
  </si>
  <si>
    <t>20:30:41:873</t>
  </si>
  <si>
    <t>20:30:42:076</t>
  </si>
  <si>
    <t>20:30:42:290</t>
  </si>
  <si>
    <t>20:30:42:474</t>
  </si>
  <si>
    <t>20:30:42:671</t>
  </si>
  <si>
    <t>20:30:42:872</t>
  </si>
  <si>
    <t>20:30:43:072</t>
  </si>
  <si>
    <t>20:30:43:272</t>
  </si>
  <si>
    <t>20:30:43:473</t>
  </si>
  <si>
    <t>20:30:43:950</t>
  </si>
  <si>
    <t>20:30:44:002</t>
  </si>
  <si>
    <t>20:30:44:090</t>
  </si>
  <si>
    <t>20:30:44:272</t>
  </si>
  <si>
    <t>20:30:44:472</t>
  </si>
  <si>
    <t>20:30:44:669</t>
  </si>
  <si>
    <t>20:30:44:869</t>
  </si>
  <si>
    <t>20:30:45:074</t>
  </si>
  <si>
    <t>20:30:45:291</t>
  </si>
  <si>
    <t>20:30:45:472</t>
  </si>
  <si>
    <t>20:30:45:672</t>
  </si>
  <si>
    <t>20:30:45:872</t>
  </si>
  <si>
    <t>20:30:46:070</t>
  </si>
  <si>
    <t>20:30:46:270</t>
  </si>
  <si>
    <t>20:30:46:472</t>
  </si>
  <si>
    <t>20:30:46:671</t>
  </si>
  <si>
    <t>20:30:46:869</t>
  </si>
  <si>
    <t>20:30:47:070</t>
  </si>
  <si>
    <t>20:30:47:276</t>
  </si>
  <si>
    <t>20:30:47:471</t>
  </si>
  <si>
    <t>20:30:47:670</t>
  </si>
  <si>
    <t>20:30:47:871</t>
  </si>
  <si>
    <t>20:30:48:072</t>
  </si>
  <si>
    <t>20:30:48:269</t>
  </si>
  <si>
    <t>20:30:48:474</t>
  </si>
  <si>
    <t>20:30:48:673</t>
  </si>
  <si>
    <t>20:30:48:868</t>
  </si>
  <si>
    <t>20:30:49:071</t>
  </si>
  <si>
    <t>20:30:49:806</t>
  </si>
  <si>
    <t>20:30:49:919</t>
  </si>
  <si>
    <t>20:30:49:973</t>
  </si>
  <si>
    <t>20:30:50:030</t>
  </si>
  <si>
    <t>20:30:50:081</t>
  </si>
  <si>
    <t>20:30:50:269</t>
  </si>
  <si>
    <t>20:30:50:469</t>
  </si>
  <si>
    <t>20:30:50:669</t>
  </si>
  <si>
    <t>20:30:50:871</t>
  </si>
  <si>
    <t>20:30:51:075</t>
  </si>
  <si>
    <t>20:30:51:273</t>
  </si>
  <si>
    <t>20:30:51:471</t>
  </si>
  <si>
    <t>20:30:51:682</t>
  </si>
  <si>
    <t>20:30:51:872</t>
  </si>
  <si>
    <t>20:30:52:084</t>
  </si>
  <si>
    <t>20:30:52:273</t>
  </si>
  <si>
    <t>20:30:52:493</t>
  </si>
  <si>
    <t>20:30:52:674</t>
  </si>
  <si>
    <t>20:30:52:869</t>
  </si>
  <si>
    <t>20:30:53:094</t>
  </si>
  <si>
    <t>20:30:53:272</t>
  </si>
  <si>
    <t>20:30:53:478</t>
  </si>
  <si>
    <t>20:30:53:675</t>
  </si>
  <si>
    <t>20:30:53:877</t>
  </si>
  <si>
    <t>20:30:54:070</t>
  </si>
  <si>
    <t>20:30:54:354</t>
  </si>
  <si>
    <t>20:30:54:575</t>
  </si>
  <si>
    <t>20:30:54:824</t>
  </si>
  <si>
    <t>20:30:55:270</t>
  </si>
  <si>
    <t>20:30:55:473</t>
  </si>
  <si>
    <t>20:30:55:675</t>
  </si>
  <si>
    <t>20:30:55:868</t>
  </si>
  <si>
    <t>20:30:56:072</t>
  </si>
  <si>
    <t>20:30:56:274</t>
  </si>
  <si>
    <t>20:30:56:472</t>
  </si>
  <si>
    <t>20:30:56:672</t>
  </si>
  <si>
    <t>20:30:56:871</t>
  </si>
  <si>
    <t>20:30:57:072</t>
  </si>
  <si>
    <t>20:30:57:272</t>
  </si>
  <si>
    <t>20:30:57:476</t>
  </si>
  <si>
    <t>20:30:57:673</t>
  </si>
  <si>
    <t>20:30:57:874</t>
  </si>
  <si>
    <t>20:30:58:073</t>
  </si>
  <si>
    <t>20:30:58:277</t>
  </si>
  <si>
    <t>20:30:58:507</t>
  </si>
  <si>
    <t>20:30:58:670</t>
  </si>
  <si>
    <t>20:30:58:871</t>
  </si>
  <si>
    <t>20:30:59:094</t>
  </si>
  <si>
    <t>20:30:59:273</t>
  </si>
  <si>
    <t>20:30:59:471</t>
  </si>
  <si>
    <t>20:30:59:693</t>
  </si>
  <si>
    <t>20:30:59:874</t>
  </si>
  <si>
    <t>20:31:00:072</t>
  </si>
  <si>
    <t>20:31:00:274</t>
  </si>
  <si>
    <t>20:31:00:477</t>
  </si>
  <si>
    <t>20:31:00:672</t>
  </si>
  <si>
    <t>20:31:00:891</t>
  </si>
  <si>
    <t>20:31:01:075</t>
  </si>
  <si>
    <t>20:31:01:272</t>
  </si>
  <si>
    <t>20:31:01:494</t>
  </si>
  <si>
    <t>20:31:01:674</t>
  </si>
  <si>
    <t>20:31:01:869</t>
  </si>
  <si>
    <t>20:31:02:091</t>
  </si>
  <si>
    <t>20:31:02:274</t>
  </si>
  <si>
    <t>20:31:02:479</t>
  </si>
  <si>
    <t>20:31:02:690</t>
  </si>
  <si>
    <t>20:31:02:874</t>
  </si>
  <si>
    <t>20:31:03:075</t>
  </si>
  <si>
    <t>20:31:03:295</t>
  </si>
  <si>
    <t>20:31:03:473</t>
  </si>
  <si>
    <t>20:31:03:675</t>
  </si>
  <si>
    <t>20:31:03:872</t>
  </si>
  <si>
    <t>20:31:04:073</t>
  </si>
  <si>
    <t>20:31:04:274</t>
  </si>
  <si>
    <t>20:31:04:474</t>
  </si>
  <si>
    <t>20:31:04:674</t>
  </si>
  <si>
    <t>20:31:04:923</t>
  </si>
  <si>
    <t>20:31:05:094</t>
  </si>
  <si>
    <t>20:31:05:274</t>
  </si>
  <si>
    <t>20:31:05:473</t>
  </si>
  <si>
    <t>20:31:05:673</t>
  </si>
  <si>
    <t>20:31:05:877</t>
  </si>
  <si>
    <t>20:31:06:072</t>
  </si>
  <si>
    <t>20:31:06:274</t>
  </si>
  <si>
    <t>20:31:06:470</t>
  </si>
  <si>
    <t>20:31:06:677</t>
  </si>
  <si>
    <t>20:31:06:875</t>
  </si>
  <si>
    <t>20:31:07:075</t>
  </si>
  <si>
    <t>20:31:07:270</t>
  </si>
  <si>
    <t>20:31:07:474</t>
  </si>
  <si>
    <t>20:31:07:676</t>
  </si>
  <si>
    <t>20:31:07:872</t>
  </si>
  <si>
    <t>20:31:08:072</t>
  </si>
  <si>
    <t>20:31:08:272</t>
  </si>
  <si>
    <t>20:31:08:470</t>
  </si>
  <si>
    <t>20:31:08:694</t>
  </si>
  <si>
    <t>20:31:08:871</t>
  </si>
  <si>
    <t>20:31:09:073</t>
  </si>
  <si>
    <t>20:31:09:282</t>
  </si>
  <si>
    <t>20:31:09:475</t>
  </si>
  <si>
    <t>20:31:09:672</t>
  </si>
  <si>
    <t>20:31:09:873</t>
  </si>
  <si>
    <t>20:31:10:069</t>
  </si>
  <si>
    <t>20:31:10:281</t>
  </si>
  <si>
    <t>20:31:10:474</t>
  </si>
  <si>
    <t>20:31:10:673</t>
  </si>
  <si>
    <t>20:31:10:874</t>
  </si>
  <si>
    <t>20:31:11:074</t>
  </si>
  <si>
    <t>20:31:11:283</t>
  </si>
  <si>
    <t>20:31:11:473</t>
  </si>
  <si>
    <t>20:31:11:675</t>
  </si>
  <si>
    <t>20:31:11:874</t>
  </si>
  <si>
    <t>20:31:12:073</t>
  </si>
  <si>
    <t>20:31:12:269</t>
  </si>
  <si>
    <t>20:31:12:480</t>
  </si>
  <si>
    <t>20:31:12:674</t>
  </si>
  <si>
    <t>20:31:12:872</t>
  </si>
  <si>
    <t>20:31:13:075</t>
  </si>
  <si>
    <t>20:31:13:277</t>
  </si>
  <si>
    <t>20:31:13:469</t>
  </si>
  <si>
    <t>20:31:13:674</t>
  </si>
  <si>
    <t>20:31:13:875</t>
  </si>
  <si>
    <t>20:31:14:074</t>
  </si>
  <si>
    <t>20:31:14:275</t>
  </si>
  <si>
    <t>20:31:14:472</t>
  </si>
  <si>
    <t>20:31:14:669</t>
  </si>
  <si>
    <t>20:31:14:872</t>
  </si>
  <si>
    <t>20:31:15:076</t>
  </si>
  <si>
    <t>20:31:15:276</t>
  </si>
  <si>
    <t>20:31:15:472</t>
  </si>
  <si>
    <t>20:31:15:674</t>
  </si>
  <si>
    <t>20:31:15:870</t>
  </si>
  <si>
    <t>20:31:16:074</t>
  </si>
  <si>
    <t>20:31:16:269</t>
  </si>
  <si>
    <t>20:31:16:473</t>
  </si>
  <si>
    <t>20:31:16:673</t>
  </si>
  <si>
    <t>20:31:16:873</t>
  </si>
  <si>
    <t>20:31:17:073</t>
  </si>
  <si>
    <t>20:31:17:274</t>
  </si>
  <si>
    <t>20:31:17:474</t>
  </si>
  <si>
    <t>20:31:17:705</t>
  </si>
  <si>
    <t>20:31:17:872</t>
  </si>
  <si>
    <t>20:31:18:070</t>
  </si>
  <si>
    <t>20:31:18:276</t>
  </si>
  <si>
    <t>20:31:18:475</t>
  </si>
  <si>
    <t>20:31:18:672</t>
  </si>
  <si>
    <t>20:31:18:872</t>
  </si>
  <si>
    <t>20:31:19:074</t>
  </si>
  <si>
    <t>20:31:19:271</t>
  </si>
  <si>
    <t>20:31:19:478</t>
  </si>
  <si>
    <t>20:31:19:674</t>
  </si>
  <si>
    <t>20:31:19:870</t>
  </si>
  <si>
    <t>20:31:20:097</t>
  </si>
  <si>
    <t>20:31:20:276</t>
  </si>
  <si>
    <t>20:31:20:477</t>
  </si>
  <si>
    <t>20:31:20:672</t>
  </si>
  <si>
    <t>20:31:20:874</t>
  </si>
  <si>
    <t>20:31:21:078</t>
  </si>
  <si>
    <t>20:31:21:275</t>
  </si>
  <si>
    <t>20:31:21:473</t>
  </si>
  <si>
    <t>20:31:21:675</t>
  </si>
  <si>
    <t>20:31:21:873</t>
  </si>
  <si>
    <t>20:31:22:069</t>
  </si>
  <si>
    <t>20:31:22:282</t>
  </si>
  <si>
    <t>20:31:22:498</t>
  </si>
  <si>
    <t>20:31:22:675</t>
  </si>
  <si>
    <t>20:31:22:873</t>
  </si>
  <si>
    <t>20:31:23:092</t>
  </si>
  <si>
    <t>20:31:23:344</t>
  </si>
  <si>
    <t>20:31:23:471</t>
  </si>
  <si>
    <t>20:31:23:671</t>
  </si>
  <si>
    <t>20:31:23:883</t>
  </si>
  <si>
    <t>20:31:24:114</t>
  </si>
  <si>
    <t>20:31:24:270</t>
  </si>
  <si>
    <t>20:31:24:471</t>
  </si>
  <si>
    <t>20:31:24:675</t>
  </si>
  <si>
    <t>20:31:24:898</t>
  </si>
  <si>
    <t>20:31:25:077</t>
  </si>
  <si>
    <t>20:31:25:274</t>
  </si>
  <si>
    <t>20:31:25:496</t>
  </si>
  <si>
    <t>20:31:25:675</t>
  </si>
  <si>
    <t>20:31:25:869</t>
  </si>
  <si>
    <t>20:31:26:094</t>
  </si>
  <si>
    <t>20:31:26:275</t>
  </si>
  <si>
    <t>20:31:26:470</t>
  </si>
  <si>
    <t>20:31:26:673</t>
  </si>
  <si>
    <t>20:31:26:872</t>
  </si>
  <si>
    <t>20:31:27:073</t>
  </si>
  <si>
    <t>20:31:27:295</t>
  </si>
  <si>
    <t>20:31:27:480</t>
  </si>
  <si>
    <t>20:31:27:671</t>
  </si>
  <si>
    <t>20:31:27:872</t>
  </si>
  <si>
    <t>20:31:28:072</t>
  </si>
  <si>
    <t>20:31:28:282</t>
  </si>
  <si>
    <t>20:31:28:472</t>
  </si>
  <si>
    <t>20:31:28:674</t>
  </si>
  <si>
    <t>20:31:28:874</t>
  </si>
  <si>
    <t>20:31:29:079</t>
  </si>
  <si>
    <t>20:31:29:274</t>
  </si>
  <si>
    <t>20:31:29:470</t>
  </si>
  <si>
    <t>20:31:29:773</t>
  </si>
  <si>
    <t>20:31:29:976</t>
  </si>
  <si>
    <t>20:31:30:133</t>
  </si>
  <si>
    <t>20:31:30:289</t>
  </si>
  <si>
    <t>20:31:30:570</t>
  </si>
  <si>
    <t>20:31:30:736</t>
  </si>
  <si>
    <t>20:31:30:870</t>
  </si>
  <si>
    <t>20:31:31:074</t>
  </si>
  <si>
    <t>20:31:31:273</t>
  </si>
  <si>
    <t>20:31:31:475</t>
  </si>
  <si>
    <t>20:31:31:673</t>
  </si>
  <si>
    <t>20:31:31:876</t>
  </si>
  <si>
    <t>20:31:32:076</t>
  </si>
  <si>
    <t>20:31:32:283</t>
  </si>
  <si>
    <t>20:31:32:470</t>
  </si>
  <si>
    <t>20:31:32:674</t>
  </si>
  <si>
    <t>20:31:32:869</t>
  </si>
  <si>
    <t>20:31:33:073</t>
  </si>
  <si>
    <t>20:31:33:276</t>
  </si>
  <si>
    <t>20:31:33:501</t>
  </si>
  <si>
    <t>20:31:33:676</t>
  </si>
  <si>
    <t>20:31:33:873</t>
  </si>
  <si>
    <t>20:31:34:074</t>
  </si>
  <si>
    <t>20:31:34:282</t>
  </si>
  <si>
    <t>20:31:34:474</t>
  </si>
  <si>
    <t>20:31:34:673</t>
  </si>
  <si>
    <t>20:31:34:875</t>
  </si>
  <si>
    <t>20:31:35:078</t>
  </si>
  <si>
    <t>20:31:35:277</t>
  </si>
  <si>
    <t>20:31:35:473</t>
  </si>
  <si>
    <t>20:31:35:676</t>
  </si>
  <si>
    <t>20:31:35:872</t>
  </si>
  <si>
    <t>20:31:36:073</t>
  </si>
  <si>
    <t>20:31:36:271</t>
  </si>
  <si>
    <t>20:31:36:470</t>
  </si>
  <si>
    <t>20:31:36:676</t>
  </si>
  <si>
    <t>20:31:36:905</t>
  </si>
  <si>
    <t>20:31:37:070</t>
  </si>
  <si>
    <t>20:31:37:275</t>
  </si>
  <si>
    <t>20:31:37:481</t>
  </si>
  <si>
    <t>20:31:37:676</t>
  </si>
  <si>
    <t>20:31:37:875</t>
  </si>
  <si>
    <t>20:31:38:095</t>
  </si>
  <si>
    <t>20:31:38:277</t>
  </si>
  <si>
    <t>20:31:38:476</t>
  </si>
  <si>
    <t>20:31:38:671</t>
  </si>
  <si>
    <t>20:31:38:875</t>
  </si>
  <si>
    <t>20:31:39:078</t>
  </si>
  <si>
    <t>20:31:39:273</t>
  </si>
  <si>
    <t>20:31:39:475</t>
  </si>
  <si>
    <t>20:31:39:676</t>
  </si>
  <si>
    <t>20:31:39:875</t>
  </si>
  <si>
    <t>20:31:40:072</t>
  </si>
  <si>
    <t>20:31:40:277</t>
  </si>
  <si>
    <t>20:31:40:472</t>
  </si>
  <si>
    <t>20:31:40:674</t>
  </si>
  <si>
    <t>20:31:40:879</t>
  </si>
  <si>
    <t>20:31:41:071</t>
  </si>
  <si>
    <t>20:31:41:307</t>
  </si>
  <si>
    <t>20:31:41:474</t>
  </si>
  <si>
    <t>20:31:41:680</t>
  </si>
  <si>
    <t>20:31:41:874</t>
  </si>
  <si>
    <t>20:31:42:074</t>
  </si>
  <si>
    <t>20:31:42:274</t>
  </si>
  <si>
    <t>20:31:42:474</t>
  </si>
  <si>
    <t>20:31:42:674</t>
  </si>
  <si>
    <t>20:31:42:875</t>
  </si>
  <si>
    <t>20:31:43:074</t>
  </si>
  <si>
    <t>20:31:43:315</t>
  </si>
  <si>
    <t>20:31:43:475</t>
  </si>
  <si>
    <t>20:31:43:675</t>
  </si>
  <si>
    <t>20:31:43:875</t>
  </si>
  <si>
    <t>20:31:44:075</t>
  </si>
  <si>
    <t>20:31:44:275</t>
  </si>
  <si>
    <t>20:31:44:471</t>
  </si>
  <si>
    <t>20:31:44:676</t>
  </si>
  <si>
    <t>20:31:44:875</t>
  </si>
  <si>
    <t>20:31:45:073</t>
  </si>
  <si>
    <t>20:31:45:276</t>
  </si>
  <si>
    <t>20:31:45:477</t>
  </si>
  <si>
    <t>20:31:45:670</t>
  </si>
  <si>
    <t>20:31:45:876</t>
  </si>
  <si>
    <t>20:31:46:074</t>
  </si>
  <si>
    <t>20:31:46:274</t>
  </si>
  <si>
    <t>20:31:46:474</t>
  </si>
  <si>
    <t>20:31:46:675</t>
  </si>
  <si>
    <t>20:31:46:874</t>
  </si>
  <si>
    <t>20:31:47:095</t>
  </si>
  <si>
    <t>20:31:47:272</t>
  </si>
  <si>
    <t>20:31:47:476</t>
  </si>
  <si>
    <t>20:31:47:674</t>
  </si>
  <si>
    <t>20:31:47:871</t>
  </si>
  <si>
    <t>20:31:48:076</t>
  </si>
  <si>
    <t>20:31:48:276</t>
  </si>
  <si>
    <t>20:31:48:474</t>
  </si>
  <si>
    <t>20:31:48:674</t>
  </si>
  <si>
    <t>20:31:48:875</t>
  </si>
  <si>
    <t>20:31:49:071</t>
  </si>
  <si>
    <t>20:31:49:276</t>
  </si>
  <si>
    <t>20:31:49:478</t>
  </si>
  <si>
    <t>20:31:49:684</t>
  </si>
  <si>
    <t>20:31:49:874</t>
  </si>
  <si>
    <t>20:31:50:073</t>
  </si>
  <si>
    <t>20:31:50:275</t>
  </si>
  <si>
    <t>20:31:50:476</t>
  </si>
  <si>
    <t>20:31:50:675</t>
  </si>
  <si>
    <t>20:31:50:875</t>
  </si>
  <si>
    <t>20:31:51:072</t>
  </si>
  <si>
    <t>20:31:51:273</t>
  </si>
  <si>
    <t>20:31:51:476</t>
  </si>
  <si>
    <t>20:31:51:673</t>
  </si>
  <si>
    <t>20:31:51:879</t>
  </si>
  <si>
    <t>20:31:52:075</t>
  </si>
  <si>
    <t>20:31:52:275</t>
  </si>
  <si>
    <t>20:31:52:472</t>
  </si>
  <si>
    <t>20:31:52:673</t>
  </si>
  <si>
    <t>20:31:52:880</t>
  </si>
  <si>
    <t>20:31:53:095</t>
  </si>
  <si>
    <t>20:31:53:278</t>
  </si>
  <si>
    <t>20:31:53:479</t>
  </si>
  <si>
    <t>20:31:53:692</t>
  </si>
  <si>
    <t>20:31:53:876</t>
  </si>
  <si>
    <t>20:31:54:075</t>
  </si>
  <si>
    <t>20:31:54:355</t>
  </si>
  <si>
    <t>20:31:54:540</t>
  </si>
  <si>
    <t>20:31:54:712</t>
  </si>
  <si>
    <t>20:31:55:466</t>
  </si>
  <si>
    <t>20:31:55:533</t>
  </si>
  <si>
    <t>20:31:55:678</t>
  </si>
  <si>
    <t>20:31:55:874</t>
  </si>
  <si>
    <t>20:31:56:107</t>
  </si>
  <si>
    <t>20:31:56:276</t>
  </si>
  <si>
    <t>20:31:56:474</t>
  </si>
  <si>
    <t>20:31:56:677</t>
  </si>
  <si>
    <t>20:31:56:874</t>
  </si>
  <si>
    <t>20:31:57:073</t>
  </si>
  <si>
    <t>20:31:57:296</t>
  </si>
  <si>
    <t>20:31:57:476</t>
  </si>
  <si>
    <t>20:31:57:672</t>
  </si>
  <si>
    <t>20:31:57:876</t>
  </si>
  <si>
    <t>20:31:58:078</t>
  </si>
  <si>
    <t>20:31:58:271</t>
  </si>
  <si>
    <t>20:31:58:495</t>
  </si>
  <si>
    <t>20:31:58:676</t>
  </si>
  <si>
    <t>20:31:58:877</t>
  </si>
  <si>
    <t>20:31:59:216</t>
  </si>
  <si>
    <t>20:31:59:284</t>
  </si>
  <si>
    <t>20:31:59:476</t>
  </si>
  <si>
    <t>20:31:59:698</t>
  </si>
  <si>
    <t>20:31:59:902</t>
  </si>
  <si>
    <t>20:32:00:077</t>
  </si>
  <si>
    <t>20:32:00:295</t>
  </si>
  <si>
    <t>20:32:00:481</t>
  </si>
  <si>
    <t>20:32:00:678</t>
  </si>
  <si>
    <t>20:32:00:878</t>
  </si>
  <si>
    <t>20:32:01:079</t>
  </si>
  <si>
    <t>20:32:01:280</t>
  </si>
  <si>
    <t>20:32:01:495</t>
  </si>
  <si>
    <t>20:32:01:678</t>
  </si>
  <si>
    <t>20:32:01:878</t>
  </si>
  <si>
    <t>20:32:02:073</t>
  </si>
  <si>
    <t>20:32:02:285</t>
  </si>
  <si>
    <t>20:32:02:517</t>
  </si>
  <si>
    <t>20:32:02:679</t>
  </si>
  <si>
    <t>20:32:02:890</t>
  </si>
  <si>
    <t>20:32:03:078</t>
  </si>
  <si>
    <t>20:32:03:273</t>
  </si>
  <si>
    <t>20:32:03:478</t>
  </si>
  <si>
    <t>20:32:03:680</t>
  </si>
  <si>
    <t>20:32:03:875</t>
  </si>
  <si>
    <t>20:32:04:079</t>
  </si>
  <si>
    <t>20:32:04:280</t>
  </si>
  <si>
    <t>20:32:04:496</t>
  </si>
  <si>
    <t>20:32:04:685</t>
  </si>
  <si>
    <t>20:32:04:874</t>
  </si>
  <si>
    <t>20:32:05:076</t>
  </si>
  <si>
    <t>20:32:05:278</t>
  </si>
  <si>
    <t>20:32:05:480</t>
  </si>
  <si>
    <t>20:32:05:695</t>
  </si>
  <si>
    <t>20:32:05:878</t>
  </si>
  <si>
    <t>20:32:06:076</t>
  </si>
  <si>
    <t>20:32:06:275</t>
  </si>
  <si>
    <t>20:32:06:477</t>
  </si>
  <si>
    <t>20:32:06:676</t>
  </si>
  <si>
    <t>20:32:06:875</t>
  </si>
  <si>
    <t>20:32:07:080</t>
  </si>
  <si>
    <t>20:32:07:313</t>
  </si>
  <si>
    <t>20:32:07:493</t>
  </si>
  <si>
    <t>20:32:07:678</t>
  </si>
  <si>
    <t>20:32:07:874</t>
  </si>
  <si>
    <t>20:32:08:094</t>
  </si>
  <si>
    <t>20:32:08:277</t>
  </si>
  <si>
    <t>20:32:08:476</t>
  </si>
  <si>
    <t>20:32:08:678</t>
  </si>
  <si>
    <t>20:32:08:887</t>
  </si>
  <si>
    <t>20:32:09:077</t>
  </si>
  <si>
    <t>20:32:09:277</t>
  </si>
  <si>
    <t>20:32:09:477</t>
  </si>
  <si>
    <t>20:32:09:674</t>
  </si>
  <si>
    <t>20:32:09:874</t>
  </si>
  <si>
    <t>20:32:10:076</t>
  </si>
  <si>
    <t>20:32:10:276</t>
  </si>
  <si>
    <t>20:32:10:477</t>
  </si>
  <si>
    <t>20:32:10:695</t>
  </si>
  <si>
    <t>20:32:10:881</t>
  </si>
  <si>
    <t>20:32:11:096</t>
  </si>
  <si>
    <t>20:32:11:281</t>
  </si>
  <si>
    <t>20:32:11:477</t>
  </si>
  <si>
    <t>20:32:11:678</t>
  </si>
  <si>
    <t>20:32:11:876</t>
  </si>
  <si>
    <t>20:32:12:077</t>
  </si>
  <si>
    <t>20:32:12:297</t>
  </si>
  <si>
    <t>20:32:12:480</t>
  </si>
  <si>
    <t>20:32:12:676</t>
  </si>
  <si>
    <t>20:32:12:878</t>
  </si>
  <si>
    <t>20:32:13:081</t>
  </si>
  <si>
    <t>20:32:13:280</t>
  </si>
  <si>
    <t>20:32:13:474</t>
  </si>
  <si>
    <t>20:32:13:684</t>
  </si>
  <si>
    <t>20:32:13:879</t>
  </si>
  <si>
    <t>20:32:14:096</t>
  </si>
  <si>
    <t>20:32:14:278</t>
  </si>
  <si>
    <t>20:32:14:478</t>
  </si>
  <si>
    <t>20:32:14:680</t>
  </si>
  <si>
    <t>20:32:14:877</t>
  </si>
  <si>
    <t>20:32:15:077</t>
  </si>
  <si>
    <t>20:32:15:307</t>
  </si>
  <si>
    <t>20:32:15:492</t>
  </si>
  <si>
    <t>20:32:15:677</t>
  </si>
  <si>
    <t>20:32:15:880</t>
  </si>
  <si>
    <t>20:32:16:082</t>
  </si>
  <si>
    <t>20:32:16:280</t>
  </si>
  <si>
    <t>20:32:16:477</t>
  </si>
  <si>
    <t>20:32:16:679</t>
  </si>
  <si>
    <t>20:32:16:880</t>
  </si>
  <si>
    <t>20:32:17:078</t>
  </si>
  <si>
    <t>20:32:17:278</t>
  </si>
  <si>
    <t>20:32:17:479</t>
  </si>
  <si>
    <t>20:32:17:678</t>
  </si>
  <si>
    <t>20:32:17:878</t>
  </si>
  <si>
    <t>20:32:18:076</t>
  </si>
  <si>
    <t>20:32:18:296</t>
  </si>
  <si>
    <t>20:32:18:479</t>
  </si>
  <si>
    <t>20:32:18:678</t>
  </si>
  <si>
    <t>20:32:18:875</t>
  </si>
  <si>
    <t>20:32:19:078</t>
  </si>
  <si>
    <t>20:32:19:291</t>
  </si>
  <si>
    <t>20:32:19:476</t>
  </si>
  <si>
    <t>20:32:19:678</t>
  </si>
  <si>
    <t>20:32:19:879</t>
  </si>
  <si>
    <t>20:32:20:093</t>
  </si>
  <si>
    <t>20:32:20:280</t>
  </si>
  <si>
    <t>20:32:20:477</t>
  </si>
  <si>
    <t>20:32:20:680</t>
  </si>
  <si>
    <t>20:32:20:877</t>
  </si>
  <si>
    <t>20:32:21:086</t>
  </si>
  <si>
    <t>20:32:21:657</t>
  </si>
  <si>
    <t>20:32:21:743</t>
  </si>
  <si>
    <t>20:32:21:793</t>
  </si>
  <si>
    <t>20:32:21:899</t>
  </si>
  <si>
    <t>20:32:22:079</t>
  </si>
  <si>
    <t>20:32:22:277</t>
  </si>
  <si>
    <t>20:32:22:475</t>
  </si>
  <si>
    <t>20:32:22:680</t>
  </si>
  <si>
    <t>20:32:22:883</t>
  </si>
  <si>
    <t>20:32:23:079</t>
  </si>
  <si>
    <t>20:32:23:277</t>
  </si>
  <si>
    <t>20:32:23:477</t>
  </si>
  <si>
    <t>20:32:23:682</t>
  </si>
  <si>
    <t>20:32:23:880</t>
  </si>
  <si>
    <t>20:32:24:077</t>
  </si>
  <si>
    <t>20:32:24:279</t>
  </si>
  <si>
    <t>20:32:24:478</t>
  </si>
  <si>
    <t>20:32:24:685</t>
  </si>
  <si>
    <t>20:32:24:896</t>
  </si>
  <si>
    <t>20:32:25:080</t>
  </si>
  <si>
    <t>20:32:25:278</t>
  </si>
  <si>
    <t>20:32:25:479</t>
  </si>
  <si>
    <t>20:32:25:679</t>
  </si>
  <si>
    <t>20:32:25:895</t>
  </si>
  <si>
    <t>20:32:26:080</t>
  </si>
  <si>
    <t>20:32:26:275</t>
  </si>
  <si>
    <t>20:32:26:481</t>
  </si>
  <si>
    <t>20:32:26:681</t>
  </si>
  <si>
    <t>20:32:26:879</t>
  </si>
  <si>
    <t>20:32:27:079</t>
  </si>
  <si>
    <t>20:32:27:279</t>
  </si>
  <si>
    <t>20:32:27:478</t>
  </si>
  <si>
    <t>20:32:27:682</t>
  </si>
  <si>
    <t>20:32:27:879</t>
  </si>
  <si>
    <t>20:32:28:085</t>
  </si>
  <si>
    <t>20:32:28:279</t>
  </si>
  <si>
    <t>20:32:28:481</t>
  </si>
  <si>
    <t>20:32:28:679</t>
  </si>
  <si>
    <t>20:32:28:882</t>
  </si>
  <si>
    <t>20:32:29:077</t>
  </si>
  <si>
    <t>20:32:29:280</t>
  </si>
  <si>
    <t>20:32:29:479</t>
  </si>
  <si>
    <t>20:32:29:682</t>
  </si>
  <si>
    <t>20:32:29:880</t>
  </si>
  <si>
    <t>20:32:30:079</t>
  </si>
  <si>
    <t>20:32:30:280</t>
  </si>
  <si>
    <t>20:32:30:479</t>
  </si>
  <si>
    <t>20:32:30:679</t>
  </si>
  <si>
    <t>20:32:30:879</t>
  </si>
  <si>
    <t>20:32:31:078</t>
  </si>
  <si>
    <t>20:32:31:277</t>
  </si>
  <si>
    <t>20:32:31:477</t>
  </si>
  <si>
    <t>20:32:31:678</t>
  </si>
  <si>
    <t>20:32:31:877</t>
  </si>
  <si>
    <t>20:32:32:079</t>
  </si>
  <si>
    <t>20:32:32:286</t>
  </si>
  <si>
    <t>20:32:32:478</t>
  </si>
  <si>
    <t>20:32:32:677</t>
  </si>
  <si>
    <t>20:32:32:880</t>
  </si>
  <si>
    <t>20:32:33:077</t>
  </si>
  <si>
    <t>20:32:33:280</t>
  </si>
  <si>
    <t>20:32:33:513</t>
  </si>
  <si>
    <t>20:32:33:675</t>
  </si>
  <si>
    <t>20:32:33:898</t>
  </si>
  <si>
    <t>20:32:34:081</t>
  </si>
  <si>
    <t>20:32:34:282</t>
  </si>
  <si>
    <t>20:32:34:509</t>
  </si>
  <si>
    <t>20:32:34:680</t>
  </si>
  <si>
    <t>20:32:34:877</t>
  </si>
  <si>
    <t>20:32:35:099</t>
  </si>
  <si>
    <t>20:32:35:278</t>
  </si>
  <si>
    <t>20:32:35:477</t>
  </si>
  <si>
    <t>20:32:35:697</t>
  </si>
  <si>
    <t>20:32:35:880</t>
  </si>
  <si>
    <t>20:32:36:077</t>
  </si>
  <si>
    <t>20:32:36:277</t>
  </si>
  <si>
    <t>20:32:36:479</t>
  </si>
  <si>
    <t>20:32:36:677</t>
  </si>
  <si>
    <t>20:32:36:896</t>
  </si>
  <si>
    <t>20:32:37:080</t>
  </si>
  <si>
    <t>20:32:37:279</t>
  </si>
  <si>
    <t>20:32:37:496</t>
  </si>
  <si>
    <t>20:32:37:684</t>
  </si>
  <si>
    <t>20:32:37:881</t>
  </si>
  <si>
    <t>20:32:38:080</t>
  </si>
  <si>
    <t>20:32:38:278</t>
  </si>
  <si>
    <t>20:32:38:481</t>
  </si>
  <si>
    <t>20:32:38:680</t>
  </si>
  <si>
    <t>20:32:38:882</t>
  </si>
  <si>
    <t>20:32:39:078</t>
  </si>
  <si>
    <t>20:32:39:296</t>
  </si>
  <si>
    <t>20:32:39:481</t>
  </si>
  <si>
    <t>20:32:39:682</t>
  </si>
  <si>
    <t>20:32:39:883</t>
  </si>
  <si>
    <t>20:32:40:077</t>
  </si>
  <si>
    <t>20:32:40:280</t>
  </si>
  <si>
    <t>20:32:40:496</t>
  </si>
  <si>
    <t>20:32:40:682</t>
  </si>
  <si>
    <t>20:32:40:889</t>
  </si>
  <si>
    <t>20:32:41:083</t>
  </si>
  <si>
    <t>20:32:41:278</t>
  </si>
  <si>
    <t>20:32:41:483</t>
  </si>
  <si>
    <t>20:32:41:681</t>
  </si>
  <si>
    <t>20:32:41:881</t>
  </si>
  <si>
    <t>20:32:42:076</t>
  </si>
  <si>
    <t>20:32:42:297</t>
  </si>
  <si>
    <t>20:32:42:481</t>
  </si>
  <si>
    <t>20:32:42:682</t>
  </si>
  <si>
    <t>20:32:42:884</t>
  </si>
  <si>
    <t>20:32:43:081</t>
  </si>
  <si>
    <t>20:32:43:280</t>
  </si>
  <si>
    <t>20:32:43:496</t>
  </si>
  <si>
    <t>20:32:43:681</t>
  </si>
  <si>
    <t>20:32:43:881</t>
  </si>
  <si>
    <t>20:32:44:077</t>
  </si>
  <si>
    <t>20:32:44:281</t>
  </si>
  <si>
    <t>20:32:44:481</t>
  </si>
  <si>
    <t>20:32:44:680</t>
  </si>
  <si>
    <t>20:32:44:882</t>
  </si>
  <si>
    <t>20:32:45:080</t>
  </si>
  <si>
    <t>20:32:45:280</t>
  </si>
  <si>
    <t>20:32:45:480</t>
  </si>
  <si>
    <t>20:32:45:679</t>
  </si>
  <si>
    <t>20:32:45:893</t>
  </si>
  <si>
    <t>20:32:46:081</t>
  </si>
  <si>
    <t>20:32:46:281</t>
  </si>
  <si>
    <t>20:32:46:496</t>
  </si>
  <si>
    <t>20:32:46:683</t>
  </si>
  <si>
    <t>20:32:46:879</t>
  </si>
  <si>
    <t>20:32:47:077</t>
  </si>
  <si>
    <t>20:32:47:288</t>
  </si>
  <si>
    <t>20:32:47:481</t>
  </si>
  <si>
    <t>20:32:47:682</t>
  </si>
  <si>
    <t>20:32:47:881</t>
  </si>
  <si>
    <t>20:32:48:083</t>
  </si>
  <si>
    <t>20:32:48:284</t>
  </si>
  <si>
    <t>20:32:48:481</t>
  </si>
  <si>
    <t>20:32:48:678</t>
  </si>
  <si>
    <t>20:32:48:897</t>
  </si>
  <si>
    <t>20:32:49:082</t>
  </si>
  <si>
    <t>20:32:49:282</t>
  </si>
  <si>
    <t>20:32:49:480</t>
  </si>
  <si>
    <t>20:32:49:683</t>
  </si>
  <si>
    <t>20:32:49:879</t>
  </si>
  <si>
    <t>20:32:50:083</t>
  </si>
  <si>
    <t>20:32:50:283</t>
  </si>
  <si>
    <t>20:32:50:483</t>
  </si>
  <si>
    <t>20:32:50:697</t>
  </si>
  <si>
    <t>20:32:50:884</t>
  </si>
  <si>
    <t>20:32:51:080</t>
  </si>
  <si>
    <t>20:32:51:282</t>
  </si>
  <si>
    <t>20:32:51:481</t>
  </si>
  <si>
    <t>20:32:51:678</t>
  </si>
  <si>
    <t>20:32:51:896</t>
  </si>
  <si>
    <t>20:32:52:428</t>
  </si>
  <si>
    <t>20:32:52:485</t>
  </si>
  <si>
    <t>20:32:52:548</t>
  </si>
  <si>
    <t>20:32:52:680</t>
  </si>
  <si>
    <t>20:32:52:883</t>
  </si>
  <si>
    <t>20:32:53:097</t>
  </si>
  <si>
    <t>20:32:53:359</t>
  </si>
  <si>
    <t>20:32:53:484</t>
  </si>
  <si>
    <t>20:32:53:708</t>
  </si>
  <si>
    <t>20:32:53:881</t>
  </si>
  <si>
    <t>20:32:54:091</t>
  </si>
  <si>
    <t>20:32:54:359</t>
  </si>
  <si>
    <t>20:32:54:538</t>
  </si>
  <si>
    <t>20:32:54:715</t>
  </si>
  <si>
    <t>20:32:55:281</t>
  </si>
  <si>
    <t>20:32:55:482</t>
  </si>
  <si>
    <t>20:32:55:680</t>
  </si>
  <si>
    <t>20:32:55:881</t>
  </si>
  <si>
    <t>20:32:56:080</t>
  </si>
  <si>
    <t>20:32:56:283</t>
  </si>
  <si>
    <t>20:32:56:483</t>
  </si>
  <si>
    <t>20:32:56:683</t>
  </si>
  <si>
    <t>20:32:56:883</t>
  </si>
  <si>
    <t>20:32:57:117</t>
  </si>
  <si>
    <t>20:32:57:303</t>
  </si>
  <si>
    <t>20:32:57:480</t>
  </si>
  <si>
    <t>20:32:57:684</t>
  </si>
  <si>
    <t>20:32:57:882</t>
  </si>
  <si>
    <t>20:32:58:085</t>
  </si>
  <si>
    <t>20:32:58:282</t>
  </si>
  <si>
    <t>20:32:58:481</t>
  </si>
  <si>
    <t>20:32:58:678</t>
  </si>
  <si>
    <t>20:32:58:888</t>
  </si>
  <si>
    <t>20:32:59:093</t>
  </si>
  <si>
    <t>20:32:59:279</t>
  </si>
  <si>
    <t>20:32:59:482</t>
  </si>
  <si>
    <t>20:32:59:682</t>
  </si>
  <si>
    <t>20:32:59:883</t>
  </si>
  <si>
    <t>20:33:00:119</t>
  </si>
  <si>
    <t>20:33:00:296</t>
  </si>
  <si>
    <t>20:33:00:482</t>
  </si>
  <si>
    <t>20:33:00:684</t>
  </si>
  <si>
    <t>20:33:00:883</t>
  </si>
  <si>
    <t>20:33:01:082</t>
  </si>
  <si>
    <t>20:33:01:279</t>
  </si>
  <si>
    <t>20:33:01:491</t>
  </si>
  <si>
    <t>20:33:01:683</t>
  </si>
  <si>
    <t>20:33:01:880</t>
  </si>
  <si>
    <t>20:33:02:098</t>
  </si>
  <si>
    <t>20:33:02:286</t>
  </si>
  <si>
    <t>20:33:02:479</t>
  </si>
  <si>
    <t>20:33:02:684</t>
  </si>
  <si>
    <t>20:33:02:883</t>
  </si>
  <si>
    <t>20:33:03:085</t>
  </si>
  <si>
    <t>20:33:03:297</t>
  </si>
  <si>
    <t>20:33:03:483</t>
  </si>
  <si>
    <t>20:33:03:682</t>
  </si>
  <si>
    <t>20:33:03:884</t>
  </si>
  <si>
    <t>20:33:04:081</t>
  </si>
  <si>
    <t>20:33:04:283</t>
  </si>
  <si>
    <t>20:33:04:498</t>
  </si>
  <si>
    <t>20:33:04:685</t>
  </si>
  <si>
    <t>20:33:04:882</t>
  </si>
  <si>
    <t>20:33:05:083</t>
  </si>
  <si>
    <t>20:33:05:279</t>
  </si>
  <si>
    <t>20:33:05:482</t>
  </si>
  <si>
    <t>20:33:05:684</t>
  </si>
  <si>
    <t>20:33:05:881</t>
  </si>
  <si>
    <t>20:33:06:083</t>
  </si>
  <si>
    <t>20:33:06:297</t>
  </si>
  <si>
    <t>20:33:06:487</t>
  </si>
  <si>
    <t>20:33:06:684</t>
  </si>
  <si>
    <t>20:33:06:899</t>
  </si>
  <si>
    <t>20:33:07:080</t>
  </si>
  <si>
    <t>20:33:07:284</t>
  </si>
  <si>
    <t>20:33:07:482</t>
  </si>
  <si>
    <t>20:33:07:683</t>
  </si>
  <si>
    <t>20:33:07:882</t>
  </si>
  <si>
    <t>20:33:08:083</t>
  </si>
  <si>
    <t>20:33:08:285</t>
  </si>
  <si>
    <t>20:33:08:483</t>
  </si>
  <si>
    <t>20:33:08:682</t>
  </si>
  <si>
    <t>20:33:08:884</t>
  </si>
  <si>
    <t>20:33:09:083</t>
  </si>
  <si>
    <t>20:33:09:285</t>
  </si>
  <si>
    <t>20:33:09:482</t>
  </si>
  <si>
    <t>20:33:09:684</t>
  </si>
  <si>
    <t>20:33:09:898</t>
  </si>
  <si>
    <t>20:33:10:086</t>
  </si>
  <si>
    <t>20:33:10:284</t>
  </si>
  <si>
    <t>20:33:10:497</t>
  </si>
  <si>
    <t>20:33:10:683</t>
  </si>
  <si>
    <t>20:33:10:887</t>
  </si>
  <si>
    <t>20:33:11:080</t>
  </si>
  <si>
    <t>20:33:11:284</t>
  </si>
  <si>
    <t>20:33:11:481</t>
  </si>
  <si>
    <t>20:33:11:687</t>
  </si>
  <si>
    <t>20:33:11:884</t>
  </si>
  <si>
    <t>20:33:12:082</t>
  </si>
  <si>
    <t>20:33:12:301</t>
  </si>
  <si>
    <t>20:33:12:483</t>
  </si>
  <si>
    <t>20:33:12:686</t>
  </si>
  <si>
    <t>20:33:12:909</t>
  </si>
  <si>
    <t>20:33:13:084</t>
  </si>
  <si>
    <t>20:33:13:283</t>
  </si>
  <si>
    <t>20:33:13:483</t>
  </si>
  <si>
    <t>20:33:13:680</t>
  </si>
  <si>
    <t>20:33:13:883</t>
  </si>
  <si>
    <t>20:33:14:085</t>
  </si>
  <si>
    <t>20:33:14:284</t>
  </si>
  <si>
    <t>20:33:14:481</t>
  </si>
  <si>
    <t>20:33:14:685</t>
  </si>
  <si>
    <t>20:33:14:883</t>
  </si>
  <si>
    <t>20:33:15:082</t>
  </si>
  <si>
    <t>20:33:15:291</t>
  </si>
  <si>
    <t>20:33:15:486</t>
  </si>
  <si>
    <t>20:33:15:683</t>
  </si>
  <si>
    <t>20:33:15:897</t>
  </si>
  <si>
    <t>20:33:16:084</t>
  </si>
  <si>
    <t>20:33:16:285</t>
  </si>
  <si>
    <t>20:33:16:499</t>
  </si>
  <si>
    <t>20:33:16:680</t>
  </si>
  <si>
    <t>20:33:16:885</t>
  </si>
  <si>
    <t>20:33:17:097</t>
  </si>
  <si>
    <t>20:33:17:286</t>
  </si>
  <si>
    <t>20:33:17:547</t>
  </si>
  <si>
    <t>20:33:17:697</t>
  </si>
  <si>
    <t>20:33:17:887</t>
  </si>
  <si>
    <t>20:33:18:085</t>
  </si>
  <si>
    <t>20:33:18:282</t>
  </si>
  <si>
    <t>20:33:18:482</t>
  </si>
  <si>
    <t>20:33:18:681</t>
  </si>
  <si>
    <t>20:33:18:886</t>
  </si>
  <si>
    <t>20:33:19:083</t>
  </si>
  <si>
    <t>20:33:19:319</t>
  </si>
  <si>
    <t>20:33:19:497</t>
  </si>
  <si>
    <t>20:33:19:680</t>
  </si>
  <si>
    <t>20:33:19:886</t>
  </si>
  <si>
    <t>20:33:20:084</t>
  </si>
  <si>
    <t>20:33:20:289</t>
  </si>
  <si>
    <t>20:33:20:492</t>
  </si>
  <si>
    <t>20:33:20:697</t>
  </si>
  <si>
    <t>20:33:20:886</t>
  </si>
  <si>
    <t>20:33:21:086</t>
  </si>
  <si>
    <t>20:33:21:281</t>
  </si>
  <si>
    <t>20:33:21:482</t>
  </si>
  <si>
    <t>20:33:21:685</t>
  </si>
  <si>
    <t>20:33:21:883</t>
  </si>
  <si>
    <t>20:33:22:085</t>
  </si>
  <si>
    <t>20:33:22:287</t>
  </si>
  <si>
    <t>20:33:22:490</t>
  </si>
  <si>
    <t>20:33:22:685</t>
  </si>
  <si>
    <t>20:33:22:887</t>
  </si>
  <si>
    <t>20:33:23:081</t>
  </si>
  <si>
    <t>20:33:23:285</t>
  </si>
  <si>
    <t>20:33:23:489</t>
  </si>
  <si>
    <t>20:33:23:689</t>
  </si>
  <si>
    <t>20:33:23:885</t>
  </si>
  <si>
    <t>20:33:24:086</t>
  </si>
  <si>
    <t>20:33:24:282</t>
  </si>
  <si>
    <t>20:33:24:487</t>
  </si>
  <si>
    <t>20:33:24:686</t>
  </si>
  <si>
    <t>20:33:24:885</t>
  </si>
  <si>
    <t>20:33:25:085</t>
  </si>
  <si>
    <t>20:33:25:286</t>
  </si>
  <si>
    <t>20:33:25:485</t>
  </si>
  <si>
    <t>20:33:25:684</t>
  </si>
  <si>
    <t>20:33:25:884</t>
  </si>
  <si>
    <t>20:33:26:085</t>
  </si>
  <si>
    <t>20:33:26:284</t>
  </si>
  <si>
    <t>20:33:26:494</t>
  </si>
  <si>
    <t>20:33:26:685</t>
  </si>
  <si>
    <t>20:33:26:885</t>
  </si>
  <si>
    <t>20:33:27:081</t>
  </si>
  <si>
    <t>20:33:27:298</t>
  </si>
  <si>
    <t>20:33:27:486</t>
  </si>
  <si>
    <t>20:33:27:684</t>
  </si>
  <si>
    <t>20:33:27:891</t>
  </si>
  <si>
    <t>20:33:28:088</t>
  </si>
  <si>
    <t>20:33:28:317</t>
  </si>
  <si>
    <t>20:33:28:498</t>
  </si>
  <si>
    <t>20:33:28:685</t>
  </si>
  <si>
    <t>20:33:28:892</t>
  </si>
  <si>
    <t>20:33:29:086</t>
  </si>
  <si>
    <t>20:33:29:286</t>
  </si>
  <si>
    <t>20:33:29:526</t>
  </si>
  <si>
    <t>20:33:29:686</t>
  </si>
  <si>
    <t>20:33:29:886</t>
  </si>
  <si>
    <t>20:33:30:087</t>
  </si>
  <si>
    <t>20:33:30:285</t>
  </si>
  <si>
    <t>20:33:30:483</t>
  </si>
  <si>
    <t>20:33:30:685</t>
  </si>
  <si>
    <t>20:33:30:888</t>
  </si>
  <si>
    <t>20:33:31:084</t>
  </si>
  <si>
    <t>20:33:31:284</t>
  </si>
  <si>
    <t>20:33:31:497</t>
  </si>
  <si>
    <t>20:33:31:684</t>
  </si>
  <si>
    <t>20:33:31:886</t>
  </si>
  <si>
    <t>20:33:32:116</t>
  </si>
  <si>
    <t>20:33:32:282</t>
  </si>
  <si>
    <t>20:33:32:485</t>
  </si>
  <si>
    <t>20:33:32:684</t>
  </si>
  <si>
    <t>20:33:32:884</t>
  </si>
  <si>
    <t>20:33:33:117</t>
  </si>
  <si>
    <t>20:33:33:297</t>
  </si>
  <si>
    <t>20:33:33:494</t>
  </si>
  <si>
    <t>20:33:33:685</t>
  </si>
  <si>
    <t>20:33:33:886</t>
  </si>
  <si>
    <t>20:33:34:084</t>
  </si>
  <si>
    <t>20:33:34:285</t>
  </si>
  <si>
    <t>20:33:34:483</t>
  </si>
  <si>
    <t>20:33:34:687</t>
  </si>
  <si>
    <t>20:33:34:887</t>
  </si>
  <si>
    <t>20:33:35:087</t>
  </si>
  <si>
    <t>20:33:35:286</t>
  </si>
  <si>
    <t>20:33:35:481</t>
  </si>
  <si>
    <t>20:33:35:687</t>
  </si>
  <si>
    <t>20:33:35:886</t>
  </si>
  <si>
    <t>20:33:36:083</t>
  </si>
  <si>
    <t>20:33:36:299</t>
  </si>
  <si>
    <t>20:33:36:492</t>
  </si>
  <si>
    <t>20:33:36:698</t>
  </si>
  <si>
    <t>20:33:36:883</t>
  </si>
  <si>
    <t>20:33:37:084</t>
  </si>
  <si>
    <t>20:33:37:287</t>
  </si>
  <si>
    <t>20:33:37:489</t>
  </si>
  <si>
    <t>20:33:37:683</t>
  </si>
  <si>
    <t>20:33:37:887</t>
  </si>
  <si>
    <t>20:33:38:086</t>
  </si>
  <si>
    <t>20:33:38:286</t>
  </si>
  <si>
    <t>20:33:38:519</t>
  </si>
  <si>
    <t>20:33:38:697</t>
  </si>
  <si>
    <t>20:33:38:886</t>
  </si>
  <si>
    <t>20:33:39:085</t>
  </si>
  <si>
    <t>20:33:39:286</t>
  </si>
  <si>
    <t>20:33:39:485</t>
  </si>
  <si>
    <t>20:33:39:717</t>
  </si>
  <si>
    <t>20:33:39:886</t>
  </si>
  <si>
    <t>20:33:40:082</t>
  </si>
  <si>
    <t>20:33:40:285</t>
  </si>
  <si>
    <t>20:33:40:497</t>
  </si>
  <si>
    <t>20:33:40:690</t>
  </si>
  <si>
    <t>20:33:40:883</t>
  </si>
  <si>
    <t>20:33:41:083</t>
  </si>
  <si>
    <t>20:33:41:282</t>
  </si>
  <si>
    <t>20:33:41:515</t>
  </si>
  <si>
    <t>20:33:41:697</t>
  </si>
  <si>
    <t>20:33:41:883</t>
  </si>
  <si>
    <t>20:33:42:121</t>
  </si>
  <si>
    <t>20:33:42:288</t>
  </si>
  <si>
    <t>20:33:42:488</t>
  </si>
  <si>
    <t>20:33:42:688</t>
  </si>
  <si>
    <t>20:33:42:898</t>
  </si>
  <si>
    <t>20:33:43:087</t>
  </si>
  <si>
    <t>20:33:43:288</t>
  </si>
  <si>
    <t>20:33:43:486</t>
  </si>
  <si>
    <t>20:33:43:688</t>
  </si>
  <si>
    <t>20:33:43:919</t>
  </si>
  <si>
    <t>20:33:44:097</t>
  </si>
  <si>
    <t>20:33:44:290</t>
  </si>
  <si>
    <t>20:33:44:486</t>
  </si>
  <si>
    <t>20:33:44:688</t>
  </si>
  <si>
    <t>20:33:44:887</t>
  </si>
  <si>
    <t>20:33:45:095</t>
  </si>
  <si>
    <t>20:33:45:287</t>
  </si>
  <si>
    <t>20:33:45:489</t>
  </si>
  <si>
    <t>20:33:45:688</t>
  </si>
  <si>
    <t>20:33:45:888</t>
  </si>
  <si>
    <t>20:33:46:086</t>
  </si>
  <si>
    <t>20:33:46:317</t>
  </si>
  <si>
    <t>20:33:46:488</t>
  </si>
  <si>
    <t>20:33:46:687</t>
  </si>
  <si>
    <t>20:33:46:886</t>
  </si>
  <si>
    <t>20:33:47:083</t>
  </si>
  <si>
    <t>20:33:47:284</t>
  </si>
  <si>
    <t>20:33:47:488</t>
  </si>
  <si>
    <t>20:33:47:687</t>
  </si>
  <si>
    <t>20:33:47:886</t>
  </si>
  <si>
    <t>20:33:48:085</t>
  </si>
  <si>
    <t>20:33:48:286</t>
  </si>
  <si>
    <t>20:33:48:487</t>
  </si>
  <si>
    <t>20:33:48:728</t>
  </si>
  <si>
    <t>20:33:48:884</t>
  </si>
  <si>
    <t>20:33:49:088</t>
  </si>
  <si>
    <t>20:33:49:291</t>
  </si>
  <si>
    <t>20:33:49:493</t>
  </si>
  <si>
    <t>20:33:49:689</t>
  </si>
  <si>
    <t>20:33:49:887</t>
  </si>
  <si>
    <t>20:33:50:084</t>
  </si>
  <si>
    <t>20:33:50:291</t>
  </si>
  <si>
    <t>20:33:50:484</t>
  </si>
  <si>
    <t>20:33:50:702</t>
  </si>
  <si>
    <t>20:33:50:889</t>
  </si>
  <si>
    <t>20:33:51:091</t>
  </si>
  <si>
    <t>20:33:51:310</t>
  </si>
  <si>
    <t>20:33:51:487</t>
  </si>
  <si>
    <t>20:33:51:718</t>
  </si>
  <si>
    <t>20:33:51:898</t>
  </si>
  <si>
    <t>20:33:52:088</t>
  </si>
  <si>
    <t>20:33:52:286</t>
  </si>
  <si>
    <t>20:33:52:492</t>
  </si>
  <si>
    <t>20:33:52:688</t>
  </si>
  <si>
    <t>20:33:52:919</t>
  </si>
  <si>
    <t>20:33:53:098</t>
  </si>
  <si>
    <t>20:33:53:288</t>
  </si>
  <si>
    <t>20:33:53:489</t>
  </si>
  <si>
    <t>20:33:53:697</t>
  </si>
  <si>
    <t>20:33:53:901</t>
  </si>
  <si>
    <t>20:33:54:085</t>
  </si>
  <si>
    <t>20:33:54:864</t>
  </si>
  <si>
    <t>20:33:55:315</t>
  </si>
  <si>
    <t>20:33:55:498</t>
  </si>
  <si>
    <t>20:33:55:688</t>
  </si>
  <si>
    <t>20:33:55:888</t>
  </si>
  <si>
    <t>20:33:56:087</t>
  </si>
  <si>
    <t>20:33:56:288</t>
  </si>
  <si>
    <t>20:33:56:487</t>
  </si>
  <si>
    <t>20:33:56:687</t>
  </si>
  <si>
    <t>20:33:56:888</t>
  </si>
  <si>
    <t>20:33:57:118</t>
  </si>
  <si>
    <t>20:33:57:298</t>
  </si>
  <si>
    <t>20:33:57:484</t>
  </si>
  <si>
    <t>20:33:57:718</t>
  </si>
  <si>
    <t>20:33:57:894</t>
  </si>
  <si>
    <t>20:33:58:097</t>
  </si>
  <si>
    <t>20:33:58:290</t>
  </si>
  <si>
    <t>20:33:58:500</t>
  </si>
  <si>
    <t>20:33:58:689</t>
  </si>
  <si>
    <t>20:33:58:889</t>
  </si>
  <si>
    <t>20:33:59:098</t>
  </si>
  <si>
    <t>20:33:59:288</t>
  </si>
  <si>
    <t>20:33:59:487</t>
  </si>
  <si>
    <t>20:33:59:911</t>
  </si>
  <si>
    <t>20:33:59:988</t>
  </si>
  <si>
    <t>20:34:00:115</t>
  </si>
  <si>
    <t>20:34:00:292</t>
  </si>
  <si>
    <t>20:34:00:491</t>
  </si>
  <si>
    <t>20:34:00:718</t>
  </si>
  <si>
    <t>20:34:00:899</t>
  </si>
  <si>
    <t>20:34:01:090</t>
  </si>
  <si>
    <t>20:34:01:286</t>
  </si>
  <si>
    <t>20:34:01:490</t>
  </si>
  <si>
    <t>20:34:01:689</t>
  </si>
  <si>
    <t>20:34:01:889</t>
  </si>
  <si>
    <t>20:34:02:093</t>
  </si>
  <si>
    <t>20:34:02:291</t>
  </si>
  <si>
    <t>20:34:02:500</t>
  </si>
  <si>
    <t>20:34:02:759</t>
  </si>
  <si>
    <t>20:34:02:889</t>
  </si>
  <si>
    <t>20:34:03:089</t>
  </si>
  <si>
    <t>20:34:03:289</t>
  </si>
  <si>
    <t>20:34:03:491</t>
  </si>
  <si>
    <t>20:34:03:690</t>
  </si>
  <si>
    <t>20:34:03:896</t>
  </si>
  <si>
    <t>20:34:04:091</t>
  </si>
  <si>
    <t>20:34:04:321</t>
  </si>
  <si>
    <t>20:34:04:498</t>
  </si>
  <si>
    <t>20:34:04:690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</si>
</sst>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206.3989</c:v>
                </c:pt>
                <c:pt idx="1">
                  <c:v>206.60120000000001</c:v>
                </c:pt>
                <c:pt idx="2">
                  <c:v>206.7989</c:v>
                </c:pt>
                <c:pt idx="3">
                  <c:v>207.00049999999999</c:v>
                </c:pt>
                <c:pt idx="4">
                  <c:v>207.1987</c:v>
                </c:pt>
                <c:pt idx="5">
                  <c:v>207.39840000000001</c:v>
                </c:pt>
                <c:pt idx="6">
                  <c:v>207.59880000000001</c:v>
                </c:pt>
                <c:pt idx="7">
                  <c:v>207.7996</c:v>
                </c:pt>
                <c:pt idx="8">
                  <c:v>207.999</c:v>
                </c:pt>
                <c:pt idx="9">
                  <c:v>208.19890000000001</c:v>
                </c:pt>
                <c:pt idx="10">
                  <c:v>208.39920000000001</c:v>
                </c:pt>
                <c:pt idx="11">
                  <c:v>208.6</c:v>
                </c:pt>
                <c:pt idx="12">
                  <c:v>208.80119999999999</c:v>
                </c:pt>
                <c:pt idx="13">
                  <c:v>208.99959999999999</c:v>
                </c:pt>
                <c:pt idx="14">
                  <c:v>209.19980000000001</c:v>
                </c:pt>
                <c:pt idx="15">
                  <c:v>209.3999</c:v>
                </c:pt>
                <c:pt idx="16">
                  <c:v>209.5994</c:v>
                </c:pt>
                <c:pt idx="17">
                  <c:v>209.8006</c:v>
                </c:pt>
                <c:pt idx="18">
                  <c:v>210.0001</c:v>
                </c:pt>
                <c:pt idx="19">
                  <c:v>210.20060000000001</c:v>
                </c:pt>
                <c:pt idx="20">
                  <c:v>210.79900000000001</c:v>
                </c:pt>
                <c:pt idx="21">
                  <c:v>210.9992</c:v>
                </c:pt>
                <c:pt idx="22">
                  <c:v>211.2</c:v>
                </c:pt>
                <c:pt idx="23">
                  <c:v>211.39830000000001</c:v>
                </c:pt>
                <c:pt idx="24">
                  <c:v>211.60040000000001</c:v>
                </c:pt>
                <c:pt idx="25">
                  <c:v>211.79920000000001</c:v>
                </c:pt>
                <c:pt idx="26">
                  <c:v>211.99870000000001</c:v>
                </c:pt>
                <c:pt idx="27">
                  <c:v>212.19810000000001</c:v>
                </c:pt>
                <c:pt idx="28">
                  <c:v>212.4</c:v>
                </c:pt>
                <c:pt idx="29">
                  <c:v>212.59889999999999</c:v>
                </c:pt>
                <c:pt idx="30">
                  <c:v>212.79839999999999</c:v>
                </c:pt>
                <c:pt idx="31">
                  <c:v>213.00139999999999</c:v>
                </c:pt>
                <c:pt idx="32">
                  <c:v>213.19900000000001</c:v>
                </c:pt>
                <c:pt idx="33">
                  <c:v>213.39959999999999</c:v>
                </c:pt>
                <c:pt idx="34">
                  <c:v>213.59809999999999</c:v>
                </c:pt>
                <c:pt idx="35">
                  <c:v>213.79920000000001</c:v>
                </c:pt>
                <c:pt idx="36">
                  <c:v>214.00229999999999</c:v>
                </c:pt>
                <c:pt idx="37">
                  <c:v>214.19829999999999</c:v>
                </c:pt>
                <c:pt idx="38">
                  <c:v>214.4</c:v>
                </c:pt>
                <c:pt idx="39">
                  <c:v>214.59950000000001</c:v>
                </c:pt>
                <c:pt idx="40">
                  <c:v>214.7988</c:v>
                </c:pt>
                <c:pt idx="41">
                  <c:v>214.99799999999999</c:v>
                </c:pt>
                <c:pt idx="42">
                  <c:v>215.20009999999999</c:v>
                </c:pt>
                <c:pt idx="43">
                  <c:v>215.39830000000001</c:v>
                </c:pt>
                <c:pt idx="44">
                  <c:v>215.5984</c:v>
                </c:pt>
                <c:pt idx="45">
                  <c:v>215.80029999999999</c:v>
                </c:pt>
                <c:pt idx="46">
                  <c:v>216.0026</c:v>
                </c:pt>
                <c:pt idx="47">
                  <c:v>216.19890000000001</c:v>
                </c:pt>
                <c:pt idx="48">
                  <c:v>216.40020000000001</c:v>
                </c:pt>
                <c:pt idx="49">
                  <c:v>216.59870000000001</c:v>
                </c:pt>
                <c:pt idx="50">
                  <c:v>216.79920000000001</c:v>
                </c:pt>
                <c:pt idx="51">
                  <c:v>217.00040000000001</c:v>
                </c:pt>
                <c:pt idx="52">
                  <c:v>217.19929999999999</c:v>
                </c:pt>
                <c:pt idx="53">
                  <c:v>217.3981</c:v>
                </c:pt>
                <c:pt idx="54">
                  <c:v>217.59880000000001</c:v>
                </c:pt>
                <c:pt idx="55">
                  <c:v>217.8</c:v>
                </c:pt>
                <c:pt idx="56">
                  <c:v>217.99789999999999</c:v>
                </c:pt>
                <c:pt idx="57">
                  <c:v>218.19829999999999</c:v>
                </c:pt>
                <c:pt idx="58">
                  <c:v>218.40010000000001</c:v>
                </c:pt>
                <c:pt idx="59">
                  <c:v>218.60040000000001</c:v>
                </c:pt>
                <c:pt idx="60">
                  <c:v>218.79939999999999</c:v>
                </c:pt>
                <c:pt idx="61">
                  <c:v>218.9992</c:v>
                </c:pt>
                <c:pt idx="62">
                  <c:v>219.20079999999999</c:v>
                </c:pt>
                <c:pt idx="63">
                  <c:v>219.39869999999999</c:v>
                </c:pt>
                <c:pt idx="64">
                  <c:v>219.59829999999999</c:v>
                </c:pt>
                <c:pt idx="65">
                  <c:v>219.79949999999999</c:v>
                </c:pt>
                <c:pt idx="66">
                  <c:v>219.99969999999999</c:v>
                </c:pt>
                <c:pt idx="67">
                  <c:v>220.19909999999999</c:v>
                </c:pt>
                <c:pt idx="68">
                  <c:v>220.39949999999999</c:v>
                </c:pt>
                <c:pt idx="69">
                  <c:v>220.59909999999999</c:v>
                </c:pt>
                <c:pt idx="70">
                  <c:v>220.79810000000001</c:v>
                </c:pt>
                <c:pt idx="71">
                  <c:v>220.99889999999999</c:v>
                </c:pt>
                <c:pt idx="72">
                  <c:v>221.19900000000001</c:v>
                </c:pt>
                <c:pt idx="73">
                  <c:v>221.40100000000001</c:v>
                </c:pt>
                <c:pt idx="74">
                  <c:v>221.601</c:v>
                </c:pt>
                <c:pt idx="75">
                  <c:v>221.8</c:v>
                </c:pt>
                <c:pt idx="76">
                  <c:v>221.99780000000001</c:v>
                </c:pt>
                <c:pt idx="77">
                  <c:v>222.19909999999999</c:v>
                </c:pt>
                <c:pt idx="78">
                  <c:v>222.40020000000001</c:v>
                </c:pt>
                <c:pt idx="79">
                  <c:v>222.60079999999999</c:v>
                </c:pt>
                <c:pt idx="80">
                  <c:v>222.79900000000001</c:v>
                </c:pt>
                <c:pt idx="81">
                  <c:v>223.00030000000001</c:v>
                </c:pt>
                <c:pt idx="82">
                  <c:v>223.19890000000001</c:v>
                </c:pt>
                <c:pt idx="83">
                  <c:v>223.39830000000001</c:v>
                </c:pt>
                <c:pt idx="84">
                  <c:v>223.59790000000001</c:v>
                </c:pt>
                <c:pt idx="85">
                  <c:v>223.80029999999999</c:v>
                </c:pt>
                <c:pt idx="86">
                  <c:v>223.999</c:v>
                </c:pt>
                <c:pt idx="87">
                  <c:v>224.19909999999999</c:v>
                </c:pt>
                <c:pt idx="88">
                  <c:v>224.39840000000001</c:v>
                </c:pt>
                <c:pt idx="89">
                  <c:v>224.59909999999999</c:v>
                </c:pt>
                <c:pt idx="90">
                  <c:v>224.8107</c:v>
                </c:pt>
                <c:pt idx="91">
                  <c:v>224.999</c:v>
                </c:pt>
                <c:pt idx="92">
                  <c:v>225.19839999999999</c:v>
                </c:pt>
                <c:pt idx="93">
                  <c:v>225.39850000000001</c:v>
                </c:pt>
                <c:pt idx="94">
                  <c:v>225.59829999999999</c:v>
                </c:pt>
                <c:pt idx="95">
                  <c:v>225.80619999999999</c:v>
                </c:pt>
                <c:pt idx="96">
                  <c:v>225.99940000000001</c:v>
                </c:pt>
                <c:pt idx="97">
                  <c:v>226.1987</c:v>
                </c:pt>
                <c:pt idx="98">
                  <c:v>226.3981</c:v>
                </c:pt>
                <c:pt idx="99">
                  <c:v>226.6</c:v>
                </c:pt>
                <c:pt idx="100">
                  <c:v>226.79939999999999</c:v>
                </c:pt>
                <c:pt idx="101">
                  <c:v>226.99870000000001</c:v>
                </c:pt>
                <c:pt idx="102">
                  <c:v>227.19929999999999</c:v>
                </c:pt>
                <c:pt idx="103">
                  <c:v>227.4</c:v>
                </c:pt>
                <c:pt idx="104">
                  <c:v>227.5993</c:v>
                </c:pt>
                <c:pt idx="105">
                  <c:v>227.79830000000001</c:v>
                </c:pt>
                <c:pt idx="106">
                  <c:v>227.99809999999999</c:v>
                </c:pt>
                <c:pt idx="107">
                  <c:v>228.19900000000001</c:v>
                </c:pt>
                <c:pt idx="108">
                  <c:v>228.4006</c:v>
                </c:pt>
                <c:pt idx="109">
                  <c:v>228.601</c:v>
                </c:pt>
                <c:pt idx="110">
                  <c:v>228.79990000000001</c:v>
                </c:pt>
                <c:pt idx="111">
                  <c:v>228.9982</c:v>
                </c:pt>
                <c:pt idx="112">
                  <c:v>229.1986</c:v>
                </c:pt>
                <c:pt idx="113">
                  <c:v>229.3991</c:v>
                </c:pt>
                <c:pt idx="114">
                  <c:v>229.6</c:v>
                </c:pt>
                <c:pt idx="115">
                  <c:v>229.80009999999999</c:v>
                </c:pt>
                <c:pt idx="116">
                  <c:v>229.99799999999999</c:v>
                </c:pt>
                <c:pt idx="117">
                  <c:v>230.1985</c:v>
                </c:pt>
                <c:pt idx="118">
                  <c:v>230.39830000000001</c:v>
                </c:pt>
                <c:pt idx="119">
                  <c:v>230.60120000000001</c:v>
                </c:pt>
                <c:pt idx="120">
                  <c:v>230.80179999999999</c:v>
                </c:pt>
                <c:pt idx="121">
                  <c:v>230.9983</c:v>
                </c:pt>
                <c:pt idx="122">
                  <c:v>231.19880000000001</c:v>
                </c:pt>
                <c:pt idx="123">
                  <c:v>231.39879999999999</c:v>
                </c:pt>
                <c:pt idx="124">
                  <c:v>231.59819999999999</c:v>
                </c:pt>
                <c:pt idx="125">
                  <c:v>231.79830000000001</c:v>
                </c:pt>
                <c:pt idx="126">
                  <c:v>231.9991</c:v>
                </c:pt>
                <c:pt idx="127">
                  <c:v>232.19820000000001</c:v>
                </c:pt>
                <c:pt idx="128">
                  <c:v>232.39859999999999</c:v>
                </c:pt>
                <c:pt idx="129">
                  <c:v>232.59950000000001</c:v>
                </c:pt>
                <c:pt idx="130">
                  <c:v>232.7997</c:v>
                </c:pt>
                <c:pt idx="131">
                  <c:v>232.9983</c:v>
                </c:pt>
                <c:pt idx="132">
                  <c:v>233.19800000000001</c:v>
                </c:pt>
                <c:pt idx="133">
                  <c:v>233.39830000000001</c:v>
                </c:pt>
                <c:pt idx="134">
                  <c:v>233.59780000000001</c:v>
                </c:pt>
                <c:pt idx="135">
                  <c:v>233.80019999999999</c:v>
                </c:pt>
                <c:pt idx="136">
                  <c:v>233.99930000000001</c:v>
                </c:pt>
                <c:pt idx="137">
                  <c:v>234.1995</c:v>
                </c:pt>
                <c:pt idx="138">
                  <c:v>234.3989</c:v>
                </c:pt>
                <c:pt idx="139">
                  <c:v>234.6</c:v>
                </c:pt>
                <c:pt idx="140">
                  <c:v>234.79910000000001</c:v>
                </c:pt>
                <c:pt idx="141">
                  <c:v>234.99979999999999</c:v>
                </c:pt>
                <c:pt idx="142">
                  <c:v>235.19970000000001</c:v>
                </c:pt>
                <c:pt idx="143">
                  <c:v>235.39879999999999</c:v>
                </c:pt>
                <c:pt idx="144">
                  <c:v>235.59780000000001</c:v>
                </c:pt>
                <c:pt idx="145">
                  <c:v>235.79839999999999</c:v>
                </c:pt>
                <c:pt idx="146">
                  <c:v>235.99959999999999</c:v>
                </c:pt>
                <c:pt idx="147">
                  <c:v>236.1977</c:v>
                </c:pt>
                <c:pt idx="148">
                  <c:v>236.3998</c:v>
                </c:pt>
                <c:pt idx="149">
                  <c:v>236.59790000000001</c:v>
                </c:pt>
                <c:pt idx="150">
                  <c:v>236.79910000000001</c:v>
                </c:pt>
                <c:pt idx="151">
                  <c:v>236.99889999999999</c:v>
                </c:pt>
                <c:pt idx="152">
                  <c:v>237.2</c:v>
                </c:pt>
                <c:pt idx="153">
                  <c:v>237.39859999999999</c:v>
                </c:pt>
                <c:pt idx="154">
                  <c:v>237.59800000000001</c:v>
                </c:pt>
                <c:pt idx="155">
                  <c:v>237.79759999999999</c:v>
                </c:pt>
                <c:pt idx="156">
                  <c:v>237.99969999999999</c:v>
                </c:pt>
                <c:pt idx="157">
                  <c:v>238.1977</c:v>
                </c:pt>
                <c:pt idx="158">
                  <c:v>238.39750000000001</c:v>
                </c:pt>
                <c:pt idx="159">
                  <c:v>238.59899999999999</c:v>
                </c:pt>
                <c:pt idx="160">
                  <c:v>238.79839999999999</c:v>
                </c:pt>
                <c:pt idx="161">
                  <c:v>238.9991</c:v>
                </c:pt>
                <c:pt idx="162">
                  <c:v>239.19880000000001</c:v>
                </c:pt>
                <c:pt idx="163">
                  <c:v>239.3981</c:v>
                </c:pt>
                <c:pt idx="164">
                  <c:v>239.5985</c:v>
                </c:pt>
                <c:pt idx="165">
                  <c:v>239.79830000000001</c:v>
                </c:pt>
                <c:pt idx="166">
                  <c:v>239.99799999999999</c:v>
                </c:pt>
                <c:pt idx="167">
                  <c:v>240.19900000000001</c:v>
                </c:pt>
                <c:pt idx="168">
                  <c:v>240.39869999999999</c:v>
                </c:pt>
                <c:pt idx="169">
                  <c:v>240.59950000000001</c:v>
                </c:pt>
                <c:pt idx="170">
                  <c:v>240.79910000000001</c:v>
                </c:pt>
                <c:pt idx="171">
                  <c:v>240.9975</c:v>
                </c:pt>
                <c:pt idx="172">
                  <c:v>241.19890000000001</c:v>
                </c:pt>
                <c:pt idx="173">
                  <c:v>241.39769999999999</c:v>
                </c:pt>
                <c:pt idx="174">
                  <c:v>241.5976</c:v>
                </c:pt>
                <c:pt idx="175">
                  <c:v>241.79839999999999</c:v>
                </c:pt>
                <c:pt idx="176">
                  <c:v>241.99809999999999</c:v>
                </c:pt>
                <c:pt idx="177">
                  <c:v>242.1979</c:v>
                </c:pt>
                <c:pt idx="178">
                  <c:v>242.39769999999999</c:v>
                </c:pt>
                <c:pt idx="179">
                  <c:v>242.59790000000001</c:v>
                </c:pt>
                <c:pt idx="180">
                  <c:v>242.79769999999999</c:v>
                </c:pt>
                <c:pt idx="181">
                  <c:v>242.99850000000001</c:v>
                </c:pt>
                <c:pt idx="182">
                  <c:v>243.1994</c:v>
                </c:pt>
                <c:pt idx="183">
                  <c:v>243.39879999999999</c:v>
                </c:pt>
                <c:pt idx="184">
                  <c:v>243.5977</c:v>
                </c:pt>
                <c:pt idx="185">
                  <c:v>243.80009999999999</c:v>
                </c:pt>
                <c:pt idx="186">
                  <c:v>243.9991</c:v>
                </c:pt>
                <c:pt idx="187">
                  <c:v>244.1978</c:v>
                </c:pt>
                <c:pt idx="188">
                  <c:v>244.39779999999999</c:v>
                </c:pt>
                <c:pt idx="189">
                  <c:v>244.5993</c:v>
                </c:pt>
                <c:pt idx="190">
                  <c:v>244.79929999999999</c:v>
                </c:pt>
                <c:pt idx="191">
                  <c:v>244.9975</c:v>
                </c:pt>
                <c:pt idx="192">
                  <c:v>245.19980000000001</c:v>
                </c:pt>
                <c:pt idx="193">
                  <c:v>245.39830000000001</c:v>
                </c:pt>
                <c:pt idx="194">
                  <c:v>245.5985</c:v>
                </c:pt>
                <c:pt idx="195">
                  <c:v>245.79990000000001</c:v>
                </c:pt>
                <c:pt idx="196">
                  <c:v>245.99850000000001</c:v>
                </c:pt>
                <c:pt idx="197">
                  <c:v>246.19810000000001</c:v>
                </c:pt>
                <c:pt idx="198">
                  <c:v>246.398</c:v>
                </c:pt>
                <c:pt idx="199">
                  <c:v>246.59880000000001</c:v>
                </c:pt>
                <c:pt idx="200">
                  <c:v>246.79820000000001</c:v>
                </c:pt>
                <c:pt idx="201">
                  <c:v>246.99770000000001</c:v>
                </c:pt>
                <c:pt idx="202">
                  <c:v>247.19749999999999</c:v>
                </c:pt>
                <c:pt idx="203">
                  <c:v>247.4006</c:v>
                </c:pt>
                <c:pt idx="204">
                  <c:v>247.6003</c:v>
                </c:pt>
                <c:pt idx="205">
                  <c:v>247.7997</c:v>
                </c:pt>
                <c:pt idx="206">
                  <c:v>247.9982</c:v>
                </c:pt>
                <c:pt idx="207">
                  <c:v>248.1995</c:v>
                </c:pt>
                <c:pt idx="208">
                  <c:v>248.39750000000001</c:v>
                </c:pt>
                <c:pt idx="209">
                  <c:v>248.59960000000001</c:v>
                </c:pt>
                <c:pt idx="210">
                  <c:v>248.79929999999999</c:v>
                </c:pt>
                <c:pt idx="211">
                  <c:v>248.99950000000001</c:v>
                </c:pt>
                <c:pt idx="212">
                  <c:v>249.2004</c:v>
                </c:pt>
                <c:pt idx="213">
                  <c:v>249.39879999999999</c:v>
                </c:pt>
                <c:pt idx="214">
                  <c:v>249.5994</c:v>
                </c:pt>
                <c:pt idx="215">
                  <c:v>249.79769999999999</c:v>
                </c:pt>
                <c:pt idx="216">
                  <c:v>249.99959999999999</c:v>
                </c:pt>
                <c:pt idx="217">
                  <c:v>250.1977</c:v>
                </c:pt>
                <c:pt idx="218">
                  <c:v>250.39840000000001</c:v>
                </c:pt>
                <c:pt idx="219">
                  <c:v>250.59950000000001</c:v>
                </c:pt>
                <c:pt idx="220">
                  <c:v>250.7997</c:v>
                </c:pt>
                <c:pt idx="221">
                  <c:v>250.99760000000001</c:v>
                </c:pt>
                <c:pt idx="222">
                  <c:v>251.19970000000001</c:v>
                </c:pt>
                <c:pt idx="223">
                  <c:v>251.39859999999999</c:v>
                </c:pt>
                <c:pt idx="224">
                  <c:v>251.59829999999999</c:v>
                </c:pt>
                <c:pt idx="225">
                  <c:v>251.79920000000001</c:v>
                </c:pt>
                <c:pt idx="226">
                  <c:v>251.99760000000001</c:v>
                </c:pt>
                <c:pt idx="227">
                  <c:v>252.20240000000001</c:v>
                </c:pt>
                <c:pt idx="228">
                  <c:v>252.3997</c:v>
                </c:pt>
                <c:pt idx="229">
                  <c:v>252.5984</c:v>
                </c:pt>
                <c:pt idx="230">
                  <c:v>252.79949999999999</c:v>
                </c:pt>
                <c:pt idx="231">
                  <c:v>252.99959999999999</c:v>
                </c:pt>
                <c:pt idx="232">
                  <c:v>253.19919999999999</c:v>
                </c:pt>
                <c:pt idx="233">
                  <c:v>253.3989</c:v>
                </c:pt>
                <c:pt idx="234">
                  <c:v>253.60050000000001</c:v>
                </c:pt>
                <c:pt idx="235">
                  <c:v>253.79949999999999</c:v>
                </c:pt>
                <c:pt idx="236">
                  <c:v>253.99940000000001</c:v>
                </c:pt>
                <c:pt idx="237">
                  <c:v>254.19829999999999</c:v>
                </c:pt>
                <c:pt idx="238">
                  <c:v>254.39879999999999</c:v>
                </c:pt>
                <c:pt idx="239">
                  <c:v>254.60069999999999</c:v>
                </c:pt>
                <c:pt idx="240">
                  <c:v>254.79750000000001</c:v>
                </c:pt>
                <c:pt idx="241">
                  <c:v>254.99809999999999</c:v>
                </c:pt>
                <c:pt idx="242">
                  <c:v>255.1995</c:v>
                </c:pt>
                <c:pt idx="243">
                  <c:v>255.39859999999999</c:v>
                </c:pt>
                <c:pt idx="244">
                  <c:v>255.5992</c:v>
                </c:pt>
                <c:pt idx="245">
                  <c:v>255.79990000000001</c:v>
                </c:pt>
                <c:pt idx="246">
                  <c:v>255.99969999999999</c:v>
                </c:pt>
                <c:pt idx="247">
                  <c:v>256.1977</c:v>
                </c:pt>
                <c:pt idx="248">
                  <c:v>256.39929999999998</c:v>
                </c:pt>
                <c:pt idx="249">
                  <c:v>256.59809999999999</c:v>
                </c:pt>
                <c:pt idx="250">
                  <c:v>256.79930000000002</c:v>
                </c:pt>
                <c:pt idx="251">
                  <c:v>257.00139999999999</c:v>
                </c:pt>
                <c:pt idx="252">
                  <c:v>257.19940000000003</c:v>
                </c:pt>
                <c:pt idx="253">
                  <c:v>257.39800000000002</c:v>
                </c:pt>
                <c:pt idx="254">
                  <c:v>257.59809999999999</c:v>
                </c:pt>
                <c:pt idx="255">
                  <c:v>257.79750000000001</c:v>
                </c:pt>
                <c:pt idx="256">
                  <c:v>257.9982</c:v>
                </c:pt>
                <c:pt idx="257">
                  <c:v>258.19880000000001</c:v>
                </c:pt>
                <c:pt idx="258">
                  <c:v>258.39909999999998</c:v>
                </c:pt>
                <c:pt idx="259">
                  <c:v>258.59800000000001</c:v>
                </c:pt>
                <c:pt idx="260">
                  <c:v>258.7996</c:v>
                </c:pt>
                <c:pt idx="261">
                  <c:v>258.99869999999999</c:v>
                </c:pt>
                <c:pt idx="262">
                  <c:v>259.19830000000002</c:v>
                </c:pt>
                <c:pt idx="263">
                  <c:v>259.399</c:v>
                </c:pt>
                <c:pt idx="264">
                  <c:v>259.59800000000001</c:v>
                </c:pt>
                <c:pt idx="265">
                  <c:v>259.79829999999998</c:v>
                </c:pt>
                <c:pt idx="266">
                  <c:v>259.99860000000001</c:v>
                </c:pt>
                <c:pt idx="267">
                  <c:v>260.19979999999998</c:v>
                </c:pt>
                <c:pt idx="268">
                  <c:v>260.39909999999998</c:v>
                </c:pt>
                <c:pt idx="269">
                  <c:v>260.59870000000001</c:v>
                </c:pt>
                <c:pt idx="270">
                  <c:v>260.79989999999998</c:v>
                </c:pt>
                <c:pt idx="271">
                  <c:v>261.0016</c:v>
                </c:pt>
                <c:pt idx="272">
                  <c:v>261.19799999999998</c:v>
                </c:pt>
                <c:pt idx="273">
                  <c:v>261.39940000000001</c:v>
                </c:pt>
                <c:pt idx="274">
                  <c:v>261.59859999999998</c:v>
                </c:pt>
                <c:pt idx="275">
                  <c:v>261.79880000000003</c:v>
                </c:pt>
                <c:pt idx="276">
                  <c:v>261.99799999999999</c:v>
                </c:pt>
                <c:pt idx="277">
                  <c:v>262.19819999999999</c:v>
                </c:pt>
                <c:pt idx="278">
                  <c:v>262.39850000000001</c:v>
                </c:pt>
                <c:pt idx="279">
                  <c:v>262.59890000000001</c:v>
                </c:pt>
                <c:pt idx="280">
                  <c:v>262.79899999999998</c:v>
                </c:pt>
                <c:pt idx="281">
                  <c:v>262.99950000000001</c:v>
                </c:pt>
                <c:pt idx="282">
                  <c:v>263.19779999999997</c:v>
                </c:pt>
                <c:pt idx="283">
                  <c:v>263.399</c:v>
                </c:pt>
                <c:pt idx="284">
                  <c:v>263.60000000000002</c:v>
                </c:pt>
                <c:pt idx="285">
                  <c:v>263.8</c:v>
                </c:pt>
                <c:pt idx="286">
                  <c:v>264.0009</c:v>
                </c:pt>
                <c:pt idx="287">
                  <c:v>264.19839999999999</c:v>
                </c:pt>
                <c:pt idx="288">
                  <c:v>264.39890000000003</c:v>
                </c:pt>
                <c:pt idx="289">
                  <c:v>264.59840000000003</c:v>
                </c:pt>
                <c:pt idx="290">
                  <c:v>264.79880000000003</c:v>
                </c:pt>
                <c:pt idx="291">
                  <c:v>265.00009999999997</c:v>
                </c:pt>
                <c:pt idx="292">
                  <c:v>265.2</c:v>
                </c:pt>
                <c:pt idx="293">
                  <c:v>265.40010000000001</c:v>
                </c:pt>
                <c:pt idx="294">
                  <c:v>265.59930000000003</c:v>
                </c:pt>
                <c:pt idx="295">
                  <c:v>265.79860000000002</c:v>
                </c:pt>
                <c:pt idx="296">
                  <c:v>266</c:v>
                </c:pt>
                <c:pt idx="297">
                  <c:v>266.19959999999998</c:v>
                </c:pt>
                <c:pt idx="298">
                  <c:v>266.399</c:v>
                </c:pt>
                <c:pt idx="299">
                  <c:v>266.5992</c:v>
                </c:pt>
                <c:pt idx="300">
                  <c:v>266.79899999999998</c:v>
                </c:pt>
                <c:pt idx="301">
                  <c:v>266.99959999999999</c:v>
                </c:pt>
                <c:pt idx="302">
                  <c:v>267.19819999999999</c:v>
                </c:pt>
                <c:pt idx="303">
                  <c:v>267.40089999999998</c:v>
                </c:pt>
                <c:pt idx="304">
                  <c:v>267.59879999999998</c:v>
                </c:pt>
                <c:pt idx="305">
                  <c:v>267.79919999999998</c:v>
                </c:pt>
                <c:pt idx="306">
                  <c:v>267.9991</c:v>
                </c:pt>
                <c:pt idx="307">
                  <c:v>268.19830000000002</c:v>
                </c:pt>
                <c:pt idx="308">
                  <c:v>268.39920000000001</c:v>
                </c:pt>
                <c:pt idx="309">
                  <c:v>268.59859999999998</c:v>
                </c:pt>
                <c:pt idx="310">
                  <c:v>268.80040000000002</c:v>
                </c:pt>
                <c:pt idx="311">
                  <c:v>269.0009</c:v>
                </c:pt>
                <c:pt idx="312">
                  <c:v>269.20010000000002</c:v>
                </c:pt>
                <c:pt idx="313">
                  <c:v>269.39870000000002</c:v>
                </c:pt>
                <c:pt idx="314">
                  <c:v>269.59890000000001</c:v>
                </c:pt>
                <c:pt idx="315">
                  <c:v>269.79899999999998</c:v>
                </c:pt>
                <c:pt idx="316">
                  <c:v>269.9991</c:v>
                </c:pt>
                <c:pt idx="317">
                  <c:v>270.20030000000003</c:v>
                </c:pt>
                <c:pt idx="318">
                  <c:v>270.7989</c:v>
                </c:pt>
                <c:pt idx="319">
                  <c:v>270.99990000000003</c:v>
                </c:pt>
                <c:pt idx="320">
                  <c:v>271.19850000000002</c:v>
                </c:pt>
                <c:pt idx="321">
                  <c:v>271.39859999999999</c:v>
                </c:pt>
                <c:pt idx="322">
                  <c:v>271.60050000000001</c:v>
                </c:pt>
                <c:pt idx="323">
                  <c:v>271.79899999999998</c:v>
                </c:pt>
                <c:pt idx="324">
                  <c:v>272.00060000000002</c:v>
                </c:pt>
                <c:pt idx="325">
                  <c:v>272.19979999999998</c:v>
                </c:pt>
                <c:pt idx="326">
                  <c:v>272.40120000000002</c:v>
                </c:pt>
                <c:pt idx="327">
                  <c:v>272.59960000000001</c:v>
                </c:pt>
                <c:pt idx="328">
                  <c:v>272.79919999999998</c:v>
                </c:pt>
                <c:pt idx="329">
                  <c:v>272.99959999999999</c:v>
                </c:pt>
                <c:pt idx="330">
                  <c:v>273.19920000000002</c:v>
                </c:pt>
                <c:pt idx="331">
                  <c:v>273.3997</c:v>
                </c:pt>
                <c:pt idx="332">
                  <c:v>273.59960000000001</c:v>
                </c:pt>
                <c:pt idx="333">
                  <c:v>273.79829999999998</c:v>
                </c:pt>
                <c:pt idx="334">
                  <c:v>274.00069999999999</c:v>
                </c:pt>
                <c:pt idx="335">
                  <c:v>274.2</c:v>
                </c:pt>
                <c:pt idx="336">
                  <c:v>274.39870000000002</c:v>
                </c:pt>
                <c:pt idx="337">
                  <c:v>274.60050000000001</c:v>
                </c:pt>
                <c:pt idx="338">
                  <c:v>274.8</c:v>
                </c:pt>
                <c:pt idx="339">
                  <c:v>274.9991</c:v>
                </c:pt>
                <c:pt idx="340">
                  <c:v>275.19990000000001</c:v>
                </c:pt>
                <c:pt idx="341">
                  <c:v>275.39940000000001</c:v>
                </c:pt>
                <c:pt idx="342">
                  <c:v>275.601</c:v>
                </c:pt>
                <c:pt idx="343">
                  <c:v>275.7998</c:v>
                </c:pt>
                <c:pt idx="344">
                  <c:v>276.00380000000001</c:v>
                </c:pt>
                <c:pt idx="345">
                  <c:v>276.20069999999998</c:v>
                </c:pt>
                <c:pt idx="346">
                  <c:v>276.40050000000002</c:v>
                </c:pt>
                <c:pt idx="347">
                  <c:v>276.60140000000001</c:v>
                </c:pt>
                <c:pt idx="348">
                  <c:v>276.80250000000001</c:v>
                </c:pt>
                <c:pt idx="349">
                  <c:v>276.99950000000001</c:v>
                </c:pt>
                <c:pt idx="350">
                  <c:v>277.2013</c:v>
                </c:pt>
                <c:pt idx="351">
                  <c:v>277.4015</c:v>
                </c:pt>
                <c:pt idx="352">
                  <c:v>277.59910000000002</c:v>
                </c:pt>
                <c:pt idx="353">
                  <c:v>277.80239999999998</c:v>
                </c:pt>
                <c:pt idx="354">
                  <c:v>278.00020000000001</c:v>
                </c:pt>
                <c:pt idx="355">
                  <c:v>278.20150000000001</c:v>
                </c:pt>
                <c:pt idx="356">
                  <c:v>278.40120000000002</c:v>
                </c:pt>
                <c:pt idx="357">
                  <c:v>278.60090000000002</c:v>
                </c:pt>
                <c:pt idx="358">
                  <c:v>278.79919999999998</c:v>
                </c:pt>
                <c:pt idx="359">
                  <c:v>279.00040000000001</c:v>
                </c:pt>
                <c:pt idx="360">
                  <c:v>279.20209999999997</c:v>
                </c:pt>
                <c:pt idx="361">
                  <c:v>279.39920000000001</c:v>
                </c:pt>
                <c:pt idx="362">
                  <c:v>279.6019</c:v>
                </c:pt>
                <c:pt idx="363">
                  <c:v>279.80119999999999</c:v>
                </c:pt>
                <c:pt idx="364">
                  <c:v>279.99970000000002</c:v>
                </c:pt>
                <c:pt idx="365">
                  <c:v>280.20089999999999</c:v>
                </c:pt>
                <c:pt idx="366">
                  <c:v>280.4008</c:v>
                </c:pt>
                <c:pt idx="367">
                  <c:v>280.59890000000001</c:v>
                </c:pt>
                <c:pt idx="368">
                  <c:v>280.79939999999999</c:v>
                </c:pt>
                <c:pt idx="369">
                  <c:v>281.00290000000001</c:v>
                </c:pt>
                <c:pt idx="370">
                  <c:v>281.20170000000002</c:v>
                </c:pt>
                <c:pt idx="371">
                  <c:v>281.40109999999999</c:v>
                </c:pt>
                <c:pt idx="372">
                  <c:v>281.59960000000001</c:v>
                </c:pt>
                <c:pt idx="373">
                  <c:v>281.80119999999999</c:v>
                </c:pt>
                <c:pt idx="374">
                  <c:v>281.9991</c:v>
                </c:pt>
                <c:pt idx="375">
                  <c:v>282.19959999999998</c:v>
                </c:pt>
                <c:pt idx="376">
                  <c:v>282.4015</c:v>
                </c:pt>
                <c:pt idx="377">
                  <c:v>282.60079999999999</c:v>
                </c:pt>
                <c:pt idx="378">
                  <c:v>282.8014</c:v>
                </c:pt>
                <c:pt idx="379">
                  <c:v>283.00130000000001</c:v>
                </c:pt>
                <c:pt idx="380">
                  <c:v>283.20080000000002</c:v>
                </c:pt>
                <c:pt idx="381">
                  <c:v>283.3997</c:v>
                </c:pt>
                <c:pt idx="382">
                  <c:v>283.59980000000002</c:v>
                </c:pt>
                <c:pt idx="383">
                  <c:v>283.79989999999998</c:v>
                </c:pt>
                <c:pt idx="384">
                  <c:v>284.00189999999998</c:v>
                </c:pt>
                <c:pt idx="385">
                  <c:v>284.20159999999998</c:v>
                </c:pt>
                <c:pt idx="386">
                  <c:v>284.40050000000002</c:v>
                </c:pt>
                <c:pt idx="387">
                  <c:v>284.60039999999998</c:v>
                </c:pt>
                <c:pt idx="388">
                  <c:v>284.80070000000001</c:v>
                </c:pt>
                <c:pt idx="389">
                  <c:v>284.99919999999997</c:v>
                </c:pt>
                <c:pt idx="390">
                  <c:v>285.20089999999999</c:v>
                </c:pt>
                <c:pt idx="391">
                  <c:v>285.4006</c:v>
                </c:pt>
                <c:pt idx="392">
                  <c:v>285.59960000000001</c:v>
                </c:pt>
                <c:pt idx="393">
                  <c:v>285.80200000000002</c:v>
                </c:pt>
                <c:pt idx="394">
                  <c:v>285.99959999999999</c:v>
                </c:pt>
                <c:pt idx="395">
                  <c:v>286.20119999999997</c:v>
                </c:pt>
                <c:pt idx="396">
                  <c:v>286.4015</c:v>
                </c:pt>
                <c:pt idx="397">
                  <c:v>286.60120000000001</c:v>
                </c:pt>
                <c:pt idx="398">
                  <c:v>286.80380000000002</c:v>
                </c:pt>
                <c:pt idx="399">
                  <c:v>287.00279999999998</c:v>
                </c:pt>
                <c:pt idx="400">
                  <c:v>287.2</c:v>
                </c:pt>
                <c:pt idx="401">
                  <c:v>287.40050000000002</c:v>
                </c:pt>
                <c:pt idx="402">
                  <c:v>287.60160000000002</c:v>
                </c:pt>
                <c:pt idx="403">
                  <c:v>287.7998</c:v>
                </c:pt>
                <c:pt idx="404">
                  <c:v>288.00229999999999</c:v>
                </c:pt>
                <c:pt idx="405">
                  <c:v>288.20249999999999</c:v>
                </c:pt>
                <c:pt idx="406">
                  <c:v>288.40109999999999</c:v>
                </c:pt>
                <c:pt idx="407">
                  <c:v>288.6035</c:v>
                </c:pt>
                <c:pt idx="408">
                  <c:v>288.80220000000003</c:v>
                </c:pt>
                <c:pt idx="409">
                  <c:v>288.99990000000003</c:v>
                </c:pt>
                <c:pt idx="410">
                  <c:v>289.21030000000002</c:v>
                </c:pt>
                <c:pt idx="411">
                  <c:v>289.40109999999999</c:v>
                </c:pt>
                <c:pt idx="412">
                  <c:v>289.60109999999997</c:v>
                </c:pt>
                <c:pt idx="413">
                  <c:v>289.80020000000002</c:v>
                </c:pt>
                <c:pt idx="414">
                  <c:v>290.00110000000001</c:v>
                </c:pt>
                <c:pt idx="415">
                  <c:v>290.20229999999998</c:v>
                </c:pt>
                <c:pt idx="416">
                  <c:v>290.40199999999999</c:v>
                </c:pt>
                <c:pt idx="417">
                  <c:v>290.59969999999998</c:v>
                </c:pt>
                <c:pt idx="418">
                  <c:v>290.80239999999998</c:v>
                </c:pt>
                <c:pt idx="419">
                  <c:v>290.99959999999999</c:v>
                </c:pt>
                <c:pt idx="420">
                  <c:v>291.20170000000002</c:v>
                </c:pt>
                <c:pt idx="421">
                  <c:v>291.4024</c:v>
                </c:pt>
                <c:pt idx="422">
                  <c:v>291.60230000000001</c:v>
                </c:pt>
                <c:pt idx="423">
                  <c:v>291.8023</c:v>
                </c:pt>
                <c:pt idx="424">
                  <c:v>292</c:v>
                </c:pt>
                <c:pt idx="425">
                  <c:v>292.20139999999998</c:v>
                </c:pt>
                <c:pt idx="426">
                  <c:v>292.40230000000003</c:v>
                </c:pt>
                <c:pt idx="427">
                  <c:v>292.6028</c:v>
                </c:pt>
                <c:pt idx="428">
                  <c:v>292.80070000000001</c:v>
                </c:pt>
                <c:pt idx="429">
                  <c:v>293.0016</c:v>
                </c:pt>
                <c:pt idx="430">
                  <c:v>293.2011</c:v>
                </c:pt>
                <c:pt idx="431">
                  <c:v>293.40100000000001</c:v>
                </c:pt>
                <c:pt idx="432">
                  <c:v>293.60050000000001</c:v>
                </c:pt>
                <c:pt idx="433">
                  <c:v>293.80110000000002</c:v>
                </c:pt>
                <c:pt idx="434">
                  <c:v>294.00130000000001</c:v>
                </c:pt>
                <c:pt idx="435">
                  <c:v>294.20080000000002</c:v>
                </c:pt>
                <c:pt idx="436">
                  <c:v>294.40069999999997</c:v>
                </c:pt>
                <c:pt idx="437">
                  <c:v>294.60050000000001</c:v>
                </c:pt>
                <c:pt idx="438">
                  <c:v>294.8</c:v>
                </c:pt>
                <c:pt idx="439">
                  <c:v>295.00119999999998</c:v>
                </c:pt>
                <c:pt idx="440">
                  <c:v>295.2002</c:v>
                </c:pt>
                <c:pt idx="441">
                  <c:v>295.40190000000001</c:v>
                </c:pt>
                <c:pt idx="442">
                  <c:v>295.60129999999998</c:v>
                </c:pt>
                <c:pt idx="443">
                  <c:v>295.80189999999999</c:v>
                </c:pt>
                <c:pt idx="444">
                  <c:v>296.00020000000001</c:v>
                </c:pt>
                <c:pt idx="445">
                  <c:v>296.20030000000003</c:v>
                </c:pt>
                <c:pt idx="446">
                  <c:v>296.40230000000003</c:v>
                </c:pt>
                <c:pt idx="447">
                  <c:v>296.60199999999998</c:v>
                </c:pt>
                <c:pt idx="448">
                  <c:v>296.80110000000002</c:v>
                </c:pt>
                <c:pt idx="449">
                  <c:v>297.00130000000001</c:v>
                </c:pt>
                <c:pt idx="450">
                  <c:v>297.20179999999999</c:v>
                </c:pt>
                <c:pt idx="451">
                  <c:v>297.4008</c:v>
                </c:pt>
                <c:pt idx="452">
                  <c:v>297.60149999999999</c:v>
                </c:pt>
                <c:pt idx="453">
                  <c:v>297.80180000000001</c:v>
                </c:pt>
                <c:pt idx="454">
                  <c:v>297.99979999999999</c:v>
                </c:pt>
                <c:pt idx="455">
                  <c:v>298.20150000000001</c:v>
                </c:pt>
                <c:pt idx="456">
                  <c:v>298.40429999999998</c:v>
                </c:pt>
                <c:pt idx="457">
                  <c:v>298.6003</c:v>
                </c:pt>
                <c:pt idx="458">
                  <c:v>298.80239999999998</c:v>
                </c:pt>
                <c:pt idx="459">
                  <c:v>299.00119999999998</c:v>
                </c:pt>
                <c:pt idx="460">
                  <c:v>299.20190000000002</c:v>
                </c:pt>
                <c:pt idx="461">
                  <c:v>299.40140000000002</c:v>
                </c:pt>
                <c:pt idx="462">
                  <c:v>299.60199999999998</c:v>
                </c:pt>
                <c:pt idx="463">
                  <c:v>299.80059999999997</c:v>
                </c:pt>
                <c:pt idx="464">
                  <c:v>300.00009999999997</c:v>
                </c:pt>
                <c:pt idx="465">
                  <c:v>300.2038</c:v>
                </c:pt>
                <c:pt idx="466">
                  <c:v>300.40179999999998</c:v>
                </c:pt>
                <c:pt idx="467">
                  <c:v>300.60199999999998</c:v>
                </c:pt>
                <c:pt idx="468">
                  <c:v>300.8005</c:v>
                </c:pt>
                <c:pt idx="469">
                  <c:v>301.0009</c:v>
                </c:pt>
                <c:pt idx="470">
                  <c:v>301.20069999999998</c:v>
                </c:pt>
                <c:pt idx="471">
                  <c:v>301.40010000000001</c:v>
                </c:pt>
                <c:pt idx="472">
                  <c:v>301.60090000000002</c:v>
                </c:pt>
                <c:pt idx="473">
                  <c:v>301.80009999999999</c:v>
                </c:pt>
                <c:pt idx="474">
                  <c:v>302.00310000000002</c:v>
                </c:pt>
                <c:pt idx="475">
                  <c:v>302.20240000000001</c:v>
                </c:pt>
                <c:pt idx="476">
                  <c:v>302.40170000000001</c:v>
                </c:pt>
                <c:pt idx="477">
                  <c:v>302.60129999999998</c:v>
                </c:pt>
                <c:pt idx="478">
                  <c:v>302.80099999999999</c:v>
                </c:pt>
                <c:pt idx="479">
                  <c:v>303.00040000000001</c:v>
                </c:pt>
                <c:pt idx="480">
                  <c:v>303.20359999999999</c:v>
                </c:pt>
                <c:pt idx="481">
                  <c:v>303.40019999999998</c:v>
                </c:pt>
                <c:pt idx="482">
                  <c:v>303.60079999999999</c:v>
                </c:pt>
                <c:pt idx="483">
                  <c:v>303.80099999999999</c:v>
                </c:pt>
                <c:pt idx="484">
                  <c:v>304.0025</c:v>
                </c:pt>
                <c:pt idx="485">
                  <c:v>304.20319999999998</c:v>
                </c:pt>
                <c:pt idx="486">
                  <c:v>304.40109999999999</c:v>
                </c:pt>
                <c:pt idx="487">
                  <c:v>304.60230000000001</c:v>
                </c:pt>
                <c:pt idx="488">
                  <c:v>304.80220000000003</c:v>
                </c:pt>
                <c:pt idx="489">
                  <c:v>305.00110000000001</c:v>
                </c:pt>
                <c:pt idx="490">
                  <c:v>305.20319999999998</c:v>
                </c:pt>
                <c:pt idx="491">
                  <c:v>305.40210000000002</c:v>
                </c:pt>
                <c:pt idx="492">
                  <c:v>305.60050000000001</c:v>
                </c:pt>
                <c:pt idx="493">
                  <c:v>305.80180000000001</c:v>
                </c:pt>
                <c:pt idx="494">
                  <c:v>306.0027</c:v>
                </c:pt>
                <c:pt idx="495">
                  <c:v>306.2011</c:v>
                </c:pt>
                <c:pt idx="496">
                  <c:v>306.4015</c:v>
                </c:pt>
                <c:pt idx="497">
                  <c:v>306.6003</c:v>
                </c:pt>
                <c:pt idx="498">
                  <c:v>306.80160000000001</c:v>
                </c:pt>
                <c:pt idx="499">
                  <c:v>307.00220000000002</c:v>
                </c:pt>
                <c:pt idx="500">
                  <c:v>307.20089999999999</c:v>
                </c:pt>
                <c:pt idx="501">
                  <c:v>307.4015</c:v>
                </c:pt>
                <c:pt idx="502">
                  <c:v>307.60059999999999</c:v>
                </c:pt>
                <c:pt idx="503">
                  <c:v>307.80090000000001</c:v>
                </c:pt>
                <c:pt idx="504">
                  <c:v>308.0034</c:v>
                </c:pt>
                <c:pt idx="505">
                  <c:v>308.20139999999998</c:v>
                </c:pt>
                <c:pt idx="506">
                  <c:v>308.40120000000002</c:v>
                </c:pt>
                <c:pt idx="507">
                  <c:v>308.60070000000002</c:v>
                </c:pt>
                <c:pt idx="508">
                  <c:v>308.80180000000001</c:v>
                </c:pt>
                <c:pt idx="509">
                  <c:v>309.0034</c:v>
                </c:pt>
                <c:pt idx="510">
                  <c:v>309.20049999999998</c:v>
                </c:pt>
                <c:pt idx="511">
                  <c:v>309.40339999999998</c:v>
                </c:pt>
                <c:pt idx="512">
                  <c:v>309.60359999999997</c:v>
                </c:pt>
                <c:pt idx="513">
                  <c:v>309.80380000000002</c:v>
                </c:pt>
                <c:pt idx="514">
                  <c:v>310.00349999999997</c:v>
                </c:pt>
                <c:pt idx="515">
                  <c:v>310.20240000000001</c:v>
                </c:pt>
                <c:pt idx="516">
                  <c:v>310.40190000000001</c:v>
                </c:pt>
                <c:pt idx="517">
                  <c:v>310.60090000000002</c:v>
                </c:pt>
                <c:pt idx="518">
                  <c:v>310.80059999999997</c:v>
                </c:pt>
                <c:pt idx="519">
                  <c:v>311.00240000000002</c:v>
                </c:pt>
                <c:pt idx="520">
                  <c:v>311.20350000000002</c:v>
                </c:pt>
                <c:pt idx="521">
                  <c:v>311.4015</c:v>
                </c:pt>
                <c:pt idx="522">
                  <c:v>311.60079999999999</c:v>
                </c:pt>
                <c:pt idx="523">
                  <c:v>311.80099999999999</c:v>
                </c:pt>
                <c:pt idx="524">
                  <c:v>312.00099999999998</c:v>
                </c:pt>
                <c:pt idx="525">
                  <c:v>312.20170000000002</c:v>
                </c:pt>
                <c:pt idx="526">
                  <c:v>312.40210000000002</c:v>
                </c:pt>
                <c:pt idx="527">
                  <c:v>312.60219999999998</c:v>
                </c:pt>
                <c:pt idx="528">
                  <c:v>312.80079999999998</c:v>
                </c:pt>
                <c:pt idx="529">
                  <c:v>313.00150000000002</c:v>
                </c:pt>
                <c:pt idx="530">
                  <c:v>313.20119999999997</c:v>
                </c:pt>
                <c:pt idx="531">
                  <c:v>313.40190000000001</c:v>
                </c:pt>
                <c:pt idx="532">
                  <c:v>313.60140000000001</c:v>
                </c:pt>
                <c:pt idx="533">
                  <c:v>313.80340000000001</c:v>
                </c:pt>
                <c:pt idx="534">
                  <c:v>314.00279999999998</c:v>
                </c:pt>
                <c:pt idx="535">
                  <c:v>314.20089999999999</c:v>
                </c:pt>
                <c:pt idx="536">
                  <c:v>314.40219999999999</c:v>
                </c:pt>
                <c:pt idx="537">
                  <c:v>314.6035</c:v>
                </c:pt>
                <c:pt idx="538">
                  <c:v>314.80290000000002</c:v>
                </c:pt>
                <c:pt idx="539">
                  <c:v>315.00319999999999</c:v>
                </c:pt>
                <c:pt idx="540">
                  <c:v>315.20389999999998</c:v>
                </c:pt>
                <c:pt idx="541">
                  <c:v>315.4024</c:v>
                </c:pt>
                <c:pt idx="542">
                  <c:v>315.60140000000001</c:v>
                </c:pt>
                <c:pt idx="543">
                  <c:v>315.80239999999998</c:v>
                </c:pt>
                <c:pt idx="544">
                  <c:v>316.00200000000001</c:v>
                </c:pt>
                <c:pt idx="545">
                  <c:v>316.20229999999998</c:v>
                </c:pt>
                <c:pt idx="546">
                  <c:v>316.40280000000001</c:v>
                </c:pt>
                <c:pt idx="547">
                  <c:v>316.60289999999998</c:v>
                </c:pt>
                <c:pt idx="548">
                  <c:v>316.80250000000001</c:v>
                </c:pt>
                <c:pt idx="549">
                  <c:v>317.00420000000003</c:v>
                </c:pt>
                <c:pt idx="550">
                  <c:v>317.20119999999997</c:v>
                </c:pt>
                <c:pt idx="551">
                  <c:v>317.4024</c:v>
                </c:pt>
                <c:pt idx="552">
                  <c:v>317.60120000000001</c:v>
                </c:pt>
                <c:pt idx="553">
                  <c:v>317.8039</c:v>
                </c:pt>
                <c:pt idx="554">
                  <c:v>318.00319999999999</c:v>
                </c:pt>
                <c:pt idx="555">
                  <c:v>318.20260000000002</c:v>
                </c:pt>
                <c:pt idx="556">
                  <c:v>318.40109999999999</c:v>
                </c:pt>
                <c:pt idx="557">
                  <c:v>318.60300000000001</c:v>
                </c:pt>
                <c:pt idx="558">
                  <c:v>318.8014</c:v>
                </c:pt>
                <c:pt idx="559">
                  <c:v>319.00229999999999</c:v>
                </c:pt>
                <c:pt idx="560">
                  <c:v>319.20280000000002</c:v>
                </c:pt>
                <c:pt idx="561">
                  <c:v>319.40230000000003</c:v>
                </c:pt>
                <c:pt idx="562">
                  <c:v>319.60140000000001</c:v>
                </c:pt>
                <c:pt idx="563">
                  <c:v>319.80200000000002</c:v>
                </c:pt>
                <c:pt idx="564">
                  <c:v>320.00229999999999</c:v>
                </c:pt>
                <c:pt idx="565">
                  <c:v>320.20179999999999</c:v>
                </c:pt>
                <c:pt idx="566">
                  <c:v>320.4024</c:v>
                </c:pt>
                <c:pt idx="567">
                  <c:v>320.60140000000001</c:v>
                </c:pt>
                <c:pt idx="568">
                  <c:v>320.80399999999997</c:v>
                </c:pt>
                <c:pt idx="569">
                  <c:v>321.00450000000001</c:v>
                </c:pt>
                <c:pt idx="570">
                  <c:v>321.20299999999997</c:v>
                </c:pt>
                <c:pt idx="571">
                  <c:v>321.40230000000003</c:v>
                </c:pt>
                <c:pt idx="572">
                  <c:v>321.60230000000001</c:v>
                </c:pt>
                <c:pt idx="573">
                  <c:v>321.80259999999998</c:v>
                </c:pt>
                <c:pt idx="574">
                  <c:v>322.00139999999999</c:v>
                </c:pt>
                <c:pt idx="575">
                  <c:v>322.20479999999998</c:v>
                </c:pt>
                <c:pt idx="576">
                  <c:v>322.40390000000002</c:v>
                </c:pt>
                <c:pt idx="577">
                  <c:v>322.60129999999998</c:v>
                </c:pt>
                <c:pt idx="578">
                  <c:v>322.8032</c:v>
                </c:pt>
                <c:pt idx="579">
                  <c:v>323.00200000000001</c:v>
                </c:pt>
                <c:pt idx="580">
                  <c:v>323.20280000000002</c:v>
                </c:pt>
                <c:pt idx="581">
                  <c:v>323.40179999999998</c:v>
                </c:pt>
                <c:pt idx="582">
                  <c:v>323.60329999999999</c:v>
                </c:pt>
                <c:pt idx="583">
                  <c:v>323.80450000000002</c:v>
                </c:pt>
                <c:pt idx="584">
                  <c:v>324.0018</c:v>
                </c:pt>
                <c:pt idx="585">
                  <c:v>324.20229999999998</c:v>
                </c:pt>
                <c:pt idx="586">
                  <c:v>324.40359999999998</c:v>
                </c:pt>
                <c:pt idx="587">
                  <c:v>324.60149999999999</c:v>
                </c:pt>
                <c:pt idx="588">
                  <c:v>324.80290000000002</c:v>
                </c:pt>
                <c:pt idx="589">
                  <c:v>325.00229999999999</c:v>
                </c:pt>
                <c:pt idx="590">
                  <c:v>325.20429999999999</c:v>
                </c:pt>
                <c:pt idx="591">
                  <c:v>325.40219999999999</c:v>
                </c:pt>
                <c:pt idx="592">
                  <c:v>325.60449999999997</c:v>
                </c:pt>
                <c:pt idx="593">
                  <c:v>325.80500000000001</c:v>
                </c:pt>
                <c:pt idx="594">
                  <c:v>326.0043</c:v>
                </c:pt>
                <c:pt idx="595">
                  <c:v>326.20479999999998</c:v>
                </c:pt>
                <c:pt idx="596">
                  <c:v>326.40460000000002</c:v>
                </c:pt>
                <c:pt idx="597">
                  <c:v>326.6028</c:v>
                </c:pt>
                <c:pt idx="598">
                  <c:v>326.80239999999998</c:v>
                </c:pt>
                <c:pt idx="599">
                  <c:v>327.00490000000002</c:v>
                </c:pt>
                <c:pt idx="600">
                  <c:v>327.202</c:v>
                </c:pt>
                <c:pt idx="601">
                  <c:v>327.40519999999998</c:v>
                </c:pt>
                <c:pt idx="602">
                  <c:v>327.60180000000003</c:v>
                </c:pt>
                <c:pt idx="603">
                  <c:v>327.8021</c:v>
                </c:pt>
                <c:pt idx="604">
                  <c:v>328.0027</c:v>
                </c:pt>
                <c:pt idx="605">
                  <c:v>328.2045</c:v>
                </c:pt>
                <c:pt idx="606">
                  <c:v>328.40379999999999</c:v>
                </c:pt>
                <c:pt idx="607">
                  <c:v>328.60410000000002</c:v>
                </c:pt>
                <c:pt idx="608">
                  <c:v>328.80509999999998</c:v>
                </c:pt>
                <c:pt idx="609">
                  <c:v>329.00319999999999</c:v>
                </c:pt>
                <c:pt idx="610">
                  <c:v>329.20260000000002</c:v>
                </c:pt>
                <c:pt idx="611">
                  <c:v>329.40320000000003</c:v>
                </c:pt>
                <c:pt idx="612">
                  <c:v>329.60180000000003</c:v>
                </c:pt>
                <c:pt idx="613">
                  <c:v>329.80439999999999</c:v>
                </c:pt>
                <c:pt idx="614">
                  <c:v>330.00259999999997</c:v>
                </c:pt>
                <c:pt idx="615">
                  <c:v>330.2038</c:v>
                </c:pt>
                <c:pt idx="616">
                  <c:v>330.80180000000001</c:v>
                </c:pt>
                <c:pt idx="617">
                  <c:v>331.00319999999999</c:v>
                </c:pt>
                <c:pt idx="618">
                  <c:v>331.20440000000002</c:v>
                </c:pt>
                <c:pt idx="619">
                  <c:v>331.40230000000003</c:v>
                </c:pt>
                <c:pt idx="620">
                  <c:v>331.60419999999999</c:v>
                </c:pt>
                <c:pt idx="621">
                  <c:v>331.80450000000002</c:v>
                </c:pt>
                <c:pt idx="622">
                  <c:v>332.00380000000001</c:v>
                </c:pt>
                <c:pt idx="623">
                  <c:v>332.2045</c:v>
                </c:pt>
                <c:pt idx="624">
                  <c:v>332.4033</c:v>
                </c:pt>
                <c:pt idx="625">
                  <c:v>332.60430000000002</c:v>
                </c:pt>
                <c:pt idx="626">
                  <c:v>332.80329999999998</c:v>
                </c:pt>
                <c:pt idx="627">
                  <c:v>333.005</c:v>
                </c:pt>
                <c:pt idx="628">
                  <c:v>333.20420000000001</c:v>
                </c:pt>
                <c:pt idx="629">
                  <c:v>333.40390000000002</c:v>
                </c:pt>
                <c:pt idx="630">
                  <c:v>333.6044</c:v>
                </c:pt>
                <c:pt idx="631">
                  <c:v>333.80410000000001</c:v>
                </c:pt>
                <c:pt idx="632">
                  <c:v>334.00450000000001</c:v>
                </c:pt>
                <c:pt idx="633">
                  <c:v>334.20229999999998</c:v>
                </c:pt>
                <c:pt idx="634">
                  <c:v>334.4033</c:v>
                </c:pt>
                <c:pt idx="635">
                  <c:v>334.60579999999999</c:v>
                </c:pt>
                <c:pt idx="636">
                  <c:v>334.80309999999997</c:v>
                </c:pt>
                <c:pt idx="637">
                  <c:v>335.00279999999998</c:v>
                </c:pt>
                <c:pt idx="638">
                  <c:v>335.2029</c:v>
                </c:pt>
                <c:pt idx="639">
                  <c:v>335.40359999999998</c:v>
                </c:pt>
                <c:pt idx="640">
                  <c:v>335.60239999999999</c:v>
                </c:pt>
                <c:pt idx="641">
                  <c:v>335.80470000000003</c:v>
                </c:pt>
                <c:pt idx="642">
                  <c:v>336.0025</c:v>
                </c:pt>
                <c:pt idx="643">
                  <c:v>336.20429999999999</c:v>
                </c:pt>
                <c:pt idx="644">
                  <c:v>336.40379999999999</c:v>
                </c:pt>
                <c:pt idx="645">
                  <c:v>336.60309999999998</c:v>
                </c:pt>
                <c:pt idx="646">
                  <c:v>336.80340000000001</c:v>
                </c:pt>
                <c:pt idx="647">
                  <c:v>337.0027</c:v>
                </c:pt>
                <c:pt idx="648">
                  <c:v>337.20409999999998</c:v>
                </c:pt>
                <c:pt idx="649">
                  <c:v>337.4033</c:v>
                </c:pt>
                <c:pt idx="650">
                  <c:v>337.60340000000002</c:v>
                </c:pt>
                <c:pt idx="651">
                  <c:v>337.80349999999999</c:v>
                </c:pt>
                <c:pt idx="652">
                  <c:v>338.00240000000002</c:v>
                </c:pt>
                <c:pt idx="653">
                  <c:v>338.20490000000001</c:v>
                </c:pt>
                <c:pt idx="654">
                  <c:v>338.40280000000001</c:v>
                </c:pt>
                <c:pt idx="655">
                  <c:v>338.60410000000002</c:v>
                </c:pt>
                <c:pt idx="656">
                  <c:v>338.80549999999999</c:v>
                </c:pt>
                <c:pt idx="657">
                  <c:v>339.00400000000002</c:v>
                </c:pt>
                <c:pt idx="658">
                  <c:v>339.20260000000002</c:v>
                </c:pt>
                <c:pt idx="659">
                  <c:v>339.4042</c:v>
                </c:pt>
                <c:pt idx="660">
                  <c:v>339.60379999999998</c:v>
                </c:pt>
                <c:pt idx="661">
                  <c:v>339.80430000000001</c:v>
                </c:pt>
                <c:pt idx="662">
                  <c:v>340.00380000000001</c:v>
                </c:pt>
                <c:pt idx="663">
                  <c:v>340.20479999999998</c:v>
                </c:pt>
                <c:pt idx="664">
                  <c:v>340.40339999999998</c:v>
                </c:pt>
                <c:pt idx="665">
                  <c:v>340.60399999999998</c:v>
                </c:pt>
                <c:pt idx="666">
                  <c:v>340.803</c:v>
                </c:pt>
                <c:pt idx="667">
                  <c:v>341.00360000000001</c:v>
                </c:pt>
                <c:pt idx="668">
                  <c:v>341.20499999999998</c:v>
                </c:pt>
                <c:pt idx="669">
                  <c:v>341.40460000000002</c:v>
                </c:pt>
                <c:pt idx="670">
                  <c:v>341.60359999999997</c:v>
                </c:pt>
                <c:pt idx="671">
                  <c:v>341.803</c:v>
                </c:pt>
                <c:pt idx="672">
                  <c:v>342.00540000000001</c:v>
                </c:pt>
                <c:pt idx="673">
                  <c:v>342.20269999999999</c:v>
                </c:pt>
                <c:pt idx="674">
                  <c:v>342.40440000000001</c:v>
                </c:pt>
                <c:pt idx="675">
                  <c:v>342.6035</c:v>
                </c:pt>
                <c:pt idx="676">
                  <c:v>342.80399999999997</c:v>
                </c:pt>
                <c:pt idx="677">
                  <c:v>343.00299999999999</c:v>
                </c:pt>
                <c:pt idx="678">
                  <c:v>343.20499999999998</c:v>
                </c:pt>
                <c:pt idx="679">
                  <c:v>343.40339999999998</c:v>
                </c:pt>
                <c:pt idx="680">
                  <c:v>343.6035</c:v>
                </c:pt>
                <c:pt idx="681">
                  <c:v>343.80599999999998</c:v>
                </c:pt>
                <c:pt idx="682">
                  <c:v>344.00319999999999</c:v>
                </c:pt>
                <c:pt idx="683">
                  <c:v>344.2063</c:v>
                </c:pt>
                <c:pt idx="684">
                  <c:v>344.40449999999998</c:v>
                </c:pt>
                <c:pt idx="685">
                  <c:v>344.60410000000002</c:v>
                </c:pt>
                <c:pt idx="686">
                  <c:v>344.80590000000001</c:v>
                </c:pt>
                <c:pt idx="687">
                  <c:v>345.0061</c:v>
                </c:pt>
                <c:pt idx="688">
                  <c:v>345.2045</c:v>
                </c:pt>
                <c:pt idx="689">
                  <c:v>345.40499999999997</c:v>
                </c:pt>
                <c:pt idx="690">
                  <c:v>345.60390000000001</c:v>
                </c:pt>
                <c:pt idx="691">
                  <c:v>345.80470000000003</c:v>
                </c:pt>
                <c:pt idx="692">
                  <c:v>346.0061</c:v>
                </c:pt>
                <c:pt idx="693">
                  <c:v>346.20359999999999</c:v>
                </c:pt>
                <c:pt idx="694">
                  <c:v>346.40550000000002</c:v>
                </c:pt>
                <c:pt idx="695">
                  <c:v>346.6044</c:v>
                </c:pt>
                <c:pt idx="696">
                  <c:v>346.80450000000002</c:v>
                </c:pt>
                <c:pt idx="697">
                  <c:v>347.00470000000001</c:v>
                </c:pt>
                <c:pt idx="698">
                  <c:v>347.20620000000002</c:v>
                </c:pt>
                <c:pt idx="699">
                  <c:v>347.40460000000002</c:v>
                </c:pt>
                <c:pt idx="700">
                  <c:v>347.6053</c:v>
                </c:pt>
                <c:pt idx="701">
                  <c:v>347.8048</c:v>
                </c:pt>
                <c:pt idx="702">
                  <c:v>348.00380000000001</c:v>
                </c:pt>
                <c:pt idx="703">
                  <c:v>348.20530000000002</c:v>
                </c:pt>
                <c:pt idx="704">
                  <c:v>348.40379999999999</c:v>
                </c:pt>
                <c:pt idx="705">
                  <c:v>348.60489999999999</c:v>
                </c:pt>
                <c:pt idx="706">
                  <c:v>348.8032</c:v>
                </c:pt>
                <c:pt idx="707">
                  <c:v>349.00389999999999</c:v>
                </c:pt>
                <c:pt idx="708">
                  <c:v>349.20339999999999</c:v>
                </c:pt>
                <c:pt idx="709">
                  <c:v>349.40309999999999</c:v>
                </c:pt>
                <c:pt idx="710">
                  <c:v>349.60610000000003</c:v>
                </c:pt>
                <c:pt idx="711">
                  <c:v>349.80489999999998</c:v>
                </c:pt>
                <c:pt idx="712">
                  <c:v>350.00470000000001</c:v>
                </c:pt>
                <c:pt idx="713">
                  <c:v>350.20530000000002</c:v>
                </c:pt>
                <c:pt idx="714">
                  <c:v>350.4049</c:v>
                </c:pt>
                <c:pt idx="715">
                  <c:v>350.60559999999998</c:v>
                </c:pt>
                <c:pt idx="716">
                  <c:v>350.80549999999999</c:v>
                </c:pt>
                <c:pt idx="717">
                  <c:v>351.00599999999997</c:v>
                </c:pt>
                <c:pt idx="718">
                  <c:v>351.20510000000002</c:v>
                </c:pt>
                <c:pt idx="719">
                  <c:v>351.40530000000001</c:v>
                </c:pt>
                <c:pt idx="720">
                  <c:v>351.60430000000002</c:v>
                </c:pt>
                <c:pt idx="721">
                  <c:v>351.80509999999998</c:v>
                </c:pt>
                <c:pt idx="722">
                  <c:v>352.0059</c:v>
                </c:pt>
                <c:pt idx="723">
                  <c:v>352.20350000000002</c:v>
                </c:pt>
                <c:pt idx="724">
                  <c:v>352.40309999999999</c:v>
                </c:pt>
                <c:pt idx="725">
                  <c:v>352.60480000000001</c:v>
                </c:pt>
                <c:pt idx="726">
                  <c:v>352.80560000000003</c:v>
                </c:pt>
                <c:pt idx="727">
                  <c:v>353.0059</c:v>
                </c:pt>
                <c:pt idx="728">
                  <c:v>353.20670000000001</c:v>
                </c:pt>
                <c:pt idx="729">
                  <c:v>353.40710000000001</c:v>
                </c:pt>
                <c:pt idx="730">
                  <c:v>353.60500000000002</c:v>
                </c:pt>
                <c:pt idx="731">
                  <c:v>353.80419999999998</c:v>
                </c:pt>
                <c:pt idx="732">
                  <c:v>354.00420000000003</c:v>
                </c:pt>
                <c:pt idx="733">
                  <c:v>354.20359999999999</c:v>
                </c:pt>
                <c:pt idx="734">
                  <c:v>354.40589999999997</c:v>
                </c:pt>
                <c:pt idx="735">
                  <c:v>354.60570000000001</c:v>
                </c:pt>
                <c:pt idx="736">
                  <c:v>354.8057</c:v>
                </c:pt>
                <c:pt idx="737">
                  <c:v>355.00779999999997</c:v>
                </c:pt>
                <c:pt idx="738">
                  <c:v>355.20370000000003</c:v>
                </c:pt>
                <c:pt idx="739">
                  <c:v>355.40550000000002</c:v>
                </c:pt>
                <c:pt idx="740">
                  <c:v>355.60340000000002</c:v>
                </c:pt>
                <c:pt idx="741">
                  <c:v>355.80450000000002</c:v>
                </c:pt>
                <c:pt idx="742">
                  <c:v>356.0059</c:v>
                </c:pt>
                <c:pt idx="743">
                  <c:v>356.20510000000002</c:v>
                </c:pt>
                <c:pt idx="744">
                  <c:v>356.40649999999999</c:v>
                </c:pt>
                <c:pt idx="745">
                  <c:v>356.60599999999999</c:v>
                </c:pt>
                <c:pt idx="746">
                  <c:v>356.80470000000003</c:v>
                </c:pt>
                <c:pt idx="747">
                  <c:v>357.00409999999999</c:v>
                </c:pt>
                <c:pt idx="748">
                  <c:v>357.20519999999999</c:v>
                </c:pt>
                <c:pt idx="749">
                  <c:v>357.40640000000002</c:v>
                </c:pt>
                <c:pt idx="750">
                  <c:v>357.60489999999999</c:v>
                </c:pt>
                <c:pt idx="751">
                  <c:v>357.80549999999999</c:v>
                </c:pt>
                <c:pt idx="752">
                  <c:v>358.00889999999998</c:v>
                </c:pt>
                <c:pt idx="753">
                  <c:v>358.20580000000001</c:v>
                </c:pt>
                <c:pt idx="754">
                  <c:v>358.40609999999998</c:v>
                </c:pt>
                <c:pt idx="755">
                  <c:v>358.60419999999999</c:v>
                </c:pt>
                <c:pt idx="756">
                  <c:v>358.8048</c:v>
                </c:pt>
                <c:pt idx="757">
                  <c:v>359.00619999999998</c:v>
                </c:pt>
                <c:pt idx="758">
                  <c:v>359.2045</c:v>
                </c:pt>
                <c:pt idx="759">
                  <c:v>359.40429999999998</c:v>
                </c:pt>
                <c:pt idx="760">
                  <c:v>359.60590000000002</c:v>
                </c:pt>
                <c:pt idx="761">
                  <c:v>359.80529999999999</c:v>
                </c:pt>
                <c:pt idx="762">
                  <c:v>360.00630000000001</c:v>
                </c:pt>
                <c:pt idx="763">
                  <c:v>360.20569999999998</c:v>
                </c:pt>
                <c:pt idx="764">
                  <c:v>360.40530000000001</c:v>
                </c:pt>
                <c:pt idx="765">
                  <c:v>360.60500000000002</c:v>
                </c:pt>
                <c:pt idx="766">
                  <c:v>360.80619999999999</c:v>
                </c:pt>
                <c:pt idx="767">
                  <c:v>361.00510000000003</c:v>
                </c:pt>
                <c:pt idx="768">
                  <c:v>361.20479999999998</c:v>
                </c:pt>
                <c:pt idx="769">
                  <c:v>361.40390000000002</c:v>
                </c:pt>
                <c:pt idx="770">
                  <c:v>361.60520000000002</c:v>
                </c:pt>
                <c:pt idx="771">
                  <c:v>361.80380000000002</c:v>
                </c:pt>
                <c:pt idx="772">
                  <c:v>362.00599999999997</c:v>
                </c:pt>
                <c:pt idx="773">
                  <c:v>362.20490000000001</c:v>
                </c:pt>
                <c:pt idx="774">
                  <c:v>362.40460000000002</c:v>
                </c:pt>
                <c:pt idx="775">
                  <c:v>362.60390000000001</c:v>
                </c:pt>
                <c:pt idx="776">
                  <c:v>362.80470000000003</c:v>
                </c:pt>
                <c:pt idx="777">
                  <c:v>363.00439999999998</c:v>
                </c:pt>
                <c:pt idx="778">
                  <c:v>363.20580000000001</c:v>
                </c:pt>
                <c:pt idx="779">
                  <c:v>363.40480000000002</c:v>
                </c:pt>
                <c:pt idx="780">
                  <c:v>363.60539999999997</c:v>
                </c:pt>
                <c:pt idx="781">
                  <c:v>363.80619999999999</c:v>
                </c:pt>
                <c:pt idx="782">
                  <c:v>364.00549999999998</c:v>
                </c:pt>
                <c:pt idx="783">
                  <c:v>364.20460000000003</c:v>
                </c:pt>
                <c:pt idx="784">
                  <c:v>364.4051</c:v>
                </c:pt>
                <c:pt idx="785">
                  <c:v>364.60610000000003</c:v>
                </c:pt>
                <c:pt idx="786">
                  <c:v>364.8048</c:v>
                </c:pt>
                <c:pt idx="787">
                  <c:v>365.00619999999998</c:v>
                </c:pt>
                <c:pt idx="788">
                  <c:v>365.2045</c:v>
                </c:pt>
                <c:pt idx="789">
                  <c:v>365.4058</c:v>
                </c:pt>
                <c:pt idx="790">
                  <c:v>365.6053</c:v>
                </c:pt>
                <c:pt idx="791">
                  <c:v>365.80399999999997</c:v>
                </c:pt>
                <c:pt idx="792">
                  <c:v>366.0061</c:v>
                </c:pt>
                <c:pt idx="793">
                  <c:v>366.20429999999999</c:v>
                </c:pt>
                <c:pt idx="794">
                  <c:v>366.40499999999997</c:v>
                </c:pt>
                <c:pt idx="795">
                  <c:v>366.60680000000002</c:v>
                </c:pt>
                <c:pt idx="796">
                  <c:v>366.80419999999998</c:v>
                </c:pt>
                <c:pt idx="797">
                  <c:v>367.00580000000002</c:v>
                </c:pt>
                <c:pt idx="798">
                  <c:v>367.20699999999999</c:v>
                </c:pt>
                <c:pt idx="799">
                  <c:v>367.40589999999997</c:v>
                </c:pt>
                <c:pt idx="800">
                  <c:v>367.60480000000001</c:v>
                </c:pt>
                <c:pt idx="801">
                  <c:v>367.80470000000003</c:v>
                </c:pt>
                <c:pt idx="802">
                  <c:v>368.0043</c:v>
                </c:pt>
                <c:pt idx="803">
                  <c:v>368.20409999999998</c:v>
                </c:pt>
                <c:pt idx="804">
                  <c:v>368.4051</c:v>
                </c:pt>
                <c:pt idx="805">
                  <c:v>368.6062</c:v>
                </c:pt>
                <c:pt idx="806">
                  <c:v>368.8066</c:v>
                </c:pt>
                <c:pt idx="807">
                  <c:v>369.00700000000001</c:v>
                </c:pt>
                <c:pt idx="808">
                  <c:v>369.2047</c:v>
                </c:pt>
                <c:pt idx="809">
                  <c:v>369.40570000000002</c:v>
                </c:pt>
                <c:pt idx="810">
                  <c:v>369.60590000000002</c:v>
                </c:pt>
                <c:pt idx="811">
                  <c:v>369.80419999999998</c:v>
                </c:pt>
                <c:pt idx="812">
                  <c:v>370.00529999999998</c:v>
                </c:pt>
                <c:pt idx="813">
                  <c:v>370.20679999999999</c:v>
                </c:pt>
                <c:pt idx="814">
                  <c:v>370.40600000000001</c:v>
                </c:pt>
                <c:pt idx="815">
                  <c:v>370.60430000000002</c:v>
                </c:pt>
                <c:pt idx="816">
                  <c:v>370.80470000000003</c:v>
                </c:pt>
                <c:pt idx="817">
                  <c:v>371.0043</c:v>
                </c:pt>
                <c:pt idx="818">
                  <c:v>371.20609999999999</c:v>
                </c:pt>
                <c:pt idx="819">
                  <c:v>371.40499999999997</c:v>
                </c:pt>
                <c:pt idx="820">
                  <c:v>371.60509999999999</c:v>
                </c:pt>
                <c:pt idx="821">
                  <c:v>371.80630000000002</c:v>
                </c:pt>
                <c:pt idx="822">
                  <c:v>372.00700000000001</c:v>
                </c:pt>
                <c:pt idx="823">
                  <c:v>372.2072</c:v>
                </c:pt>
                <c:pt idx="824">
                  <c:v>372.4058</c:v>
                </c:pt>
                <c:pt idx="825">
                  <c:v>372.60599999999999</c:v>
                </c:pt>
                <c:pt idx="826">
                  <c:v>372.80650000000003</c:v>
                </c:pt>
                <c:pt idx="827">
                  <c:v>373.00670000000002</c:v>
                </c:pt>
                <c:pt idx="828">
                  <c:v>373.20490000000001</c:v>
                </c:pt>
                <c:pt idx="829">
                  <c:v>373.40710000000001</c:v>
                </c:pt>
                <c:pt idx="830">
                  <c:v>373.60509999999999</c:v>
                </c:pt>
                <c:pt idx="831">
                  <c:v>373.80450000000002</c:v>
                </c:pt>
                <c:pt idx="832">
                  <c:v>374.005</c:v>
                </c:pt>
                <c:pt idx="833">
                  <c:v>374.20479999999998</c:v>
                </c:pt>
                <c:pt idx="834">
                  <c:v>374.40550000000002</c:v>
                </c:pt>
                <c:pt idx="835">
                  <c:v>374.60640000000001</c:v>
                </c:pt>
                <c:pt idx="836">
                  <c:v>374.8048</c:v>
                </c:pt>
                <c:pt idx="837">
                  <c:v>375.00700000000001</c:v>
                </c:pt>
                <c:pt idx="838">
                  <c:v>375.20549999999997</c:v>
                </c:pt>
                <c:pt idx="839">
                  <c:v>375.40570000000002</c:v>
                </c:pt>
                <c:pt idx="840">
                  <c:v>375.60480000000001</c:v>
                </c:pt>
                <c:pt idx="841">
                  <c:v>375.80579999999998</c:v>
                </c:pt>
                <c:pt idx="842">
                  <c:v>376.00599999999997</c:v>
                </c:pt>
                <c:pt idx="843">
                  <c:v>376.20510000000002</c:v>
                </c:pt>
                <c:pt idx="844">
                  <c:v>376.40570000000002</c:v>
                </c:pt>
                <c:pt idx="845">
                  <c:v>376.60539999999997</c:v>
                </c:pt>
                <c:pt idx="846">
                  <c:v>376.80500000000001</c:v>
                </c:pt>
                <c:pt idx="847">
                  <c:v>377.0061</c:v>
                </c:pt>
                <c:pt idx="848">
                  <c:v>377.20760000000001</c:v>
                </c:pt>
                <c:pt idx="849">
                  <c:v>377.40519999999998</c:v>
                </c:pt>
                <c:pt idx="850">
                  <c:v>377.6069</c:v>
                </c:pt>
                <c:pt idx="851">
                  <c:v>377.80709999999999</c:v>
                </c:pt>
                <c:pt idx="852">
                  <c:v>378.00689999999997</c:v>
                </c:pt>
                <c:pt idx="853">
                  <c:v>378.20760000000001</c:v>
                </c:pt>
                <c:pt idx="854">
                  <c:v>378.4058</c:v>
                </c:pt>
                <c:pt idx="855">
                  <c:v>378.60559999999998</c:v>
                </c:pt>
                <c:pt idx="856">
                  <c:v>378.80610000000001</c:v>
                </c:pt>
                <c:pt idx="857">
                  <c:v>379.00479999999999</c:v>
                </c:pt>
                <c:pt idx="858">
                  <c:v>379.20639999999997</c:v>
                </c:pt>
                <c:pt idx="859">
                  <c:v>379.40789999999998</c:v>
                </c:pt>
                <c:pt idx="860">
                  <c:v>379.60610000000003</c:v>
                </c:pt>
                <c:pt idx="861">
                  <c:v>379.80869999999999</c:v>
                </c:pt>
                <c:pt idx="862">
                  <c:v>380.00560000000002</c:v>
                </c:pt>
                <c:pt idx="863">
                  <c:v>380.20710000000003</c:v>
                </c:pt>
                <c:pt idx="864">
                  <c:v>380.4049</c:v>
                </c:pt>
                <c:pt idx="865">
                  <c:v>380.6069</c:v>
                </c:pt>
                <c:pt idx="866">
                  <c:v>380.80579999999998</c:v>
                </c:pt>
                <c:pt idx="867">
                  <c:v>381.00709999999998</c:v>
                </c:pt>
                <c:pt idx="868">
                  <c:v>381.20749999999998</c:v>
                </c:pt>
                <c:pt idx="869">
                  <c:v>381.40679999999998</c:v>
                </c:pt>
                <c:pt idx="870">
                  <c:v>381.60579999999999</c:v>
                </c:pt>
                <c:pt idx="871">
                  <c:v>381.80680000000001</c:v>
                </c:pt>
                <c:pt idx="872">
                  <c:v>382.00709999999998</c:v>
                </c:pt>
                <c:pt idx="873">
                  <c:v>382.2056</c:v>
                </c:pt>
                <c:pt idx="874">
                  <c:v>382.4049</c:v>
                </c:pt>
                <c:pt idx="875">
                  <c:v>382.6053</c:v>
                </c:pt>
                <c:pt idx="876">
                  <c:v>382.80500000000001</c:v>
                </c:pt>
                <c:pt idx="877">
                  <c:v>383.00709999999998</c:v>
                </c:pt>
                <c:pt idx="878">
                  <c:v>383.2056</c:v>
                </c:pt>
                <c:pt idx="879">
                  <c:v>383.4051</c:v>
                </c:pt>
                <c:pt idx="880">
                  <c:v>383.60680000000002</c:v>
                </c:pt>
                <c:pt idx="881">
                  <c:v>383.80529999999999</c:v>
                </c:pt>
                <c:pt idx="882">
                  <c:v>384.00599999999997</c:v>
                </c:pt>
                <c:pt idx="883">
                  <c:v>384.20650000000001</c:v>
                </c:pt>
                <c:pt idx="884">
                  <c:v>384.40589999999997</c:v>
                </c:pt>
                <c:pt idx="885">
                  <c:v>384.60579999999999</c:v>
                </c:pt>
                <c:pt idx="886">
                  <c:v>384.80689999999998</c:v>
                </c:pt>
                <c:pt idx="887">
                  <c:v>385.0052</c:v>
                </c:pt>
                <c:pt idx="888">
                  <c:v>385.20740000000001</c:v>
                </c:pt>
                <c:pt idx="889">
                  <c:v>385.40559999999999</c:v>
                </c:pt>
                <c:pt idx="890">
                  <c:v>385.60559999999998</c:v>
                </c:pt>
                <c:pt idx="891">
                  <c:v>385.80700000000002</c:v>
                </c:pt>
                <c:pt idx="892">
                  <c:v>386.00659999999999</c:v>
                </c:pt>
                <c:pt idx="893">
                  <c:v>386.20659999999998</c:v>
                </c:pt>
                <c:pt idx="894">
                  <c:v>386.40750000000003</c:v>
                </c:pt>
                <c:pt idx="895">
                  <c:v>386.6078</c:v>
                </c:pt>
                <c:pt idx="896">
                  <c:v>386.80579999999998</c:v>
                </c:pt>
                <c:pt idx="897">
                  <c:v>387.00529999999998</c:v>
                </c:pt>
                <c:pt idx="898">
                  <c:v>387.20769999999999</c:v>
                </c:pt>
                <c:pt idx="899">
                  <c:v>387.40730000000002</c:v>
                </c:pt>
                <c:pt idx="900">
                  <c:v>387.60719999999998</c:v>
                </c:pt>
                <c:pt idx="901">
                  <c:v>387.80709999999999</c:v>
                </c:pt>
                <c:pt idx="902">
                  <c:v>388.01069999999999</c:v>
                </c:pt>
                <c:pt idx="903">
                  <c:v>388.20710000000003</c:v>
                </c:pt>
                <c:pt idx="904">
                  <c:v>388.4058</c:v>
                </c:pt>
                <c:pt idx="905">
                  <c:v>388.60789999999997</c:v>
                </c:pt>
                <c:pt idx="906">
                  <c:v>388.80630000000002</c:v>
                </c:pt>
                <c:pt idx="907">
                  <c:v>389.00819999999999</c:v>
                </c:pt>
                <c:pt idx="908">
                  <c:v>389.20609999999999</c:v>
                </c:pt>
                <c:pt idx="909">
                  <c:v>389.40570000000002</c:v>
                </c:pt>
                <c:pt idx="910">
                  <c:v>389.60680000000002</c:v>
                </c:pt>
                <c:pt idx="911">
                  <c:v>390.20710000000003</c:v>
                </c:pt>
                <c:pt idx="912">
                  <c:v>390.80599999999998</c:v>
                </c:pt>
                <c:pt idx="913">
                  <c:v>391.00839999999999</c:v>
                </c:pt>
                <c:pt idx="914">
                  <c:v>391.20609999999999</c:v>
                </c:pt>
                <c:pt idx="915">
                  <c:v>391.40640000000002</c:v>
                </c:pt>
                <c:pt idx="916">
                  <c:v>391.60829999999999</c:v>
                </c:pt>
                <c:pt idx="917">
                  <c:v>391.80689999999998</c:v>
                </c:pt>
                <c:pt idx="918">
                  <c:v>392.00560000000002</c:v>
                </c:pt>
                <c:pt idx="919">
                  <c:v>392.2063</c:v>
                </c:pt>
                <c:pt idx="920">
                  <c:v>392.40699999999998</c:v>
                </c:pt>
                <c:pt idx="921">
                  <c:v>392.60599999999999</c:v>
                </c:pt>
                <c:pt idx="922">
                  <c:v>392.80689999999998</c:v>
                </c:pt>
                <c:pt idx="923">
                  <c:v>393.00619999999998</c:v>
                </c:pt>
                <c:pt idx="924">
                  <c:v>393.20830000000001</c:v>
                </c:pt>
                <c:pt idx="925">
                  <c:v>393.40649999999999</c:v>
                </c:pt>
                <c:pt idx="926">
                  <c:v>393.60640000000001</c:v>
                </c:pt>
                <c:pt idx="927">
                  <c:v>393.80900000000003</c:v>
                </c:pt>
                <c:pt idx="928">
                  <c:v>394.00749999999999</c:v>
                </c:pt>
                <c:pt idx="929">
                  <c:v>394.20679999999999</c:v>
                </c:pt>
                <c:pt idx="930">
                  <c:v>394.4076</c:v>
                </c:pt>
                <c:pt idx="931">
                  <c:v>394.6071</c:v>
                </c:pt>
                <c:pt idx="932">
                  <c:v>394.80630000000002</c:v>
                </c:pt>
                <c:pt idx="933">
                  <c:v>395.00599999999997</c:v>
                </c:pt>
                <c:pt idx="934">
                  <c:v>395.2072</c:v>
                </c:pt>
                <c:pt idx="935">
                  <c:v>395.40640000000002</c:v>
                </c:pt>
                <c:pt idx="936">
                  <c:v>395.60820000000001</c:v>
                </c:pt>
                <c:pt idx="937">
                  <c:v>395.81279999999998</c:v>
                </c:pt>
                <c:pt idx="938">
                  <c:v>396.00790000000001</c:v>
                </c:pt>
                <c:pt idx="939">
                  <c:v>396.20639999999997</c:v>
                </c:pt>
                <c:pt idx="940">
                  <c:v>396.40839999999997</c:v>
                </c:pt>
                <c:pt idx="941">
                  <c:v>396.60820000000001</c:v>
                </c:pt>
                <c:pt idx="942">
                  <c:v>396.80770000000001</c:v>
                </c:pt>
                <c:pt idx="943">
                  <c:v>397.00819999999999</c:v>
                </c:pt>
                <c:pt idx="944">
                  <c:v>397.20749999999998</c:v>
                </c:pt>
                <c:pt idx="945">
                  <c:v>397.40859999999998</c:v>
                </c:pt>
                <c:pt idx="946">
                  <c:v>397.60599999999999</c:v>
                </c:pt>
                <c:pt idx="947">
                  <c:v>397.80950000000001</c:v>
                </c:pt>
                <c:pt idx="948">
                  <c:v>398.00729999999999</c:v>
                </c:pt>
                <c:pt idx="949">
                  <c:v>398.20760000000001</c:v>
                </c:pt>
                <c:pt idx="950">
                  <c:v>398.40800000000002</c:v>
                </c:pt>
                <c:pt idx="951">
                  <c:v>398.60599999999999</c:v>
                </c:pt>
                <c:pt idx="952">
                  <c:v>398.8075</c:v>
                </c:pt>
                <c:pt idx="953">
                  <c:v>399.00880000000001</c:v>
                </c:pt>
                <c:pt idx="954">
                  <c:v>399.209</c:v>
                </c:pt>
                <c:pt idx="955">
                  <c:v>399.4092</c:v>
                </c:pt>
                <c:pt idx="956">
                  <c:v>399.60849999999999</c:v>
                </c:pt>
                <c:pt idx="957">
                  <c:v>399.80720000000002</c:v>
                </c:pt>
                <c:pt idx="958">
                  <c:v>400.01159999999999</c:v>
                </c:pt>
                <c:pt idx="959">
                  <c:v>400.20780000000002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  <c:pt idx="113">
                  <c:v>45681</c:v>
                </c:pt>
                <c:pt idx="114">
                  <c:v>45681</c:v>
                </c:pt>
                <c:pt idx="115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0.19948499999999569</c:v>
                </c:pt>
                <c:pt idx="2">
                  <c:v>0.39975999999999845</c:v>
                </c:pt>
                <c:pt idx="3">
                  <c:v>0.60012700000000052</c:v>
                </c:pt>
                <c:pt idx="4">
                  <c:v>0.79948299999999362</c:v>
                </c:pt>
                <c:pt idx="5">
                  <c:v>0.99989199999999845</c:v>
                </c:pt>
                <c:pt idx="6">
                  <c:v>1.1999029999999968</c:v>
                </c:pt>
                <c:pt idx="7">
                  <c:v>1.3995699999999993</c:v>
                </c:pt>
                <c:pt idx="8">
                  <c:v>1.5996379999999975</c:v>
                </c:pt>
                <c:pt idx="9">
                  <c:v>1.8006550000000026</c:v>
                </c:pt>
                <c:pt idx="10">
                  <c:v>1.9997879999999995</c:v>
                </c:pt>
                <c:pt idx="11">
                  <c:v>2.1996259999999959</c:v>
                </c:pt>
                <c:pt idx="12">
                  <c:v>2.3996830000000053</c:v>
                </c:pt>
                <c:pt idx="13">
                  <c:v>2.5999209999999962</c:v>
                </c:pt>
                <c:pt idx="14">
                  <c:v>2.8011080000000064</c:v>
                </c:pt>
                <c:pt idx="15">
                  <c:v>2.9998840000000002</c:v>
                </c:pt>
                <c:pt idx="16">
                  <c:v>3.2003149999999949</c:v>
                </c:pt>
                <c:pt idx="17">
                  <c:v>3.4000250000000038</c:v>
                </c:pt>
                <c:pt idx="18">
                  <c:v>3.5999740000000031</c:v>
                </c:pt>
                <c:pt idx="19">
                  <c:v>3.800620999999996</c:v>
                </c:pt>
                <c:pt idx="20">
                  <c:v>3.9996099999999997</c:v>
                </c:pt>
                <c:pt idx="21">
                  <c:v>4.2001499999999963</c:v>
                </c:pt>
                <c:pt idx="22">
                  <c:v>4.3998949999999981</c:v>
                </c:pt>
                <c:pt idx="23">
                  <c:v>4.5996500000000022</c:v>
                </c:pt>
                <c:pt idx="24">
                  <c:v>4.8002879999999966</c:v>
                </c:pt>
                <c:pt idx="25">
                  <c:v>4.9994639999999997</c:v>
                </c:pt>
                <c:pt idx="26">
                  <c:v>5.1997169999999988</c:v>
                </c:pt>
                <c:pt idx="27">
                  <c:v>5.3998759999999981</c:v>
                </c:pt>
                <c:pt idx="28">
                  <c:v>5.5997299999999921</c:v>
                </c:pt>
                <c:pt idx="29">
                  <c:v>5.7999000000000001</c:v>
                </c:pt>
                <c:pt idx="30">
                  <c:v>5.999704999999997</c:v>
                </c:pt>
                <c:pt idx="31">
                  <c:v>6.1999989999999974</c:v>
                </c:pt>
                <c:pt idx="32">
                  <c:v>6.4000749999999922</c:v>
                </c:pt>
                <c:pt idx="33">
                  <c:v>6.6001749999999904</c:v>
                </c:pt>
                <c:pt idx="34">
                  <c:v>6.7997970000000052</c:v>
                </c:pt>
                <c:pt idx="35">
                  <c:v>6.9998330000000024</c:v>
                </c:pt>
                <c:pt idx="36">
                  <c:v>7.200781000000001</c:v>
                </c:pt>
                <c:pt idx="37">
                  <c:v>7.3998220000000057</c:v>
                </c:pt>
                <c:pt idx="38">
                  <c:v>7.5995100000000004</c:v>
                </c:pt>
                <c:pt idx="39">
                  <c:v>7.7995169999999971</c:v>
                </c:pt>
                <c:pt idx="40">
                  <c:v>8.000433000000001</c:v>
                </c:pt>
                <c:pt idx="41">
                  <c:v>8.1998789999999975</c:v>
                </c:pt>
                <c:pt idx="42">
                  <c:v>8.4397880000000036</c:v>
                </c:pt>
                <c:pt idx="43">
                  <c:v>8.640032999999999</c:v>
                </c:pt>
                <c:pt idx="44">
                  <c:v>8.8398479999999946</c:v>
                </c:pt>
                <c:pt idx="45">
                  <c:v>9.0397470000000002</c:v>
                </c:pt>
                <c:pt idx="46">
                  <c:v>9.2413969999999939</c:v>
                </c:pt>
                <c:pt idx="47">
                  <c:v>9.4397999999999946</c:v>
                </c:pt>
                <c:pt idx="48">
                  <c:v>9.639678</c:v>
                </c:pt>
                <c:pt idx="49">
                  <c:v>9.8400819999999918</c:v>
                </c:pt>
                <c:pt idx="50">
                  <c:v>10.040218999999997</c:v>
                </c:pt>
                <c:pt idx="51">
                  <c:v>10.240256000000002</c:v>
                </c:pt>
                <c:pt idx="52">
                  <c:v>10.439677999999995</c:v>
                </c:pt>
                <c:pt idx="53">
                  <c:v>10.640070999999997</c:v>
                </c:pt>
                <c:pt idx="54">
                  <c:v>10.840148000000003</c:v>
                </c:pt>
                <c:pt idx="55">
                  <c:v>11.040042</c:v>
                </c:pt>
                <c:pt idx="56">
                  <c:v>11.240229000000003</c:v>
                </c:pt>
                <c:pt idx="57">
                  <c:v>11.439856999999995</c:v>
                </c:pt>
                <c:pt idx="58">
                  <c:v>11.639722000000001</c:v>
                </c:pt>
                <c:pt idx="59">
                  <c:v>11.840501</c:v>
                </c:pt>
                <c:pt idx="60">
                  <c:v>12.040154999999999</c:v>
                </c:pt>
                <c:pt idx="61">
                  <c:v>12.240303000000001</c:v>
                </c:pt>
                <c:pt idx="62">
                  <c:v>12.440081000000001</c:v>
                </c:pt>
                <c:pt idx="63">
                  <c:v>12.639958999999996</c:v>
                </c:pt>
                <c:pt idx="64">
                  <c:v>12.839679000000004</c:v>
                </c:pt>
                <c:pt idx="65">
                  <c:v>13.040317000000002</c:v>
                </c:pt>
                <c:pt idx="66">
                  <c:v>13.240298999999998</c:v>
                </c:pt>
                <c:pt idx="67">
                  <c:v>13.440175999999999</c:v>
                </c:pt>
                <c:pt idx="68">
                  <c:v>13.640030000000001</c:v>
                </c:pt>
                <c:pt idx="69">
                  <c:v>13.839971999999998</c:v>
                </c:pt>
                <c:pt idx="70">
                  <c:v>14.040285000000003</c:v>
                </c:pt>
                <c:pt idx="71">
                  <c:v>14.241227</c:v>
                </c:pt>
                <c:pt idx="72">
                  <c:v>14.441304000000002</c:v>
                </c:pt>
                <c:pt idx="73">
                  <c:v>14.639934000000002</c:v>
                </c:pt>
                <c:pt idx="74">
                  <c:v>14.840097</c:v>
                </c:pt>
                <c:pt idx="75">
                  <c:v>15.040467999999994</c:v>
                </c:pt>
                <c:pt idx="76">
                  <c:v>15.240103999999997</c:v>
                </c:pt>
                <c:pt idx="77">
                  <c:v>15.440086999999991</c:v>
                </c:pt>
                <c:pt idx="78">
                  <c:v>15.640139999999999</c:v>
                </c:pt>
                <c:pt idx="79">
                  <c:v>15.840461999999997</c:v>
                </c:pt>
                <c:pt idx="80">
                  <c:v>16.040736999999996</c:v>
                </c:pt>
                <c:pt idx="81">
                  <c:v>16.240155000000005</c:v>
                </c:pt>
                <c:pt idx="82">
                  <c:v>16.439639</c:v>
                </c:pt>
                <c:pt idx="83">
                  <c:v>16.639974000000002</c:v>
                </c:pt>
                <c:pt idx="84">
                  <c:v>16.840363999999994</c:v>
                </c:pt>
                <c:pt idx="85">
                  <c:v>17.040515999999993</c:v>
                </c:pt>
                <c:pt idx="86">
                  <c:v>17.240376000000005</c:v>
                </c:pt>
                <c:pt idx="87">
                  <c:v>17.440034000000001</c:v>
                </c:pt>
                <c:pt idx="88">
                  <c:v>17.639708000000006</c:v>
                </c:pt>
                <c:pt idx="89">
                  <c:v>17.840115999999991</c:v>
                </c:pt>
                <c:pt idx="90">
                  <c:v>18.040871999999993</c:v>
                </c:pt>
                <c:pt idx="91">
                  <c:v>18.239758000000005</c:v>
                </c:pt>
                <c:pt idx="92">
                  <c:v>18.439608999999997</c:v>
                </c:pt>
                <c:pt idx="93">
                  <c:v>18.640433999999996</c:v>
                </c:pt>
                <c:pt idx="94">
                  <c:v>18.840600999999999</c:v>
                </c:pt>
                <c:pt idx="95">
                  <c:v>19.040131999999996</c:v>
                </c:pt>
                <c:pt idx="96">
                  <c:v>19.240268</c:v>
                </c:pt>
                <c:pt idx="97">
                  <c:v>19.440232999999999</c:v>
                </c:pt>
                <c:pt idx="98">
                  <c:v>19.639983000000001</c:v>
                </c:pt>
                <c:pt idx="99">
                  <c:v>19.840420999999999</c:v>
                </c:pt>
                <c:pt idx="100">
                  <c:v>20.040134999999999</c:v>
                </c:pt>
                <c:pt idx="101">
                  <c:v>20.239714999999993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2.7099999999999997E-3</c:v>
                </c:pt>
                <c:pt idx="1">
                  <c:v>3.0599999999999994E-3</c:v>
                </c:pt>
                <c:pt idx="2">
                  <c:v>1.15E-3</c:v>
                </c:pt>
                <c:pt idx="3">
                  <c:v>2.2799999999999999E-3</c:v>
                </c:pt>
                <c:pt idx="4">
                  <c:v>3.9500000000000004E-3</c:v>
                </c:pt>
                <c:pt idx="5">
                  <c:v>7.0099999999999997E-3</c:v>
                </c:pt>
                <c:pt idx="6">
                  <c:v>1.0359999999999999E-2</c:v>
                </c:pt>
                <c:pt idx="7">
                  <c:v>1.4160000000000001E-2</c:v>
                </c:pt>
                <c:pt idx="8">
                  <c:v>1.8450000000000001E-2</c:v>
                </c:pt>
                <c:pt idx="9">
                  <c:v>2.2810000000000004E-2</c:v>
                </c:pt>
                <c:pt idx="10">
                  <c:v>2.7809999999999994E-2</c:v>
                </c:pt>
                <c:pt idx="11">
                  <c:v>3.2840000000000001E-2</c:v>
                </c:pt>
                <c:pt idx="12">
                  <c:v>3.7939999999999995E-2</c:v>
                </c:pt>
                <c:pt idx="13">
                  <c:v>4.3099999999999986E-2</c:v>
                </c:pt>
                <c:pt idx="14">
                  <c:v>4.7730000000000009E-2</c:v>
                </c:pt>
                <c:pt idx="15">
                  <c:v>5.2500000000000005E-2</c:v>
                </c:pt>
                <c:pt idx="16">
                  <c:v>5.6159999999999988E-2</c:v>
                </c:pt>
                <c:pt idx="17">
                  <c:v>5.9089999999999997E-2</c:v>
                </c:pt>
                <c:pt idx="18">
                  <c:v>6.2039999999999998E-2</c:v>
                </c:pt>
                <c:pt idx="19">
                  <c:v>6.4669999999999991E-2</c:v>
                </c:pt>
                <c:pt idx="20">
                  <c:v>6.5980000000000011E-2</c:v>
                </c:pt>
                <c:pt idx="21">
                  <c:v>6.6060000000000008E-2</c:v>
                </c:pt>
                <c:pt idx="22">
                  <c:v>6.4059999999999992E-2</c:v>
                </c:pt>
                <c:pt idx="23">
                  <c:v>6.2240000000000004E-2</c:v>
                </c:pt>
                <c:pt idx="24">
                  <c:v>6.0670000000000002E-2</c:v>
                </c:pt>
                <c:pt idx="25">
                  <c:v>5.8560000000000001E-2</c:v>
                </c:pt>
                <c:pt idx="26">
                  <c:v>5.527E-2</c:v>
                </c:pt>
                <c:pt idx="27">
                  <c:v>5.0760000000000007E-2</c:v>
                </c:pt>
                <c:pt idx="28">
                  <c:v>4.6129999999999997E-2</c:v>
                </c:pt>
                <c:pt idx="29">
                  <c:v>4.1580000000000006E-2</c:v>
                </c:pt>
                <c:pt idx="30">
                  <c:v>3.6729999999999999E-2</c:v>
                </c:pt>
                <c:pt idx="31">
                  <c:v>3.1600000000000003E-2</c:v>
                </c:pt>
                <c:pt idx="32">
                  <c:v>2.6429999999999999E-2</c:v>
                </c:pt>
                <c:pt idx="33">
                  <c:v>2.1410000000000002E-2</c:v>
                </c:pt>
                <c:pt idx="34">
                  <c:v>1.6550000000000002E-2</c:v>
                </c:pt>
                <c:pt idx="35">
                  <c:v>1.174E-2</c:v>
                </c:pt>
                <c:pt idx="36">
                  <c:v>7.2900000000000005E-3</c:v>
                </c:pt>
                <c:pt idx="37">
                  <c:v>3.6499999999999996E-3</c:v>
                </c:pt>
                <c:pt idx="38">
                  <c:v>8.9999999999999998E-4</c:v>
                </c:pt>
                <c:pt idx="39">
                  <c:v>1.4E-3</c:v>
                </c:pt>
                <c:pt idx="40">
                  <c:v>2.7799999999999999E-3</c:v>
                </c:pt>
                <c:pt idx="41">
                  <c:v>3.0399999999999993E-3</c:v>
                </c:pt>
                <c:pt idx="42">
                  <c:v>1.0500000000000002E-3</c:v>
                </c:pt>
                <c:pt idx="43">
                  <c:v>2.0100000000000001E-3</c:v>
                </c:pt>
                <c:pt idx="44">
                  <c:v>4.5999999999999991E-3</c:v>
                </c:pt>
                <c:pt idx="45">
                  <c:v>7.7099999999999998E-3</c:v>
                </c:pt>
                <c:pt idx="46">
                  <c:v>1.116E-2</c:v>
                </c:pt>
                <c:pt idx="47">
                  <c:v>1.4919999999999999E-2</c:v>
                </c:pt>
                <c:pt idx="48">
                  <c:v>1.9349999999999999E-2</c:v>
                </c:pt>
                <c:pt idx="49">
                  <c:v>2.385E-2</c:v>
                </c:pt>
                <c:pt idx="50">
                  <c:v>2.8830000000000001E-2</c:v>
                </c:pt>
                <c:pt idx="51">
                  <c:v>3.3839999999999995E-2</c:v>
                </c:pt>
                <c:pt idx="52">
                  <c:v>3.8919999999999996E-2</c:v>
                </c:pt>
                <c:pt idx="53">
                  <c:v>4.3869999999999992E-2</c:v>
                </c:pt>
                <c:pt idx="54">
                  <c:v>4.8650000000000006E-2</c:v>
                </c:pt>
                <c:pt idx="55">
                  <c:v>5.3100000000000015E-2</c:v>
                </c:pt>
                <c:pt idx="56">
                  <c:v>5.6729999999999989E-2</c:v>
                </c:pt>
                <c:pt idx="57">
                  <c:v>5.96E-2</c:v>
                </c:pt>
                <c:pt idx="58">
                  <c:v>6.2359999999999992E-2</c:v>
                </c:pt>
                <c:pt idx="59">
                  <c:v>6.4819999999999989E-2</c:v>
                </c:pt>
                <c:pt idx="60">
                  <c:v>6.5880000000000008E-2</c:v>
                </c:pt>
                <c:pt idx="61">
                  <c:v>6.5959999999999991E-2</c:v>
                </c:pt>
                <c:pt idx="62">
                  <c:v>6.3959999999999989E-2</c:v>
                </c:pt>
                <c:pt idx="63">
                  <c:v>6.2009999999999996E-2</c:v>
                </c:pt>
                <c:pt idx="64">
                  <c:v>6.0319999999999999E-2</c:v>
                </c:pt>
                <c:pt idx="65">
                  <c:v>5.7849999999999999E-2</c:v>
                </c:pt>
                <c:pt idx="66">
                  <c:v>5.4400000000000004E-2</c:v>
                </c:pt>
                <c:pt idx="67">
                  <c:v>4.9870000000000005E-2</c:v>
                </c:pt>
                <c:pt idx="68">
                  <c:v>4.5310000000000003E-2</c:v>
                </c:pt>
                <c:pt idx="69">
                  <c:v>4.0680000000000001E-2</c:v>
                </c:pt>
                <c:pt idx="70">
                  <c:v>3.5719999999999995E-2</c:v>
                </c:pt>
                <c:pt idx="71">
                  <c:v>3.0709999999999998E-2</c:v>
                </c:pt>
                <c:pt idx="72">
                  <c:v>2.5470000000000003E-2</c:v>
                </c:pt>
                <c:pt idx="73">
                  <c:v>2.0389999999999998E-2</c:v>
                </c:pt>
                <c:pt idx="74">
                  <c:v>1.5590000000000001E-2</c:v>
                </c:pt>
                <c:pt idx="75">
                  <c:v>1.0810000000000002E-2</c:v>
                </c:pt>
                <c:pt idx="76">
                  <c:v>6.6700000000000006E-3</c:v>
                </c:pt>
                <c:pt idx="77">
                  <c:v>3.4299999999999999E-3</c:v>
                </c:pt>
                <c:pt idx="78">
                  <c:v>1.07E-3</c:v>
                </c:pt>
                <c:pt idx="79">
                  <c:v>1.48E-3</c:v>
                </c:pt>
                <c:pt idx="80">
                  <c:v>2.5799999999999998E-3</c:v>
                </c:pt>
                <c:pt idx="81">
                  <c:v>2.9799999999999996E-3</c:v>
                </c:pt>
                <c:pt idx="82">
                  <c:v>1.25E-3</c:v>
                </c:pt>
                <c:pt idx="83">
                  <c:v>2.6200000000000004E-3</c:v>
                </c:pt>
                <c:pt idx="84">
                  <c:v>4.7700000000000008E-3</c:v>
                </c:pt>
                <c:pt idx="85">
                  <c:v>7.6399999999999992E-3</c:v>
                </c:pt>
                <c:pt idx="86">
                  <c:v>1.115E-2</c:v>
                </c:pt>
                <c:pt idx="87">
                  <c:v>1.494E-2</c:v>
                </c:pt>
                <c:pt idx="88">
                  <c:v>1.9410000000000004E-2</c:v>
                </c:pt>
                <c:pt idx="89">
                  <c:v>2.376E-2</c:v>
                </c:pt>
                <c:pt idx="90">
                  <c:v>2.8890000000000006E-2</c:v>
                </c:pt>
                <c:pt idx="91">
                  <c:v>3.3850000000000005E-2</c:v>
                </c:pt>
                <c:pt idx="92">
                  <c:v>3.8879999999999998E-2</c:v>
                </c:pt>
                <c:pt idx="93">
                  <c:v>4.3929999999999997E-2</c:v>
                </c:pt>
                <c:pt idx="94">
                  <c:v>4.8640000000000003E-2</c:v>
                </c:pt>
                <c:pt idx="95">
                  <c:v>5.3120000000000001E-2</c:v>
                </c:pt>
                <c:pt idx="96">
                  <c:v>5.6620000000000004E-2</c:v>
                </c:pt>
                <c:pt idx="97">
                  <c:v>5.96E-2</c:v>
                </c:pt>
                <c:pt idx="98">
                  <c:v>6.2350000000000003E-2</c:v>
                </c:pt>
                <c:pt idx="99">
                  <c:v>6.4919999999999992E-2</c:v>
                </c:pt>
                <c:pt idx="100">
                  <c:v>6.5690000000000012E-2</c:v>
                </c:pt>
                <c:pt idx="101">
                  <c:v>6.5689999999999998E-2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0.19948499999999569</c:v>
                </c:pt>
                <c:pt idx="2">
                  <c:v>0.39975999999999845</c:v>
                </c:pt>
                <c:pt idx="3">
                  <c:v>0.60012700000000052</c:v>
                </c:pt>
                <c:pt idx="4">
                  <c:v>0.79948299999999362</c:v>
                </c:pt>
                <c:pt idx="5">
                  <c:v>0.99989199999999845</c:v>
                </c:pt>
                <c:pt idx="6">
                  <c:v>1.1999029999999968</c:v>
                </c:pt>
                <c:pt idx="7">
                  <c:v>1.3995699999999993</c:v>
                </c:pt>
                <c:pt idx="8">
                  <c:v>1.5996379999999975</c:v>
                </c:pt>
                <c:pt idx="9">
                  <c:v>1.8006550000000026</c:v>
                </c:pt>
                <c:pt idx="10">
                  <c:v>1.9997879999999995</c:v>
                </c:pt>
                <c:pt idx="11">
                  <c:v>2.1996259999999959</c:v>
                </c:pt>
                <c:pt idx="12">
                  <c:v>2.3996830000000053</c:v>
                </c:pt>
                <c:pt idx="13">
                  <c:v>2.5999209999999962</c:v>
                </c:pt>
                <c:pt idx="14">
                  <c:v>2.8011080000000064</c:v>
                </c:pt>
                <c:pt idx="15">
                  <c:v>2.9998840000000002</c:v>
                </c:pt>
                <c:pt idx="16">
                  <c:v>3.2003149999999949</c:v>
                </c:pt>
                <c:pt idx="17">
                  <c:v>3.4000250000000038</c:v>
                </c:pt>
                <c:pt idx="18">
                  <c:v>3.5999740000000031</c:v>
                </c:pt>
                <c:pt idx="19">
                  <c:v>3.800620999999996</c:v>
                </c:pt>
                <c:pt idx="20">
                  <c:v>3.9996099999999997</c:v>
                </c:pt>
                <c:pt idx="21">
                  <c:v>4.2001499999999963</c:v>
                </c:pt>
                <c:pt idx="22">
                  <c:v>4.3998949999999981</c:v>
                </c:pt>
                <c:pt idx="23">
                  <c:v>4.5996500000000022</c:v>
                </c:pt>
                <c:pt idx="24">
                  <c:v>4.8002879999999966</c:v>
                </c:pt>
                <c:pt idx="25">
                  <c:v>4.9994639999999997</c:v>
                </c:pt>
                <c:pt idx="26">
                  <c:v>5.1997169999999988</c:v>
                </c:pt>
                <c:pt idx="27">
                  <c:v>5.3998759999999981</c:v>
                </c:pt>
                <c:pt idx="28">
                  <c:v>5.5997299999999921</c:v>
                </c:pt>
                <c:pt idx="29">
                  <c:v>5.7999000000000001</c:v>
                </c:pt>
                <c:pt idx="30">
                  <c:v>5.999704999999997</c:v>
                </c:pt>
                <c:pt idx="31">
                  <c:v>6.1999989999999974</c:v>
                </c:pt>
                <c:pt idx="32">
                  <c:v>6.4000749999999922</c:v>
                </c:pt>
                <c:pt idx="33">
                  <c:v>6.6001749999999904</c:v>
                </c:pt>
                <c:pt idx="34">
                  <c:v>6.7997970000000052</c:v>
                </c:pt>
                <c:pt idx="35">
                  <c:v>6.9998330000000024</c:v>
                </c:pt>
                <c:pt idx="36">
                  <c:v>7.200781000000001</c:v>
                </c:pt>
                <c:pt idx="37">
                  <c:v>7.3998220000000057</c:v>
                </c:pt>
                <c:pt idx="38">
                  <c:v>7.5995100000000004</c:v>
                </c:pt>
                <c:pt idx="39">
                  <c:v>7.7995169999999971</c:v>
                </c:pt>
                <c:pt idx="40">
                  <c:v>8.000433000000001</c:v>
                </c:pt>
                <c:pt idx="41">
                  <c:v>8.1998789999999975</c:v>
                </c:pt>
                <c:pt idx="42">
                  <c:v>8.4397880000000036</c:v>
                </c:pt>
                <c:pt idx="43">
                  <c:v>8.640032999999999</c:v>
                </c:pt>
                <c:pt idx="44">
                  <c:v>8.8398479999999946</c:v>
                </c:pt>
                <c:pt idx="45">
                  <c:v>9.0397470000000002</c:v>
                </c:pt>
                <c:pt idx="46">
                  <c:v>9.2413969999999939</c:v>
                </c:pt>
                <c:pt idx="47">
                  <c:v>9.4397999999999946</c:v>
                </c:pt>
                <c:pt idx="48">
                  <c:v>9.639678</c:v>
                </c:pt>
                <c:pt idx="49">
                  <c:v>9.8400819999999918</c:v>
                </c:pt>
                <c:pt idx="50">
                  <c:v>10.040218999999997</c:v>
                </c:pt>
                <c:pt idx="51">
                  <c:v>10.240256000000002</c:v>
                </c:pt>
                <c:pt idx="52">
                  <c:v>10.439677999999995</c:v>
                </c:pt>
                <c:pt idx="53">
                  <c:v>10.640070999999997</c:v>
                </c:pt>
                <c:pt idx="54">
                  <c:v>10.840148000000003</c:v>
                </c:pt>
                <c:pt idx="55">
                  <c:v>11.040042</c:v>
                </c:pt>
                <c:pt idx="56">
                  <c:v>11.240229000000003</c:v>
                </c:pt>
                <c:pt idx="57">
                  <c:v>11.439856999999995</c:v>
                </c:pt>
                <c:pt idx="58">
                  <c:v>11.639722000000001</c:v>
                </c:pt>
                <c:pt idx="59">
                  <c:v>11.840501</c:v>
                </c:pt>
                <c:pt idx="60">
                  <c:v>12.040154999999999</c:v>
                </c:pt>
                <c:pt idx="61">
                  <c:v>12.240303000000001</c:v>
                </c:pt>
                <c:pt idx="62">
                  <c:v>12.440081000000001</c:v>
                </c:pt>
                <c:pt idx="63">
                  <c:v>12.639958999999996</c:v>
                </c:pt>
                <c:pt idx="64">
                  <c:v>12.839679000000004</c:v>
                </c:pt>
                <c:pt idx="65">
                  <c:v>13.040317000000002</c:v>
                </c:pt>
                <c:pt idx="66">
                  <c:v>13.240298999999998</c:v>
                </c:pt>
                <c:pt idx="67">
                  <c:v>13.440175999999999</c:v>
                </c:pt>
                <c:pt idx="68">
                  <c:v>13.640030000000001</c:v>
                </c:pt>
                <c:pt idx="69">
                  <c:v>13.839971999999998</c:v>
                </c:pt>
                <c:pt idx="70">
                  <c:v>14.040285000000003</c:v>
                </c:pt>
                <c:pt idx="71">
                  <c:v>14.241227</c:v>
                </c:pt>
                <c:pt idx="72">
                  <c:v>14.441304000000002</c:v>
                </c:pt>
                <c:pt idx="73">
                  <c:v>14.639934000000002</c:v>
                </c:pt>
                <c:pt idx="74">
                  <c:v>14.840097</c:v>
                </c:pt>
                <c:pt idx="75">
                  <c:v>15.040467999999994</c:v>
                </c:pt>
                <c:pt idx="76">
                  <c:v>15.240103999999997</c:v>
                </c:pt>
                <c:pt idx="77">
                  <c:v>15.440086999999991</c:v>
                </c:pt>
                <c:pt idx="78">
                  <c:v>15.640139999999999</c:v>
                </c:pt>
                <c:pt idx="79">
                  <c:v>15.840461999999997</c:v>
                </c:pt>
                <c:pt idx="80">
                  <c:v>16.040736999999996</c:v>
                </c:pt>
                <c:pt idx="81">
                  <c:v>16.240155000000005</c:v>
                </c:pt>
                <c:pt idx="82">
                  <c:v>16.439639</c:v>
                </c:pt>
                <c:pt idx="83">
                  <c:v>16.639974000000002</c:v>
                </c:pt>
                <c:pt idx="84">
                  <c:v>16.840363999999994</c:v>
                </c:pt>
                <c:pt idx="85">
                  <c:v>17.040515999999993</c:v>
                </c:pt>
                <c:pt idx="86">
                  <c:v>17.240376000000005</c:v>
                </c:pt>
                <c:pt idx="87">
                  <c:v>17.440034000000001</c:v>
                </c:pt>
                <c:pt idx="88">
                  <c:v>17.639708000000006</c:v>
                </c:pt>
                <c:pt idx="89">
                  <c:v>17.840115999999991</c:v>
                </c:pt>
                <c:pt idx="90">
                  <c:v>18.040871999999993</c:v>
                </c:pt>
                <c:pt idx="91">
                  <c:v>18.239758000000005</c:v>
                </c:pt>
                <c:pt idx="92">
                  <c:v>18.439608999999997</c:v>
                </c:pt>
                <c:pt idx="93">
                  <c:v>18.640433999999996</c:v>
                </c:pt>
                <c:pt idx="94">
                  <c:v>18.840600999999999</c:v>
                </c:pt>
                <c:pt idx="95">
                  <c:v>19.040131999999996</c:v>
                </c:pt>
                <c:pt idx="96">
                  <c:v>19.240268</c:v>
                </c:pt>
                <c:pt idx="97">
                  <c:v>19.440232999999999</c:v>
                </c:pt>
                <c:pt idx="98">
                  <c:v>19.639983000000001</c:v>
                </c:pt>
                <c:pt idx="99">
                  <c:v>19.840420999999999</c:v>
                </c:pt>
                <c:pt idx="100">
                  <c:v>20.040134999999999</c:v>
                </c:pt>
                <c:pt idx="101">
                  <c:v>20.239714999999993</c:v>
                </c:pt>
                <c:pt idx="102">
                  <c:v>20.480246999999999</c:v>
                </c:pt>
                <c:pt idx="103">
                  <c:v>20.680589000000005</c:v>
                </c:pt>
                <c:pt idx="104">
                  <c:v>20.879901999999998</c:v>
                </c:pt>
                <c:pt idx="105">
                  <c:v>21.080367999999993</c:v>
                </c:pt>
                <c:pt idx="106">
                  <c:v>21.280559</c:v>
                </c:pt>
                <c:pt idx="107">
                  <c:v>21.480117</c:v>
                </c:pt>
                <c:pt idx="108">
                  <c:v>21.679942</c:v>
                </c:pt>
                <c:pt idx="109">
                  <c:v>21.880174999999998</c:v>
                </c:pt>
                <c:pt idx="110">
                  <c:v>22.080656999999999</c:v>
                </c:pt>
                <c:pt idx="111">
                  <c:v>22.280060999999996</c:v>
                </c:pt>
                <c:pt idx="112">
                  <c:v>22.480614999999997</c:v>
                </c:pt>
                <c:pt idx="113">
                  <c:v>22.600077499999987</c:v>
                </c:pt>
                <c:pt idx="114">
                  <c:v>22.8000775</c:v>
                </c:pt>
                <c:pt idx="115">
                  <c:v>22.999059999999997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2.7099999999999997E-3</c:v>
                </c:pt>
                <c:pt idx="1">
                  <c:v>3.0599999999999994E-3</c:v>
                </c:pt>
                <c:pt idx="2">
                  <c:v>1.15E-3</c:v>
                </c:pt>
                <c:pt idx="3">
                  <c:v>2.2799999999999999E-3</c:v>
                </c:pt>
                <c:pt idx="4">
                  <c:v>3.9500000000000004E-3</c:v>
                </c:pt>
                <c:pt idx="5">
                  <c:v>7.0099999999999997E-3</c:v>
                </c:pt>
                <c:pt idx="6">
                  <c:v>1.0359999999999999E-2</c:v>
                </c:pt>
                <c:pt idx="7">
                  <c:v>1.4160000000000001E-2</c:v>
                </c:pt>
                <c:pt idx="8">
                  <c:v>1.8450000000000001E-2</c:v>
                </c:pt>
                <c:pt idx="9">
                  <c:v>2.2810000000000004E-2</c:v>
                </c:pt>
                <c:pt idx="10">
                  <c:v>2.7809999999999994E-2</c:v>
                </c:pt>
                <c:pt idx="11">
                  <c:v>3.2840000000000001E-2</c:v>
                </c:pt>
                <c:pt idx="12">
                  <c:v>3.7939999999999995E-2</c:v>
                </c:pt>
                <c:pt idx="13">
                  <c:v>4.3099999999999986E-2</c:v>
                </c:pt>
                <c:pt idx="14">
                  <c:v>4.7730000000000009E-2</c:v>
                </c:pt>
                <c:pt idx="15">
                  <c:v>5.2500000000000005E-2</c:v>
                </c:pt>
                <c:pt idx="16">
                  <c:v>5.6159999999999988E-2</c:v>
                </c:pt>
                <c:pt idx="17">
                  <c:v>5.9089999999999997E-2</c:v>
                </c:pt>
                <c:pt idx="18">
                  <c:v>6.2039999999999998E-2</c:v>
                </c:pt>
                <c:pt idx="19">
                  <c:v>6.4669999999999991E-2</c:v>
                </c:pt>
                <c:pt idx="20">
                  <c:v>6.5980000000000011E-2</c:v>
                </c:pt>
                <c:pt idx="21">
                  <c:v>6.6060000000000008E-2</c:v>
                </c:pt>
                <c:pt idx="22">
                  <c:v>6.4059999999999992E-2</c:v>
                </c:pt>
                <c:pt idx="23">
                  <c:v>6.2240000000000004E-2</c:v>
                </c:pt>
                <c:pt idx="24">
                  <c:v>6.0670000000000002E-2</c:v>
                </c:pt>
                <c:pt idx="25">
                  <c:v>5.8560000000000001E-2</c:v>
                </c:pt>
                <c:pt idx="26">
                  <c:v>5.527E-2</c:v>
                </c:pt>
                <c:pt idx="27">
                  <c:v>5.0760000000000007E-2</c:v>
                </c:pt>
                <c:pt idx="28">
                  <c:v>4.6129999999999997E-2</c:v>
                </c:pt>
                <c:pt idx="29">
                  <c:v>4.1580000000000006E-2</c:v>
                </c:pt>
                <c:pt idx="30">
                  <c:v>3.6729999999999999E-2</c:v>
                </c:pt>
                <c:pt idx="31">
                  <c:v>3.1600000000000003E-2</c:v>
                </c:pt>
                <c:pt idx="32">
                  <c:v>2.6429999999999999E-2</c:v>
                </c:pt>
                <c:pt idx="33">
                  <c:v>2.1410000000000002E-2</c:v>
                </c:pt>
                <c:pt idx="34">
                  <c:v>1.6550000000000002E-2</c:v>
                </c:pt>
                <c:pt idx="35">
                  <c:v>1.174E-2</c:v>
                </c:pt>
                <c:pt idx="36">
                  <c:v>7.2900000000000005E-3</c:v>
                </c:pt>
                <c:pt idx="37">
                  <c:v>3.6499999999999996E-3</c:v>
                </c:pt>
                <c:pt idx="38">
                  <c:v>8.9999999999999998E-4</c:v>
                </c:pt>
                <c:pt idx="39">
                  <c:v>1.4E-3</c:v>
                </c:pt>
                <c:pt idx="40">
                  <c:v>2.7799999999999999E-3</c:v>
                </c:pt>
                <c:pt idx="41">
                  <c:v>3.0399999999999993E-3</c:v>
                </c:pt>
                <c:pt idx="42">
                  <c:v>1.0500000000000002E-3</c:v>
                </c:pt>
                <c:pt idx="43">
                  <c:v>2.0100000000000001E-3</c:v>
                </c:pt>
                <c:pt idx="44">
                  <c:v>4.5999999999999991E-3</c:v>
                </c:pt>
                <c:pt idx="45">
                  <c:v>7.7099999999999998E-3</c:v>
                </c:pt>
                <c:pt idx="46">
                  <c:v>1.116E-2</c:v>
                </c:pt>
                <c:pt idx="47">
                  <c:v>1.4919999999999999E-2</c:v>
                </c:pt>
                <c:pt idx="48">
                  <c:v>1.9349999999999999E-2</c:v>
                </c:pt>
                <c:pt idx="49">
                  <c:v>2.385E-2</c:v>
                </c:pt>
                <c:pt idx="50">
                  <c:v>2.8830000000000001E-2</c:v>
                </c:pt>
                <c:pt idx="51">
                  <c:v>3.3839999999999995E-2</c:v>
                </c:pt>
                <c:pt idx="52">
                  <c:v>3.8919999999999996E-2</c:v>
                </c:pt>
                <c:pt idx="53">
                  <c:v>4.3869999999999992E-2</c:v>
                </c:pt>
                <c:pt idx="54">
                  <c:v>4.8650000000000006E-2</c:v>
                </c:pt>
                <c:pt idx="55">
                  <c:v>5.3100000000000015E-2</c:v>
                </c:pt>
                <c:pt idx="56">
                  <c:v>5.6729999999999989E-2</c:v>
                </c:pt>
                <c:pt idx="57">
                  <c:v>5.96E-2</c:v>
                </c:pt>
                <c:pt idx="58">
                  <c:v>6.2359999999999992E-2</c:v>
                </c:pt>
                <c:pt idx="59">
                  <c:v>6.4819999999999989E-2</c:v>
                </c:pt>
                <c:pt idx="60">
                  <c:v>6.5880000000000008E-2</c:v>
                </c:pt>
                <c:pt idx="61">
                  <c:v>6.5959999999999991E-2</c:v>
                </c:pt>
                <c:pt idx="62">
                  <c:v>6.3959999999999989E-2</c:v>
                </c:pt>
                <c:pt idx="63">
                  <c:v>6.2009999999999996E-2</c:v>
                </c:pt>
                <c:pt idx="64">
                  <c:v>6.0319999999999999E-2</c:v>
                </c:pt>
                <c:pt idx="65">
                  <c:v>5.7849999999999999E-2</c:v>
                </c:pt>
                <c:pt idx="66">
                  <c:v>5.4400000000000004E-2</c:v>
                </c:pt>
                <c:pt idx="67">
                  <c:v>4.9870000000000005E-2</c:v>
                </c:pt>
                <c:pt idx="68">
                  <c:v>4.5310000000000003E-2</c:v>
                </c:pt>
                <c:pt idx="69">
                  <c:v>4.0680000000000001E-2</c:v>
                </c:pt>
                <c:pt idx="70">
                  <c:v>3.5719999999999995E-2</c:v>
                </c:pt>
                <c:pt idx="71">
                  <c:v>3.0709999999999998E-2</c:v>
                </c:pt>
                <c:pt idx="72">
                  <c:v>2.5470000000000003E-2</c:v>
                </c:pt>
                <c:pt idx="73">
                  <c:v>2.0389999999999998E-2</c:v>
                </c:pt>
                <c:pt idx="74">
                  <c:v>1.5590000000000001E-2</c:v>
                </c:pt>
                <c:pt idx="75">
                  <c:v>1.0810000000000002E-2</c:v>
                </c:pt>
                <c:pt idx="76">
                  <c:v>6.6700000000000006E-3</c:v>
                </c:pt>
                <c:pt idx="77">
                  <c:v>3.4299999999999999E-3</c:v>
                </c:pt>
                <c:pt idx="78">
                  <c:v>1.07E-3</c:v>
                </c:pt>
                <c:pt idx="79">
                  <c:v>1.48E-3</c:v>
                </c:pt>
                <c:pt idx="80">
                  <c:v>2.5799999999999998E-3</c:v>
                </c:pt>
                <c:pt idx="81">
                  <c:v>2.9799999999999996E-3</c:v>
                </c:pt>
                <c:pt idx="82">
                  <c:v>1.25E-3</c:v>
                </c:pt>
                <c:pt idx="83">
                  <c:v>2.6200000000000004E-3</c:v>
                </c:pt>
                <c:pt idx="84">
                  <c:v>4.7700000000000008E-3</c:v>
                </c:pt>
                <c:pt idx="85">
                  <c:v>7.6399999999999992E-3</c:v>
                </c:pt>
                <c:pt idx="86">
                  <c:v>1.115E-2</c:v>
                </c:pt>
                <c:pt idx="87">
                  <c:v>1.494E-2</c:v>
                </c:pt>
                <c:pt idx="88">
                  <c:v>1.9410000000000004E-2</c:v>
                </c:pt>
                <c:pt idx="89">
                  <c:v>2.376E-2</c:v>
                </c:pt>
                <c:pt idx="90">
                  <c:v>2.8890000000000006E-2</c:v>
                </c:pt>
                <c:pt idx="91">
                  <c:v>3.3850000000000005E-2</c:v>
                </c:pt>
                <c:pt idx="92">
                  <c:v>3.8879999999999998E-2</c:v>
                </c:pt>
                <c:pt idx="93">
                  <c:v>4.3929999999999997E-2</c:v>
                </c:pt>
                <c:pt idx="94">
                  <c:v>4.8640000000000003E-2</c:v>
                </c:pt>
                <c:pt idx="95">
                  <c:v>5.3120000000000001E-2</c:v>
                </c:pt>
                <c:pt idx="96">
                  <c:v>5.6620000000000004E-2</c:v>
                </c:pt>
                <c:pt idx="97">
                  <c:v>5.96E-2</c:v>
                </c:pt>
                <c:pt idx="98">
                  <c:v>6.2350000000000003E-2</c:v>
                </c:pt>
                <c:pt idx="99">
                  <c:v>6.4919999999999992E-2</c:v>
                </c:pt>
                <c:pt idx="100">
                  <c:v>6.5690000000000012E-2</c:v>
                </c:pt>
                <c:pt idx="101">
                  <c:v>6.5689999999999998E-2</c:v>
                </c:pt>
                <c:pt idx="102">
                  <c:v>6.3590000000000008E-2</c:v>
                </c:pt>
                <c:pt idx="103">
                  <c:v>6.1549999999999994E-2</c:v>
                </c:pt>
                <c:pt idx="104">
                  <c:v>5.9750000000000004E-2</c:v>
                </c:pt>
                <c:pt idx="105">
                  <c:v>5.7170000000000012E-2</c:v>
                </c:pt>
                <c:pt idx="106">
                  <c:v>5.3490000000000003E-2</c:v>
                </c:pt>
                <c:pt idx="107">
                  <c:v>4.9030000000000004E-2</c:v>
                </c:pt>
                <c:pt idx="108">
                  <c:v>4.4360000000000004E-2</c:v>
                </c:pt>
                <c:pt idx="109">
                  <c:v>3.9689999999999996E-2</c:v>
                </c:pt>
                <c:pt idx="110">
                  <c:v>3.4680000000000002E-2</c:v>
                </c:pt>
                <c:pt idx="111">
                  <c:v>2.9690000000000001E-2</c:v>
                </c:pt>
                <c:pt idx="112">
                  <c:v>2.452E-2</c:v>
                </c:pt>
                <c:pt idx="113">
                  <c:v>2.1425E-2</c:v>
                </c:pt>
                <c:pt idx="114">
                  <c:v>1.6487500000000002E-2</c:v>
                </c:pt>
                <c:pt idx="115">
                  <c:v>1.1699999999999999E-2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0.19948499999999569</c:v>
                </c:pt>
                <c:pt idx="2">
                  <c:v>0.39975999999999845</c:v>
                </c:pt>
                <c:pt idx="3">
                  <c:v>0.60012700000000052</c:v>
                </c:pt>
                <c:pt idx="4">
                  <c:v>0.79948299999999362</c:v>
                </c:pt>
                <c:pt idx="5">
                  <c:v>0.99989199999999845</c:v>
                </c:pt>
                <c:pt idx="6">
                  <c:v>1.1999029999999968</c:v>
                </c:pt>
                <c:pt idx="7">
                  <c:v>1.3995699999999993</c:v>
                </c:pt>
                <c:pt idx="8">
                  <c:v>1.5996379999999975</c:v>
                </c:pt>
                <c:pt idx="9">
                  <c:v>1.8006550000000026</c:v>
                </c:pt>
                <c:pt idx="10">
                  <c:v>1.9997879999999995</c:v>
                </c:pt>
                <c:pt idx="11">
                  <c:v>2.1996259999999959</c:v>
                </c:pt>
                <c:pt idx="12">
                  <c:v>2.3996830000000053</c:v>
                </c:pt>
                <c:pt idx="13">
                  <c:v>2.5999209999999962</c:v>
                </c:pt>
                <c:pt idx="14">
                  <c:v>2.8011080000000064</c:v>
                </c:pt>
                <c:pt idx="15">
                  <c:v>2.9998840000000002</c:v>
                </c:pt>
                <c:pt idx="16">
                  <c:v>3.2003149999999949</c:v>
                </c:pt>
                <c:pt idx="17">
                  <c:v>3.4000250000000038</c:v>
                </c:pt>
                <c:pt idx="18">
                  <c:v>3.5999740000000031</c:v>
                </c:pt>
                <c:pt idx="19">
                  <c:v>3.800620999999996</c:v>
                </c:pt>
                <c:pt idx="20">
                  <c:v>3.9996099999999997</c:v>
                </c:pt>
                <c:pt idx="21">
                  <c:v>4.2001499999999963</c:v>
                </c:pt>
                <c:pt idx="22">
                  <c:v>4.3998949999999981</c:v>
                </c:pt>
                <c:pt idx="23">
                  <c:v>4.5996500000000022</c:v>
                </c:pt>
                <c:pt idx="24">
                  <c:v>4.8002879999999966</c:v>
                </c:pt>
                <c:pt idx="25">
                  <c:v>4.9994639999999997</c:v>
                </c:pt>
                <c:pt idx="26">
                  <c:v>5.1997169999999988</c:v>
                </c:pt>
                <c:pt idx="27">
                  <c:v>5.3998759999999981</c:v>
                </c:pt>
                <c:pt idx="28">
                  <c:v>5.5997299999999921</c:v>
                </c:pt>
                <c:pt idx="29">
                  <c:v>5.7999000000000001</c:v>
                </c:pt>
                <c:pt idx="30">
                  <c:v>5.999704999999997</c:v>
                </c:pt>
                <c:pt idx="31">
                  <c:v>6.1999989999999974</c:v>
                </c:pt>
                <c:pt idx="32">
                  <c:v>6.4000749999999922</c:v>
                </c:pt>
                <c:pt idx="33">
                  <c:v>6.6001749999999904</c:v>
                </c:pt>
                <c:pt idx="34">
                  <c:v>6.7997970000000052</c:v>
                </c:pt>
                <c:pt idx="35">
                  <c:v>6.9998330000000024</c:v>
                </c:pt>
                <c:pt idx="36">
                  <c:v>7.200781000000001</c:v>
                </c:pt>
                <c:pt idx="37">
                  <c:v>7.3998220000000057</c:v>
                </c:pt>
                <c:pt idx="38">
                  <c:v>7.5995100000000004</c:v>
                </c:pt>
                <c:pt idx="39">
                  <c:v>7.7995169999999971</c:v>
                </c:pt>
                <c:pt idx="40">
                  <c:v>8.000433000000001</c:v>
                </c:pt>
                <c:pt idx="41">
                  <c:v>8.1998789999999975</c:v>
                </c:pt>
                <c:pt idx="42">
                  <c:v>8.4397880000000036</c:v>
                </c:pt>
                <c:pt idx="43">
                  <c:v>8.640032999999999</c:v>
                </c:pt>
                <c:pt idx="44">
                  <c:v>8.8398479999999946</c:v>
                </c:pt>
                <c:pt idx="45">
                  <c:v>9.0397470000000002</c:v>
                </c:pt>
                <c:pt idx="46">
                  <c:v>9.2413969999999939</c:v>
                </c:pt>
                <c:pt idx="47">
                  <c:v>9.4397999999999946</c:v>
                </c:pt>
                <c:pt idx="48">
                  <c:v>9.639678</c:v>
                </c:pt>
                <c:pt idx="49">
                  <c:v>9.8400819999999918</c:v>
                </c:pt>
                <c:pt idx="50">
                  <c:v>10.040218999999997</c:v>
                </c:pt>
                <c:pt idx="51">
                  <c:v>10.240256000000002</c:v>
                </c:pt>
                <c:pt idx="52">
                  <c:v>10.439677999999995</c:v>
                </c:pt>
                <c:pt idx="53">
                  <c:v>10.640070999999997</c:v>
                </c:pt>
                <c:pt idx="54">
                  <c:v>10.840148000000003</c:v>
                </c:pt>
                <c:pt idx="55">
                  <c:v>11.040042</c:v>
                </c:pt>
                <c:pt idx="56">
                  <c:v>11.240229000000003</c:v>
                </c:pt>
                <c:pt idx="57">
                  <c:v>11.439856999999995</c:v>
                </c:pt>
                <c:pt idx="58">
                  <c:v>11.639722000000001</c:v>
                </c:pt>
                <c:pt idx="59">
                  <c:v>11.840501</c:v>
                </c:pt>
                <c:pt idx="60">
                  <c:v>12.040154999999999</c:v>
                </c:pt>
                <c:pt idx="61">
                  <c:v>12.240303000000001</c:v>
                </c:pt>
                <c:pt idx="62">
                  <c:v>12.440081000000001</c:v>
                </c:pt>
                <c:pt idx="63">
                  <c:v>12.639958999999996</c:v>
                </c:pt>
                <c:pt idx="64">
                  <c:v>12.839679000000004</c:v>
                </c:pt>
                <c:pt idx="65">
                  <c:v>13.040317000000002</c:v>
                </c:pt>
                <c:pt idx="66">
                  <c:v>13.240298999999998</c:v>
                </c:pt>
                <c:pt idx="67">
                  <c:v>13.440175999999999</c:v>
                </c:pt>
                <c:pt idx="68">
                  <c:v>13.640030000000001</c:v>
                </c:pt>
                <c:pt idx="69">
                  <c:v>13.839971999999998</c:v>
                </c:pt>
                <c:pt idx="70">
                  <c:v>14.040285000000003</c:v>
                </c:pt>
                <c:pt idx="71">
                  <c:v>14.241227</c:v>
                </c:pt>
                <c:pt idx="72">
                  <c:v>14.441304000000002</c:v>
                </c:pt>
                <c:pt idx="73">
                  <c:v>14.639934000000002</c:v>
                </c:pt>
                <c:pt idx="74">
                  <c:v>14.840097</c:v>
                </c:pt>
                <c:pt idx="75">
                  <c:v>15.040467999999994</c:v>
                </c:pt>
                <c:pt idx="76">
                  <c:v>15.240103999999997</c:v>
                </c:pt>
                <c:pt idx="77">
                  <c:v>15.440086999999991</c:v>
                </c:pt>
                <c:pt idx="78">
                  <c:v>15.640139999999999</c:v>
                </c:pt>
                <c:pt idx="79">
                  <c:v>15.840461999999997</c:v>
                </c:pt>
                <c:pt idx="80">
                  <c:v>16.040736999999996</c:v>
                </c:pt>
                <c:pt idx="81">
                  <c:v>16.240155000000005</c:v>
                </c:pt>
                <c:pt idx="82">
                  <c:v>16.439639</c:v>
                </c:pt>
                <c:pt idx="83">
                  <c:v>16.639974000000002</c:v>
                </c:pt>
                <c:pt idx="84">
                  <c:v>16.840363999999994</c:v>
                </c:pt>
                <c:pt idx="85">
                  <c:v>17.040515999999993</c:v>
                </c:pt>
                <c:pt idx="86">
                  <c:v>17.240376000000005</c:v>
                </c:pt>
                <c:pt idx="87">
                  <c:v>17.440034000000001</c:v>
                </c:pt>
                <c:pt idx="88">
                  <c:v>17.639708000000006</c:v>
                </c:pt>
                <c:pt idx="89">
                  <c:v>17.840115999999991</c:v>
                </c:pt>
                <c:pt idx="90">
                  <c:v>18.040871999999993</c:v>
                </c:pt>
                <c:pt idx="91">
                  <c:v>18.239758000000005</c:v>
                </c:pt>
                <c:pt idx="92">
                  <c:v>18.439608999999997</c:v>
                </c:pt>
                <c:pt idx="93">
                  <c:v>18.640433999999996</c:v>
                </c:pt>
                <c:pt idx="94">
                  <c:v>18.840600999999999</c:v>
                </c:pt>
                <c:pt idx="95">
                  <c:v>19.040131999999996</c:v>
                </c:pt>
                <c:pt idx="96">
                  <c:v>19.240268</c:v>
                </c:pt>
                <c:pt idx="97">
                  <c:v>19.440232999999999</c:v>
                </c:pt>
                <c:pt idx="98">
                  <c:v>19.639983000000001</c:v>
                </c:pt>
                <c:pt idx="99">
                  <c:v>19.840420999999999</c:v>
                </c:pt>
                <c:pt idx="100">
                  <c:v>20.040134999999999</c:v>
                </c:pt>
                <c:pt idx="101">
                  <c:v>20.239714999999993</c:v>
                </c:pt>
                <c:pt idx="102">
                  <c:v>20.480246999999999</c:v>
                </c:pt>
                <c:pt idx="103">
                  <c:v>20.680589000000005</c:v>
                </c:pt>
                <c:pt idx="104">
                  <c:v>20.879901999999998</c:v>
                </c:pt>
                <c:pt idx="105">
                  <c:v>21.080367999999993</c:v>
                </c:pt>
                <c:pt idx="106">
                  <c:v>21.280559</c:v>
                </c:pt>
                <c:pt idx="107">
                  <c:v>21.480117</c:v>
                </c:pt>
                <c:pt idx="108">
                  <c:v>21.679942</c:v>
                </c:pt>
                <c:pt idx="109">
                  <c:v>21.880174999999998</c:v>
                </c:pt>
                <c:pt idx="110">
                  <c:v>22.080656999999999</c:v>
                </c:pt>
                <c:pt idx="111">
                  <c:v>22.280060999999996</c:v>
                </c:pt>
                <c:pt idx="112">
                  <c:v>22.480614999999997</c:v>
                </c:pt>
                <c:pt idx="113">
                  <c:v>22.600077499999987</c:v>
                </c:pt>
                <c:pt idx="114">
                  <c:v>22.8000775</c:v>
                </c:pt>
                <c:pt idx="115">
                  <c:v>22.999059999999997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0</c:v>
                </c:pt>
                <c:pt idx="1">
                  <c:v>4.0000000000000007E-4</c:v>
                </c:pt>
                <c:pt idx="2">
                  <c:v>1.5400000000000001E-3</c:v>
                </c:pt>
                <c:pt idx="3">
                  <c:v>3.4300000000000003E-3</c:v>
                </c:pt>
                <c:pt idx="4">
                  <c:v>6.0199999999999993E-3</c:v>
                </c:pt>
                <c:pt idx="5">
                  <c:v>9.2300000000000004E-3</c:v>
                </c:pt>
                <c:pt idx="6">
                  <c:v>1.3000000000000001E-2</c:v>
                </c:pt>
                <c:pt idx="7">
                  <c:v>1.7230000000000002E-2</c:v>
                </c:pt>
                <c:pt idx="8">
                  <c:v>2.1789999999999997E-2</c:v>
                </c:pt>
                <c:pt idx="9">
                  <c:v>2.6630000000000004E-2</c:v>
                </c:pt>
                <c:pt idx="10">
                  <c:v>3.1530000000000002E-2</c:v>
                </c:pt>
                <c:pt idx="11">
                  <c:v>3.6449999999999996E-2</c:v>
                </c:pt>
                <c:pt idx="12">
                  <c:v>4.1260000000000005E-2</c:v>
                </c:pt>
                <c:pt idx="13">
                  <c:v>4.5829999999999996E-2</c:v>
                </c:pt>
                <c:pt idx="14">
                  <c:v>5.0059999999999993E-2</c:v>
                </c:pt>
                <c:pt idx="15">
                  <c:v>5.3810000000000004E-2</c:v>
                </c:pt>
                <c:pt idx="16">
                  <c:v>5.7010000000000005E-2</c:v>
                </c:pt>
                <c:pt idx="17">
                  <c:v>5.9589999999999997E-2</c:v>
                </c:pt>
                <c:pt idx="18">
                  <c:v>6.1490000000000003E-2</c:v>
                </c:pt>
                <c:pt idx="19">
                  <c:v>6.2600000000000003E-2</c:v>
                </c:pt>
                <c:pt idx="20">
                  <c:v>6.2999999999999987E-2</c:v>
                </c:pt>
                <c:pt idx="21">
                  <c:v>6.2600000000000003E-2</c:v>
                </c:pt>
                <c:pt idx="22">
                  <c:v>6.1460000000000001E-2</c:v>
                </c:pt>
                <c:pt idx="23">
                  <c:v>5.9569999999999998E-2</c:v>
                </c:pt>
                <c:pt idx="24">
                  <c:v>5.697E-2</c:v>
                </c:pt>
                <c:pt idx="25">
                  <c:v>5.3780000000000008E-2</c:v>
                </c:pt>
                <c:pt idx="26">
                  <c:v>4.9999999999999996E-2</c:v>
                </c:pt>
                <c:pt idx="27">
                  <c:v>4.5780000000000001E-2</c:v>
                </c:pt>
                <c:pt idx="28">
                  <c:v>4.1200000000000001E-2</c:v>
                </c:pt>
                <c:pt idx="29">
                  <c:v>3.6389999999999999E-2</c:v>
                </c:pt>
                <c:pt idx="30">
                  <c:v>3.1460000000000002E-2</c:v>
                </c:pt>
                <c:pt idx="31">
                  <c:v>2.6549999999999997E-2</c:v>
                </c:pt>
                <c:pt idx="32">
                  <c:v>2.1739999999999999E-2</c:v>
                </c:pt>
                <c:pt idx="33">
                  <c:v>1.7179999999999997E-2</c:v>
                </c:pt>
                <c:pt idx="34">
                  <c:v>1.298E-2</c:v>
                </c:pt>
                <c:pt idx="35">
                  <c:v>9.1999999999999998E-3</c:v>
                </c:pt>
                <c:pt idx="36">
                  <c:v>5.9700000000000005E-3</c:v>
                </c:pt>
                <c:pt idx="37">
                  <c:v>3.3999999999999994E-3</c:v>
                </c:pt>
                <c:pt idx="38">
                  <c:v>1.5099999999999998E-3</c:v>
                </c:pt>
                <c:pt idx="39">
                  <c:v>4.0000000000000007E-4</c:v>
                </c:pt>
                <c:pt idx="40">
                  <c:v>0</c:v>
                </c:pt>
                <c:pt idx="41">
                  <c:v>4.0000000000000007E-4</c:v>
                </c:pt>
                <c:pt idx="42">
                  <c:v>1.99E-3</c:v>
                </c:pt>
                <c:pt idx="43">
                  <c:v>4.0100000000000005E-3</c:v>
                </c:pt>
                <c:pt idx="44">
                  <c:v>6.7199999999999994E-3</c:v>
                </c:pt>
                <c:pt idx="45">
                  <c:v>1.0030000000000001E-2</c:v>
                </c:pt>
                <c:pt idx="46">
                  <c:v>1.3929999999999998E-2</c:v>
                </c:pt>
                <c:pt idx="47">
                  <c:v>1.8160000000000003E-2</c:v>
                </c:pt>
                <c:pt idx="48">
                  <c:v>2.2769999999999999E-2</c:v>
                </c:pt>
                <c:pt idx="49">
                  <c:v>2.758E-2</c:v>
                </c:pt>
                <c:pt idx="50">
                  <c:v>3.2520000000000007E-2</c:v>
                </c:pt>
                <c:pt idx="51">
                  <c:v>3.7419999999999995E-2</c:v>
                </c:pt>
                <c:pt idx="52">
                  <c:v>4.2130000000000001E-2</c:v>
                </c:pt>
                <c:pt idx="53">
                  <c:v>4.6629999999999998E-2</c:v>
                </c:pt>
                <c:pt idx="54">
                  <c:v>5.0729999999999997E-2</c:v>
                </c:pt>
                <c:pt idx="55">
                  <c:v>5.4390000000000008E-2</c:v>
                </c:pt>
                <c:pt idx="56">
                  <c:v>5.7460000000000011E-2</c:v>
                </c:pt>
                <c:pt idx="57">
                  <c:v>5.9889999999999999E-2</c:v>
                </c:pt>
                <c:pt idx="58">
                  <c:v>6.1639999999999993E-2</c:v>
                </c:pt>
                <c:pt idx="59">
                  <c:v>6.2600000000000003E-2</c:v>
                </c:pt>
                <c:pt idx="60">
                  <c:v>6.2849999999999989E-2</c:v>
                </c:pt>
                <c:pt idx="61">
                  <c:v>6.2300000000000001E-2</c:v>
                </c:pt>
                <c:pt idx="62">
                  <c:v>6.1009999999999995E-2</c:v>
                </c:pt>
                <c:pt idx="63">
                  <c:v>5.8990000000000001E-2</c:v>
                </c:pt>
                <c:pt idx="64">
                  <c:v>5.6279999999999997E-2</c:v>
                </c:pt>
                <c:pt idx="65">
                  <c:v>5.2959999999999993E-2</c:v>
                </c:pt>
                <c:pt idx="66">
                  <c:v>4.9099999999999998E-2</c:v>
                </c:pt>
                <c:pt idx="67">
                  <c:v>4.4830000000000002E-2</c:v>
                </c:pt>
                <c:pt idx="68">
                  <c:v>4.0230000000000002E-2</c:v>
                </c:pt>
                <c:pt idx="69">
                  <c:v>3.542E-2</c:v>
                </c:pt>
                <c:pt idx="70">
                  <c:v>3.0499999999999992E-2</c:v>
                </c:pt>
                <c:pt idx="71">
                  <c:v>2.555E-2</c:v>
                </c:pt>
                <c:pt idx="72">
                  <c:v>2.0819999999999998E-2</c:v>
                </c:pt>
                <c:pt idx="73">
                  <c:v>1.6349999999999996E-2</c:v>
                </c:pt>
                <c:pt idx="74">
                  <c:v>1.2249999999999999E-2</c:v>
                </c:pt>
                <c:pt idx="75">
                  <c:v>8.6099999999999996E-3</c:v>
                </c:pt>
                <c:pt idx="76">
                  <c:v>5.5399999999999998E-3</c:v>
                </c:pt>
                <c:pt idx="77">
                  <c:v>3.0999999999999999E-3</c:v>
                </c:pt>
                <c:pt idx="78">
                  <c:v>1.3700000000000001E-3</c:v>
                </c:pt>
                <c:pt idx="79">
                  <c:v>4.0000000000000007E-4</c:v>
                </c:pt>
                <c:pt idx="80">
                  <c:v>1.6000000000000001E-4</c:v>
                </c:pt>
                <c:pt idx="81">
                  <c:v>6.9999999999999999E-4</c:v>
                </c:pt>
                <c:pt idx="82">
                  <c:v>1.99E-3</c:v>
                </c:pt>
                <c:pt idx="83">
                  <c:v>4.0000000000000001E-3</c:v>
                </c:pt>
                <c:pt idx="84">
                  <c:v>6.7299999999999999E-3</c:v>
                </c:pt>
                <c:pt idx="85">
                  <c:v>1.0060000000000001E-2</c:v>
                </c:pt>
                <c:pt idx="86">
                  <c:v>1.391E-2</c:v>
                </c:pt>
                <c:pt idx="87">
                  <c:v>1.8159999999999999E-2</c:v>
                </c:pt>
                <c:pt idx="88">
                  <c:v>2.2760000000000002E-2</c:v>
                </c:pt>
                <c:pt idx="89">
                  <c:v>2.7590000000000003E-2</c:v>
                </c:pt>
                <c:pt idx="90">
                  <c:v>3.2520000000000007E-2</c:v>
                </c:pt>
                <c:pt idx="91">
                  <c:v>3.7399999999999996E-2</c:v>
                </c:pt>
                <c:pt idx="92">
                  <c:v>4.2139999999999997E-2</c:v>
                </c:pt>
                <c:pt idx="93">
                  <c:v>4.6630000000000005E-2</c:v>
                </c:pt>
                <c:pt idx="94">
                  <c:v>5.0739999999999993E-2</c:v>
                </c:pt>
                <c:pt idx="95">
                  <c:v>5.4390000000000008E-2</c:v>
                </c:pt>
                <c:pt idx="96">
                  <c:v>5.7470000000000007E-2</c:v>
                </c:pt>
                <c:pt idx="97">
                  <c:v>5.9880000000000003E-2</c:v>
                </c:pt>
                <c:pt idx="98">
                  <c:v>6.1639999999999993E-2</c:v>
                </c:pt>
                <c:pt idx="99">
                  <c:v>6.2600000000000003E-2</c:v>
                </c:pt>
                <c:pt idx="100">
                  <c:v>6.2839999999999979E-2</c:v>
                </c:pt>
                <c:pt idx="101">
                  <c:v>6.2300000000000001E-2</c:v>
                </c:pt>
                <c:pt idx="102">
                  <c:v>6.0550000000000007E-2</c:v>
                </c:pt>
                <c:pt idx="103">
                  <c:v>5.8399999999999994E-2</c:v>
                </c:pt>
                <c:pt idx="104">
                  <c:v>5.5569999999999994E-2</c:v>
                </c:pt>
                <c:pt idx="105">
                  <c:v>5.2139999999999999E-2</c:v>
                </c:pt>
                <c:pt idx="106">
                  <c:v>4.8210000000000003E-2</c:v>
                </c:pt>
                <c:pt idx="107">
                  <c:v>4.3880000000000009E-2</c:v>
                </c:pt>
                <c:pt idx="108">
                  <c:v>3.9270000000000006E-2</c:v>
                </c:pt>
                <c:pt idx="109">
                  <c:v>3.4419999999999999E-2</c:v>
                </c:pt>
                <c:pt idx="110">
                  <c:v>2.9510000000000002E-2</c:v>
                </c:pt>
                <c:pt idx="111">
                  <c:v>2.4660000000000001E-2</c:v>
                </c:pt>
                <c:pt idx="112">
                  <c:v>1.9950000000000002E-2</c:v>
                </c:pt>
                <c:pt idx="113">
                  <c:v>1.7149999999999999E-2</c:v>
                </c:pt>
                <c:pt idx="114">
                  <c:v>1.2949999999999998E-2</c:v>
                </c:pt>
                <c:pt idx="115">
                  <c:v>9.2200000000000008E-3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389792</xdr:colOff>
      <xdr:row>1</xdr:row>
      <xdr:rowOff>96715</xdr:rowOff>
    </xdr:from>
    <xdr:to>
      <xdr:col>16</xdr:col>
      <xdr:colOff>612530</xdr:colOff>
      <xdr:row>16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1723"/>
  <sheetViews>
    <sheetView workbookViewId="0">
      <selection activeCell="J1" sqref="J1:J1048576"/>
    </sheetView>
  </sheetViews>
  <sheetFormatPr baseColWidth="10" defaultRowHeight="14.4" x14ac:dyDescent="0.3"/>
  <cols>
    <col min="1" max="3" width="8.88671875"/>
    <col min="4" max="4" width="12" bestFit="1" customWidth="1"/>
    <col min="5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100</v>
      </c>
      <c r="C2">
        <v>0</v>
      </c>
      <c r="D2">
        <v>-2.8999999999999998E-3</v>
      </c>
      <c r="E2">
        <v>5.995734813048017</v>
      </c>
      <c r="F2">
        <v>606.80248457607524</v>
      </c>
      <c r="G2">
        <v>0.42399999999999999</v>
      </c>
      <c r="H2">
        <v>0</v>
      </c>
      <c r="I2">
        <v>54.001420000000003</v>
      </c>
    </row>
    <row r="3" spans="1:9" x14ac:dyDescent="0.3">
      <c r="A3" t="s">
        <v>9</v>
      </c>
      <c r="B3" t="s">
        <v>101</v>
      </c>
      <c r="C3">
        <v>0</v>
      </c>
      <c r="D3">
        <v>-3.0999999999999999E-3</v>
      </c>
      <c r="E3">
        <v>6.0208729744122644</v>
      </c>
      <c r="F3">
        <v>711.38084527172396</v>
      </c>
      <c r="G3">
        <v>0.42399999999999999</v>
      </c>
      <c r="H3">
        <v>4.0000000000000002E-4</v>
      </c>
      <c r="I3">
        <v>54.200719999999997</v>
      </c>
    </row>
    <row r="4" spans="1:9" x14ac:dyDescent="0.3">
      <c r="A4" t="s">
        <v>9</v>
      </c>
      <c r="B4" t="s">
        <v>102</v>
      </c>
      <c r="C4">
        <v>0</v>
      </c>
      <c r="D4">
        <v>-1E-3</v>
      </c>
      <c r="E4">
        <v>6.0961230136650144</v>
      </c>
      <c r="F4">
        <v>718.52207399680992</v>
      </c>
      <c r="G4">
        <v>0.42399999999999999</v>
      </c>
      <c r="H4">
        <v>1.6000000000000001E-3</v>
      </c>
      <c r="I4">
        <v>54.402360000000002</v>
      </c>
    </row>
    <row r="5" spans="1:9" x14ac:dyDescent="0.3">
      <c r="A5" t="s">
        <v>9</v>
      </c>
      <c r="B5" t="s">
        <v>103</v>
      </c>
      <c r="C5">
        <v>0</v>
      </c>
      <c r="D5">
        <v>2.3E-3</v>
      </c>
      <c r="E5">
        <v>6.2182811733130068</v>
      </c>
      <c r="F5">
        <v>730.11488334740443</v>
      </c>
      <c r="G5">
        <v>0.42399999999999999</v>
      </c>
      <c r="H5">
        <v>3.5000000000000001E-3</v>
      </c>
      <c r="I5">
        <v>54.602179999999997</v>
      </c>
    </row>
    <row r="6" spans="1:9" x14ac:dyDescent="0.3">
      <c r="A6" t="s">
        <v>9</v>
      </c>
      <c r="B6" t="s">
        <v>104</v>
      </c>
      <c r="C6">
        <v>0</v>
      </c>
      <c r="D6">
        <v>4.1999999999999997E-3</v>
      </c>
      <c r="E6">
        <v>6.385092772430462</v>
      </c>
      <c r="F6">
        <v>745.94530410365087</v>
      </c>
      <c r="G6">
        <v>0.42399999999999999</v>
      </c>
      <c r="H6">
        <v>6.0000000000000001E-3</v>
      </c>
      <c r="I6">
        <v>54.802309999999999</v>
      </c>
    </row>
    <row r="7" spans="1:9" x14ac:dyDescent="0.3">
      <c r="A7" t="s">
        <v>9</v>
      </c>
      <c r="B7" t="s">
        <v>105</v>
      </c>
      <c r="C7">
        <v>0</v>
      </c>
      <c r="D7">
        <v>7.0000000000000001E-3</v>
      </c>
      <c r="E7">
        <v>6.5902707843038302</v>
      </c>
      <c r="F7">
        <v>765.41669743043349</v>
      </c>
      <c r="G7">
        <v>0.42399999999999999</v>
      </c>
      <c r="H7">
        <v>9.1999999999999998E-3</v>
      </c>
      <c r="I7">
        <v>55.00065</v>
      </c>
    </row>
    <row r="8" spans="1:9" x14ac:dyDescent="0.3">
      <c r="A8" t="s">
        <v>9</v>
      </c>
      <c r="B8" t="s">
        <v>106</v>
      </c>
      <c r="C8">
        <v>0</v>
      </c>
      <c r="D8">
        <v>1.0500000000000001E-2</v>
      </c>
      <c r="E8">
        <v>6.8334453790620708</v>
      </c>
      <c r="F8">
        <v>788.49396647299056</v>
      </c>
      <c r="G8">
        <v>0.42399999999999999</v>
      </c>
      <c r="H8">
        <v>1.2999999999999999E-2</v>
      </c>
      <c r="I8">
        <v>55.201549999999997</v>
      </c>
    </row>
    <row r="9" spans="1:9" x14ac:dyDescent="0.3">
      <c r="A9" t="s">
        <v>9</v>
      </c>
      <c r="B9" t="s">
        <v>107</v>
      </c>
      <c r="C9">
        <v>0</v>
      </c>
      <c r="D9">
        <v>1.41E-2</v>
      </c>
      <c r="E9">
        <v>7.1059910585353734</v>
      </c>
      <c r="F9">
        <v>814.35855145500693</v>
      </c>
      <c r="G9">
        <v>0.42399999999999999</v>
      </c>
      <c r="H9">
        <v>1.7299999999999999E-2</v>
      </c>
      <c r="I9">
        <v>55.402320000000003</v>
      </c>
    </row>
    <row r="10" spans="1:9" x14ac:dyDescent="0.3">
      <c r="A10" t="s">
        <v>9</v>
      </c>
      <c r="B10" t="s">
        <v>108</v>
      </c>
      <c r="C10">
        <v>0</v>
      </c>
      <c r="D10">
        <v>1.8700000000000001E-2</v>
      </c>
      <c r="E10">
        <v>7.3990405828927992</v>
      </c>
      <c r="F10">
        <v>842.16895131652666</v>
      </c>
      <c r="G10">
        <v>0.42399999999999999</v>
      </c>
      <c r="H10">
        <v>2.18E-2</v>
      </c>
      <c r="I10">
        <v>55.601610000000001</v>
      </c>
    </row>
    <row r="11" spans="1:9" x14ac:dyDescent="0.3">
      <c r="A11" t="s">
        <v>9</v>
      </c>
      <c r="B11" t="s">
        <v>109</v>
      </c>
      <c r="C11">
        <v>0</v>
      </c>
      <c r="D11">
        <v>2.2800000000000001E-2</v>
      </c>
      <c r="E11">
        <v>7.7086373685562091</v>
      </c>
      <c r="F11">
        <v>871.5496862759843</v>
      </c>
      <c r="G11">
        <v>0.42399999999999999</v>
      </c>
      <c r="H11">
        <v>2.6599999999999999E-2</v>
      </c>
      <c r="I11">
        <v>55.80171</v>
      </c>
    </row>
    <row r="12" spans="1:9" x14ac:dyDescent="0.3">
      <c r="A12" t="s">
        <v>9</v>
      </c>
      <c r="B12" t="s">
        <v>110</v>
      </c>
      <c r="C12">
        <v>0</v>
      </c>
      <c r="D12">
        <v>2.7900000000000001E-2</v>
      </c>
      <c r="E12">
        <v>8.0266732169385957</v>
      </c>
      <c r="F12">
        <v>901.73128828747281</v>
      </c>
      <c r="G12">
        <v>0.42399999999999999</v>
      </c>
      <c r="H12">
        <v>3.1600000000000003E-2</v>
      </c>
      <c r="I12">
        <v>56.002249999999997</v>
      </c>
    </row>
    <row r="13" spans="1:9" x14ac:dyDescent="0.3">
      <c r="A13" t="s">
        <v>9</v>
      </c>
      <c r="B13" t="s">
        <v>111</v>
      </c>
      <c r="C13">
        <v>0</v>
      </c>
      <c r="D13">
        <v>3.3099999999999997E-2</v>
      </c>
      <c r="E13">
        <v>8.3426736021561716</v>
      </c>
      <c r="F13">
        <v>931.71972484462071</v>
      </c>
      <c r="G13">
        <v>0.42399999999999999</v>
      </c>
      <c r="H13">
        <v>3.6499999999999998E-2</v>
      </c>
      <c r="I13">
        <v>56.201549999999997</v>
      </c>
    </row>
    <row r="14" spans="1:9" x14ac:dyDescent="0.3">
      <c r="A14" t="s">
        <v>9</v>
      </c>
      <c r="B14" t="s">
        <v>112</v>
      </c>
      <c r="C14">
        <v>0</v>
      </c>
      <c r="D14">
        <v>3.8199999999999998E-2</v>
      </c>
      <c r="E14">
        <v>8.6507117582567226</v>
      </c>
      <c r="F14">
        <v>960.95254585856298</v>
      </c>
      <c r="G14">
        <v>0.42399999999999999</v>
      </c>
      <c r="H14">
        <v>4.1300000000000003E-2</v>
      </c>
      <c r="I14">
        <v>56.400750000000002</v>
      </c>
    </row>
    <row r="15" spans="1:9" x14ac:dyDescent="0.3">
      <c r="A15" t="s">
        <v>9</v>
      </c>
      <c r="B15" t="s">
        <v>113</v>
      </c>
      <c r="C15">
        <v>0</v>
      </c>
      <c r="D15">
        <v>4.2999999999999997E-2</v>
      </c>
      <c r="E15">
        <v>8.9458993298787028</v>
      </c>
      <c r="F15">
        <v>988.96584640548895</v>
      </c>
      <c r="G15">
        <v>0.42399999999999999</v>
      </c>
      <c r="H15">
        <v>4.58E-2</v>
      </c>
      <c r="I15">
        <v>56.601700000000001</v>
      </c>
    </row>
    <row r="16" spans="1:9" x14ac:dyDescent="0.3">
      <c r="A16" t="s">
        <v>9</v>
      </c>
      <c r="B16" t="s">
        <v>114</v>
      </c>
      <c r="C16">
        <v>0</v>
      </c>
      <c r="D16">
        <v>4.7800000000000002E-2</v>
      </c>
      <c r="E16">
        <v>9.2154599336907754</v>
      </c>
      <c r="F16">
        <v>1014.547147707255</v>
      </c>
      <c r="G16">
        <v>0.42399999999999999</v>
      </c>
      <c r="H16">
        <v>0.05</v>
      </c>
      <c r="I16">
        <v>56.800559999999997</v>
      </c>
    </row>
    <row r="17" spans="1:9" x14ac:dyDescent="0.3">
      <c r="A17" t="s">
        <v>9</v>
      </c>
      <c r="B17" t="s">
        <v>115</v>
      </c>
      <c r="C17">
        <v>0</v>
      </c>
      <c r="D17">
        <v>5.2600000000000001E-2</v>
      </c>
      <c r="E17">
        <v>9.4586937271785114</v>
      </c>
      <c r="F17">
        <v>1037.630034709241</v>
      </c>
      <c r="G17">
        <v>0.42399999999999999</v>
      </c>
      <c r="H17">
        <v>5.3800000000000001E-2</v>
      </c>
      <c r="I17">
        <v>57.001820000000002</v>
      </c>
    </row>
    <row r="18" spans="1:9" x14ac:dyDescent="0.3">
      <c r="A18" t="s">
        <v>9</v>
      </c>
      <c r="B18" t="s">
        <v>116</v>
      </c>
      <c r="C18">
        <v>0</v>
      </c>
      <c r="D18">
        <v>5.6599999999999998E-2</v>
      </c>
      <c r="E18">
        <v>9.6641903579672022</v>
      </c>
      <c r="F18">
        <v>1057.131664971088</v>
      </c>
      <c r="G18">
        <v>0.42399999999999999</v>
      </c>
      <c r="H18">
        <v>5.7000000000000002E-2</v>
      </c>
      <c r="I18">
        <v>57.201000000000001</v>
      </c>
    </row>
    <row r="19" spans="1:9" x14ac:dyDescent="0.3">
      <c r="A19" t="s">
        <v>9</v>
      </c>
      <c r="B19" t="s">
        <v>117</v>
      </c>
      <c r="C19">
        <v>0</v>
      </c>
      <c r="D19">
        <v>5.9499999999999997E-2</v>
      </c>
      <c r="E19">
        <v>9.8300879043730145</v>
      </c>
      <c r="F19">
        <v>1072.875342124999</v>
      </c>
      <c r="G19">
        <v>0.42399999999999999</v>
      </c>
      <c r="H19">
        <v>5.96E-2</v>
      </c>
      <c r="I19">
        <v>57.400849999999998</v>
      </c>
    </row>
    <row r="20" spans="1:9" x14ac:dyDescent="0.3">
      <c r="A20" t="s">
        <v>9</v>
      </c>
      <c r="B20" t="s">
        <v>118</v>
      </c>
      <c r="C20">
        <v>0</v>
      </c>
      <c r="D20">
        <v>6.2700000000000006E-2</v>
      </c>
      <c r="E20">
        <v>9.9518925340741173</v>
      </c>
      <c r="F20">
        <v>1084.434601483634</v>
      </c>
      <c r="G20">
        <v>0.42399999999999999</v>
      </c>
      <c r="H20">
        <v>6.1499999999999999E-2</v>
      </c>
      <c r="I20">
        <v>57.601379999999999</v>
      </c>
    </row>
    <row r="21" spans="1:9" x14ac:dyDescent="0.3">
      <c r="A21" t="s">
        <v>9</v>
      </c>
      <c r="B21" t="s">
        <v>119</v>
      </c>
      <c r="C21">
        <v>0</v>
      </c>
      <c r="D21">
        <v>6.5000000000000002E-2</v>
      </c>
      <c r="E21">
        <v>10.0263580482463</v>
      </c>
      <c r="F21">
        <v>1091.501378778574</v>
      </c>
      <c r="G21">
        <v>0.42399999999999999</v>
      </c>
      <c r="H21">
        <v>6.2600000000000003E-2</v>
      </c>
      <c r="I21">
        <v>57.803550000000001</v>
      </c>
    </row>
    <row r="22" spans="1:9" x14ac:dyDescent="0.3">
      <c r="A22" t="s">
        <v>9</v>
      </c>
      <c r="B22" t="s">
        <v>120</v>
      </c>
      <c r="C22">
        <v>0</v>
      </c>
      <c r="D22">
        <v>6.6100000000000006E-2</v>
      </c>
      <c r="E22">
        <v>10.05044098344035</v>
      </c>
      <c r="F22">
        <v>1093.7868493284891</v>
      </c>
      <c r="G22">
        <v>0.42399999999999999</v>
      </c>
      <c r="H22">
        <v>6.3E-2</v>
      </c>
      <c r="I22">
        <v>58.000369999999997</v>
      </c>
    </row>
    <row r="23" spans="1:9" x14ac:dyDescent="0.3">
      <c r="A23" t="s">
        <v>9</v>
      </c>
      <c r="B23" t="s">
        <v>121</v>
      </c>
      <c r="C23">
        <v>0</v>
      </c>
      <c r="D23">
        <v>6.6100000000000006E-2</v>
      </c>
      <c r="E23">
        <v>10.025353291727891</v>
      </c>
      <c r="F23">
        <v>982.36292678903942</v>
      </c>
      <c r="G23">
        <v>0.42399999999999999</v>
      </c>
      <c r="H23">
        <v>6.2600000000000003E-2</v>
      </c>
      <c r="I23">
        <v>58.200510000000001</v>
      </c>
    </row>
    <row r="24" spans="1:9" x14ac:dyDescent="0.3">
      <c r="A24" t="s">
        <v>9</v>
      </c>
      <c r="B24" t="s">
        <v>122</v>
      </c>
      <c r="C24">
        <v>0</v>
      </c>
      <c r="D24">
        <v>6.4199999999999993E-2</v>
      </c>
      <c r="E24">
        <v>9.9508184420574661</v>
      </c>
      <c r="F24">
        <v>975.4162787997559</v>
      </c>
      <c r="G24">
        <v>0.42399999999999999</v>
      </c>
      <c r="H24">
        <v>6.1499999999999999E-2</v>
      </c>
      <c r="I24">
        <v>58.400799999999997</v>
      </c>
    </row>
    <row r="25" spans="1:9" x14ac:dyDescent="0.3">
      <c r="A25" t="s">
        <v>9</v>
      </c>
      <c r="B25" t="s">
        <v>123</v>
      </c>
      <c r="C25">
        <v>0</v>
      </c>
      <c r="D25">
        <v>6.2E-2</v>
      </c>
      <c r="E25">
        <v>9.828349651267926</v>
      </c>
      <c r="F25">
        <v>964.00218749817077</v>
      </c>
      <c r="G25">
        <v>0.42399999999999999</v>
      </c>
      <c r="H25">
        <v>5.9499999999999997E-2</v>
      </c>
      <c r="I25">
        <v>58.601550000000003</v>
      </c>
    </row>
    <row r="26" spans="1:9" x14ac:dyDescent="0.3">
      <c r="A26" t="s">
        <v>9</v>
      </c>
      <c r="B26" t="s">
        <v>124</v>
      </c>
      <c r="C26">
        <v>0</v>
      </c>
      <c r="D26">
        <v>0.06</v>
      </c>
      <c r="E26">
        <v>9.6625056270011047</v>
      </c>
      <c r="F26">
        <v>948.545524436503</v>
      </c>
      <c r="G26">
        <v>0.42399999999999999</v>
      </c>
      <c r="H26">
        <v>5.7000000000000002E-2</v>
      </c>
      <c r="I26">
        <v>58.800789999999999</v>
      </c>
    </row>
    <row r="27" spans="1:9" x14ac:dyDescent="0.3">
      <c r="A27" t="s">
        <v>9</v>
      </c>
      <c r="B27" t="s">
        <v>125</v>
      </c>
      <c r="C27">
        <v>0</v>
      </c>
      <c r="D27">
        <v>5.7799999999999997E-2</v>
      </c>
      <c r="E27">
        <v>9.4560768189582518</v>
      </c>
      <c r="F27">
        <v>929.30635952690909</v>
      </c>
      <c r="G27">
        <v>0.42399999999999999</v>
      </c>
      <c r="H27">
        <v>5.3800000000000001E-2</v>
      </c>
      <c r="I27">
        <v>59.000500000000002</v>
      </c>
    </row>
    <row r="28" spans="1:9" x14ac:dyDescent="0.3">
      <c r="A28" t="s">
        <v>9</v>
      </c>
      <c r="B28" t="s">
        <v>126</v>
      </c>
      <c r="C28">
        <v>0</v>
      </c>
      <c r="D28">
        <v>5.4199999999999998E-2</v>
      </c>
      <c r="E28">
        <v>9.2119627484723487</v>
      </c>
      <c r="F28">
        <v>906.55492815762295</v>
      </c>
      <c r="G28">
        <v>0.42399999999999999</v>
      </c>
      <c r="H28">
        <v>0.05</v>
      </c>
      <c r="I28">
        <v>59.202150000000003</v>
      </c>
    </row>
    <row r="29" spans="1:9" x14ac:dyDescent="0.3">
      <c r="A29" t="s">
        <v>9</v>
      </c>
      <c r="B29" t="s">
        <v>127</v>
      </c>
      <c r="C29">
        <v>0</v>
      </c>
      <c r="D29">
        <v>5.0099999999999999E-2</v>
      </c>
      <c r="E29">
        <v>8.9413949553173655</v>
      </c>
      <c r="F29">
        <v>881.33800983557853</v>
      </c>
      <c r="G29">
        <v>0.42399999999999999</v>
      </c>
      <c r="H29">
        <v>4.58E-2</v>
      </c>
      <c r="I29">
        <v>59.401470000000003</v>
      </c>
    </row>
    <row r="30" spans="1:9" x14ac:dyDescent="0.3">
      <c r="A30" t="s">
        <v>9</v>
      </c>
      <c r="B30" t="s">
        <v>128</v>
      </c>
      <c r="C30">
        <v>0</v>
      </c>
      <c r="D30">
        <v>4.5900000000000003E-2</v>
      </c>
      <c r="E30">
        <v>8.6473889254607776</v>
      </c>
      <c r="F30">
        <v>853.93664785294447</v>
      </c>
      <c r="G30">
        <v>0.42399999999999999</v>
      </c>
      <c r="H30">
        <v>4.1200000000000001E-2</v>
      </c>
      <c r="I30">
        <v>59.601439999999997</v>
      </c>
    </row>
    <row r="31" spans="1:9" x14ac:dyDescent="0.3">
      <c r="A31" t="s">
        <v>9</v>
      </c>
      <c r="B31" t="s">
        <v>129</v>
      </c>
      <c r="C31">
        <v>0</v>
      </c>
      <c r="D31">
        <v>4.1200000000000001E-2</v>
      </c>
      <c r="E31">
        <v>8.3372747591204153</v>
      </c>
      <c r="F31">
        <v>825.03400755002269</v>
      </c>
      <c r="G31">
        <v>0.42399999999999999</v>
      </c>
      <c r="H31">
        <v>3.6400000000000002E-2</v>
      </c>
      <c r="I31">
        <v>59.801879999999997</v>
      </c>
    </row>
    <row r="32" spans="1:9" x14ac:dyDescent="0.3">
      <c r="A32" t="s">
        <v>9</v>
      </c>
      <c r="B32" t="s">
        <v>130</v>
      </c>
      <c r="C32">
        <v>0</v>
      </c>
      <c r="D32">
        <v>3.6999999999999998E-2</v>
      </c>
      <c r="E32">
        <v>8.019351631606515</v>
      </c>
      <c r="F32">
        <v>795.40357206572719</v>
      </c>
      <c r="G32">
        <v>0.42399999999999999</v>
      </c>
      <c r="H32">
        <v>3.1399999999999997E-2</v>
      </c>
      <c r="I32">
        <v>60.002339999999997</v>
      </c>
    </row>
    <row r="33" spans="1:9" x14ac:dyDescent="0.3">
      <c r="A33" t="s">
        <v>9</v>
      </c>
      <c r="B33" t="s">
        <v>131</v>
      </c>
      <c r="C33">
        <v>0</v>
      </c>
      <c r="D33">
        <v>3.1300000000000001E-2</v>
      </c>
      <c r="E33">
        <v>7.7049804278622931</v>
      </c>
      <c r="F33">
        <v>766.10417587676579</v>
      </c>
      <c r="G33">
        <v>0.42399999999999999</v>
      </c>
      <c r="H33">
        <v>2.6599999999999999E-2</v>
      </c>
      <c r="I33">
        <v>60.200609999999998</v>
      </c>
    </row>
    <row r="34" spans="1:9" x14ac:dyDescent="0.3">
      <c r="A34" t="s">
        <v>9</v>
      </c>
      <c r="B34" t="s">
        <v>132</v>
      </c>
      <c r="C34">
        <v>0</v>
      </c>
      <c r="D34">
        <v>2.58E-2</v>
      </c>
      <c r="E34">
        <v>7.3932249159260799</v>
      </c>
      <c r="F34">
        <v>737.04856216431062</v>
      </c>
      <c r="G34">
        <v>0.42399999999999999</v>
      </c>
      <c r="H34">
        <v>2.1700000000000001E-2</v>
      </c>
      <c r="I34">
        <v>60.402230000000003</v>
      </c>
    </row>
    <row r="35" spans="1:9" x14ac:dyDescent="0.3">
      <c r="A35" t="s">
        <v>9</v>
      </c>
      <c r="B35" t="s">
        <v>133</v>
      </c>
      <c r="C35">
        <v>0</v>
      </c>
      <c r="D35">
        <v>2.2100000000000002E-2</v>
      </c>
      <c r="E35">
        <v>7.0996876102564492</v>
      </c>
      <c r="F35">
        <v>709.69088527590111</v>
      </c>
      <c r="G35">
        <v>0.42399999999999999</v>
      </c>
      <c r="H35">
        <v>1.72E-2</v>
      </c>
      <c r="I35">
        <v>60.602119999999999</v>
      </c>
    </row>
    <row r="36" spans="1:9" x14ac:dyDescent="0.3">
      <c r="A36" t="s">
        <v>9</v>
      </c>
      <c r="B36" t="s">
        <v>134</v>
      </c>
      <c r="C36">
        <v>0</v>
      </c>
      <c r="D36">
        <v>1.66E-2</v>
      </c>
      <c r="E36">
        <v>6.8305811336843334</v>
      </c>
      <c r="F36">
        <v>684.61016165937986</v>
      </c>
      <c r="G36">
        <v>0.42399999999999999</v>
      </c>
      <c r="H36">
        <v>1.2999999999999999E-2</v>
      </c>
      <c r="I36">
        <v>60.800660000000001</v>
      </c>
    </row>
    <row r="37" spans="1:9" x14ac:dyDescent="0.3">
      <c r="A37" t="s">
        <v>9</v>
      </c>
      <c r="B37" t="s">
        <v>135</v>
      </c>
      <c r="C37">
        <v>0</v>
      </c>
      <c r="D37">
        <v>1.15E-2</v>
      </c>
      <c r="E37">
        <v>6.5879924441597888</v>
      </c>
      <c r="F37">
        <v>662.00089579569237</v>
      </c>
      <c r="G37">
        <v>0.42399999999999999</v>
      </c>
      <c r="H37">
        <v>9.1999999999999998E-3</v>
      </c>
      <c r="I37">
        <v>61.001370000000001</v>
      </c>
    </row>
    <row r="38" spans="1:9" x14ac:dyDescent="0.3">
      <c r="A38" t="s">
        <v>9</v>
      </c>
      <c r="B38" t="s">
        <v>136</v>
      </c>
      <c r="C38">
        <v>0</v>
      </c>
      <c r="D38">
        <v>7.1000000000000004E-3</v>
      </c>
      <c r="E38">
        <v>6.3827547469920267</v>
      </c>
      <c r="F38">
        <v>642.8727424196569</v>
      </c>
      <c r="G38">
        <v>0.42399999999999999</v>
      </c>
      <c r="H38">
        <v>6.0000000000000001E-3</v>
      </c>
      <c r="I38">
        <v>61.200180000000003</v>
      </c>
    </row>
    <row r="39" spans="1:9" x14ac:dyDescent="0.3">
      <c r="A39" t="s">
        <v>9</v>
      </c>
      <c r="B39" t="s">
        <v>137</v>
      </c>
      <c r="C39">
        <v>0</v>
      </c>
      <c r="D39">
        <v>3.5000000000000001E-3</v>
      </c>
      <c r="E39">
        <v>6.2160504759820858</v>
      </c>
      <c r="F39">
        <v>627.33590436153042</v>
      </c>
      <c r="G39">
        <v>0.42399999999999999</v>
      </c>
      <c r="H39">
        <v>3.3999999999999998E-3</v>
      </c>
      <c r="I39">
        <v>61.4009</v>
      </c>
    </row>
    <row r="40" spans="1:9" x14ac:dyDescent="0.3">
      <c r="A40" t="s">
        <v>9</v>
      </c>
      <c r="B40" t="s">
        <v>138</v>
      </c>
      <c r="C40">
        <v>0</v>
      </c>
      <c r="D40">
        <v>5.9999999999999995E-4</v>
      </c>
      <c r="E40">
        <v>6.0943742183204233</v>
      </c>
      <c r="F40">
        <v>615.99567714746343</v>
      </c>
      <c r="G40">
        <v>0.42399999999999999</v>
      </c>
      <c r="H40">
        <v>1.5E-3</v>
      </c>
      <c r="I40">
        <v>61.601190000000003</v>
      </c>
    </row>
    <row r="41" spans="1:9" x14ac:dyDescent="0.3">
      <c r="A41" t="s">
        <v>9</v>
      </c>
      <c r="B41" t="s">
        <v>139</v>
      </c>
      <c r="C41">
        <v>0</v>
      </c>
      <c r="D41">
        <v>-1.8E-3</v>
      </c>
      <c r="E41">
        <v>6.0202710733574829</v>
      </c>
      <c r="F41">
        <v>609.08926403691737</v>
      </c>
      <c r="G41">
        <v>0.42399999999999999</v>
      </c>
      <c r="H41">
        <v>4.0000000000000002E-4</v>
      </c>
      <c r="I41">
        <v>61.801699999999997</v>
      </c>
    </row>
    <row r="42" spans="1:9" x14ac:dyDescent="0.3">
      <c r="A42" t="s">
        <v>9</v>
      </c>
      <c r="B42" t="s">
        <v>140</v>
      </c>
      <c r="C42">
        <v>0</v>
      </c>
      <c r="D42">
        <v>-3.0999999999999999E-3</v>
      </c>
      <c r="E42">
        <v>5.9957395257960231</v>
      </c>
      <c r="F42">
        <v>606.80292380418939</v>
      </c>
      <c r="G42">
        <v>0.42399999999999999</v>
      </c>
      <c r="H42">
        <v>0</v>
      </c>
      <c r="I42">
        <v>62.00309</v>
      </c>
    </row>
    <row r="43" spans="1:9" x14ac:dyDescent="0.3">
      <c r="A43" t="s">
        <v>9</v>
      </c>
      <c r="B43" t="s">
        <v>141</v>
      </c>
      <c r="C43">
        <v>0</v>
      </c>
      <c r="D43">
        <v>-3.0999999999999999E-3</v>
      </c>
      <c r="E43">
        <v>6.0213372424756786</v>
      </c>
      <c r="F43">
        <v>711.424904310942</v>
      </c>
      <c r="G43">
        <v>0.42399999999999999</v>
      </c>
      <c r="H43">
        <v>4.0000000000000002E-4</v>
      </c>
      <c r="I43">
        <v>62.202570000000001</v>
      </c>
    </row>
    <row r="44" spans="1:9" x14ac:dyDescent="0.3">
      <c r="A44" t="s">
        <v>9</v>
      </c>
      <c r="B44" t="s">
        <v>142</v>
      </c>
      <c r="C44">
        <v>0</v>
      </c>
      <c r="D44">
        <v>-1.2999999999999999E-3</v>
      </c>
      <c r="E44">
        <v>6.0953018948492641</v>
      </c>
      <c r="F44">
        <v>718.4441498211952</v>
      </c>
      <c r="G44">
        <v>0.42399999999999999</v>
      </c>
      <c r="H44">
        <v>1.5E-3</v>
      </c>
      <c r="I44">
        <v>62.400689999999997</v>
      </c>
    </row>
    <row r="45" spans="1:9" x14ac:dyDescent="0.3">
      <c r="A45" t="s">
        <v>9</v>
      </c>
      <c r="B45" t="s">
        <v>143</v>
      </c>
      <c r="C45">
        <v>0</v>
      </c>
      <c r="D45">
        <v>2.3E-3</v>
      </c>
      <c r="E45">
        <v>6.2179173444090656</v>
      </c>
      <c r="F45">
        <v>730.08035598442041</v>
      </c>
      <c r="G45">
        <v>0.42399999999999999</v>
      </c>
      <c r="H45">
        <v>3.5000000000000001E-3</v>
      </c>
      <c r="I45">
        <v>62.601680000000002</v>
      </c>
    </row>
    <row r="46" spans="1:9" x14ac:dyDescent="0.3">
      <c r="A46" t="s">
        <v>9</v>
      </c>
      <c r="B46" t="s">
        <v>144</v>
      </c>
      <c r="C46">
        <v>0</v>
      </c>
      <c r="D46">
        <v>4.0000000000000001E-3</v>
      </c>
      <c r="E46">
        <v>6.3840756490541803</v>
      </c>
      <c r="F46">
        <v>745.84877909524175</v>
      </c>
      <c r="G46">
        <v>0.42399999999999999</v>
      </c>
      <c r="H46">
        <v>6.0000000000000001E-3</v>
      </c>
      <c r="I46">
        <v>62.801229999999997</v>
      </c>
    </row>
    <row r="47" spans="1:9" x14ac:dyDescent="0.3">
      <c r="A47" t="s">
        <v>9</v>
      </c>
      <c r="B47" t="s">
        <v>145</v>
      </c>
      <c r="C47">
        <v>0</v>
      </c>
      <c r="D47">
        <v>7.0000000000000001E-3</v>
      </c>
      <c r="E47">
        <v>6.5935226597185341</v>
      </c>
      <c r="F47">
        <v>765.72530040728896</v>
      </c>
      <c r="G47">
        <v>0.42399999999999999</v>
      </c>
      <c r="H47">
        <v>9.2999999999999992E-3</v>
      </c>
      <c r="I47">
        <v>63.003540000000001</v>
      </c>
    </row>
    <row r="48" spans="1:9" x14ac:dyDescent="0.3">
      <c r="A48" t="s">
        <v>9</v>
      </c>
      <c r="B48" t="s">
        <v>146</v>
      </c>
      <c r="C48">
        <v>0</v>
      </c>
      <c r="D48">
        <v>1.03E-2</v>
      </c>
      <c r="E48">
        <v>6.8339319439620256</v>
      </c>
      <c r="F48">
        <v>788.54014148199622</v>
      </c>
      <c r="G48">
        <v>0.42399999999999999</v>
      </c>
      <c r="H48">
        <v>1.2999999999999999E-2</v>
      </c>
      <c r="I48">
        <v>63.201929999999997</v>
      </c>
    </row>
    <row r="49" spans="1:9" x14ac:dyDescent="0.3">
      <c r="A49" t="s">
        <v>9</v>
      </c>
      <c r="B49" t="s">
        <v>147</v>
      </c>
      <c r="C49">
        <v>0</v>
      </c>
      <c r="D49">
        <v>1.4200000000000001E-2</v>
      </c>
      <c r="E49">
        <v>7.1059545661678767</v>
      </c>
      <c r="F49">
        <v>814.35508832933158</v>
      </c>
      <c r="G49">
        <v>0.42399999999999999</v>
      </c>
      <c r="H49">
        <v>1.7299999999999999E-2</v>
      </c>
      <c r="I49">
        <v>63.402299999999997</v>
      </c>
    </row>
    <row r="50" spans="1:9" x14ac:dyDescent="0.3">
      <c r="A50" t="s">
        <v>9</v>
      </c>
      <c r="B50" t="s">
        <v>148</v>
      </c>
      <c r="C50">
        <v>0</v>
      </c>
      <c r="D50">
        <v>1.8499999999999999E-2</v>
      </c>
      <c r="E50">
        <v>7.3982434273983699</v>
      </c>
      <c r="F50">
        <v>842.09330126010536</v>
      </c>
      <c r="G50">
        <v>0.42399999999999999</v>
      </c>
      <c r="H50">
        <v>2.18E-2</v>
      </c>
      <c r="I50">
        <v>63.601080000000003</v>
      </c>
    </row>
    <row r="51" spans="1:9" x14ac:dyDescent="0.3">
      <c r="A51" t="s">
        <v>9</v>
      </c>
      <c r="B51" t="s">
        <v>149</v>
      </c>
      <c r="C51">
        <v>0</v>
      </c>
      <c r="D51">
        <v>2.3099999999999999E-2</v>
      </c>
      <c r="E51">
        <v>7.7091543437624104</v>
      </c>
      <c r="F51">
        <v>871.59874722305278</v>
      </c>
      <c r="G51">
        <v>0.42399999999999999</v>
      </c>
      <c r="H51">
        <v>2.6599999999999999E-2</v>
      </c>
      <c r="I51">
        <v>63.802039999999998</v>
      </c>
    </row>
    <row r="52" spans="1:9" x14ac:dyDescent="0.3">
      <c r="A52" t="s">
        <v>9</v>
      </c>
      <c r="B52" t="s">
        <v>150</v>
      </c>
      <c r="C52">
        <v>0</v>
      </c>
      <c r="D52">
        <v>2.7699999999999999E-2</v>
      </c>
      <c r="E52">
        <v>8.0239253416660983</v>
      </c>
      <c r="F52">
        <v>901.47051492411276</v>
      </c>
      <c r="G52">
        <v>0.42399999999999999</v>
      </c>
      <c r="H52">
        <v>3.15E-2</v>
      </c>
      <c r="I52">
        <v>64.000529999999998</v>
      </c>
    </row>
    <row r="53" spans="1:9" x14ac:dyDescent="0.3">
      <c r="A53" t="s">
        <v>9</v>
      </c>
      <c r="B53" t="s">
        <v>151</v>
      </c>
      <c r="C53">
        <v>0</v>
      </c>
      <c r="D53">
        <v>3.3000000000000002E-2</v>
      </c>
      <c r="E53">
        <v>8.3433199225316113</v>
      </c>
      <c r="F53">
        <v>931.78106064824999</v>
      </c>
      <c r="G53">
        <v>0.42399999999999999</v>
      </c>
      <c r="H53">
        <v>3.6499999999999998E-2</v>
      </c>
      <c r="I53">
        <v>64.20196</v>
      </c>
    </row>
    <row r="54" spans="1:9" x14ac:dyDescent="0.3">
      <c r="A54" t="s">
        <v>9</v>
      </c>
      <c r="B54" t="s">
        <v>152</v>
      </c>
      <c r="C54">
        <v>0</v>
      </c>
      <c r="D54">
        <v>3.7900000000000003E-2</v>
      </c>
      <c r="E54">
        <v>8.6501801861035226</v>
      </c>
      <c r="F54">
        <v>960.90209966122438</v>
      </c>
      <c r="G54">
        <v>0.42399999999999999</v>
      </c>
      <c r="H54">
        <v>4.1200000000000001E-2</v>
      </c>
      <c r="I54">
        <v>64.400400000000005</v>
      </c>
    </row>
    <row r="55" spans="1:9" x14ac:dyDescent="0.3">
      <c r="A55" t="s">
        <v>9</v>
      </c>
      <c r="B55" t="s">
        <v>153</v>
      </c>
      <c r="C55">
        <v>0</v>
      </c>
      <c r="D55">
        <v>4.2999999999999997E-2</v>
      </c>
      <c r="E55">
        <v>8.9464957773518972</v>
      </c>
      <c r="F55">
        <v>989.02244927069512</v>
      </c>
      <c r="G55">
        <v>0.42399999999999999</v>
      </c>
      <c r="H55">
        <v>4.58E-2</v>
      </c>
      <c r="I55">
        <v>64.602119999999999</v>
      </c>
    </row>
    <row r="56" spans="1:9" x14ac:dyDescent="0.3">
      <c r="A56" t="s">
        <v>9</v>
      </c>
      <c r="B56" t="s">
        <v>154</v>
      </c>
      <c r="C56">
        <v>0</v>
      </c>
      <c r="D56">
        <v>4.7800000000000002E-2</v>
      </c>
      <c r="E56">
        <v>9.2162960143771997</v>
      </c>
      <c r="F56">
        <v>1014.626491764396</v>
      </c>
      <c r="G56">
        <v>0.42399999999999999</v>
      </c>
      <c r="H56">
        <v>0.05</v>
      </c>
      <c r="I56">
        <v>64.801209999999998</v>
      </c>
    </row>
    <row r="57" spans="1:9" x14ac:dyDescent="0.3">
      <c r="A57" t="s">
        <v>9</v>
      </c>
      <c r="B57" t="s">
        <v>155</v>
      </c>
      <c r="C57">
        <v>0</v>
      </c>
      <c r="D57">
        <v>5.2900000000000003E-2</v>
      </c>
      <c r="E57">
        <v>9.4576484235851073</v>
      </c>
      <c r="F57">
        <v>1037.5308353982271</v>
      </c>
      <c r="G57">
        <v>0.42399999999999999</v>
      </c>
      <c r="H57">
        <v>5.3800000000000001E-2</v>
      </c>
      <c r="I57">
        <v>65.000889999999998</v>
      </c>
    </row>
    <row r="58" spans="1:9" x14ac:dyDescent="0.3">
      <c r="A58" t="s">
        <v>9</v>
      </c>
      <c r="B58" t="s">
        <v>156</v>
      </c>
      <c r="C58">
        <v>0</v>
      </c>
      <c r="D58">
        <v>5.6899999999999999E-2</v>
      </c>
      <c r="E58">
        <v>9.6658357582705516</v>
      </c>
      <c r="F58">
        <v>1057.287813459875</v>
      </c>
      <c r="G58">
        <v>0.42399999999999999</v>
      </c>
      <c r="H58">
        <v>5.7000000000000002E-2</v>
      </c>
      <c r="I58">
        <v>65.202770000000001</v>
      </c>
    </row>
    <row r="59" spans="1:9" x14ac:dyDescent="0.3">
      <c r="A59" t="s">
        <v>9</v>
      </c>
      <c r="B59" t="s">
        <v>157</v>
      </c>
      <c r="C59">
        <v>0</v>
      </c>
      <c r="D59">
        <v>5.96E-2</v>
      </c>
      <c r="E59">
        <v>9.831060223231427</v>
      </c>
      <c r="F59">
        <v>1072.967615184662</v>
      </c>
      <c r="G59">
        <v>0.42399999999999999</v>
      </c>
      <c r="H59">
        <v>5.96E-2</v>
      </c>
      <c r="I59">
        <v>65.402199999999993</v>
      </c>
    </row>
    <row r="60" spans="1:9" x14ac:dyDescent="0.3">
      <c r="A60" t="s">
        <v>9</v>
      </c>
      <c r="B60" t="s">
        <v>158</v>
      </c>
      <c r="C60">
        <v>0</v>
      </c>
      <c r="D60">
        <v>6.2799999999999995E-2</v>
      </c>
      <c r="E60">
        <v>9.9512952756594206</v>
      </c>
      <c r="F60">
        <v>1084.377921660079</v>
      </c>
      <c r="G60">
        <v>0.42399999999999999</v>
      </c>
      <c r="H60">
        <v>6.1499999999999999E-2</v>
      </c>
      <c r="I60">
        <v>65.600160000000002</v>
      </c>
    </row>
    <row r="61" spans="1:9" x14ac:dyDescent="0.3">
      <c r="A61" t="s">
        <v>9</v>
      </c>
      <c r="B61" t="s">
        <v>159</v>
      </c>
      <c r="C61">
        <v>0</v>
      </c>
      <c r="D61">
        <v>6.5000000000000002E-2</v>
      </c>
      <c r="E61">
        <v>10.02577984695685</v>
      </c>
      <c r="F61">
        <v>1091.4465074762049</v>
      </c>
      <c r="G61">
        <v>0.42399999999999999</v>
      </c>
      <c r="H61">
        <v>6.2600000000000003E-2</v>
      </c>
      <c r="I61">
        <v>65.801199999999994</v>
      </c>
    </row>
    <row r="62" spans="1:9" x14ac:dyDescent="0.3">
      <c r="A62" t="s">
        <v>9</v>
      </c>
      <c r="B62" t="s">
        <v>160</v>
      </c>
      <c r="C62">
        <v>0</v>
      </c>
      <c r="D62">
        <v>6.59E-2</v>
      </c>
      <c r="E62">
        <v>10.05044057796959</v>
      </c>
      <c r="F62">
        <v>1093.786810849314</v>
      </c>
      <c r="G62">
        <v>0.42399999999999999</v>
      </c>
      <c r="H62">
        <v>6.3E-2</v>
      </c>
      <c r="I62">
        <v>66.000789999999995</v>
      </c>
    </row>
    <row r="63" spans="1:9" x14ac:dyDescent="0.3">
      <c r="A63" t="s">
        <v>9</v>
      </c>
      <c r="B63" t="s">
        <v>161</v>
      </c>
      <c r="C63">
        <v>0</v>
      </c>
      <c r="D63">
        <v>6.6100000000000006E-2</v>
      </c>
      <c r="E63">
        <v>10.025022427595919</v>
      </c>
      <c r="F63">
        <v>982.33209025193992</v>
      </c>
      <c r="G63">
        <v>0.42399999999999999</v>
      </c>
      <c r="H63">
        <v>6.2600000000000003E-2</v>
      </c>
      <c r="I63">
        <v>66.201830000000001</v>
      </c>
    </row>
    <row r="64" spans="1:9" x14ac:dyDescent="0.3">
      <c r="A64" t="s">
        <v>9</v>
      </c>
      <c r="B64" t="s">
        <v>162</v>
      </c>
      <c r="C64">
        <v>0</v>
      </c>
      <c r="D64">
        <v>6.4399999999999999E-2</v>
      </c>
      <c r="E64">
        <v>9.9503302552745083</v>
      </c>
      <c r="F64">
        <v>975.37077979158425</v>
      </c>
      <c r="G64">
        <v>0.42399999999999999</v>
      </c>
      <c r="H64">
        <v>6.1400000000000003E-2</v>
      </c>
      <c r="I64">
        <v>66.401790000000005</v>
      </c>
    </row>
    <row r="65" spans="1:9" x14ac:dyDescent="0.3">
      <c r="A65" t="s">
        <v>9</v>
      </c>
      <c r="B65" t="s">
        <v>163</v>
      </c>
      <c r="C65">
        <v>0</v>
      </c>
      <c r="D65">
        <v>6.1899999999999997E-2</v>
      </c>
      <c r="E65">
        <v>9.8289979989971155</v>
      </c>
      <c r="F65">
        <v>964.06261350653119</v>
      </c>
      <c r="G65">
        <v>0.42399999999999999</v>
      </c>
      <c r="H65">
        <v>5.96E-2</v>
      </c>
      <c r="I65">
        <v>66.600650000000002</v>
      </c>
    </row>
    <row r="66" spans="1:9" x14ac:dyDescent="0.3">
      <c r="A66" t="s">
        <v>9</v>
      </c>
      <c r="B66" t="s">
        <v>164</v>
      </c>
      <c r="C66">
        <v>0</v>
      </c>
      <c r="D66">
        <v>5.9900000000000002E-2</v>
      </c>
      <c r="E66">
        <v>9.6629617815948148</v>
      </c>
      <c r="F66">
        <v>948.58803804463673</v>
      </c>
      <c r="G66">
        <v>0.42399999999999999</v>
      </c>
      <c r="H66">
        <v>5.7000000000000002E-2</v>
      </c>
      <c r="I66">
        <v>66.800309999999996</v>
      </c>
    </row>
    <row r="67" spans="1:9" x14ac:dyDescent="0.3">
      <c r="A67" t="s">
        <v>9</v>
      </c>
      <c r="B67" t="s">
        <v>165</v>
      </c>
      <c r="C67">
        <v>0</v>
      </c>
      <c r="D67">
        <v>5.7700000000000001E-2</v>
      </c>
      <c r="E67">
        <v>9.4553672451458155</v>
      </c>
      <c r="F67">
        <v>929.24022724759004</v>
      </c>
      <c r="G67">
        <v>0.42399999999999999</v>
      </c>
      <c r="H67">
        <v>5.3800000000000001E-2</v>
      </c>
      <c r="I67">
        <v>67.001130000000003</v>
      </c>
    </row>
    <row r="68" spans="1:9" x14ac:dyDescent="0.3">
      <c r="A68" t="s">
        <v>9</v>
      </c>
      <c r="B68" t="s">
        <v>166</v>
      </c>
      <c r="C68">
        <v>0</v>
      </c>
      <c r="D68">
        <v>5.5399999999999998E-2</v>
      </c>
      <c r="E68">
        <v>9.2115511956611353</v>
      </c>
      <c r="F68">
        <v>906.51657143561783</v>
      </c>
      <c r="G68">
        <v>0.42399999999999999</v>
      </c>
      <c r="H68">
        <v>0.05</v>
      </c>
      <c r="I68">
        <v>67.202470000000005</v>
      </c>
    </row>
    <row r="69" spans="1:9" x14ac:dyDescent="0.3">
      <c r="A69" t="s">
        <v>9</v>
      </c>
      <c r="B69" t="s">
        <v>167</v>
      </c>
      <c r="C69">
        <v>0</v>
      </c>
      <c r="D69">
        <v>5.0299999999999997E-2</v>
      </c>
      <c r="E69">
        <v>8.9418174558388266</v>
      </c>
      <c r="F69">
        <v>881.37738688417869</v>
      </c>
      <c r="G69">
        <v>0.42399999999999999</v>
      </c>
      <c r="H69">
        <v>4.58E-2</v>
      </c>
      <c r="I69">
        <v>67.401179999999997</v>
      </c>
    </row>
    <row r="70" spans="1:9" x14ac:dyDescent="0.3">
      <c r="A70" t="s">
        <v>9</v>
      </c>
      <c r="B70" t="s">
        <v>168</v>
      </c>
      <c r="C70">
        <v>0</v>
      </c>
      <c r="D70">
        <v>4.58E-2</v>
      </c>
      <c r="E70">
        <v>8.6492232751336076</v>
      </c>
      <c r="F70">
        <v>854.10760924245221</v>
      </c>
      <c r="G70">
        <v>0.42399999999999999</v>
      </c>
      <c r="H70">
        <v>4.1200000000000001E-2</v>
      </c>
      <c r="I70">
        <v>67.600229999999996</v>
      </c>
    </row>
    <row r="71" spans="1:9" x14ac:dyDescent="0.3">
      <c r="A71" t="s">
        <v>9</v>
      </c>
      <c r="B71" t="s">
        <v>169</v>
      </c>
      <c r="C71">
        <v>0</v>
      </c>
      <c r="D71">
        <v>4.1500000000000002E-2</v>
      </c>
      <c r="E71">
        <v>8.3365209889962344</v>
      </c>
      <c r="F71">
        <v>824.96375617444903</v>
      </c>
      <c r="G71">
        <v>0.42399999999999999</v>
      </c>
      <c r="H71">
        <v>3.6400000000000002E-2</v>
      </c>
      <c r="I71">
        <v>67.802359999999993</v>
      </c>
    </row>
    <row r="72" spans="1:9" x14ac:dyDescent="0.3">
      <c r="A72" t="s">
        <v>9</v>
      </c>
      <c r="B72" t="s">
        <v>170</v>
      </c>
      <c r="C72">
        <v>0</v>
      </c>
      <c r="D72">
        <v>3.6700000000000003E-2</v>
      </c>
      <c r="E72">
        <v>8.0206998218501422</v>
      </c>
      <c r="F72">
        <v>795.52922339643328</v>
      </c>
      <c r="G72">
        <v>0.42399999999999999</v>
      </c>
      <c r="H72">
        <v>3.15E-2</v>
      </c>
      <c r="I72">
        <v>68.001499999999993</v>
      </c>
    </row>
    <row r="73" spans="1:9" x14ac:dyDescent="0.3">
      <c r="A73" t="s">
        <v>9</v>
      </c>
      <c r="B73" t="s">
        <v>171</v>
      </c>
      <c r="C73">
        <v>0</v>
      </c>
      <c r="D73">
        <v>3.1399999999999997E-2</v>
      </c>
      <c r="E73">
        <v>7.7044861590180878</v>
      </c>
      <c r="F73">
        <v>766.05811002048586</v>
      </c>
      <c r="G73">
        <v>0.42399999999999999</v>
      </c>
      <c r="H73">
        <v>2.6499999999999999E-2</v>
      </c>
      <c r="I73">
        <v>68.200919999999996</v>
      </c>
    </row>
    <row r="74" spans="1:9" x14ac:dyDescent="0.3">
      <c r="A74" t="s">
        <v>9</v>
      </c>
      <c r="B74" t="s">
        <v>172</v>
      </c>
      <c r="C74">
        <v>0</v>
      </c>
      <c r="D74">
        <v>2.63E-2</v>
      </c>
      <c r="E74">
        <v>7.3935947052500461</v>
      </c>
      <c r="F74">
        <v>737.08302652930433</v>
      </c>
      <c r="G74">
        <v>0.42399999999999999</v>
      </c>
      <c r="H74">
        <v>2.1700000000000001E-2</v>
      </c>
      <c r="I74">
        <v>68.401989999999998</v>
      </c>
    </row>
    <row r="75" spans="1:9" x14ac:dyDescent="0.3">
      <c r="A75" t="s">
        <v>9</v>
      </c>
      <c r="B75" t="s">
        <v>173</v>
      </c>
      <c r="C75">
        <v>0</v>
      </c>
      <c r="D75">
        <v>2.1299999999999999E-2</v>
      </c>
      <c r="E75">
        <v>7.0992906543922363</v>
      </c>
      <c r="F75">
        <v>709.65388898935646</v>
      </c>
      <c r="G75">
        <v>0.42399999999999999</v>
      </c>
      <c r="H75">
        <v>1.7100000000000001E-2</v>
      </c>
      <c r="I75">
        <v>68.60239</v>
      </c>
    </row>
    <row r="76" spans="1:9" x14ac:dyDescent="0.3">
      <c r="A76" t="s">
        <v>9</v>
      </c>
      <c r="B76" t="s">
        <v>174</v>
      </c>
      <c r="C76">
        <v>0</v>
      </c>
      <c r="D76">
        <v>1.61E-2</v>
      </c>
      <c r="E76">
        <v>6.8287139408807551</v>
      </c>
      <c r="F76">
        <v>684.43613929008643</v>
      </c>
      <c r="G76">
        <v>0.42399999999999999</v>
      </c>
      <c r="H76">
        <v>1.29E-2</v>
      </c>
      <c r="I76">
        <v>68.802120000000002</v>
      </c>
    </row>
    <row r="77" spans="1:9" x14ac:dyDescent="0.3">
      <c r="A77" t="s">
        <v>9</v>
      </c>
      <c r="B77" t="s">
        <v>175</v>
      </c>
      <c r="C77">
        <v>0</v>
      </c>
      <c r="D77">
        <v>1.14E-2</v>
      </c>
      <c r="E77">
        <v>6.5878140370298066</v>
      </c>
      <c r="F77">
        <v>661.98426825117804</v>
      </c>
      <c r="G77">
        <v>0.42399999999999999</v>
      </c>
      <c r="H77">
        <v>9.1999999999999998E-3</v>
      </c>
      <c r="I77">
        <v>69.001530000000002</v>
      </c>
    </row>
    <row r="78" spans="1:9" x14ac:dyDescent="0.3">
      <c r="A78" t="s">
        <v>9</v>
      </c>
      <c r="B78" t="s">
        <v>176</v>
      </c>
      <c r="C78">
        <v>0</v>
      </c>
      <c r="D78">
        <v>7.4000000000000003E-3</v>
      </c>
      <c r="E78">
        <v>6.3822746696240706</v>
      </c>
      <c r="F78">
        <v>642.82799920896343</v>
      </c>
      <c r="G78">
        <v>0.42399999999999999</v>
      </c>
      <c r="H78">
        <v>6.0000000000000001E-3</v>
      </c>
      <c r="I78">
        <v>69.200689999999994</v>
      </c>
    </row>
    <row r="79" spans="1:9" x14ac:dyDescent="0.3">
      <c r="A79" t="s">
        <v>9</v>
      </c>
      <c r="B79" t="s">
        <v>177</v>
      </c>
      <c r="C79">
        <v>0</v>
      </c>
      <c r="D79">
        <v>3.5999999999999999E-3</v>
      </c>
      <c r="E79">
        <v>6.2157466972962139</v>
      </c>
      <c r="F79">
        <v>627.30759218800711</v>
      </c>
      <c r="G79">
        <v>0.42399999999999999</v>
      </c>
      <c r="H79">
        <v>3.3999999999999998E-3</v>
      </c>
      <c r="I79">
        <v>69.401319999999998</v>
      </c>
    </row>
    <row r="80" spans="1:9" x14ac:dyDescent="0.3">
      <c r="A80" t="s">
        <v>9</v>
      </c>
      <c r="B80" t="s">
        <v>178</v>
      </c>
      <c r="C80">
        <v>0</v>
      </c>
      <c r="D80">
        <v>5.0000000000000001E-4</v>
      </c>
      <c r="E80">
        <v>6.0946396800204257</v>
      </c>
      <c r="F80">
        <v>616.02041817790371</v>
      </c>
      <c r="G80">
        <v>0.42399999999999999</v>
      </c>
      <c r="H80">
        <v>1.5E-3</v>
      </c>
      <c r="I80">
        <v>69.600650000000002</v>
      </c>
    </row>
    <row r="81" spans="1:9" x14ac:dyDescent="0.3">
      <c r="A81" t="s">
        <v>9</v>
      </c>
      <c r="B81" t="s">
        <v>179</v>
      </c>
      <c r="C81">
        <v>0</v>
      </c>
      <c r="D81">
        <v>-1.8E-3</v>
      </c>
      <c r="E81">
        <v>6.0202535489116684</v>
      </c>
      <c r="F81">
        <v>609.08763075856757</v>
      </c>
      <c r="G81">
        <v>0.42399999999999999</v>
      </c>
      <c r="H81">
        <v>4.0000000000000002E-4</v>
      </c>
      <c r="I81">
        <v>69.801770000000005</v>
      </c>
    </row>
    <row r="82" spans="1:9" x14ac:dyDescent="0.3">
      <c r="A82" t="s">
        <v>9</v>
      </c>
      <c r="B82" t="s">
        <v>180</v>
      </c>
      <c r="C82">
        <v>0</v>
      </c>
      <c r="D82">
        <v>-2.8E-3</v>
      </c>
      <c r="E82">
        <v>5.9957368673229956</v>
      </c>
      <c r="F82">
        <v>606.80267603450329</v>
      </c>
      <c r="G82">
        <v>0.42399999999999999</v>
      </c>
      <c r="H82">
        <v>0</v>
      </c>
      <c r="I82">
        <v>70.002319999999997</v>
      </c>
    </row>
    <row r="83" spans="1:9" x14ac:dyDescent="0.3">
      <c r="A83" t="s">
        <v>9</v>
      </c>
      <c r="B83" t="s">
        <v>181</v>
      </c>
      <c r="C83">
        <v>0</v>
      </c>
      <c r="D83">
        <v>-3.0999999999999999E-3</v>
      </c>
      <c r="E83">
        <v>6.0214459978402344</v>
      </c>
      <c r="F83">
        <v>711.43522519503824</v>
      </c>
      <c r="G83">
        <v>0.42399999999999999</v>
      </c>
      <c r="H83">
        <v>4.0000000000000002E-4</v>
      </c>
      <c r="I83">
        <v>70.203000000000003</v>
      </c>
    </row>
    <row r="84" spans="1:9" x14ac:dyDescent="0.3">
      <c r="A84" t="s">
        <v>9</v>
      </c>
      <c r="B84" t="s">
        <v>182</v>
      </c>
      <c r="C84">
        <v>0</v>
      </c>
      <c r="D84">
        <v>-1E-3</v>
      </c>
      <c r="E84">
        <v>6.0959171967123327</v>
      </c>
      <c r="F84">
        <v>718.5025419680004</v>
      </c>
      <c r="G84">
        <v>0.42399999999999999</v>
      </c>
      <c r="H84">
        <v>1.6000000000000001E-3</v>
      </c>
      <c r="I84">
        <v>70.401939999999996</v>
      </c>
    </row>
    <row r="85" spans="1:9" x14ac:dyDescent="0.3">
      <c r="A85" t="s">
        <v>9</v>
      </c>
      <c r="B85" t="s">
        <v>183</v>
      </c>
      <c r="C85">
        <v>0</v>
      </c>
      <c r="D85">
        <v>2.5000000000000001E-3</v>
      </c>
      <c r="E85">
        <v>6.217564219932922</v>
      </c>
      <c r="F85">
        <v>730.04684447163436</v>
      </c>
      <c r="G85">
        <v>0.42399999999999999</v>
      </c>
      <c r="H85">
        <v>3.3999999999999998E-3</v>
      </c>
      <c r="I85">
        <v>70.601190000000003</v>
      </c>
    </row>
    <row r="86" spans="1:9" x14ac:dyDescent="0.3">
      <c r="A86" t="s">
        <v>9</v>
      </c>
      <c r="B86" t="s">
        <v>184</v>
      </c>
      <c r="C86">
        <v>0</v>
      </c>
      <c r="D86">
        <v>4.3E-3</v>
      </c>
      <c r="E86">
        <v>6.3840423193585334</v>
      </c>
      <c r="F86">
        <v>745.84561610712478</v>
      </c>
      <c r="G86">
        <v>0.42399999999999999</v>
      </c>
      <c r="H86">
        <v>6.0000000000000001E-3</v>
      </c>
      <c r="I86">
        <v>70.801190000000005</v>
      </c>
    </row>
    <row r="87" spans="1:9" x14ac:dyDescent="0.3">
      <c r="A87" t="s">
        <v>9</v>
      </c>
      <c r="B87" t="s">
        <v>185</v>
      </c>
      <c r="C87">
        <v>0</v>
      </c>
      <c r="D87">
        <v>6.8999999999999999E-3</v>
      </c>
      <c r="E87">
        <v>6.591794543382191</v>
      </c>
      <c r="F87">
        <v>765.56130216696999</v>
      </c>
      <c r="G87">
        <v>0.42399999999999999</v>
      </c>
      <c r="H87">
        <v>9.2999999999999992E-3</v>
      </c>
      <c r="I87">
        <v>71.002009999999999</v>
      </c>
    </row>
    <row r="88" spans="1:9" x14ac:dyDescent="0.3">
      <c r="A88" t="s">
        <v>9</v>
      </c>
      <c r="B88" t="s">
        <v>186</v>
      </c>
      <c r="C88">
        <v>0</v>
      </c>
      <c r="D88">
        <v>1.0500000000000001E-2</v>
      </c>
      <c r="E88">
        <v>6.8340300678835177</v>
      </c>
      <c r="F88">
        <v>788.54945344214582</v>
      </c>
      <c r="G88">
        <v>0.42399999999999999</v>
      </c>
      <c r="H88">
        <v>1.2999999999999999E-2</v>
      </c>
      <c r="I88">
        <v>71.202010000000001</v>
      </c>
    </row>
    <row r="89" spans="1:9" x14ac:dyDescent="0.3">
      <c r="A89" t="s">
        <v>9</v>
      </c>
      <c r="B89" t="s">
        <v>187</v>
      </c>
      <c r="C89">
        <v>0</v>
      </c>
      <c r="D89">
        <v>1.38E-2</v>
      </c>
      <c r="E89">
        <v>7.1059383473378777</v>
      </c>
      <c r="F89">
        <v>814.35354916236463</v>
      </c>
      <c r="G89">
        <v>0.42399999999999999</v>
      </c>
      <c r="H89">
        <v>1.72E-2</v>
      </c>
      <c r="I89">
        <v>71.402289999999994</v>
      </c>
    </row>
    <row r="90" spans="1:9" x14ac:dyDescent="0.3">
      <c r="A90" t="s">
        <v>9</v>
      </c>
      <c r="B90" t="s">
        <v>188</v>
      </c>
      <c r="C90">
        <v>0</v>
      </c>
      <c r="D90">
        <v>1.8700000000000001E-2</v>
      </c>
      <c r="E90">
        <v>7.3995283642050049</v>
      </c>
      <c r="F90">
        <v>842.21524176305502</v>
      </c>
      <c r="G90">
        <v>0.42399999999999999</v>
      </c>
      <c r="H90">
        <v>2.18E-2</v>
      </c>
      <c r="I90">
        <v>71.601929999999996</v>
      </c>
    </row>
    <row r="91" spans="1:9" x14ac:dyDescent="0.3">
      <c r="A91" t="s">
        <v>9</v>
      </c>
      <c r="B91" t="s">
        <v>189</v>
      </c>
      <c r="C91">
        <v>0</v>
      </c>
      <c r="D91">
        <v>2.3E-2</v>
      </c>
      <c r="E91">
        <v>7.7083267779617346</v>
      </c>
      <c r="F91">
        <v>871.52021122856877</v>
      </c>
      <c r="G91">
        <v>0.42399999999999999</v>
      </c>
      <c r="H91">
        <v>2.6599999999999999E-2</v>
      </c>
      <c r="I91">
        <v>71.801509999999993</v>
      </c>
    </row>
    <row r="92" spans="1:9" x14ac:dyDescent="0.3">
      <c r="A92" t="s">
        <v>9</v>
      </c>
      <c r="B92" t="s">
        <v>190</v>
      </c>
      <c r="C92">
        <v>0</v>
      </c>
      <c r="D92">
        <v>2.7900000000000001E-2</v>
      </c>
      <c r="E92">
        <v>8.0267068710108429</v>
      </c>
      <c r="F92">
        <v>901.73448205892907</v>
      </c>
      <c r="G92">
        <v>0.42399999999999999</v>
      </c>
      <c r="H92">
        <v>3.1600000000000003E-2</v>
      </c>
      <c r="I92">
        <v>72.002269999999996</v>
      </c>
    </row>
    <row r="93" spans="1:9" x14ac:dyDescent="0.3">
      <c r="A93" t="s">
        <v>9</v>
      </c>
      <c r="B93" t="s">
        <v>191</v>
      </c>
      <c r="C93">
        <v>0</v>
      </c>
      <c r="D93">
        <v>3.3000000000000002E-2</v>
      </c>
      <c r="E93">
        <v>8.3423321957847012</v>
      </c>
      <c r="F93">
        <v>931.68732537996823</v>
      </c>
      <c r="G93">
        <v>0.42399999999999999</v>
      </c>
      <c r="H93">
        <v>3.6499999999999998E-2</v>
      </c>
      <c r="I93">
        <v>72.201329999999999</v>
      </c>
    </row>
    <row r="94" spans="1:9" x14ac:dyDescent="0.3">
      <c r="A94" t="s">
        <v>9</v>
      </c>
      <c r="B94" t="s">
        <v>192</v>
      </c>
      <c r="C94">
        <v>0</v>
      </c>
      <c r="D94">
        <v>3.8100000000000002E-2</v>
      </c>
      <c r="E94">
        <v>8.6513029346101682</v>
      </c>
      <c r="F94">
        <v>961.008648494505</v>
      </c>
      <c r="G94">
        <v>0.42399999999999999</v>
      </c>
      <c r="H94">
        <v>4.1300000000000003E-2</v>
      </c>
      <c r="I94">
        <v>72.401139999999998</v>
      </c>
    </row>
    <row r="95" spans="1:9" x14ac:dyDescent="0.3">
      <c r="A95" t="s">
        <v>9</v>
      </c>
      <c r="B95" t="s">
        <v>193</v>
      </c>
      <c r="C95">
        <v>0</v>
      </c>
      <c r="D95">
        <v>4.3099999999999999E-2</v>
      </c>
      <c r="E95">
        <v>8.9467414926263764</v>
      </c>
      <c r="F95">
        <v>989.04576765024319</v>
      </c>
      <c r="G95">
        <v>0.42399999999999999</v>
      </c>
      <c r="H95">
        <v>4.5900000000000003E-2</v>
      </c>
      <c r="I95">
        <v>72.602289999999996</v>
      </c>
    </row>
    <row r="96" spans="1:9" x14ac:dyDescent="0.3">
      <c r="A96" t="s">
        <v>9</v>
      </c>
      <c r="B96" t="s">
        <v>194</v>
      </c>
      <c r="C96">
        <v>0</v>
      </c>
      <c r="D96">
        <v>4.7800000000000002E-2</v>
      </c>
      <c r="E96">
        <v>9.2154623665152773</v>
      </c>
      <c r="F96">
        <v>1014.5473785823</v>
      </c>
      <c r="G96">
        <v>0.42399999999999999</v>
      </c>
      <c r="H96">
        <v>0.05</v>
      </c>
      <c r="I96">
        <v>72.800560000000004</v>
      </c>
    </row>
    <row r="97" spans="1:9" x14ac:dyDescent="0.3">
      <c r="A97" t="s">
        <v>9</v>
      </c>
      <c r="B97" t="s">
        <v>195</v>
      </c>
      <c r="C97">
        <v>0</v>
      </c>
      <c r="D97">
        <v>5.2699999999999997E-2</v>
      </c>
      <c r="E97">
        <v>9.459312475542955</v>
      </c>
      <c r="F97">
        <v>1037.688753929026</v>
      </c>
      <c r="G97">
        <v>0.42399999999999999</v>
      </c>
      <c r="H97">
        <v>5.3800000000000001E-2</v>
      </c>
      <c r="I97">
        <v>73.002369999999999</v>
      </c>
    </row>
    <row r="98" spans="1:9" x14ac:dyDescent="0.3">
      <c r="A98" t="s">
        <v>9</v>
      </c>
      <c r="B98" t="s">
        <v>196</v>
      </c>
      <c r="C98">
        <v>0</v>
      </c>
      <c r="D98">
        <v>5.6300000000000003E-2</v>
      </c>
      <c r="E98">
        <v>9.6633696851692772</v>
      </c>
      <c r="F98">
        <v>1057.053783122564</v>
      </c>
      <c r="G98">
        <v>0.42399999999999999</v>
      </c>
      <c r="H98">
        <v>5.7000000000000002E-2</v>
      </c>
      <c r="I98">
        <v>73.200130000000001</v>
      </c>
    </row>
    <row r="99" spans="1:9" x14ac:dyDescent="0.3">
      <c r="A99" t="s">
        <v>9</v>
      </c>
      <c r="B99" t="s">
        <v>197</v>
      </c>
      <c r="C99">
        <v>0</v>
      </c>
      <c r="D99">
        <v>5.96E-2</v>
      </c>
      <c r="E99">
        <v>9.8301803517040067</v>
      </c>
      <c r="F99">
        <v>1072.88411537671</v>
      </c>
      <c r="G99">
        <v>0.42399999999999999</v>
      </c>
      <c r="H99">
        <v>5.96E-2</v>
      </c>
      <c r="I99">
        <v>73.400980000000004</v>
      </c>
    </row>
    <row r="100" spans="1:9" x14ac:dyDescent="0.3">
      <c r="A100" t="s">
        <v>9</v>
      </c>
      <c r="B100" t="s">
        <v>198</v>
      </c>
      <c r="C100">
        <v>0</v>
      </c>
      <c r="D100">
        <v>6.2799999999999995E-2</v>
      </c>
      <c r="E100">
        <v>9.9520887819170998</v>
      </c>
      <c r="F100">
        <v>1084.4532254039329</v>
      </c>
      <c r="G100">
        <v>0.42399999999999999</v>
      </c>
      <c r="H100">
        <v>6.1499999999999999E-2</v>
      </c>
      <c r="I100">
        <v>73.601780000000005</v>
      </c>
    </row>
    <row r="101" spans="1:9" x14ac:dyDescent="0.3">
      <c r="A101" t="s">
        <v>9</v>
      </c>
      <c r="B101" t="s">
        <v>199</v>
      </c>
      <c r="C101">
        <v>0</v>
      </c>
      <c r="D101">
        <v>6.5000000000000002E-2</v>
      </c>
      <c r="E101">
        <v>10.02604097011983</v>
      </c>
      <c r="F101">
        <v>1091.4712880643719</v>
      </c>
      <c r="G101">
        <v>0.42399999999999999</v>
      </c>
      <c r="H101">
        <v>6.2600000000000003E-2</v>
      </c>
      <c r="I101">
        <v>73.802260000000004</v>
      </c>
    </row>
    <row r="102" spans="1:9" x14ac:dyDescent="0.3">
      <c r="A102" t="s">
        <v>9</v>
      </c>
      <c r="B102" t="s">
        <v>200</v>
      </c>
      <c r="C102">
        <v>0</v>
      </c>
      <c r="D102">
        <v>6.5600000000000006E-2</v>
      </c>
      <c r="E102">
        <v>10.05044098344035</v>
      </c>
      <c r="F102">
        <v>1093.7868493284891</v>
      </c>
      <c r="G102">
        <v>0.42399999999999999</v>
      </c>
      <c r="H102">
        <v>6.3E-2</v>
      </c>
      <c r="I102">
        <v>74.000100000000003</v>
      </c>
    </row>
    <row r="103" spans="1:9" x14ac:dyDescent="0.3">
      <c r="A103" t="s">
        <v>9</v>
      </c>
      <c r="B103" t="s">
        <v>201</v>
      </c>
      <c r="C103">
        <v>0</v>
      </c>
      <c r="D103">
        <v>6.6000000000000003E-2</v>
      </c>
      <c r="E103">
        <v>10.025005803295169</v>
      </c>
      <c r="F103">
        <v>982.33054086711024</v>
      </c>
      <c r="G103">
        <v>0.42399999999999999</v>
      </c>
      <c r="H103">
        <v>6.2600000000000003E-2</v>
      </c>
      <c r="I103">
        <v>74.201899999999995</v>
      </c>
    </row>
    <row r="104" spans="1:9" x14ac:dyDescent="0.3">
      <c r="A104" t="s">
        <v>9</v>
      </c>
      <c r="B104" t="s">
        <v>202</v>
      </c>
      <c r="C104">
        <v>0</v>
      </c>
      <c r="D104">
        <v>6.4000000000000001E-2</v>
      </c>
      <c r="E104">
        <v>9.9504652770342457</v>
      </c>
      <c r="F104">
        <v>975.38336381959175</v>
      </c>
      <c r="G104">
        <v>0.42399999999999999</v>
      </c>
      <c r="H104">
        <v>6.1400000000000003E-2</v>
      </c>
      <c r="I104">
        <v>74.401520000000005</v>
      </c>
    </row>
    <row r="105" spans="1:9" x14ac:dyDescent="0.3">
      <c r="A105" t="s">
        <v>9</v>
      </c>
      <c r="B105" t="s">
        <v>203</v>
      </c>
      <c r="C105">
        <v>0</v>
      </c>
      <c r="D105">
        <v>6.2100000000000002E-2</v>
      </c>
      <c r="E105">
        <v>9.8274150411892602</v>
      </c>
      <c r="F105">
        <v>963.91508183883911</v>
      </c>
      <c r="G105">
        <v>0.42399999999999999</v>
      </c>
      <c r="H105">
        <v>5.9499999999999997E-2</v>
      </c>
      <c r="I105">
        <v>74.60284</v>
      </c>
    </row>
    <row r="106" spans="1:9" x14ac:dyDescent="0.3">
      <c r="A106" t="s">
        <v>9</v>
      </c>
      <c r="B106" t="s">
        <v>204</v>
      </c>
      <c r="C106">
        <v>0</v>
      </c>
      <c r="D106">
        <v>6.0199999999999997E-2</v>
      </c>
      <c r="E106">
        <v>9.6614931665384489</v>
      </c>
      <c r="F106">
        <v>948.4511631213835</v>
      </c>
      <c r="G106">
        <v>0.42399999999999999</v>
      </c>
      <c r="H106">
        <v>5.7000000000000002E-2</v>
      </c>
      <c r="I106">
        <v>74.801869999999994</v>
      </c>
    </row>
    <row r="107" spans="1:9" x14ac:dyDescent="0.3">
      <c r="A107" t="s">
        <v>9</v>
      </c>
      <c r="B107" t="s">
        <v>205</v>
      </c>
      <c r="C107">
        <v>0</v>
      </c>
      <c r="D107">
        <v>5.79E-2</v>
      </c>
      <c r="E107">
        <v>9.4550351646015969</v>
      </c>
      <c r="F107">
        <v>929.20927734086888</v>
      </c>
      <c r="G107">
        <v>0.42399999999999999</v>
      </c>
      <c r="H107">
        <v>5.3699999999999998E-2</v>
      </c>
      <c r="I107">
        <v>75.001429999999999</v>
      </c>
    </row>
    <row r="108" spans="1:9" x14ac:dyDescent="0.3">
      <c r="A108" t="s">
        <v>9</v>
      </c>
      <c r="B108" t="s">
        <v>206</v>
      </c>
      <c r="C108">
        <v>0</v>
      </c>
      <c r="D108">
        <v>5.5E-2</v>
      </c>
      <c r="E108">
        <v>9.2124866166813</v>
      </c>
      <c r="F108">
        <v>906.60375267469715</v>
      </c>
      <c r="G108">
        <v>0.42399999999999999</v>
      </c>
      <c r="H108">
        <v>0.05</v>
      </c>
      <c r="I108">
        <v>75.201740000000001</v>
      </c>
    </row>
    <row r="109" spans="1:9" x14ac:dyDescent="0.3">
      <c r="A109" t="s">
        <v>9</v>
      </c>
      <c r="B109" t="s">
        <v>207</v>
      </c>
      <c r="C109">
        <v>0</v>
      </c>
      <c r="D109">
        <v>5.0299999999999997E-2</v>
      </c>
      <c r="E109">
        <v>8.9426056909767553</v>
      </c>
      <c r="F109">
        <v>881.45085039903358</v>
      </c>
      <c r="G109">
        <v>0.42399999999999999</v>
      </c>
      <c r="H109">
        <v>4.58E-2</v>
      </c>
      <c r="I109">
        <v>75.400620000000004</v>
      </c>
    </row>
    <row r="110" spans="1:9" x14ac:dyDescent="0.3">
      <c r="A110" t="s">
        <v>9</v>
      </c>
      <c r="B110" t="s">
        <v>208</v>
      </c>
      <c r="C110">
        <v>0</v>
      </c>
      <c r="D110">
        <v>4.58E-2</v>
      </c>
      <c r="E110">
        <v>8.647953340744726</v>
      </c>
      <c r="F110">
        <v>853.98925135740853</v>
      </c>
      <c r="G110">
        <v>0.42399999999999999</v>
      </c>
      <c r="H110">
        <v>4.1200000000000001E-2</v>
      </c>
      <c r="I110">
        <v>75.601070000000007</v>
      </c>
    </row>
    <row r="111" spans="1:9" x14ac:dyDescent="0.3">
      <c r="A111" t="s">
        <v>9</v>
      </c>
      <c r="B111" t="s">
        <v>209</v>
      </c>
      <c r="C111">
        <v>0</v>
      </c>
      <c r="D111">
        <v>4.1799999999999997E-2</v>
      </c>
      <c r="E111">
        <v>8.3364621957374894</v>
      </c>
      <c r="F111">
        <v>824.95827664273406</v>
      </c>
      <c r="G111">
        <v>0.42399999999999999</v>
      </c>
      <c r="H111">
        <v>3.6400000000000002E-2</v>
      </c>
      <c r="I111">
        <v>75.802400000000006</v>
      </c>
    </row>
    <row r="112" spans="1:9" x14ac:dyDescent="0.3">
      <c r="A112" t="s">
        <v>9</v>
      </c>
      <c r="B112" t="s">
        <v>210</v>
      </c>
      <c r="C112">
        <v>0</v>
      </c>
      <c r="D112">
        <v>3.6700000000000003E-2</v>
      </c>
      <c r="E112">
        <v>8.0193877185032623</v>
      </c>
      <c r="F112">
        <v>795.40693536450408</v>
      </c>
      <c r="G112">
        <v>0.42399999999999999</v>
      </c>
      <c r="H112">
        <v>3.1399999999999997E-2</v>
      </c>
      <c r="I112">
        <v>76.002319999999997</v>
      </c>
    </row>
    <row r="113" spans="1:9" x14ac:dyDescent="0.3">
      <c r="A113" t="s">
        <v>9</v>
      </c>
      <c r="B113" t="s">
        <v>211</v>
      </c>
      <c r="C113">
        <v>0</v>
      </c>
      <c r="D113">
        <v>3.1600000000000003E-2</v>
      </c>
      <c r="E113">
        <v>7.705535111848242</v>
      </c>
      <c r="F113">
        <v>766.15587242425613</v>
      </c>
      <c r="G113">
        <v>0.42399999999999999</v>
      </c>
      <c r="H113">
        <v>2.6599999999999999E-2</v>
      </c>
      <c r="I113">
        <v>76.20026</v>
      </c>
    </row>
    <row r="114" spans="1:9" x14ac:dyDescent="0.3">
      <c r="A114" t="s">
        <v>9</v>
      </c>
      <c r="B114" t="s">
        <v>212</v>
      </c>
      <c r="C114">
        <v>0</v>
      </c>
      <c r="D114">
        <v>2.6499999999999999E-2</v>
      </c>
      <c r="E114">
        <v>7.3950827829024091</v>
      </c>
      <c r="F114">
        <v>737.22171536650455</v>
      </c>
      <c r="G114">
        <v>0.42399999999999999</v>
      </c>
      <c r="H114">
        <v>2.1700000000000001E-2</v>
      </c>
      <c r="I114">
        <v>76.400999999999996</v>
      </c>
    </row>
    <row r="115" spans="1:9" x14ac:dyDescent="0.3">
      <c r="A115" t="s">
        <v>9</v>
      </c>
      <c r="B115" t="s">
        <v>213</v>
      </c>
      <c r="C115">
        <v>0</v>
      </c>
      <c r="D115">
        <v>2.1299999999999999E-2</v>
      </c>
      <c r="E115">
        <v>7.1004563827983782</v>
      </c>
      <c r="F115">
        <v>709.7625348768089</v>
      </c>
      <c r="G115">
        <v>0.42399999999999999</v>
      </c>
      <c r="H115">
        <v>1.72E-2</v>
      </c>
      <c r="I115">
        <v>76.601569999999995</v>
      </c>
    </row>
    <row r="116" spans="1:9" x14ac:dyDescent="0.3">
      <c r="A116" t="s">
        <v>9</v>
      </c>
      <c r="B116" t="s">
        <v>214</v>
      </c>
      <c r="C116">
        <v>0</v>
      </c>
      <c r="D116">
        <v>1.6400000000000001E-2</v>
      </c>
      <c r="E116">
        <v>6.8268479644894251</v>
      </c>
      <c r="F116">
        <v>684.26223029041444</v>
      </c>
      <c r="G116">
        <v>0.42399999999999999</v>
      </c>
      <c r="H116">
        <v>1.29E-2</v>
      </c>
      <c r="I116">
        <v>76.803569999999993</v>
      </c>
    </row>
    <row r="117" spans="1:9" x14ac:dyDescent="0.3">
      <c r="A117" t="s">
        <v>9</v>
      </c>
      <c r="B117" t="s">
        <v>215</v>
      </c>
      <c r="C117">
        <v>0</v>
      </c>
      <c r="D117">
        <v>1.14E-2</v>
      </c>
      <c r="E117">
        <v>6.5888321740829623</v>
      </c>
      <c r="F117">
        <v>662.07915862453206</v>
      </c>
      <c r="G117">
        <v>0.42399999999999999</v>
      </c>
      <c r="H117">
        <v>9.1999999999999998E-3</v>
      </c>
      <c r="I117">
        <v>77.000619999999998</v>
      </c>
    </row>
    <row r="118" spans="1:9" x14ac:dyDescent="0.3">
      <c r="A118" t="s">
        <v>9</v>
      </c>
      <c r="B118" t="s">
        <v>216</v>
      </c>
      <c r="C118">
        <v>0</v>
      </c>
      <c r="D118">
        <v>7.0000000000000001E-3</v>
      </c>
      <c r="E118">
        <v>6.3818947435313547</v>
      </c>
      <c r="F118">
        <v>642.79259009712223</v>
      </c>
      <c r="G118">
        <v>0.42399999999999999</v>
      </c>
      <c r="H118">
        <v>6.0000000000000001E-3</v>
      </c>
      <c r="I118">
        <v>77.201099999999997</v>
      </c>
    </row>
    <row r="119" spans="1:9" x14ac:dyDescent="0.3">
      <c r="A119" t="s">
        <v>9</v>
      </c>
      <c r="B119" t="s">
        <v>217</v>
      </c>
      <c r="C119">
        <v>0</v>
      </c>
      <c r="D119">
        <v>3.8999999999999998E-3</v>
      </c>
      <c r="E119">
        <v>6.2159756666287178</v>
      </c>
      <c r="F119">
        <v>627.3289321297965</v>
      </c>
      <c r="G119">
        <v>0.42399999999999999</v>
      </c>
      <c r="H119">
        <v>3.3999999999999998E-3</v>
      </c>
      <c r="I119">
        <v>77.400999999999996</v>
      </c>
    </row>
    <row r="120" spans="1:9" x14ac:dyDescent="0.3">
      <c r="A120" t="s">
        <v>9</v>
      </c>
      <c r="B120" t="s">
        <v>218</v>
      </c>
      <c r="C120">
        <v>0</v>
      </c>
      <c r="D120">
        <v>8.0000000000000004E-4</v>
      </c>
      <c r="E120">
        <v>6.094917386937075</v>
      </c>
      <c r="F120">
        <v>616.04630046253544</v>
      </c>
      <c r="G120">
        <v>0.42399999999999999</v>
      </c>
      <c r="H120">
        <v>1.5E-3</v>
      </c>
      <c r="I120">
        <v>77.600080000000005</v>
      </c>
    </row>
    <row r="121" spans="1:9" x14ac:dyDescent="0.3">
      <c r="A121" t="s">
        <v>9</v>
      </c>
      <c r="B121" t="s">
        <v>219</v>
      </c>
      <c r="C121">
        <v>0</v>
      </c>
      <c r="D121">
        <v>-1.6999999999999999E-3</v>
      </c>
      <c r="E121">
        <v>6.0205992735466243</v>
      </c>
      <c r="F121">
        <v>609.11985229454535</v>
      </c>
      <c r="G121">
        <v>0.42399999999999999</v>
      </c>
      <c r="H121">
        <v>4.0000000000000002E-4</v>
      </c>
      <c r="I121">
        <v>77.800380000000004</v>
      </c>
    </row>
    <row r="122" spans="1:9" x14ac:dyDescent="0.3">
      <c r="A122" t="s">
        <v>9</v>
      </c>
      <c r="B122" t="s">
        <v>220</v>
      </c>
      <c r="C122">
        <v>0</v>
      </c>
      <c r="D122">
        <v>-2.5000000000000001E-3</v>
      </c>
      <c r="E122">
        <v>5.9957334838115024</v>
      </c>
      <c r="F122">
        <v>606.80236069123202</v>
      </c>
      <c r="G122">
        <v>0.42399999999999999</v>
      </c>
      <c r="H122">
        <v>0</v>
      </c>
      <c r="I122">
        <v>78.000219999999999</v>
      </c>
    </row>
    <row r="123" spans="1:9" x14ac:dyDescent="0.3">
      <c r="A123" t="s">
        <v>9</v>
      </c>
      <c r="B123" t="s">
        <v>221</v>
      </c>
      <c r="C123">
        <v>0</v>
      </c>
      <c r="D123">
        <v>-3.0000000000000001E-3</v>
      </c>
      <c r="E123">
        <v>6.021648644011651</v>
      </c>
      <c r="F123">
        <v>711.45445631670566</v>
      </c>
      <c r="G123">
        <v>0.42399999999999999</v>
      </c>
      <c r="H123">
        <v>4.0000000000000002E-4</v>
      </c>
      <c r="I123">
        <v>78.203800000000001</v>
      </c>
    </row>
    <row r="124" spans="1:9" x14ac:dyDescent="0.3">
      <c r="A124" t="s">
        <v>9</v>
      </c>
      <c r="B124" t="s">
        <v>222</v>
      </c>
      <c r="C124">
        <v>0</v>
      </c>
      <c r="D124">
        <v>-8.9999999999999998E-4</v>
      </c>
      <c r="E124">
        <v>6.0953338053972868</v>
      </c>
      <c r="F124">
        <v>718.44717813220257</v>
      </c>
      <c r="G124">
        <v>0.42399999999999999</v>
      </c>
      <c r="H124">
        <v>1.5E-3</v>
      </c>
      <c r="I124">
        <v>78.400760000000005</v>
      </c>
    </row>
    <row r="125" spans="1:9" x14ac:dyDescent="0.3">
      <c r="A125" t="s">
        <v>9</v>
      </c>
      <c r="B125" t="s">
        <v>223</v>
      </c>
      <c r="C125">
        <v>0</v>
      </c>
      <c r="D125">
        <v>2.3E-3</v>
      </c>
      <c r="E125">
        <v>6.2170392975000208</v>
      </c>
      <c r="F125">
        <v>729.99702933275205</v>
      </c>
      <c r="G125">
        <v>0.42399999999999999</v>
      </c>
      <c r="H125">
        <v>3.3999999999999998E-3</v>
      </c>
      <c r="I125">
        <v>78.600459999999998</v>
      </c>
    </row>
    <row r="126" spans="1:9" x14ac:dyDescent="0.3">
      <c r="A126" t="s">
        <v>9</v>
      </c>
      <c r="B126" t="s">
        <v>224</v>
      </c>
      <c r="C126">
        <v>0</v>
      </c>
      <c r="D126">
        <v>4.0000000000000001E-3</v>
      </c>
      <c r="E126">
        <v>6.3839634147505908</v>
      </c>
      <c r="F126">
        <v>745.83812805983109</v>
      </c>
      <c r="G126">
        <v>0.42399999999999999</v>
      </c>
      <c r="H126">
        <v>6.0000000000000001E-3</v>
      </c>
      <c r="I126">
        <v>78.801109999999994</v>
      </c>
    </row>
    <row r="127" spans="1:9" x14ac:dyDescent="0.3">
      <c r="A127" t="s">
        <v>9</v>
      </c>
      <c r="B127" t="s">
        <v>225</v>
      </c>
      <c r="C127">
        <v>0</v>
      </c>
      <c r="D127">
        <v>7.1999999999999998E-3</v>
      </c>
      <c r="E127">
        <v>6.5908124932257817</v>
      </c>
      <c r="F127">
        <v>765.46810560712674</v>
      </c>
      <c r="G127">
        <v>0.42399999999999999</v>
      </c>
      <c r="H127">
        <v>9.1999999999999998E-3</v>
      </c>
      <c r="I127">
        <v>79.001140000000007</v>
      </c>
    </row>
    <row r="128" spans="1:9" x14ac:dyDescent="0.3">
      <c r="A128" t="s">
        <v>9</v>
      </c>
      <c r="B128" t="s">
        <v>226</v>
      </c>
      <c r="C128">
        <v>0</v>
      </c>
      <c r="D128">
        <v>0.01</v>
      </c>
      <c r="E128">
        <v>6.8330386918998576</v>
      </c>
      <c r="F128">
        <v>788.45537186129661</v>
      </c>
      <c r="G128">
        <v>0.42399999999999999</v>
      </c>
      <c r="H128">
        <v>1.2999999999999999E-2</v>
      </c>
      <c r="I128">
        <v>79.201239999999999</v>
      </c>
    </row>
    <row r="129" spans="1:9" x14ac:dyDescent="0.3">
      <c r="A129" t="s">
        <v>9</v>
      </c>
      <c r="B129" t="s">
        <v>227</v>
      </c>
      <c r="C129">
        <v>0</v>
      </c>
      <c r="D129">
        <v>1.4E-2</v>
      </c>
      <c r="E129">
        <v>5.9957334838115024</v>
      </c>
      <c r="F129">
        <v>606.80236069123202</v>
      </c>
      <c r="G129">
        <v>0.42399999999999999</v>
      </c>
      <c r="H129">
        <v>0</v>
      </c>
      <c r="I129">
        <v>79.400419999999997</v>
      </c>
    </row>
    <row r="130" spans="1:9" x14ac:dyDescent="0.3">
      <c r="A130" t="s">
        <v>9</v>
      </c>
      <c r="B130" t="s">
        <v>228</v>
      </c>
      <c r="C130">
        <v>0</v>
      </c>
      <c r="D130">
        <v>6.1000000000000004E-3</v>
      </c>
      <c r="E130">
        <v>5.9957334838115024</v>
      </c>
      <c r="F130">
        <v>606.80236069123202</v>
      </c>
      <c r="G130">
        <v>0.42399999999999999</v>
      </c>
      <c r="H130">
        <v>0</v>
      </c>
      <c r="I130">
        <v>79.600269999999995</v>
      </c>
    </row>
    <row r="131" spans="1:9" x14ac:dyDescent="0.3">
      <c r="A131" t="s">
        <v>9</v>
      </c>
      <c r="B131" t="s">
        <v>229</v>
      </c>
      <c r="C131">
        <v>0</v>
      </c>
      <c r="D131">
        <v>-1E-3</v>
      </c>
      <c r="E131">
        <v>5.9957334838115024</v>
      </c>
      <c r="F131">
        <v>606.80236069123202</v>
      </c>
      <c r="G131">
        <v>0.42399999999999999</v>
      </c>
      <c r="H131">
        <v>0</v>
      </c>
      <c r="I131">
        <v>79.801630000000003</v>
      </c>
    </row>
    <row r="132" spans="1:9" x14ac:dyDescent="0.3">
      <c r="A132" t="s">
        <v>9</v>
      </c>
      <c r="B132" t="s">
        <v>230</v>
      </c>
      <c r="C132">
        <v>0</v>
      </c>
      <c r="D132">
        <v>-3.0999999999999999E-3</v>
      </c>
      <c r="E132">
        <v>5.9957334838115024</v>
      </c>
      <c r="F132">
        <v>606.80236069123202</v>
      </c>
      <c r="G132">
        <v>0.42399999999999999</v>
      </c>
      <c r="H132">
        <v>0</v>
      </c>
      <c r="I132">
        <v>80.00018</v>
      </c>
    </row>
    <row r="133" spans="1:9" x14ac:dyDescent="0.3">
      <c r="A133" t="s">
        <v>9</v>
      </c>
      <c r="B133" t="s">
        <v>231</v>
      </c>
      <c r="C133">
        <v>0</v>
      </c>
      <c r="D133">
        <v>-3.0999999999999999E-3</v>
      </c>
      <c r="E133">
        <v>5.9957334838115024</v>
      </c>
      <c r="F133">
        <v>606.80236069123202</v>
      </c>
      <c r="G133">
        <v>0.42399999999999999</v>
      </c>
      <c r="H133">
        <v>0</v>
      </c>
      <c r="I133">
        <v>80.201740000000001</v>
      </c>
    </row>
    <row r="134" spans="1:9" x14ac:dyDescent="0.3">
      <c r="A134" t="s">
        <v>9</v>
      </c>
      <c r="B134" t="s">
        <v>232</v>
      </c>
      <c r="C134">
        <v>0</v>
      </c>
      <c r="D134">
        <v>-3.0999999999999999E-3</v>
      </c>
      <c r="E134">
        <v>5.9957334838115024</v>
      </c>
      <c r="F134">
        <v>606.80236069123202</v>
      </c>
      <c r="G134">
        <v>0.42399999999999999</v>
      </c>
      <c r="H134">
        <v>0</v>
      </c>
      <c r="I134">
        <v>80.400469999999999</v>
      </c>
    </row>
    <row r="135" spans="1:9" x14ac:dyDescent="0.3">
      <c r="A135" t="s">
        <v>9</v>
      </c>
      <c r="B135" t="s">
        <v>233</v>
      </c>
      <c r="C135">
        <v>0</v>
      </c>
      <c r="D135">
        <v>-3.0999999999999999E-3</v>
      </c>
      <c r="E135">
        <v>5.9957334838115024</v>
      </c>
      <c r="F135">
        <v>606.80236069123202</v>
      </c>
      <c r="G135">
        <v>0.42399999999999999</v>
      </c>
      <c r="H135">
        <v>0</v>
      </c>
      <c r="I135">
        <v>80.600499999999997</v>
      </c>
    </row>
    <row r="136" spans="1:9" x14ac:dyDescent="0.3">
      <c r="A136" t="s">
        <v>9</v>
      </c>
      <c r="B136" t="s">
        <v>234</v>
      </c>
      <c r="C136">
        <v>0</v>
      </c>
      <c r="D136">
        <v>-3.0999999999999999E-3</v>
      </c>
      <c r="E136">
        <v>5.9957334838115024</v>
      </c>
      <c r="F136">
        <v>606.80236069123202</v>
      </c>
      <c r="G136">
        <v>0.42399999999999999</v>
      </c>
      <c r="H136">
        <v>0</v>
      </c>
      <c r="I136">
        <v>80.801400000000001</v>
      </c>
    </row>
    <row r="137" spans="1:9" x14ac:dyDescent="0.3">
      <c r="A137" t="s">
        <v>9</v>
      </c>
      <c r="B137" t="s">
        <v>235</v>
      </c>
      <c r="C137">
        <v>0</v>
      </c>
      <c r="D137">
        <v>-3.0999999999999999E-3</v>
      </c>
      <c r="E137">
        <v>5.9957334838115024</v>
      </c>
      <c r="F137">
        <v>606.80236069123202</v>
      </c>
      <c r="G137">
        <v>0.42399999999999999</v>
      </c>
      <c r="H137">
        <v>0</v>
      </c>
      <c r="I137">
        <v>81.001819999999995</v>
      </c>
    </row>
    <row r="138" spans="1:9" x14ac:dyDescent="0.3">
      <c r="A138" t="s">
        <v>9</v>
      </c>
      <c r="B138" t="s">
        <v>236</v>
      </c>
      <c r="C138">
        <v>0</v>
      </c>
      <c r="D138">
        <v>-3.0999999999999999E-3</v>
      </c>
      <c r="E138">
        <v>5.9957334838115024</v>
      </c>
      <c r="F138">
        <v>606.80236069123202</v>
      </c>
      <c r="G138">
        <v>0.42399999999999999</v>
      </c>
      <c r="H138">
        <v>0</v>
      </c>
      <c r="I138">
        <v>81.200590000000005</v>
      </c>
    </row>
    <row r="139" spans="1:9" x14ac:dyDescent="0.3">
      <c r="A139" t="s">
        <v>9</v>
      </c>
      <c r="B139" t="s">
        <v>237</v>
      </c>
      <c r="C139">
        <v>0</v>
      </c>
      <c r="D139">
        <v>-3.0999999999999999E-3</v>
      </c>
      <c r="E139">
        <v>5.9957334838115024</v>
      </c>
      <c r="F139">
        <v>606.80236069123202</v>
      </c>
      <c r="G139">
        <v>0.42399999999999999</v>
      </c>
      <c r="H139">
        <v>0</v>
      </c>
      <c r="I139">
        <v>81.400959999999998</v>
      </c>
    </row>
    <row r="140" spans="1:9" x14ac:dyDescent="0.3">
      <c r="A140" t="s">
        <v>9</v>
      </c>
      <c r="B140" t="s">
        <v>238</v>
      </c>
      <c r="C140">
        <v>0</v>
      </c>
      <c r="D140">
        <v>-3.0999999999999999E-3</v>
      </c>
      <c r="E140">
        <v>5.9957334838115024</v>
      </c>
      <c r="F140">
        <v>606.80236069123202</v>
      </c>
      <c r="G140">
        <v>0.42399999999999999</v>
      </c>
      <c r="H140">
        <v>0</v>
      </c>
      <c r="I140">
        <v>81.601339999999993</v>
      </c>
    </row>
    <row r="141" spans="1:9" x14ac:dyDescent="0.3">
      <c r="A141" t="s">
        <v>9</v>
      </c>
      <c r="B141" t="s">
        <v>239</v>
      </c>
      <c r="C141">
        <v>0</v>
      </c>
      <c r="D141">
        <v>-3.0999999999999999E-3</v>
      </c>
      <c r="E141">
        <v>5.9957334838115024</v>
      </c>
      <c r="F141">
        <v>606.80236069123202</v>
      </c>
      <c r="G141">
        <v>0.42399999999999999</v>
      </c>
      <c r="H141">
        <v>0</v>
      </c>
      <c r="I141">
        <v>81.801150000000007</v>
      </c>
    </row>
    <row r="142" spans="1:9" x14ac:dyDescent="0.3">
      <c r="A142" t="s">
        <v>9</v>
      </c>
      <c r="B142" t="s">
        <v>240</v>
      </c>
      <c r="C142">
        <v>0</v>
      </c>
      <c r="D142">
        <v>-3.0999999999999999E-3</v>
      </c>
      <c r="E142">
        <v>8.6988719520543132</v>
      </c>
      <c r="F142">
        <v>965.52294824995442</v>
      </c>
      <c r="G142">
        <v>0.42399999999999999</v>
      </c>
      <c r="H142">
        <v>4.2000000000000003E-2</v>
      </c>
      <c r="I142">
        <v>82.000100000000003</v>
      </c>
    </row>
    <row r="143" spans="1:9" x14ac:dyDescent="0.3">
      <c r="A143" t="s">
        <v>9</v>
      </c>
      <c r="B143" t="s">
        <v>241</v>
      </c>
      <c r="C143">
        <v>0</v>
      </c>
      <c r="D143">
        <v>2.4899999999999999E-2</v>
      </c>
      <c r="E143">
        <v>10.02493565685543</v>
      </c>
      <c r="F143">
        <v>1091.366393835581</v>
      </c>
      <c r="G143">
        <v>0.42399999999999999</v>
      </c>
      <c r="H143">
        <v>6.2600000000000003E-2</v>
      </c>
      <c r="I143">
        <v>82.202169999999995</v>
      </c>
    </row>
    <row r="144" spans="1:9" x14ac:dyDescent="0.3">
      <c r="A144" t="s">
        <v>9</v>
      </c>
      <c r="B144" t="s">
        <v>242</v>
      </c>
      <c r="C144">
        <v>0</v>
      </c>
      <c r="D144">
        <v>5.5199999999999999E-2</v>
      </c>
      <c r="E144">
        <v>9.9510601026244441</v>
      </c>
      <c r="F144">
        <v>975.43880156459818</v>
      </c>
      <c r="G144">
        <v>0.42399999999999999</v>
      </c>
      <c r="H144">
        <v>6.1499999999999999E-2</v>
      </c>
      <c r="I144">
        <v>82.400310000000005</v>
      </c>
    </row>
    <row r="145" spans="1:9" x14ac:dyDescent="0.3">
      <c r="A145" t="s">
        <v>9</v>
      </c>
      <c r="B145" t="s">
        <v>243</v>
      </c>
      <c r="C145">
        <v>0</v>
      </c>
      <c r="D145">
        <v>5.9200000000000003E-2</v>
      </c>
      <c r="E145">
        <v>9.8285045410944107</v>
      </c>
      <c r="F145">
        <v>964.01662322999914</v>
      </c>
      <c r="G145">
        <v>0.42399999999999999</v>
      </c>
      <c r="H145">
        <v>5.96E-2</v>
      </c>
      <c r="I145">
        <v>82.601330000000004</v>
      </c>
    </row>
    <row r="146" spans="1:9" x14ac:dyDescent="0.3">
      <c r="A146" t="s">
        <v>9</v>
      </c>
      <c r="B146" t="s">
        <v>244</v>
      </c>
      <c r="C146">
        <v>0</v>
      </c>
      <c r="D146">
        <v>5.8700000000000002E-2</v>
      </c>
      <c r="E146">
        <v>9.661221501135973</v>
      </c>
      <c r="F146">
        <v>948.42584390587274</v>
      </c>
      <c r="G146">
        <v>0.42399999999999999</v>
      </c>
      <c r="H146">
        <v>5.7000000000000002E-2</v>
      </c>
      <c r="I146">
        <v>82.802160000000001</v>
      </c>
    </row>
    <row r="147" spans="1:9" x14ac:dyDescent="0.3">
      <c r="A147" t="s">
        <v>9</v>
      </c>
      <c r="B147" t="s">
        <v>245</v>
      </c>
      <c r="C147">
        <v>0</v>
      </c>
      <c r="D147">
        <v>5.7599999999999998E-2</v>
      </c>
      <c r="E147">
        <v>9.4543632995689091</v>
      </c>
      <c r="F147">
        <v>929.14665951982238</v>
      </c>
      <c r="G147">
        <v>0.42399999999999999</v>
      </c>
      <c r="H147">
        <v>5.3699999999999998E-2</v>
      </c>
      <c r="I147">
        <v>83.002020000000002</v>
      </c>
    </row>
    <row r="148" spans="1:9" x14ac:dyDescent="0.3">
      <c r="A148" t="s">
        <v>9</v>
      </c>
      <c r="B148" t="s">
        <v>246</v>
      </c>
      <c r="C148">
        <v>0</v>
      </c>
      <c r="D148">
        <v>5.5E-2</v>
      </c>
      <c r="E148">
        <v>9.2135907135334492</v>
      </c>
      <c r="F148">
        <v>906.70665450131753</v>
      </c>
      <c r="G148">
        <v>0.42399999999999999</v>
      </c>
      <c r="H148">
        <v>0.05</v>
      </c>
      <c r="I148">
        <v>83.200890000000001</v>
      </c>
    </row>
    <row r="149" spans="1:9" x14ac:dyDescent="0.3">
      <c r="A149" t="s">
        <v>9</v>
      </c>
      <c r="B149" t="s">
        <v>247</v>
      </c>
      <c r="C149">
        <v>0</v>
      </c>
      <c r="D149">
        <v>4.99E-2</v>
      </c>
      <c r="E149">
        <v>8.9433659486329358</v>
      </c>
      <c r="F149">
        <v>881.52170641258965</v>
      </c>
      <c r="G149">
        <v>0.42399999999999999</v>
      </c>
      <c r="H149">
        <v>4.58E-2</v>
      </c>
      <c r="I149">
        <v>83.400090000000006</v>
      </c>
    </row>
    <row r="150" spans="1:9" x14ac:dyDescent="0.3">
      <c r="A150" t="s">
        <v>9</v>
      </c>
      <c r="B150" t="s">
        <v>248</v>
      </c>
      <c r="C150">
        <v>0</v>
      </c>
      <c r="D150">
        <v>4.5699999999999998E-2</v>
      </c>
      <c r="E150">
        <v>8.648352729433439</v>
      </c>
      <c r="F150">
        <v>854.0264743831965</v>
      </c>
      <c r="G150">
        <v>0.42399999999999999</v>
      </c>
      <c r="H150">
        <v>4.1200000000000001E-2</v>
      </c>
      <c r="I150">
        <v>83.600800000000007</v>
      </c>
    </row>
    <row r="151" spans="1:9" x14ac:dyDescent="0.3">
      <c r="A151" t="s">
        <v>9</v>
      </c>
      <c r="B151" t="s">
        <v>249</v>
      </c>
      <c r="C151">
        <v>0</v>
      </c>
      <c r="D151">
        <v>4.1399999999999999E-2</v>
      </c>
      <c r="E151">
        <v>8.3376185983163822</v>
      </c>
      <c r="F151">
        <v>825.06605336308689</v>
      </c>
      <c r="G151">
        <v>0.42399999999999999</v>
      </c>
      <c r="H151">
        <v>3.6400000000000002E-2</v>
      </c>
      <c r="I151">
        <v>83.801659999999998</v>
      </c>
    </row>
    <row r="152" spans="1:9" x14ac:dyDescent="0.3">
      <c r="A152" t="s">
        <v>9</v>
      </c>
      <c r="B152" t="s">
        <v>250</v>
      </c>
      <c r="C152">
        <v>0</v>
      </c>
      <c r="D152">
        <v>3.6400000000000002E-2</v>
      </c>
      <c r="E152">
        <v>8.0208052442451319</v>
      </c>
      <c r="F152">
        <v>795.53904876364629</v>
      </c>
      <c r="G152">
        <v>0.42399999999999999</v>
      </c>
      <c r="H152">
        <v>3.15E-2</v>
      </c>
      <c r="I152">
        <v>84.001429999999999</v>
      </c>
    </row>
    <row r="153" spans="1:9" x14ac:dyDescent="0.3">
      <c r="A153" t="s">
        <v>9</v>
      </c>
      <c r="B153" t="s">
        <v>251</v>
      </c>
      <c r="C153">
        <v>0</v>
      </c>
      <c r="D153">
        <v>3.1600000000000003E-2</v>
      </c>
      <c r="E153">
        <v>7.7029027957394831</v>
      </c>
      <c r="F153">
        <v>765.91054056291989</v>
      </c>
      <c r="G153">
        <v>0.42399999999999999</v>
      </c>
      <c r="H153">
        <v>2.6499999999999999E-2</v>
      </c>
      <c r="I153">
        <v>84.201930000000004</v>
      </c>
    </row>
    <row r="154" spans="1:9" x14ac:dyDescent="0.3">
      <c r="A154" t="s">
        <v>9</v>
      </c>
      <c r="B154" t="s">
        <v>252</v>
      </c>
      <c r="C154">
        <v>0</v>
      </c>
      <c r="D154">
        <v>2.64E-2</v>
      </c>
      <c r="E154">
        <v>7.3957911403025944</v>
      </c>
      <c r="F154">
        <v>737.28773427620183</v>
      </c>
      <c r="G154">
        <v>0.42399999999999999</v>
      </c>
      <c r="H154">
        <v>2.18E-2</v>
      </c>
      <c r="I154">
        <v>84.400540000000007</v>
      </c>
    </row>
    <row r="155" spans="1:9" x14ac:dyDescent="0.3">
      <c r="A155" t="s">
        <v>9</v>
      </c>
      <c r="B155" t="s">
        <v>253</v>
      </c>
      <c r="C155">
        <v>0</v>
      </c>
      <c r="D155">
        <v>2.1100000000000001E-2</v>
      </c>
      <c r="E155">
        <v>7.1002864905541454</v>
      </c>
      <c r="F155">
        <v>709.7467009196464</v>
      </c>
      <c r="G155">
        <v>0.42399999999999999</v>
      </c>
      <c r="H155">
        <v>1.72E-2</v>
      </c>
      <c r="I155">
        <v>84.601690000000005</v>
      </c>
    </row>
    <row r="156" spans="1:9" x14ac:dyDescent="0.3">
      <c r="A156" t="s">
        <v>9</v>
      </c>
      <c r="B156" t="s">
        <v>254</v>
      </c>
      <c r="C156">
        <v>0</v>
      </c>
      <c r="D156">
        <v>1.6299999999999999E-2</v>
      </c>
      <c r="E156">
        <v>6.8281053292850604</v>
      </c>
      <c r="F156">
        <v>684.37941668936753</v>
      </c>
      <c r="G156">
        <v>0.42399999999999999</v>
      </c>
      <c r="H156">
        <v>1.29E-2</v>
      </c>
      <c r="I156">
        <v>84.802589999999995</v>
      </c>
    </row>
    <row r="157" spans="1:9" x14ac:dyDescent="0.3">
      <c r="A157" t="s">
        <v>9</v>
      </c>
      <c r="B157" t="s">
        <v>255</v>
      </c>
      <c r="C157">
        <v>0</v>
      </c>
      <c r="D157">
        <v>1.11E-2</v>
      </c>
      <c r="E157">
        <v>6.5877629477153112</v>
      </c>
      <c r="F157">
        <v>661.97950672706702</v>
      </c>
      <c r="G157">
        <v>0.42399999999999999</v>
      </c>
      <c r="H157">
        <v>9.1999999999999998E-3</v>
      </c>
      <c r="I157">
        <v>85.001570000000001</v>
      </c>
    </row>
    <row r="158" spans="1:9" x14ac:dyDescent="0.3">
      <c r="A158" t="s">
        <v>9</v>
      </c>
      <c r="B158" t="s">
        <v>256</v>
      </c>
      <c r="C158">
        <v>0</v>
      </c>
      <c r="D158">
        <v>7.3000000000000001E-3</v>
      </c>
      <c r="E158">
        <v>6.3811155909382267</v>
      </c>
      <c r="F158">
        <v>642.71997307544279</v>
      </c>
      <c r="G158">
        <v>0.42399999999999999</v>
      </c>
      <c r="H158">
        <v>6.0000000000000001E-3</v>
      </c>
      <c r="I158">
        <v>85.201930000000004</v>
      </c>
    </row>
    <row r="159" spans="1:9" x14ac:dyDescent="0.3">
      <c r="A159" t="s">
        <v>9</v>
      </c>
      <c r="B159" t="s">
        <v>257</v>
      </c>
      <c r="C159">
        <v>0</v>
      </c>
      <c r="D159">
        <v>3.7000000000000002E-3</v>
      </c>
      <c r="E159">
        <v>6.2163766366533562</v>
      </c>
      <c r="F159">
        <v>627.3663025360928</v>
      </c>
      <c r="G159">
        <v>0.42399999999999999</v>
      </c>
      <c r="H159">
        <v>3.3999999999999998E-3</v>
      </c>
      <c r="I159">
        <v>85.400450000000006</v>
      </c>
    </row>
    <row r="160" spans="1:9" x14ac:dyDescent="0.3">
      <c r="A160" t="s">
        <v>9</v>
      </c>
      <c r="B160" t="s">
        <v>258</v>
      </c>
      <c r="C160">
        <v>0</v>
      </c>
      <c r="D160">
        <v>6.9999999999999999E-4</v>
      </c>
      <c r="E160">
        <v>6.0948082747582593</v>
      </c>
      <c r="F160">
        <v>616.03613120746979</v>
      </c>
      <c r="G160">
        <v>0.42399999999999999</v>
      </c>
      <c r="H160">
        <v>1.5E-3</v>
      </c>
      <c r="I160">
        <v>85.600300000000004</v>
      </c>
    </row>
    <row r="161" spans="1:9" x14ac:dyDescent="0.3">
      <c r="A161" t="s">
        <v>9</v>
      </c>
      <c r="B161" t="s">
        <v>259</v>
      </c>
      <c r="C161">
        <v>0</v>
      </c>
      <c r="D161">
        <v>-1.5E-3</v>
      </c>
      <c r="E161">
        <v>6.0206552204007044</v>
      </c>
      <c r="F161">
        <v>609.12506654134563</v>
      </c>
      <c r="G161">
        <v>0.42399999999999999</v>
      </c>
      <c r="H161">
        <v>4.0000000000000002E-4</v>
      </c>
      <c r="I161">
        <v>85.800160000000005</v>
      </c>
    </row>
    <row r="162" spans="1:9" x14ac:dyDescent="0.3">
      <c r="A162" t="s">
        <v>9</v>
      </c>
      <c r="B162" t="s">
        <v>260</v>
      </c>
      <c r="C162">
        <v>0</v>
      </c>
      <c r="D162">
        <v>-3.0000000000000001E-3</v>
      </c>
      <c r="E162">
        <v>5.9957351755672503</v>
      </c>
      <c r="F162">
        <v>606.80251836286777</v>
      </c>
      <c r="G162">
        <v>0.42399999999999999</v>
      </c>
      <c r="H162">
        <v>0</v>
      </c>
      <c r="I162">
        <v>86.001630000000006</v>
      </c>
    </row>
    <row r="163" spans="1:9" x14ac:dyDescent="0.3">
      <c r="A163" t="s">
        <v>9</v>
      </c>
      <c r="B163" t="s">
        <v>261</v>
      </c>
      <c r="C163">
        <v>0</v>
      </c>
      <c r="D163">
        <v>-3.0999999999999999E-3</v>
      </c>
      <c r="E163">
        <v>6.0211123602883347</v>
      </c>
      <c r="F163">
        <v>711.40356299136295</v>
      </c>
      <c r="G163">
        <v>0.42399999999999999</v>
      </c>
      <c r="H163">
        <v>4.0000000000000002E-4</v>
      </c>
      <c r="I163">
        <v>86.201679999999996</v>
      </c>
    </row>
    <row r="164" spans="1:9" x14ac:dyDescent="0.3">
      <c r="A164" t="s">
        <v>9</v>
      </c>
      <c r="B164" t="s">
        <v>262</v>
      </c>
      <c r="C164">
        <v>0</v>
      </c>
      <c r="D164">
        <v>-8.9999999999999998E-4</v>
      </c>
      <c r="E164">
        <v>6.0959397003389553</v>
      </c>
      <c r="F164">
        <v>718.50467756216688</v>
      </c>
      <c r="G164">
        <v>0.42399999999999999</v>
      </c>
      <c r="H164">
        <v>1.6000000000000001E-3</v>
      </c>
      <c r="I164">
        <v>86.401989999999998</v>
      </c>
    </row>
    <row r="165" spans="1:9" x14ac:dyDescent="0.3">
      <c r="A165" t="s">
        <v>9</v>
      </c>
      <c r="B165" t="s">
        <v>263</v>
      </c>
      <c r="C165">
        <v>0</v>
      </c>
      <c r="D165">
        <v>2.5000000000000001E-3</v>
      </c>
      <c r="E165">
        <v>6.2167291123762984</v>
      </c>
      <c r="F165">
        <v>729.96759276451075</v>
      </c>
      <c r="G165">
        <v>0.42399999999999999</v>
      </c>
      <c r="H165">
        <v>3.3999999999999998E-3</v>
      </c>
      <c r="I165">
        <v>86.600040000000007</v>
      </c>
    </row>
    <row r="166" spans="1:9" x14ac:dyDescent="0.3">
      <c r="A166" t="s">
        <v>9</v>
      </c>
      <c r="B166" t="s">
        <v>264</v>
      </c>
      <c r="C166">
        <v>0</v>
      </c>
      <c r="D166">
        <v>4.1999999999999997E-3</v>
      </c>
      <c r="E166">
        <v>6.3835524295984278</v>
      </c>
      <c r="F166">
        <v>745.79912556889087</v>
      </c>
      <c r="G166">
        <v>0.42399999999999999</v>
      </c>
      <c r="H166">
        <v>6.0000000000000001E-3</v>
      </c>
      <c r="I166">
        <v>86.800669999999997</v>
      </c>
    </row>
    <row r="167" spans="1:9" x14ac:dyDescent="0.3">
      <c r="A167" t="s">
        <v>9</v>
      </c>
      <c r="B167" t="s">
        <v>265</v>
      </c>
      <c r="C167">
        <v>0</v>
      </c>
      <c r="D167">
        <v>6.7999999999999996E-3</v>
      </c>
      <c r="E167">
        <v>6.5920317437709199</v>
      </c>
      <c r="F167">
        <v>765.58381248386036</v>
      </c>
      <c r="G167">
        <v>0.42399999999999999</v>
      </c>
      <c r="H167">
        <v>9.2999999999999992E-3</v>
      </c>
      <c r="I167">
        <v>87.002219999999994</v>
      </c>
    </row>
    <row r="168" spans="1:9" x14ac:dyDescent="0.3">
      <c r="A168" t="s">
        <v>9</v>
      </c>
      <c r="B168" t="s">
        <v>266</v>
      </c>
      <c r="C168">
        <v>0</v>
      </c>
      <c r="D168">
        <v>1.03E-2</v>
      </c>
      <c r="E168">
        <v>6.8322476184666812</v>
      </c>
      <c r="F168">
        <v>788.38029899248806</v>
      </c>
      <c r="G168">
        <v>0.42399999999999999</v>
      </c>
      <c r="H168">
        <v>1.2999999999999999E-2</v>
      </c>
      <c r="I168">
        <v>87.200630000000004</v>
      </c>
    </row>
    <row r="169" spans="1:9" x14ac:dyDescent="0.3">
      <c r="A169" t="s">
        <v>9</v>
      </c>
      <c r="B169" t="s">
        <v>267</v>
      </c>
      <c r="C169">
        <v>0</v>
      </c>
      <c r="D169">
        <v>1.43E-2</v>
      </c>
      <c r="E169">
        <v>7.1028794760001581</v>
      </c>
      <c r="F169">
        <v>814.06326227241505</v>
      </c>
      <c r="G169">
        <v>0.42399999999999999</v>
      </c>
      <c r="H169">
        <v>1.72E-2</v>
      </c>
      <c r="I169">
        <v>87.400130000000004</v>
      </c>
    </row>
    <row r="170" spans="1:9" x14ac:dyDescent="0.3">
      <c r="A170" t="s">
        <v>9</v>
      </c>
      <c r="B170" t="s">
        <v>268</v>
      </c>
      <c r="C170">
        <v>0</v>
      </c>
      <c r="D170">
        <v>1.8499999999999999E-2</v>
      </c>
      <c r="E170">
        <v>7.4002671319114359</v>
      </c>
      <c r="F170">
        <v>842.28535081839527</v>
      </c>
      <c r="G170">
        <v>0.42399999999999999</v>
      </c>
      <c r="H170">
        <v>2.18E-2</v>
      </c>
      <c r="I170">
        <v>87.602419999999995</v>
      </c>
    </row>
    <row r="171" spans="1:9" x14ac:dyDescent="0.3">
      <c r="A171" t="s">
        <v>9</v>
      </c>
      <c r="B171" t="s">
        <v>269</v>
      </c>
      <c r="C171">
        <v>0</v>
      </c>
      <c r="D171">
        <v>2.29E-2</v>
      </c>
      <c r="E171">
        <v>7.7063890332476639</v>
      </c>
      <c r="F171">
        <v>871.33631925520331</v>
      </c>
      <c r="G171">
        <v>0.42399999999999999</v>
      </c>
      <c r="H171">
        <v>2.6599999999999999E-2</v>
      </c>
      <c r="I171">
        <v>87.800290000000004</v>
      </c>
    </row>
    <row r="172" spans="1:9" x14ac:dyDescent="0.3">
      <c r="A172" t="s">
        <v>9</v>
      </c>
      <c r="B172" t="s">
        <v>270</v>
      </c>
      <c r="C172">
        <v>0</v>
      </c>
      <c r="D172">
        <v>2.8299999999999999E-2</v>
      </c>
      <c r="E172">
        <v>8.0241649748793265</v>
      </c>
      <c r="F172">
        <v>901.49325611604809</v>
      </c>
      <c r="G172">
        <v>0.42399999999999999</v>
      </c>
      <c r="H172">
        <v>3.15E-2</v>
      </c>
      <c r="I172">
        <v>88.000680000000003</v>
      </c>
    </row>
    <row r="173" spans="1:9" x14ac:dyDescent="0.3">
      <c r="A173" t="s">
        <v>9</v>
      </c>
      <c r="B173" t="s">
        <v>271</v>
      </c>
      <c r="C173">
        <v>0</v>
      </c>
      <c r="D173">
        <v>3.2599999999999997E-2</v>
      </c>
      <c r="E173">
        <v>8.3407995163498416</v>
      </c>
      <c r="F173">
        <v>931.5418741016</v>
      </c>
      <c r="G173">
        <v>0.42399999999999999</v>
      </c>
      <c r="H173">
        <v>3.6400000000000002E-2</v>
      </c>
      <c r="I173">
        <v>88.200360000000003</v>
      </c>
    </row>
    <row r="174" spans="1:9" x14ac:dyDescent="0.3">
      <c r="A174" t="s">
        <v>9</v>
      </c>
      <c r="B174" t="s">
        <v>272</v>
      </c>
      <c r="C174">
        <v>0</v>
      </c>
      <c r="D174">
        <v>3.7900000000000003E-2</v>
      </c>
      <c r="E174">
        <v>8.6497828247685575</v>
      </c>
      <c r="F174">
        <v>960.86439007053616</v>
      </c>
      <c r="G174">
        <v>0.42399999999999999</v>
      </c>
      <c r="H174">
        <v>4.1200000000000001E-2</v>
      </c>
      <c r="I174">
        <v>88.400130000000004</v>
      </c>
    </row>
    <row r="175" spans="1:9" x14ac:dyDescent="0.3">
      <c r="A175" t="s">
        <v>9</v>
      </c>
      <c r="B175" t="s">
        <v>273</v>
      </c>
      <c r="C175">
        <v>0</v>
      </c>
      <c r="D175">
        <v>4.3499999999999997E-2</v>
      </c>
      <c r="E175">
        <v>8.9440025377103769</v>
      </c>
      <c r="F175">
        <v>988.78584082871487</v>
      </c>
      <c r="G175">
        <v>0.42399999999999999</v>
      </c>
      <c r="H175">
        <v>4.58E-2</v>
      </c>
      <c r="I175">
        <v>88.600359999999995</v>
      </c>
    </row>
    <row r="176" spans="1:9" x14ac:dyDescent="0.3">
      <c r="A176" t="s">
        <v>9</v>
      </c>
      <c r="B176" t="s">
        <v>274</v>
      </c>
      <c r="C176">
        <v>0</v>
      </c>
      <c r="D176">
        <v>4.7199999999999999E-2</v>
      </c>
      <c r="E176">
        <v>9.2180460261340418</v>
      </c>
      <c r="F176">
        <v>1014.7925678801211</v>
      </c>
      <c r="G176">
        <v>0.42399999999999999</v>
      </c>
      <c r="H176">
        <v>5.0099999999999999E-2</v>
      </c>
      <c r="I176">
        <v>88.802570000000003</v>
      </c>
    </row>
    <row r="177" spans="1:9" x14ac:dyDescent="0.3">
      <c r="A177" t="s">
        <v>9</v>
      </c>
      <c r="B177" t="s">
        <v>275</v>
      </c>
      <c r="C177">
        <v>0</v>
      </c>
      <c r="D177">
        <v>5.2699999999999997E-2</v>
      </c>
      <c r="E177">
        <v>9.4573970317201308</v>
      </c>
      <c r="F177">
        <v>1037.5069783102399</v>
      </c>
      <c r="G177">
        <v>0.42399999999999999</v>
      </c>
      <c r="H177">
        <v>5.3800000000000001E-2</v>
      </c>
      <c r="I177">
        <v>89.00067</v>
      </c>
    </row>
    <row r="178" spans="1:9" x14ac:dyDescent="0.3">
      <c r="A178" t="s">
        <v>9</v>
      </c>
      <c r="B178" t="s">
        <v>276</v>
      </c>
      <c r="C178">
        <v>0</v>
      </c>
      <c r="D178">
        <v>5.6500000000000002E-2</v>
      </c>
      <c r="E178">
        <v>9.6654955683113304</v>
      </c>
      <c r="F178">
        <v>1057.2555294327451</v>
      </c>
      <c r="G178">
        <v>0.42399999999999999</v>
      </c>
      <c r="H178">
        <v>5.7000000000000002E-2</v>
      </c>
      <c r="I178">
        <v>89.202399999999997</v>
      </c>
    </row>
    <row r="179" spans="1:9" x14ac:dyDescent="0.3">
      <c r="A179" t="s">
        <v>9</v>
      </c>
      <c r="B179" t="s">
        <v>277</v>
      </c>
      <c r="C179">
        <v>0</v>
      </c>
      <c r="D179">
        <v>5.91E-2</v>
      </c>
      <c r="E179">
        <v>9.8308084258956985</v>
      </c>
      <c r="F179">
        <v>1072.943719617502</v>
      </c>
      <c r="G179">
        <v>0.42399999999999999</v>
      </c>
      <c r="H179">
        <v>5.96E-2</v>
      </c>
      <c r="I179">
        <v>89.401849999999996</v>
      </c>
    </row>
    <row r="180" spans="1:9" x14ac:dyDescent="0.3">
      <c r="A180" t="s">
        <v>9</v>
      </c>
      <c r="B180" t="s">
        <v>278</v>
      </c>
      <c r="C180">
        <v>0</v>
      </c>
      <c r="D180">
        <v>6.2600000000000003E-2</v>
      </c>
      <c r="E180">
        <v>9.9522010973148376</v>
      </c>
      <c r="F180">
        <v>1084.463884135178</v>
      </c>
      <c r="G180">
        <v>0.42399999999999999</v>
      </c>
      <c r="H180">
        <v>6.1499999999999999E-2</v>
      </c>
      <c r="I180">
        <v>89.602010000000007</v>
      </c>
    </row>
    <row r="181" spans="1:9" x14ac:dyDescent="0.3">
      <c r="A181" t="s">
        <v>9</v>
      </c>
      <c r="B181" t="s">
        <v>279</v>
      </c>
      <c r="C181">
        <v>0</v>
      </c>
      <c r="D181">
        <v>6.4500000000000002E-2</v>
      </c>
      <c r="E181">
        <v>10.02585445357485</v>
      </c>
      <c r="F181">
        <v>1091.453587644253</v>
      </c>
      <c r="G181">
        <v>0.42399999999999999</v>
      </c>
      <c r="H181">
        <v>6.2600000000000003E-2</v>
      </c>
      <c r="I181">
        <v>89.801509999999993</v>
      </c>
    </row>
    <row r="182" spans="1:9" x14ac:dyDescent="0.3">
      <c r="A182" t="s">
        <v>9</v>
      </c>
      <c r="B182" t="s">
        <v>280</v>
      </c>
      <c r="C182">
        <v>0</v>
      </c>
      <c r="D182">
        <v>6.5699999999999995E-2</v>
      </c>
      <c r="E182">
        <v>10.05044098344035</v>
      </c>
      <c r="F182">
        <v>1093.7868493284891</v>
      </c>
      <c r="G182">
        <v>0.42399999999999999</v>
      </c>
      <c r="H182">
        <v>6.3E-2</v>
      </c>
      <c r="I182">
        <v>90.00018</v>
      </c>
    </row>
    <row r="183" spans="1:9" x14ac:dyDescent="0.3">
      <c r="A183" t="s">
        <v>9</v>
      </c>
      <c r="B183" t="s">
        <v>281</v>
      </c>
      <c r="C183">
        <v>0</v>
      </c>
      <c r="D183">
        <v>6.59E-2</v>
      </c>
      <c r="E183">
        <v>10.024817259396441</v>
      </c>
      <c r="F183">
        <v>982.3129685757483</v>
      </c>
      <c r="G183">
        <v>0.42399999999999999</v>
      </c>
      <c r="H183">
        <v>6.2600000000000003E-2</v>
      </c>
      <c r="I183">
        <v>90.202640000000002</v>
      </c>
    </row>
    <row r="184" spans="1:9" x14ac:dyDescent="0.3">
      <c r="A184" t="s">
        <v>9</v>
      </c>
      <c r="B184" t="s">
        <v>282</v>
      </c>
      <c r="C184">
        <v>0</v>
      </c>
      <c r="D184">
        <v>6.4399999999999999E-2</v>
      </c>
      <c r="E184">
        <v>9.9502292930577685</v>
      </c>
      <c r="F184">
        <v>975.3613701129841</v>
      </c>
      <c r="G184">
        <v>0.42399999999999999</v>
      </c>
      <c r="H184">
        <v>6.1400000000000003E-2</v>
      </c>
      <c r="I184">
        <v>90.402000000000001</v>
      </c>
    </row>
    <row r="185" spans="1:9" x14ac:dyDescent="0.3">
      <c r="A185" t="s">
        <v>9</v>
      </c>
      <c r="B185" t="s">
        <v>283</v>
      </c>
      <c r="C185">
        <v>0</v>
      </c>
      <c r="D185">
        <v>6.1699999999999998E-2</v>
      </c>
      <c r="E185">
        <v>9.8288889273653748</v>
      </c>
      <c r="F185">
        <v>964.05244803045298</v>
      </c>
      <c r="G185">
        <v>0.42399999999999999</v>
      </c>
      <c r="H185">
        <v>5.96E-2</v>
      </c>
      <c r="I185">
        <v>90.600800000000007</v>
      </c>
    </row>
    <row r="186" spans="1:9" x14ac:dyDescent="0.3">
      <c r="A186" t="s">
        <v>9</v>
      </c>
      <c r="B186" t="s">
        <v>284</v>
      </c>
      <c r="C186">
        <v>0</v>
      </c>
      <c r="D186">
        <v>6.0900000000000003E-2</v>
      </c>
      <c r="E186">
        <v>9.662274914144378</v>
      </c>
      <c r="F186">
        <v>948.5240219982561</v>
      </c>
      <c r="G186">
        <v>0.42399999999999999</v>
      </c>
      <c r="H186">
        <v>5.7000000000000002E-2</v>
      </c>
      <c r="I186">
        <v>90.80104</v>
      </c>
    </row>
    <row r="187" spans="1:9" x14ac:dyDescent="0.3">
      <c r="A187" t="s">
        <v>9</v>
      </c>
      <c r="B187" t="s">
        <v>285</v>
      </c>
      <c r="C187">
        <v>0</v>
      </c>
      <c r="D187">
        <v>5.8299999999999998E-2</v>
      </c>
      <c r="E187">
        <v>9.4558598921070232</v>
      </c>
      <c r="F187">
        <v>929.28614194437455</v>
      </c>
      <c r="G187">
        <v>0.42399999999999999</v>
      </c>
      <c r="H187">
        <v>5.3800000000000001E-2</v>
      </c>
      <c r="I187">
        <v>91.000690000000006</v>
      </c>
    </row>
    <row r="188" spans="1:9" x14ac:dyDescent="0.3">
      <c r="A188" t="s">
        <v>9</v>
      </c>
      <c r="B188" t="s">
        <v>286</v>
      </c>
      <c r="C188">
        <v>0</v>
      </c>
      <c r="D188">
        <v>5.5100000000000003E-2</v>
      </c>
      <c r="E188">
        <v>9.2141247185111492</v>
      </c>
      <c r="F188">
        <v>906.75642376523911</v>
      </c>
      <c r="G188">
        <v>0.42399999999999999</v>
      </c>
      <c r="H188">
        <v>0.05</v>
      </c>
      <c r="I188">
        <v>91.200469999999996</v>
      </c>
    </row>
    <row r="189" spans="1:9" x14ac:dyDescent="0.3">
      <c r="A189" t="s">
        <v>9</v>
      </c>
      <c r="B189" t="s">
        <v>287</v>
      </c>
      <c r="C189">
        <v>0</v>
      </c>
      <c r="D189">
        <v>5.0299999999999997E-2</v>
      </c>
      <c r="E189">
        <v>8.9428651922567308</v>
      </c>
      <c r="F189">
        <v>881.47503591832731</v>
      </c>
      <c r="G189">
        <v>0.42399999999999999</v>
      </c>
      <c r="H189">
        <v>4.58E-2</v>
      </c>
      <c r="I189">
        <v>91.400440000000003</v>
      </c>
    </row>
    <row r="190" spans="1:9" x14ac:dyDescent="0.3">
      <c r="A190" t="s">
        <v>9</v>
      </c>
      <c r="B190" t="s">
        <v>288</v>
      </c>
      <c r="C190">
        <v>0</v>
      </c>
      <c r="D190">
        <v>4.58E-2</v>
      </c>
      <c r="E190">
        <v>8.6471411828325504</v>
      </c>
      <c r="F190">
        <v>853.91355823999368</v>
      </c>
      <c r="G190">
        <v>0.42399999999999999</v>
      </c>
      <c r="H190">
        <v>4.1200000000000001E-2</v>
      </c>
      <c r="I190">
        <v>91.601609999999994</v>
      </c>
    </row>
    <row r="191" spans="1:9" x14ac:dyDescent="0.3">
      <c r="A191" t="s">
        <v>9</v>
      </c>
      <c r="B191" t="s">
        <v>289</v>
      </c>
      <c r="C191">
        <v>0</v>
      </c>
      <c r="D191">
        <v>4.1799999999999997E-2</v>
      </c>
      <c r="E191">
        <v>8.3376133271966335</v>
      </c>
      <c r="F191">
        <v>825.06556209472626</v>
      </c>
      <c r="G191">
        <v>0.42399999999999999</v>
      </c>
      <c r="H191">
        <v>3.6400000000000002E-2</v>
      </c>
      <c r="I191">
        <v>91.801670000000001</v>
      </c>
    </row>
    <row r="192" spans="1:9" x14ac:dyDescent="0.3">
      <c r="A192" t="s">
        <v>9</v>
      </c>
      <c r="B192" t="s">
        <v>290</v>
      </c>
      <c r="C192">
        <v>0</v>
      </c>
      <c r="D192">
        <v>3.6900000000000002E-2</v>
      </c>
      <c r="E192">
        <v>8.0234606721866388</v>
      </c>
      <c r="F192">
        <v>795.78653464779472</v>
      </c>
      <c r="G192">
        <v>0.42399999999999999</v>
      </c>
      <c r="H192">
        <v>3.15E-2</v>
      </c>
      <c r="I192">
        <v>91.999759999999995</v>
      </c>
    </row>
    <row r="193" spans="1:9" x14ac:dyDescent="0.3">
      <c r="A193" t="s">
        <v>9</v>
      </c>
      <c r="B193" t="s">
        <v>291</v>
      </c>
      <c r="C193">
        <v>0</v>
      </c>
      <c r="D193">
        <v>3.1699999999999999E-2</v>
      </c>
      <c r="E193">
        <v>7.7035239769284267</v>
      </c>
      <c r="F193">
        <v>765.96843464972937</v>
      </c>
      <c r="G193">
        <v>0.42399999999999999</v>
      </c>
      <c r="H193">
        <v>2.6499999999999999E-2</v>
      </c>
      <c r="I193">
        <v>92.201530000000005</v>
      </c>
    </row>
    <row r="194" spans="1:9" x14ac:dyDescent="0.3">
      <c r="A194" t="s">
        <v>9</v>
      </c>
      <c r="B194" t="s">
        <v>292</v>
      </c>
      <c r="C194">
        <v>0</v>
      </c>
      <c r="D194">
        <v>2.63E-2</v>
      </c>
      <c r="E194">
        <v>7.3966389796407679</v>
      </c>
      <c r="F194">
        <v>737.36675290251958</v>
      </c>
      <c r="G194">
        <v>0.42399999999999999</v>
      </c>
      <c r="H194">
        <v>2.18E-2</v>
      </c>
      <c r="I194">
        <v>92.399969999999996</v>
      </c>
    </row>
    <row r="195" spans="1:9" x14ac:dyDescent="0.3">
      <c r="A195" t="s">
        <v>9</v>
      </c>
      <c r="B195" t="s">
        <v>293</v>
      </c>
      <c r="C195">
        <v>0</v>
      </c>
      <c r="D195">
        <v>2.12E-2</v>
      </c>
      <c r="E195">
        <v>7.1024310253506986</v>
      </c>
      <c r="F195">
        <v>709.94657156268511</v>
      </c>
      <c r="G195">
        <v>0.42399999999999999</v>
      </c>
      <c r="H195">
        <v>1.72E-2</v>
      </c>
      <c r="I195">
        <v>92.600179999999995</v>
      </c>
    </row>
    <row r="196" spans="1:9" x14ac:dyDescent="0.3">
      <c r="A196" t="s">
        <v>9</v>
      </c>
      <c r="B196" t="s">
        <v>294</v>
      </c>
      <c r="C196">
        <v>0</v>
      </c>
      <c r="D196">
        <v>1.61E-2</v>
      </c>
      <c r="E196">
        <v>6.8302016130623668</v>
      </c>
      <c r="F196">
        <v>684.57479033741265</v>
      </c>
      <c r="G196">
        <v>0.42399999999999999</v>
      </c>
      <c r="H196">
        <v>1.2999999999999999E-2</v>
      </c>
      <c r="I196">
        <v>92.800960000000003</v>
      </c>
    </row>
    <row r="197" spans="1:9" x14ac:dyDescent="0.3">
      <c r="A197" t="s">
        <v>9</v>
      </c>
      <c r="B197" t="s">
        <v>295</v>
      </c>
      <c r="C197">
        <v>0</v>
      </c>
      <c r="D197">
        <v>1.17E-2</v>
      </c>
      <c r="E197">
        <v>6.5889505715419521</v>
      </c>
      <c r="F197">
        <v>662.09019326770999</v>
      </c>
      <c r="G197">
        <v>0.42399999999999999</v>
      </c>
      <c r="H197">
        <v>9.1999999999999998E-3</v>
      </c>
      <c r="I197">
        <v>93.000510000000006</v>
      </c>
    </row>
    <row r="198" spans="1:9" x14ac:dyDescent="0.3">
      <c r="A198" t="s">
        <v>9</v>
      </c>
      <c r="B198" t="s">
        <v>296</v>
      </c>
      <c r="C198">
        <v>0</v>
      </c>
      <c r="D198">
        <v>7.3000000000000001E-3</v>
      </c>
      <c r="E198">
        <v>6.3806952799588146</v>
      </c>
      <c r="F198">
        <v>642.68080009216158</v>
      </c>
      <c r="G198">
        <v>0.42399999999999999</v>
      </c>
      <c r="H198">
        <v>6.0000000000000001E-3</v>
      </c>
      <c r="I198">
        <v>93.202380000000005</v>
      </c>
    </row>
    <row r="199" spans="1:9" x14ac:dyDescent="0.3">
      <c r="A199" t="s">
        <v>9</v>
      </c>
      <c r="B199" t="s">
        <v>297</v>
      </c>
      <c r="C199">
        <v>0</v>
      </c>
      <c r="D199">
        <v>3.5999999999999999E-3</v>
      </c>
      <c r="E199">
        <v>6.2150638034591257</v>
      </c>
      <c r="F199">
        <v>627.24394648239058</v>
      </c>
      <c r="G199">
        <v>0.42399999999999999</v>
      </c>
      <c r="H199">
        <v>3.3999999999999998E-3</v>
      </c>
      <c r="I199">
        <v>93.402270000000001</v>
      </c>
    </row>
    <row r="200" spans="1:9" x14ac:dyDescent="0.3">
      <c r="A200" t="s">
        <v>9</v>
      </c>
      <c r="B200" t="s">
        <v>298</v>
      </c>
      <c r="C200">
        <v>0</v>
      </c>
      <c r="D200">
        <v>8.0000000000000004E-4</v>
      </c>
      <c r="E200">
        <v>6.0944869391889123</v>
      </c>
      <c r="F200">
        <v>616.00618273240661</v>
      </c>
      <c r="G200">
        <v>0.42399999999999999</v>
      </c>
      <c r="H200">
        <v>1.5E-3</v>
      </c>
      <c r="I200">
        <v>93.600960000000001</v>
      </c>
    </row>
    <row r="201" spans="1:9" x14ac:dyDescent="0.3">
      <c r="A201" t="s">
        <v>9</v>
      </c>
      <c r="B201" t="s">
        <v>299</v>
      </c>
      <c r="C201">
        <v>0</v>
      </c>
      <c r="D201">
        <v>-1.6000000000000001E-3</v>
      </c>
      <c r="E201">
        <v>6.0206132906704513</v>
      </c>
      <c r="F201">
        <v>609.12115869048603</v>
      </c>
      <c r="G201">
        <v>0.42399999999999999</v>
      </c>
      <c r="H201">
        <v>4.0000000000000002E-4</v>
      </c>
      <c r="I201">
        <v>93.800319999999999</v>
      </c>
    </row>
    <row r="202" spans="1:9" x14ac:dyDescent="0.3">
      <c r="A202" t="s">
        <v>9</v>
      </c>
      <c r="B202" t="s">
        <v>300</v>
      </c>
      <c r="C202">
        <v>0</v>
      </c>
      <c r="D202">
        <v>-3.0999999999999999E-3</v>
      </c>
      <c r="E202">
        <v>5.995734813048017</v>
      </c>
      <c r="F202">
        <v>606.80248457607524</v>
      </c>
      <c r="G202">
        <v>0.42399999999999999</v>
      </c>
      <c r="H202">
        <v>0</v>
      </c>
      <c r="I202">
        <v>94.001490000000004</v>
      </c>
    </row>
    <row r="203" spans="1:9" x14ac:dyDescent="0.3">
      <c r="A203" t="s">
        <v>9</v>
      </c>
      <c r="B203" t="s">
        <v>301</v>
      </c>
      <c r="C203">
        <v>0</v>
      </c>
      <c r="D203">
        <v>-3.0999999999999999E-3</v>
      </c>
      <c r="E203">
        <v>6.0206855536675086</v>
      </c>
      <c r="F203">
        <v>711.36305904304663</v>
      </c>
      <c r="G203">
        <v>0.42399999999999999</v>
      </c>
      <c r="H203">
        <v>4.0000000000000002E-4</v>
      </c>
      <c r="I203">
        <v>94.199969999999993</v>
      </c>
    </row>
    <row r="204" spans="1:9" x14ac:dyDescent="0.3">
      <c r="A204" t="s">
        <v>9</v>
      </c>
      <c r="B204" t="s">
        <v>302</v>
      </c>
      <c r="C204">
        <v>0</v>
      </c>
      <c r="D204">
        <v>-1.6999999999999999E-3</v>
      </c>
      <c r="E204">
        <v>6.0954232116976534</v>
      </c>
      <c r="F204">
        <v>718.45566279010723</v>
      </c>
      <c r="G204">
        <v>0.42399999999999999</v>
      </c>
      <c r="H204">
        <v>1.5E-3</v>
      </c>
      <c r="I204">
        <v>94.400940000000006</v>
      </c>
    </row>
    <row r="205" spans="1:9" x14ac:dyDescent="0.3">
      <c r="A205" t="s">
        <v>9</v>
      </c>
      <c r="B205" t="s">
        <v>303</v>
      </c>
      <c r="C205">
        <v>0</v>
      </c>
      <c r="D205">
        <v>2.3E-3</v>
      </c>
      <c r="E205">
        <v>6.2169913303103002</v>
      </c>
      <c r="F205">
        <v>729.99247724644749</v>
      </c>
      <c r="G205">
        <v>0.42399999999999999</v>
      </c>
      <c r="H205">
        <v>3.3999999999999998E-3</v>
      </c>
      <c r="I205">
        <v>94.600399999999993</v>
      </c>
    </row>
    <row r="206" spans="1:9" x14ac:dyDescent="0.3">
      <c r="A206" t="s">
        <v>9</v>
      </c>
      <c r="B206" t="s">
        <v>304</v>
      </c>
      <c r="C206">
        <v>0</v>
      </c>
      <c r="D206">
        <v>4.1999999999999997E-3</v>
      </c>
      <c r="E206">
        <v>6.3826461213781114</v>
      </c>
      <c r="F206">
        <v>745.71311691878282</v>
      </c>
      <c r="G206">
        <v>0.42399999999999999</v>
      </c>
      <c r="H206">
        <v>6.0000000000000001E-3</v>
      </c>
      <c r="I206">
        <v>94.799700000000001</v>
      </c>
    </row>
    <row r="207" spans="1:9" x14ac:dyDescent="0.3">
      <c r="A207" t="s">
        <v>9</v>
      </c>
      <c r="B207" t="s">
        <v>305</v>
      </c>
      <c r="C207">
        <v>0</v>
      </c>
      <c r="D207">
        <v>7.0000000000000001E-3</v>
      </c>
      <c r="E207">
        <v>6.5905242035225573</v>
      </c>
      <c r="F207">
        <v>765.44074691429068</v>
      </c>
      <c r="G207">
        <v>0.42399999999999999</v>
      </c>
      <c r="H207">
        <v>9.1999999999999998E-3</v>
      </c>
      <c r="I207">
        <v>95.000879999999995</v>
      </c>
    </row>
    <row r="208" spans="1:9" x14ac:dyDescent="0.3">
      <c r="A208" t="s">
        <v>9</v>
      </c>
      <c r="B208" t="s">
        <v>306</v>
      </c>
      <c r="C208">
        <v>0</v>
      </c>
      <c r="D208">
        <v>1.04E-2</v>
      </c>
      <c r="E208">
        <v>6.8331035672198519</v>
      </c>
      <c r="F208">
        <v>788.46152852916396</v>
      </c>
      <c r="G208">
        <v>0.42399999999999999</v>
      </c>
      <c r="H208">
        <v>1.2999999999999999E-2</v>
      </c>
      <c r="I208">
        <v>95.20129</v>
      </c>
    </row>
    <row r="209" spans="1:9" x14ac:dyDescent="0.3">
      <c r="A209" t="s">
        <v>9</v>
      </c>
      <c r="B209" t="s">
        <v>307</v>
      </c>
      <c r="C209">
        <v>0</v>
      </c>
      <c r="D209">
        <v>1.43E-2</v>
      </c>
      <c r="E209">
        <v>7.1050349585069617</v>
      </c>
      <c r="F209">
        <v>814.26781756231071</v>
      </c>
      <c r="G209">
        <v>0.42399999999999999</v>
      </c>
      <c r="H209">
        <v>1.72E-2</v>
      </c>
      <c r="I209">
        <v>95.401650000000004</v>
      </c>
    </row>
    <row r="210" spans="1:9" x14ac:dyDescent="0.3">
      <c r="A210" t="s">
        <v>9</v>
      </c>
      <c r="B210" t="s">
        <v>308</v>
      </c>
      <c r="C210">
        <v>1</v>
      </c>
      <c r="D210">
        <v>1.8499999999999999E-2</v>
      </c>
      <c r="E210">
        <v>7.3963871823050393</v>
      </c>
      <c r="F210">
        <v>841.91714360074832</v>
      </c>
      <c r="G210">
        <v>0.42399999999999999</v>
      </c>
      <c r="H210">
        <v>2.18E-2</v>
      </c>
      <c r="I210">
        <v>95.599850000000004</v>
      </c>
    </row>
    <row r="211" spans="1:9" x14ac:dyDescent="0.3">
      <c r="A211" t="s">
        <v>9</v>
      </c>
      <c r="B211" t="s">
        <v>309</v>
      </c>
      <c r="C211">
        <v>1</v>
      </c>
      <c r="D211">
        <v>2.3E-2</v>
      </c>
      <c r="E211">
        <v>7.7089763421031767</v>
      </c>
      <c r="F211">
        <v>871.58185486559148</v>
      </c>
      <c r="G211">
        <v>0.42399999999999999</v>
      </c>
      <c r="H211">
        <v>2.6599999999999999E-2</v>
      </c>
      <c r="I211">
        <v>95.801929999999999</v>
      </c>
    </row>
    <row r="212" spans="1:9" x14ac:dyDescent="0.3">
      <c r="A212" t="s">
        <v>9</v>
      </c>
      <c r="B212" t="s">
        <v>310</v>
      </c>
      <c r="C212">
        <v>1</v>
      </c>
      <c r="D212">
        <v>2.8000000000000001E-2</v>
      </c>
      <c r="E212">
        <v>8.0269237978620733</v>
      </c>
      <c r="F212">
        <v>901.75506841711081</v>
      </c>
      <c r="G212">
        <v>0.42399999999999999</v>
      </c>
      <c r="H212">
        <v>3.1600000000000003E-2</v>
      </c>
      <c r="I212">
        <v>96.002409999999998</v>
      </c>
    </row>
    <row r="213" spans="1:9" x14ac:dyDescent="0.3">
      <c r="A213" t="s">
        <v>9</v>
      </c>
      <c r="B213" t="s">
        <v>311</v>
      </c>
      <c r="C213">
        <v>1</v>
      </c>
      <c r="D213">
        <v>3.32E-2</v>
      </c>
      <c r="E213">
        <v>8.342363011561698</v>
      </c>
      <c r="F213">
        <v>931.69024979720518</v>
      </c>
      <c r="G213">
        <v>0.42399999999999999</v>
      </c>
      <c r="H213">
        <v>3.6499999999999998E-2</v>
      </c>
      <c r="I213">
        <v>96.201350000000005</v>
      </c>
    </row>
    <row r="214" spans="1:9" x14ac:dyDescent="0.3">
      <c r="A214" t="s">
        <v>9</v>
      </c>
      <c r="B214" t="s">
        <v>312</v>
      </c>
      <c r="C214">
        <v>1</v>
      </c>
      <c r="D214">
        <v>3.7999999999999999E-2</v>
      </c>
      <c r="E214">
        <v>8.6518912726683652</v>
      </c>
      <c r="F214">
        <v>961.06448177622792</v>
      </c>
      <c r="G214">
        <v>0.42399999999999999</v>
      </c>
      <c r="H214">
        <v>4.1300000000000003E-2</v>
      </c>
      <c r="I214">
        <v>96.401529999999994</v>
      </c>
    </row>
    <row r="215" spans="1:9" x14ac:dyDescent="0.3">
      <c r="A215" t="s">
        <v>9</v>
      </c>
      <c r="B215" t="s">
        <v>313</v>
      </c>
      <c r="C215">
        <v>1</v>
      </c>
      <c r="D215">
        <v>4.2999999999999997E-2</v>
      </c>
      <c r="E215">
        <v>8.9436765392274058</v>
      </c>
      <c r="F215">
        <v>988.75490357268086</v>
      </c>
      <c r="G215">
        <v>0.42399999999999999</v>
      </c>
      <c r="H215">
        <v>4.58E-2</v>
      </c>
      <c r="I215">
        <v>96.600139999999996</v>
      </c>
    </row>
    <row r="216" spans="1:9" x14ac:dyDescent="0.3">
      <c r="A216" t="s">
        <v>9</v>
      </c>
      <c r="B216" t="s">
        <v>314</v>
      </c>
      <c r="C216">
        <v>1</v>
      </c>
      <c r="D216">
        <v>4.8000000000000001E-2</v>
      </c>
      <c r="E216">
        <v>9.2163126386779499</v>
      </c>
      <c r="F216">
        <v>1014.628069410537</v>
      </c>
      <c r="G216">
        <v>0.42399999999999999</v>
      </c>
      <c r="H216">
        <v>0.05</v>
      </c>
      <c r="I216">
        <v>96.801220000000001</v>
      </c>
    </row>
    <row r="217" spans="1:9" x14ac:dyDescent="0.3">
      <c r="A217" t="s">
        <v>9</v>
      </c>
      <c r="B217" t="s">
        <v>315</v>
      </c>
      <c r="C217">
        <v>1</v>
      </c>
      <c r="D217">
        <v>5.2699999999999997E-2</v>
      </c>
      <c r="E217">
        <v>9.457750602214098</v>
      </c>
      <c r="F217">
        <v>1037.540532150118</v>
      </c>
      <c r="G217">
        <v>0.42399999999999999</v>
      </c>
      <c r="H217">
        <v>5.3800000000000001E-2</v>
      </c>
      <c r="I217">
        <v>97.000979999999998</v>
      </c>
    </row>
    <row r="218" spans="1:9" x14ac:dyDescent="0.3">
      <c r="A218" t="s">
        <v>9</v>
      </c>
      <c r="B218" t="s">
        <v>316</v>
      </c>
      <c r="C218">
        <v>1</v>
      </c>
      <c r="D218">
        <v>5.62E-2</v>
      </c>
      <c r="E218">
        <v>9.6634106377150228</v>
      </c>
      <c r="F218">
        <v>1057.057669519156</v>
      </c>
      <c r="G218">
        <v>0.42399999999999999</v>
      </c>
      <c r="H218">
        <v>5.7000000000000002E-2</v>
      </c>
      <c r="I218">
        <v>97.20017</v>
      </c>
    </row>
    <row r="219" spans="1:9" x14ac:dyDescent="0.3">
      <c r="A219" t="s">
        <v>9</v>
      </c>
      <c r="B219" t="s">
        <v>317</v>
      </c>
      <c r="C219">
        <v>1</v>
      </c>
      <c r="D219">
        <v>5.9299999999999999E-2</v>
      </c>
      <c r="E219">
        <v>9.8312236279436629</v>
      </c>
      <c r="F219">
        <v>1072.983122291854</v>
      </c>
      <c r="G219">
        <v>0.42399999999999999</v>
      </c>
      <c r="H219">
        <v>5.96E-2</v>
      </c>
      <c r="I219">
        <v>97.402420000000006</v>
      </c>
    </row>
    <row r="220" spans="1:9" x14ac:dyDescent="0.3">
      <c r="A220" t="s">
        <v>9</v>
      </c>
      <c r="B220" t="s">
        <v>318</v>
      </c>
      <c r="C220">
        <v>1</v>
      </c>
      <c r="D220">
        <v>6.2199999999999998E-2</v>
      </c>
      <c r="E220">
        <v>9.9513686658651643</v>
      </c>
      <c r="F220">
        <v>1084.3848863906039</v>
      </c>
      <c r="G220">
        <v>0.42399999999999999</v>
      </c>
      <c r="H220">
        <v>6.1499999999999999E-2</v>
      </c>
      <c r="I220">
        <v>97.600309999999993</v>
      </c>
    </row>
    <row r="221" spans="1:9" x14ac:dyDescent="0.3">
      <c r="A221" t="s">
        <v>9</v>
      </c>
      <c r="B221" t="s">
        <v>319</v>
      </c>
      <c r="C221">
        <v>1</v>
      </c>
      <c r="D221">
        <v>6.4500000000000002E-2</v>
      </c>
      <c r="E221">
        <v>10.02594406261059</v>
      </c>
      <c r="F221">
        <v>1091.4620915417449</v>
      </c>
      <c r="G221">
        <v>0.42399999999999999</v>
      </c>
      <c r="H221">
        <v>6.2600000000000003E-2</v>
      </c>
      <c r="I221">
        <v>97.801860000000005</v>
      </c>
    </row>
    <row r="222" spans="1:9" x14ac:dyDescent="0.3">
      <c r="A222" t="s">
        <v>9</v>
      </c>
      <c r="B222" t="s">
        <v>320</v>
      </c>
      <c r="C222">
        <v>1</v>
      </c>
      <c r="D222">
        <v>6.6199999999999995E-2</v>
      </c>
      <c r="E222">
        <v>10.05044098344035</v>
      </c>
      <c r="F222">
        <v>1093.7868493284891</v>
      </c>
      <c r="G222">
        <v>0.42399999999999999</v>
      </c>
      <c r="H222">
        <v>6.3E-2</v>
      </c>
      <c r="I222">
        <v>98.000209999999996</v>
      </c>
    </row>
    <row r="223" spans="1:9" x14ac:dyDescent="0.3">
      <c r="A223" t="s">
        <v>9</v>
      </c>
      <c r="B223" t="s">
        <v>321</v>
      </c>
      <c r="C223">
        <v>1</v>
      </c>
      <c r="D223">
        <v>6.6500000000000004E-2</v>
      </c>
      <c r="E223">
        <v>10.02519231984015</v>
      </c>
      <c r="F223">
        <v>982.34792420910242</v>
      </c>
      <c r="G223">
        <v>0.42399999999999999</v>
      </c>
      <c r="H223">
        <v>6.2600000000000003E-2</v>
      </c>
      <c r="I223">
        <v>98.201149999999998</v>
      </c>
    </row>
    <row r="224" spans="1:9" x14ac:dyDescent="0.3">
      <c r="A224" t="s">
        <v>9</v>
      </c>
      <c r="B224" t="s">
        <v>322</v>
      </c>
      <c r="C224">
        <v>1</v>
      </c>
      <c r="D224">
        <v>6.4799999999999996E-2</v>
      </c>
      <c r="E224">
        <v>9.9509372449872036</v>
      </c>
      <c r="F224">
        <v>975.42735123280738</v>
      </c>
      <c r="G224">
        <v>0.42399999999999999</v>
      </c>
      <c r="H224">
        <v>6.1499999999999999E-2</v>
      </c>
      <c r="I224">
        <v>98.400570000000002</v>
      </c>
    </row>
    <row r="225" spans="1:9" x14ac:dyDescent="0.3">
      <c r="A225" t="s">
        <v>9</v>
      </c>
      <c r="B225" t="s">
        <v>323</v>
      </c>
      <c r="C225">
        <v>1</v>
      </c>
      <c r="D225">
        <v>6.2399999999999997E-2</v>
      </c>
      <c r="E225">
        <v>9.828028112963203</v>
      </c>
      <c r="F225">
        <v>963.97222012817053</v>
      </c>
      <c r="G225">
        <v>0.42399999999999999</v>
      </c>
      <c r="H225">
        <v>5.9499999999999997E-2</v>
      </c>
      <c r="I225">
        <v>98.601990000000001</v>
      </c>
    </row>
    <row r="226" spans="1:9" x14ac:dyDescent="0.3">
      <c r="A226" t="s">
        <v>9</v>
      </c>
      <c r="B226" t="s">
        <v>324</v>
      </c>
      <c r="C226">
        <v>1</v>
      </c>
      <c r="D226">
        <v>6.13E-2</v>
      </c>
      <c r="E226">
        <v>9.6625627983768521</v>
      </c>
      <c r="F226">
        <v>948.55085280872265</v>
      </c>
      <c r="G226">
        <v>0.42399999999999999</v>
      </c>
      <c r="H226">
        <v>5.7000000000000002E-2</v>
      </c>
      <c r="I226">
        <v>98.800730000000001</v>
      </c>
    </row>
    <row r="227" spans="1:9" x14ac:dyDescent="0.3">
      <c r="A227" t="s">
        <v>9</v>
      </c>
      <c r="B227" t="s">
        <v>325</v>
      </c>
      <c r="C227">
        <v>1</v>
      </c>
      <c r="D227">
        <v>5.8700000000000002E-2</v>
      </c>
      <c r="E227">
        <v>9.4552979096475713</v>
      </c>
      <c r="F227">
        <v>929.23376517915369</v>
      </c>
      <c r="G227">
        <v>0.42399999999999999</v>
      </c>
      <c r="H227">
        <v>5.3800000000000001E-2</v>
      </c>
      <c r="I227">
        <v>99.001189999999994</v>
      </c>
    </row>
    <row r="228" spans="1:9" x14ac:dyDescent="0.3">
      <c r="A228" t="s">
        <v>9</v>
      </c>
      <c r="B228" t="s">
        <v>326</v>
      </c>
      <c r="C228">
        <v>1</v>
      </c>
      <c r="D228">
        <v>5.45E-2</v>
      </c>
      <c r="E228">
        <v>9.2133567569107218</v>
      </c>
      <c r="F228">
        <v>906.68484974407932</v>
      </c>
      <c r="G228">
        <v>0.42399999999999999</v>
      </c>
      <c r="H228">
        <v>0.05</v>
      </c>
      <c r="I228">
        <v>99.201070000000001</v>
      </c>
    </row>
    <row r="229" spans="1:9" x14ac:dyDescent="0.3">
      <c r="A229" t="s">
        <v>9</v>
      </c>
      <c r="B229" t="s">
        <v>327</v>
      </c>
      <c r="C229">
        <v>1</v>
      </c>
      <c r="D229">
        <v>5.0500000000000003E-2</v>
      </c>
      <c r="E229">
        <v>8.9420197857430583</v>
      </c>
      <c r="F229">
        <v>881.3962440312531</v>
      </c>
      <c r="G229">
        <v>0.42399999999999999</v>
      </c>
      <c r="H229">
        <v>4.58E-2</v>
      </c>
      <c r="I229">
        <v>99.401030000000006</v>
      </c>
    </row>
    <row r="230" spans="1:9" x14ac:dyDescent="0.3">
      <c r="A230" t="s">
        <v>9</v>
      </c>
      <c r="B230" t="s">
        <v>328</v>
      </c>
      <c r="C230">
        <v>1</v>
      </c>
      <c r="D230">
        <v>4.6399999999999997E-2</v>
      </c>
      <c r="E230">
        <v>8.6469595319365649</v>
      </c>
      <c r="F230">
        <v>853.89662837648791</v>
      </c>
      <c r="G230">
        <v>0.42399999999999999</v>
      </c>
      <c r="H230">
        <v>4.1200000000000001E-2</v>
      </c>
      <c r="I230">
        <v>99.60172</v>
      </c>
    </row>
    <row r="231" spans="1:9" x14ac:dyDescent="0.3">
      <c r="A231" t="s">
        <v>9</v>
      </c>
      <c r="B231" t="s">
        <v>329</v>
      </c>
      <c r="C231">
        <v>1</v>
      </c>
      <c r="D231">
        <v>4.1599999999999998E-2</v>
      </c>
      <c r="E231">
        <v>8.339273729917732</v>
      </c>
      <c r="F231">
        <v>825.22031162833264</v>
      </c>
      <c r="G231">
        <v>0.42399999999999999</v>
      </c>
      <c r="H231">
        <v>3.6400000000000002E-2</v>
      </c>
      <c r="I231">
        <v>99.800610000000006</v>
      </c>
    </row>
    <row r="232" spans="1:9" x14ac:dyDescent="0.3">
      <c r="A232" t="s">
        <v>9</v>
      </c>
      <c r="B232" t="s">
        <v>330</v>
      </c>
      <c r="C232">
        <v>1</v>
      </c>
      <c r="D232">
        <v>3.6499999999999998E-2</v>
      </c>
      <c r="E232">
        <v>8.0206556255383976</v>
      </c>
      <c r="F232">
        <v>795.52510430017867</v>
      </c>
      <c r="G232">
        <v>0.42399999999999999</v>
      </c>
      <c r="H232">
        <v>3.15E-2</v>
      </c>
      <c r="I232">
        <v>100.00149999999999</v>
      </c>
    </row>
    <row r="233" spans="1:9" x14ac:dyDescent="0.3">
      <c r="A233" t="s">
        <v>9</v>
      </c>
      <c r="B233" t="s">
        <v>331</v>
      </c>
      <c r="C233">
        <v>1</v>
      </c>
      <c r="D233">
        <v>3.1600000000000003E-2</v>
      </c>
      <c r="E233">
        <v>7.7043130230078543</v>
      </c>
      <c r="F233">
        <v>766.04197374433204</v>
      </c>
      <c r="G233">
        <v>0.42399999999999999</v>
      </c>
      <c r="H233">
        <v>2.6499999999999999E-2</v>
      </c>
      <c r="I233">
        <v>100.20099999999999</v>
      </c>
    </row>
    <row r="234" spans="1:9" x14ac:dyDescent="0.3">
      <c r="A234" t="s">
        <v>9</v>
      </c>
      <c r="B234" t="s">
        <v>332</v>
      </c>
      <c r="C234">
        <v>1</v>
      </c>
      <c r="D234">
        <v>2.64E-2</v>
      </c>
      <c r="E234">
        <v>7.393648632859791</v>
      </c>
      <c r="F234">
        <v>737.08805258253255</v>
      </c>
      <c r="G234">
        <v>0.42399999999999999</v>
      </c>
      <c r="H234">
        <v>2.1700000000000001E-2</v>
      </c>
      <c r="I234">
        <v>100.4019</v>
      </c>
    </row>
    <row r="235" spans="1:9" x14ac:dyDescent="0.3">
      <c r="A235" t="s">
        <v>9</v>
      </c>
      <c r="B235" t="s">
        <v>333</v>
      </c>
      <c r="C235">
        <v>1</v>
      </c>
      <c r="D235">
        <v>2.0899999999999998E-2</v>
      </c>
      <c r="E235">
        <v>7.0982948182303263</v>
      </c>
      <c r="F235">
        <v>709.56107705906641</v>
      </c>
      <c r="G235">
        <v>0.42399999999999999</v>
      </c>
      <c r="H235">
        <v>1.7100000000000001E-2</v>
      </c>
      <c r="I235">
        <v>100.6031</v>
      </c>
    </row>
    <row r="236" spans="1:9" x14ac:dyDescent="0.3">
      <c r="A236" t="s">
        <v>9</v>
      </c>
      <c r="B236" t="s">
        <v>334</v>
      </c>
      <c r="C236">
        <v>1</v>
      </c>
      <c r="D236">
        <v>1.67E-2</v>
      </c>
      <c r="E236">
        <v>6.827259922771387</v>
      </c>
      <c r="F236">
        <v>684.30062480229333</v>
      </c>
      <c r="G236">
        <v>0.42399999999999999</v>
      </c>
      <c r="H236">
        <v>1.29E-2</v>
      </c>
      <c r="I236">
        <v>100.8032</v>
      </c>
    </row>
    <row r="237" spans="1:9" x14ac:dyDescent="0.3">
      <c r="A237" t="s">
        <v>9</v>
      </c>
      <c r="B237" t="s">
        <v>335</v>
      </c>
      <c r="C237">
        <v>1</v>
      </c>
      <c r="D237">
        <v>1.17E-2</v>
      </c>
      <c r="E237">
        <v>6.5891435756189338</v>
      </c>
      <c r="F237">
        <v>662.10818124768468</v>
      </c>
      <c r="G237">
        <v>0.42399999999999999</v>
      </c>
      <c r="H237">
        <v>9.1999999999999998E-3</v>
      </c>
      <c r="I237">
        <v>101.0003</v>
      </c>
    </row>
    <row r="238" spans="1:9" x14ac:dyDescent="0.3">
      <c r="A238" t="s">
        <v>9</v>
      </c>
      <c r="B238" t="s">
        <v>336</v>
      </c>
      <c r="C238">
        <v>1</v>
      </c>
      <c r="D238">
        <v>6.8999999999999999E-3</v>
      </c>
      <c r="E238">
        <v>6.3813272872167817</v>
      </c>
      <c r="F238">
        <v>642.73970316860402</v>
      </c>
      <c r="G238">
        <v>0.42399999999999999</v>
      </c>
      <c r="H238">
        <v>6.0000000000000001E-3</v>
      </c>
      <c r="I238">
        <v>101.2017</v>
      </c>
    </row>
    <row r="239" spans="1:9" x14ac:dyDescent="0.3">
      <c r="A239" t="s">
        <v>9</v>
      </c>
      <c r="B239" t="s">
        <v>337</v>
      </c>
      <c r="C239">
        <v>1</v>
      </c>
      <c r="D239">
        <v>3.7000000000000002E-3</v>
      </c>
      <c r="E239">
        <v>6.215761780808112</v>
      </c>
      <c r="F239">
        <v>627.3089979713161</v>
      </c>
      <c r="G239">
        <v>0.42399999999999999</v>
      </c>
      <c r="H239">
        <v>3.3999999999999998E-3</v>
      </c>
      <c r="I239">
        <v>101.40130000000001</v>
      </c>
    </row>
    <row r="240" spans="1:9" x14ac:dyDescent="0.3">
      <c r="A240" t="s">
        <v>9</v>
      </c>
      <c r="B240" t="s">
        <v>338</v>
      </c>
      <c r="C240">
        <v>1</v>
      </c>
      <c r="D240">
        <v>1.1000000000000001E-3</v>
      </c>
      <c r="E240">
        <v>6.0938093975657264</v>
      </c>
      <c r="F240">
        <v>615.94303585312571</v>
      </c>
      <c r="G240">
        <v>0.42399999999999999</v>
      </c>
      <c r="H240">
        <v>1.5E-3</v>
      </c>
      <c r="I240">
        <v>101.6023</v>
      </c>
    </row>
    <row r="241" spans="1:9" x14ac:dyDescent="0.3">
      <c r="A241" t="s">
        <v>9</v>
      </c>
      <c r="B241" t="s">
        <v>339</v>
      </c>
      <c r="C241">
        <v>1</v>
      </c>
      <c r="D241">
        <v>-1.6999999999999999E-3</v>
      </c>
      <c r="E241">
        <v>6.02007905862913</v>
      </c>
      <c r="F241">
        <v>609.07136826423493</v>
      </c>
      <c r="G241">
        <v>0.42399999999999999</v>
      </c>
      <c r="H241">
        <v>4.0000000000000002E-4</v>
      </c>
      <c r="I241">
        <v>101.80249999999999</v>
      </c>
    </row>
    <row r="242" spans="1:9" x14ac:dyDescent="0.3">
      <c r="A242" t="s">
        <v>9</v>
      </c>
      <c r="B242" t="s">
        <v>340</v>
      </c>
      <c r="C242">
        <v>1</v>
      </c>
      <c r="D242">
        <v>-3.0000000000000001E-3</v>
      </c>
      <c r="E242">
        <v>5.9957343296895793</v>
      </c>
      <c r="F242">
        <v>606.80243952706883</v>
      </c>
      <c r="G242">
        <v>0.42399999999999999</v>
      </c>
      <c r="H242">
        <v>0</v>
      </c>
      <c r="I242">
        <v>102.00109999999999</v>
      </c>
    </row>
    <row r="243" spans="1:9" x14ac:dyDescent="0.3">
      <c r="A243" t="s">
        <v>9</v>
      </c>
      <c r="B243" t="s">
        <v>341</v>
      </c>
      <c r="C243">
        <v>1</v>
      </c>
      <c r="D243">
        <v>-3.0999999999999999E-3</v>
      </c>
      <c r="E243">
        <v>6.0208948455045164</v>
      </c>
      <c r="F243">
        <v>711.3829208383786</v>
      </c>
      <c r="G243">
        <v>0.42399999999999999</v>
      </c>
      <c r="H243">
        <v>4.0000000000000002E-4</v>
      </c>
      <c r="I243">
        <v>102.2008</v>
      </c>
    </row>
    <row r="244" spans="1:9" x14ac:dyDescent="0.3">
      <c r="A244" t="s">
        <v>9</v>
      </c>
      <c r="B244" t="s">
        <v>342</v>
      </c>
      <c r="C244">
        <v>1</v>
      </c>
      <c r="D244">
        <v>-5.0000000000000001E-4</v>
      </c>
      <c r="E244">
        <v>6.095247642862919</v>
      </c>
      <c r="F244">
        <v>718.439001307691</v>
      </c>
      <c r="G244">
        <v>0.42399999999999999</v>
      </c>
      <c r="H244">
        <v>1.5E-3</v>
      </c>
      <c r="I244">
        <v>102.4006</v>
      </c>
    </row>
    <row r="245" spans="1:9" x14ac:dyDescent="0.3">
      <c r="A245" t="s">
        <v>9</v>
      </c>
      <c r="B245" t="s">
        <v>343</v>
      </c>
      <c r="C245">
        <v>1</v>
      </c>
      <c r="D245">
        <v>2.0999999999999999E-3</v>
      </c>
      <c r="E245">
        <v>6.217499831177828</v>
      </c>
      <c r="F245">
        <v>730.04073397877596</v>
      </c>
      <c r="G245">
        <v>0.42399999999999999</v>
      </c>
      <c r="H245">
        <v>3.3999999999999998E-3</v>
      </c>
      <c r="I245">
        <v>102.6011</v>
      </c>
    </row>
    <row r="246" spans="1:9" x14ac:dyDescent="0.3">
      <c r="A246" t="s">
        <v>9</v>
      </c>
      <c r="B246" t="s">
        <v>344</v>
      </c>
      <c r="C246">
        <v>1</v>
      </c>
      <c r="D246">
        <v>3.8E-3</v>
      </c>
      <c r="E246">
        <v>6.3844779571322938</v>
      </c>
      <c r="F246">
        <v>745.88695813185473</v>
      </c>
      <c r="G246">
        <v>0.42399999999999999</v>
      </c>
      <c r="H246">
        <v>6.0000000000000001E-3</v>
      </c>
      <c r="I246">
        <v>102.8017</v>
      </c>
    </row>
    <row r="247" spans="1:9" x14ac:dyDescent="0.3">
      <c r="A247" t="s">
        <v>9</v>
      </c>
      <c r="B247" t="s">
        <v>345</v>
      </c>
      <c r="C247">
        <v>1</v>
      </c>
      <c r="D247">
        <v>6.8999999999999999E-3</v>
      </c>
      <c r="E247">
        <v>6.5923350358918924</v>
      </c>
      <c r="F247">
        <v>765.61259490614054</v>
      </c>
      <c r="G247">
        <v>0.42399999999999999</v>
      </c>
      <c r="H247">
        <v>9.2999999999999992E-3</v>
      </c>
      <c r="I247">
        <v>103.0025</v>
      </c>
    </row>
    <row r="248" spans="1:9" x14ac:dyDescent="0.3">
      <c r="A248" t="s">
        <v>9</v>
      </c>
      <c r="B248" t="s">
        <v>346</v>
      </c>
      <c r="C248">
        <v>1</v>
      </c>
      <c r="D248">
        <v>1.03E-2</v>
      </c>
      <c r="E248">
        <v>6.8309922810247956</v>
      </c>
      <c r="F248">
        <v>788.26116746925311</v>
      </c>
      <c r="G248">
        <v>0.42399999999999999</v>
      </c>
      <c r="H248">
        <v>1.2999999999999999E-2</v>
      </c>
      <c r="I248">
        <v>103.1996</v>
      </c>
    </row>
    <row r="249" spans="1:9" x14ac:dyDescent="0.3">
      <c r="A249" t="s">
        <v>9</v>
      </c>
      <c r="B249" t="s">
        <v>347</v>
      </c>
      <c r="C249">
        <v>1</v>
      </c>
      <c r="D249">
        <v>1.43E-2</v>
      </c>
      <c r="E249">
        <v>7.1031645219373809</v>
      </c>
      <c r="F249">
        <v>814.09031313185744</v>
      </c>
      <c r="G249">
        <v>0.42399999999999999</v>
      </c>
      <c r="H249">
        <v>1.72E-2</v>
      </c>
      <c r="I249">
        <v>103.4003</v>
      </c>
    </row>
    <row r="250" spans="1:9" x14ac:dyDescent="0.3">
      <c r="A250" t="s">
        <v>9</v>
      </c>
      <c r="B250" t="s">
        <v>348</v>
      </c>
      <c r="C250">
        <v>1</v>
      </c>
      <c r="D250">
        <v>1.8700000000000001E-2</v>
      </c>
      <c r="E250">
        <v>7.3990993761515416</v>
      </c>
      <c r="F250">
        <v>842.17453079678137</v>
      </c>
      <c r="G250">
        <v>0.42399999999999999</v>
      </c>
      <c r="H250">
        <v>2.18E-2</v>
      </c>
      <c r="I250">
        <v>103.6016</v>
      </c>
    </row>
    <row r="251" spans="1:9" x14ac:dyDescent="0.3">
      <c r="A251" t="s">
        <v>9</v>
      </c>
      <c r="B251" t="s">
        <v>349</v>
      </c>
      <c r="C251">
        <v>1</v>
      </c>
      <c r="D251">
        <v>2.2800000000000001E-2</v>
      </c>
      <c r="E251">
        <v>7.7080340280802631</v>
      </c>
      <c r="F251">
        <v>871.49242926481702</v>
      </c>
      <c r="G251">
        <v>0.42399999999999999</v>
      </c>
      <c r="H251">
        <v>2.6599999999999999E-2</v>
      </c>
      <c r="I251">
        <v>103.8013</v>
      </c>
    </row>
    <row r="252" spans="1:9" x14ac:dyDescent="0.3">
      <c r="A252" t="s">
        <v>9</v>
      </c>
      <c r="B252" t="s">
        <v>350</v>
      </c>
      <c r="C252">
        <v>1</v>
      </c>
      <c r="D252">
        <v>2.8000000000000001E-2</v>
      </c>
      <c r="E252">
        <v>8.0235105450888859</v>
      </c>
      <c r="F252">
        <v>901.43115072893534</v>
      </c>
      <c r="G252">
        <v>0.42399999999999999</v>
      </c>
      <c r="H252">
        <v>3.15E-2</v>
      </c>
      <c r="I252">
        <v>104.0003</v>
      </c>
    </row>
    <row r="253" spans="1:9" x14ac:dyDescent="0.3">
      <c r="A253" t="s">
        <v>9</v>
      </c>
      <c r="B253" t="s">
        <v>351</v>
      </c>
      <c r="C253">
        <v>1</v>
      </c>
      <c r="D253">
        <v>3.3300000000000003E-2</v>
      </c>
      <c r="E253">
        <v>8.3442160128890279</v>
      </c>
      <c r="F253">
        <v>931.86609962316879</v>
      </c>
      <c r="G253">
        <v>0.42399999999999999</v>
      </c>
      <c r="H253">
        <v>3.6499999999999998E-2</v>
      </c>
      <c r="I253">
        <v>104.2025</v>
      </c>
    </row>
    <row r="254" spans="1:9" x14ac:dyDescent="0.3">
      <c r="A254" t="s">
        <v>9</v>
      </c>
      <c r="B254" t="s">
        <v>352</v>
      </c>
      <c r="C254">
        <v>1</v>
      </c>
      <c r="D254">
        <v>3.7600000000000001E-2</v>
      </c>
      <c r="E254">
        <v>8.6516459628646363</v>
      </c>
      <c r="F254">
        <v>961.04120187585409</v>
      </c>
      <c r="G254">
        <v>0.42399999999999999</v>
      </c>
      <c r="H254">
        <v>4.1300000000000003E-2</v>
      </c>
      <c r="I254">
        <v>104.4014</v>
      </c>
    </row>
    <row r="255" spans="1:9" x14ac:dyDescent="0.3">
      <c r="A255" t="s">
        <v>9</v>
      </c>
      <c r="B255" t="s">
        <v>353</v>
      </c>
      <c r="C255">
        <v>1</v>
      </c>
      <c r="D255">
        <v>4.2900000000000001E-2</v>
      </c>
      <c r="E255">
        <v>8.9450040504627832</v>
      </c>
      <c r="F255">
        <v>988.88088438891816</v>
      </c>
      <c r="G255">
        <v>0.42399999999999999</v>
      </c>
      <c r="H255">
        <v>4.58E-2</v>
      </c>
      <c r="I255">
        <v>104.6011</v>
      </c>
    </row>
    <row r="256" spans="1:9" x14ac:dyDescent="0.3">
      <c r="A256" t="s">
        <v>9</v>
      </c>
      <c r="B256" t="s">
        <v>354</v>
      </c>
      <c r="C256">
        <v>1</v>
      </c>
      <c r="D256">
        <v>4.82E-2</v>
      </c>
      <c r="E256">
        <v>9.2147783373600891</v>
      </c>
      <c r="F256">
        <v>1014.482464215473</v>
      </c>
      <c r="G256">
        <v>0.42399999999999999</v>
      </c>
      <c r="H256">
        <v>0.05</v>
      </c>
      <c r="I256">
        <v>104.8</v>
      </c>
    </row>
    <row r="257" spans="1:9" x14ac:dyDescent="0.3">
      <c r="A257" t="s">
        <v>9</v>
      </c>
      <c r="B257" t="s">
        <v>355</v>
      </c>
      <c r="C257">
        <v>1</v>
      </c>
      <c r="D257">
        <v>5.2200000000000003E-2</v>
      </c>
      <c r="E257">
        <v>9.4578085845313442</v>
      </c>
      <c r="F257">
        <v>1037.5460346720249</v>
      </c>
      <c r="G257">
        <v>0.42399999999999999</v>
      </c>
      <c r="H257">
        <v>5.3800000000000001E-2</v>
      </c>
      <c r="I257">
        <v>105.001</v>
      </c>
    </row>
    <row r="258" spans="1:9" x14ac:dyDescent="0.3">
      <c r="A258" t="s">
        <v>9</v>
      </c>
      <c r="B258" t="s">
        <v>356</v>
      </c>
      <c r="C258">
        <v>1</v>
      </c>
      <c r="D258">
        <v>5.6300000000000003E-2</v>
      </c>
      <c r="E258">
        <v>9.6632411509415377</v>
      </c>
      <c r="F258">
        <v>1057.041585224352</v>
      </c>
      <c r="G258">
        <v>0.42399999999999999</v>
      </c>
      <c r="H258">
        <v>5.7000000000000002E-2</v>
      </c>
      <c r="I258">
        <v>105.2</v>
      </c>
    </row>
    <row r="259" spans="1:9" x14ac:dyDescent="0.3">
      <c r="A259" t="s">
        <v>9</v>
      </c>
      <c r="B259" t="s">
        <v>357</v>
      </c>
      <c r="C259">
        <v>1</v>
      </c>
      <c r="D259">
        <v>5.9200000000000003E-2</v>
      </c>
      <c r="E259">
        <v>9.8308968185191929</v>
      </c>
      <c r="F259">
        <v>1072.9521080774721</v>
      </c>
      <c r="G259">
        <v>0.42399999999999999</v>
      </c>
      <c r="H259">
        <v>5.96E-2</v>
      </c>
      <c r="I259">
        <v>105.402</v>
      </c>
    </row>
    <row r="260" spans="1:9" x14ac:dyDescent="0.3">
      <c r="A260" t="s">
        <v>9</v>
      </c>
      <c r="B260" t="s">
        <v>358</v>
      </c>
      <c r="C260">
        <v>1</v>
      </c>
      <c r="D260">
        <v>6.2100000000000002E-2</v>
      </c>
      <c r="E260">
        <v>9.9515280158698989</v>
      </c>
      <c r="F260">
        <v>1084.400008706054</v>
      </c>
      <c r="G260">
        <v>0.42399999999999999</v>
      </c>
      <c r="H260">
        <v>6.1499999999999999E-2</v>
      </c>
      <c r="I260">
        <v>105.6006</v>
      </c>
    </row>
    <row r="261" spans="1:9" x14ac:dyDescent="0.3">
      <c r="A261" t="s">
        <v>9</v>
      </c>
      <c r="B261" t="s">
        <v>359</v>
      </c>
      <c r="C261">
        <v>1</v>
      </c>
      <c r="D261">
        <v>6.5000000000000002E-2</v>
      </c>
      <c r="E261">
        <v>10.02565171819986</v>
      </c>
      <c r="F261">
        <v>1091.434348057167</v>
      </c>
      <c r="G261">
        <v>0.42399999999999999</v>
      </c>
      <c r="H261">
        <v>6.2600000000000003E-2</v>
      </c>
      <c r="I261">
        <v>105.80070000000001</v>
      </c>
    </row>
    <row r="262" spans="1:9" x14ac:dyDescent="0.3">
      <c r="A262" t="s">
        <v>9</v>
      </c>
      <c r="B262" t="s">
        <v>360</v>
      </c>
      <c r="C262">
        <v>1</v>
      </c>
      <c r="D262">
        <v>6.5600000000000006E-2</v>
      </c>
      <c r="E262">
        <v>10.050440172498851</v>
      </c>
      <c r="F262">
        <v>1093.7867723701411</v>
      </c>
      <c r="G262">
        <v>0.42399999999999999</v>
      </c>
      <c r="H262">
        <v>6.3E-2</v>
      </c>
      <c r="I262">
        <v>106.00109999999999</v>
      </c>
    </row>
    <row r="263" spans="1:9" x14ac:dyDescent="0.3">
      <c r="A263" t="s">
        <v>9</v>
      </c>
      <c r="B263" t="s">
        <v>361</v>
      </c>
      <c r="C263">
        <v>1</v>
      </c>
      <c r="D263">
        <v>6.6299999999999998E-2</v>
      </c>
      <c r="E263">
        <v>10.025472905599131</v>
      </c>
      <c r="F263">
        <v>982.37407480183901</v>
      </c>
      <c r="G263">
        <v>0.42399999999999999</v>
      </c>
      <c r="H263">
        <v>6.2600000000000003E-2</v>
      </c>
      <c r="I263">
        <v>106.2</v>
      </c>
    </row>
    <row r="264" spans="1:9" x14ac:dyDescent="0.3">
      <c r="A264" t="s">
        <v>9</v>
      </c>
      <c r="B264" t="s">
        <v>362</v>
      </c>
      <c r="C264">
        <v>1</v>
      </c>
      <c r="D264">
        <v>6.4299999999999996E-2</v>
      </c>
      <c r="E264">
        <v>9.9504851451009966</v>
      </c>
      <c r="F264">
        <v>975.38521552341285</v>
      </c>
      <c r="G264">
        <v>0.42399999999999999</v>
      </c>
      <c r="H264">
        <v>6.1400000000000003E-2</v>
      </c>
      <c r="I264">
        <v>106.4015</v>
      </c>
    </row>
    <row r="265" spans="1:9" x14ac:dyDescent="0.3">
      <c r="A265" t="s">
        <v>9</v>
      </c>
      <c r="B265" t="s">
        <v>363</v>
      </c>
      <c r="C265">
        <v>1</v>
      </c>
      <c r="D265">
        <v>6.2100000000000002E-2</v>
      </c>
      <c r="E265">
        <v>9.8289266361451233</v>
      </c>
      <c r="F265">
        <v>964.05596248872553</v>
      </c>
      <c r="G265">
        <v>0.42399999999999999</v>
      </c>
      <c r="H265">
        <v>5.96E-2</v>
      </c>
      <c r="I265">
        <v>106.60080000000001</v>
      </c>
    </row>
    <row r="266" spans="1:9" x14ac:dyDescent="0.3">
      <c r="A266" t="s">
        <v>9</v>
      </c>
      <c r="B266" t="s">
        <v>364</v>
      </c>
      <c r="C266">
        <v>1</v>
      </c>
      <c r="D266">
        <v>6.0499999999999998E-2</v>
      </c>
      <c r="E266">
        <v>9.6635326844107627</v>
      </c>
      <c r="F266">
        <v>948.64124618708308</v>
      </c>
      <c r="G266">
        <v>0.42399999999999999</v>
      </c>
      <c r="H266">
        <v>5.7000000000000002E-2</v>
      </c>
      <c r="I266">
        <v>106.7997</v>
      </c>
    </row>
    <row r="267" spans="1:9" x14ac:dyDescent="0.3">
      <c r="A267" t="s">
        <v>9</v>
      </c>
      <c r="B267" t="s">
        <v>365</v>
      </c>
      <c r="C267">
        <v>1</v>
      </c>
      <c r="D267">
        <v>5.8400000000000001E-2</v>
      </c>
      <c r="E267">
        <v>9.4561696717599943</v>
      </c>
      <c r="F267">
        <v>929.31501340803152</v>
      </c>
      <c r="G267">
        <v>0.42399999999999999</v>
      </c>
      <c r="H267">
        <v>5.3800000000000001E-2</v>
      </c>
      <c r="I267">
        <v>107.0004</v>
      </c>
    </row>
    <row r="268" spans="1:9" x14ac:dyDescent="0.3">
      <c r="A268" t="s">
        <v>9</v>
      </c>
      <c r="B268" t="s">
        <v>366</v>
      </c>
      <c r="C268">
        <v>1</v>
      </c>
      <c r="D268">
        <v>5.5E-2</v>
      </c>
      <c r="E268">
        <v>9.2127769337382723</v>
      </c>
      <c r="F268">
        <v>906.63081022440701</v>
      </c>
      <c r="G268">
        <v>0.42399999999999999</v>
      </c>
      <c r="H268">
        <v>0.05</v>
      </c>
      <c r="I268">
        <v>107.2015</v>
      </c>
    </row>
    <row r="269" spans="1:9" x14ac:dyDescent="0.3">
      <c r="A269" t="s">
        <v>9</v>
      </c>
      <c r="B269" t="s">
        <v>367</v>
      </c>
      <c r="C269">
        <v>1</v>
      </c>
      <c r="D269">
        <v>5.0599999999999999E-2</v>
      </c>
      <c r="E269">
        <v>8.9416982474383371</v>
      </c>
      <c r="F269">
        <v>881.3662766612531</v>
      </c>
      <c r="G269">
        <v>0.42399999999999999</v>
      </c>
      <c r="H269">
        <v>4.58E-2</v>
      </c>
      <c r="I269">
        <v>107.40130000000001</v>
      </c>
    </row>
    <row r="270" spans="1:9" x14ac:dyDescent="0.3">
      <c r="A270" t="s">
        <v>9</v>
      </c>
      <c r="B270" t="s">
        <v>368</v>
      </c>
      <c r="C270">
        <v>1</v>
      </c>
      <c r="D270">
        <v>4.6100000000000002E-2</v>
      </c>
      <c r="E270">
        <v>8.6472932343637865</v>
      </c>
      <c r="F270">
        <v>853.92772944270496</v>
      </c>
      <c r="G270">
        <v>0.42399999999999999</v>
      </c>
      <c r="H270">
        <v>4.1200000000000001E-2</v>
      </c>
      <c r="I270">
        <v>107.6015</v>
      </c>
    </row>
    <row r="271" spans="1:9" x14ac:dyDescent="0.3">
      <c r="A271" t="s">
        <v>9</v>
      </c>
      <c r="B271" t="s">
        <v>369</v>
      </c>
      <c r="C271">
        <v>1</v>
      </c>
      <c r="D271">
        <v>4.1599999999999998E-2</v>
      </c>
      <c r="E271">
        <v>8.3401702257459007</v>
      </c>
      <c r="F271">
        <v>825.30386503951797</v>
      </c>
      <c r="G271">
        <v>0.42399999999999999</v>
      </c>
      <c r="H271">
        <v>3.6400000000000002E-2</v>
      </c>
      <c r="I271">
        <v>107.8</v>
      </c>
    </row>
    <row r="272" spans="1:9" x14ac:dyDescent="0.3">
      <c r="A272" t="s">
        <v>9</v>
      </c>
      <c r="B272" t="s">
        <v>370</v>
      </c>
      <c r="C272">
        <v>1</v>
      </c>
      <c r="D272">
        <v>3.6400000000000002E-2</v>
      </c>
      <c r="E272">
        <v>8.0211766554520985</v>
      </c>
      <c r="F272">
        <v>795.57366428813555</v>
      </c>
      <c r="G272">
        <v>0.42399999999999999</v>
      </c>
      <c r="H272">
        <v>3.15E-2</v>
      </c>
      <c r="I272">
        <v>108.0012</v>
      </c>
    </row>
    <row r="273" spans="1:9" x14ac:dyDescent="0.3">
      <c r="A273" t="s">
        <v>9</v>
      </c>
      <c r="B273" t="s">
        <v>371</v>
      </c>
      <c r="C273">
        <v>1</v>
      </c>
      <c r="D273">
        <v>3.1699999999999999E-2</v>
      </c>
      <c r="E273">
        <v>7.706507836177404</v>
      </c>
      <c r="F273">
        <v>766.24653033173411</v>
      </c>
      <c r="G273">
        <v>0.42399999999999999</v>
      </c>
      <c r="H273">
        <v>2.6599999999999999E-2</v>
      </c>
      <c r="I273">
        <v>108.1996</v>
      </c>
    </row>
    <row r="274" spans="1:9" x14ac:dyDescent="0.3">
      <c r="A274" t="s">
        <v>9</v>
      </c>
      <c r="B274" t="s">
        <v>372</v>
      </c>
      <c r="C274">
        <v>1</v>
      </c>
      <c r="D274">
        <v>2.64E-2</v>
      </c>
      <c r="E274">
        <v>7.3946582550271991</v>
      </c>
      <c r="F274">
        <v>737.18214936853497</v>
      </c>
      <c r="G274">
        <v>0.42399999999999999</v>
      </c>
      <c r="H274">
        <v>2.1700000000000001E-2</v>
      </c>
      <c r="I274">
        <v>108.40130000000001</v>
      </c>
    </row>
    <row r="275" spans="1:9" x14ac:dyDescent="0.3">
      <c r="A275" t="s">
        <v>9</v>
      </c>
      <c r="B275" t="s">
        <v>373</v>
      </c>
      <c r="C275">
        <v>1</v>
      </c>
      <c r="D275">
        <v>2.1299999999999999E-2</v>
      </c>
      <c r="E275">
        <v>7.1021739568952214</v>
      </c>
      <c r="F275">
        <v>709.9226127826347</v>
      </c>
      <c r="G275">
        <v>0.42399999999999999</v>
      </c>
      <c r="H275">
        <v>1.72E-2</v>
      </c>
      <c r="I275">
        <v>108.60039999999999</v>
      </c>
    </row>
    <row r="276" spans="1:9" x14ac:dyDescent="0.3">
      <c r="A276" t="s">
        <v>9</v>
      </c>
      <c r="B276" t="s">
        <v>374</v>
      </c>
      <c r="C276">
        <v>1</v>
      </c>
      <c r="D276">
        <v>1.6400000000000001E-2</v>
      </c>
      <c r="E276">
        <v>6.8316442779907369</v>
      </c>
      <c r="F276">
        <v>684.70924670873671</v>
      </c>
      <c r="G276">
        <v>0.42399999999999999</v>
      </c>
      <c r="H276">
        <v>1.2999999999999999E-2</v>
      </c>
      <c r="I276">
        <v>108.7998</v>
      </c>
    </row>
    <row r="277" spans="1:9" x14ac:dyDescent="0.3">
      <c r="A277" t="s">
        <v>9</v>
      </c>
      <c r="B277" t="s">
        <v>375</v>
      </c>
      <c r="C277">
        <v>1</v>
      </c>
      <c r="D277">
        <v>1.0999999999999999E-2</v>
      </c>
      <c r="E277">
        <v>6.5874896604298341</v>
      </c>
      <c r="F277">
        <v>661.9540363520606</v>
      </c>
      <c r="G277">
        <v>0.42399999999999999</v>
      </c>
      <c r="H277">
        <v>9.1999999999999998E-3</v>
      </c>
      <c r="I277">
        <v>109.0018</v>
      </c>
    </row>
    <row r="278" spans="1:9" x14ac:dyDescent="0.3">
      <c r="A278" t="s">
        <v>9</v>
      </c>
      <c r="B278" t="s">
        <v>376</v>
      </c>
      <c r="C278">
        <v>1</v>
      </c>
      <c r="D278">
        <v>7.4999999999999997E-3</v>
      </c>
      <c r="E278">
        <v>6.3820142763084444</v>
      </c>
      <c r="F278">
        <v>642.80373055194696</v>
      </c>
      <c r="G278">
        <v>0.42399999999999999</v>
      </c>
      <c r="H278">
        <v>6.0000000000000001E-3</v>
      </c>
      <c r="I278">
        <v>109.20099999999999</v>
      </c>
    </row>
    <row r="279" spans="1:9" x14ac:dyDescent="0.3">
      <c r="A279" t="s">
        <v>9</v>
      </c>
      <c r="B279" t="s">
        <v>377</v>
      </c>
      <c r="C279">
        <v>1</v>
      </c>
      <c r="D279">
        <v>3.8E-3</v>
      </c>
      <c r="E279">
        <v>6.2159276994389963</v>
      </c>
      <c r="F279">
        <v>627.3244615877145</v>
      </c>
      <c r="G279">
        <v>0.42399999999999999</v>
      </c>
      <c r="H279">
        <v>3.3999999999999998E-3</v>
      </c>
      <c r="I279">
        <v>109.4011</v>
      </c>
    </row>
    <row r="280" spans="1:9" x14ac:dyDescent="0.3">
      <c r="A280" t="s">
        <v>9</v>
      </c>
      <c r="B280" t="s">
        <v>378</v>
      </c>
      <c r="C280">
        <v>1</v>
      </c>
      <c r="D280">
        <v>1E-3</v>
      </c>
      <c r="E280">
        <v>6.0943455515384013</v>
      </c>
      <c r="F280">
        <v>615.99300540337902</v>
      </c>
      <c r="G280">
        <v>0.42399999999999999</v>
      </c>
      <c r="H280">
        <v>1.5E-3</v>
      </c>
      <c r="I280">
        <v>109.60120000000001</v>
      </c>
    </row>
    <row r="281" spans="1:9" x14ac:dyDescent="0.3">
      <c r="A281" t="s">
        <v>9</v>
      </c>
      <c r="B281" t="s">
        <v>379</v>
      </c>
      <c r="C281">
        <v>1</v>
      </c>
      <c r="D281">
        <v>-1.4E-3</v>
      </c>
      <c r="E281">
        <v>6.0202147615797266</v>
      </c>
      <c r="F281">
        <v>609.08401577923064</v>
      </c>
      <c r="G281">
        <v>0.42399999999999999</v>
      </c>
      <c r="H281">
        <v>4.0000000000000002E-4</v>
      </c>
      <c r="I281">
        <v>109.8019</v>
      </c>
    </row>
    <row r="282" spans="1:9" x14ac:dyDescent="0.3">
      <c r="A282" t="s">
        <v>9</v>
      </c>
      <c r="B282" t="s">
        <v>380</v>
      </c>
      <c r="C282">
        <v>1</v>
      </c>
      <c r="D282">
        <v>-2.5000000000000001E-3</v>
      </c>
      <c r="E282">
        <v>5.9957372298422298</v>
      </c>
      <c r="F282">
        <v>606.80270982129582</v>
      </c>
      <c r="G282">
        <v>0.42399999999999999</v>
      </c>
      <c r="H282">
        <v>0</v>
      </c>
      <c r="I282">
        <v>110.0025</v>
      </c>
    </row>
    <row r="283" spans="1:9" x14ac:dyDescent="0.3">
      <c r="A283" t="s">
        <v>9</v>
      </c>
      <c r="B283" t="s">
        <v>381</v>
      </c>
      <c r="C283">
        <v>1</v>
      </c>
      <c r="D283">
        <v>-3.0999999999999999E-3</v>
      </c>
      <c r="E283">
        <v>6.0212197857088299</v>
      </c>
      <c r="F283">
        <v>711.41375766376802</v>
      </c>
      <c r="G283">
        <v>0.42399999999999999</v>
      </c>
      <c r="H283">
        <v>4.0000000000000002E-4</v>
      </c>
      <c r="I283">
        <v>110.2021</v>
      </c>
    </row>
    <row r="284" spans="1:9" x14ac:dyDescent="0.3">
      <c r="A284" t="s">
        <v>9</v>
      </c>
      <c r="B284" t="s">
        <v>382</v>
      </c>
      <c r="C284">
        <v>1</v>
      </c>
      <c r="D284">
        <v>-2.8999999999999998E-3</v>
      </c>
      <c r="E284">
        <v>6.0957044056627518</v>
      </c>
      <c r="F284">
        <v>718.48234809739517</v>
      </c>
      <c r="G284">
        <v>0.42399999999999999</v>
      </c>
      <c r="H284">
        <v>1.6000000000000001E-3</v>
      </c>
      <c r="I284">
        <v>110.4015</v>
      </c>
    </row>
    <row r="285" spans="1:9" x14ac:dyDescent="0.3">
      <c r="A285" t="s">
        <v>9</v>
      </c>
      <c r="B285" t="s">
        <v>383</v>
      </c>
      <c r="C285">
        <v>1</v>
      </c>
      <c r="D285">
        <v>2E-3</v>
      </c>
      <c r="E285">
        <v>6.2168695268970113</v>
      </c>
      <c r="F285">
        <v>729.9809181025264</v>
      </c>
      <c r="G285">
        <v>0.42399999999999999</v>
      </c>
      <c r="H285">
        <v>3.3999999999999998E-3</v>
      </c>
      <c r="I285">
        <v>110.6002</v>
      </c>
    </row>
    <row r="286" spans="1:9" x14ac:dyDescent="0.3">
      <c r="A286" t="s">
        <v>9</v>
      </c>
      <c r="B286" t="s">
        <v>384</v>
      </c>
      <c r="C286">
        <v>1</v>
      </c>
      <c r="D286">
        <v>4.3E-3</v>
      </c>
      <c r="E286">
        <v>6.3833705759670689</v>
      </c>
      <c r="F286">
        <v>745.78186765927489</v>
      </c>
      <c r="G286">
        <v>0.42399999999999999</v>
      </c>
      <c r="H286">
        <v>6.0000000000000001E-3</v>
      </c>
      <c r="I286">
        <v>110.8005</v>
      </c>
    </row>
    <row r="287" spans="1:9" x14ac:dyDescent="0.3">
      <c r="A287" t="s">
        <v>9</v>
      </c>
      <c r="B287" t="s">
        <v>385</v>
      </c>
      <c r="C287">
        <v>1</v>
      </c>
      <c r="D287">
        <v>6.7999999999999996E-3</v>
      </c>
      <c r="E287">
        <v>6.590422430364316</v>
      </c>
      <c r="F287">
        <v>765.43108864157364</v>
      </c>
      <c r="G287">
        <v>0.42399999999999999</v>
      </c>
      <c r="H287">
        <v>9.1999999999999998E-3</v>
      </c>
      <c r="I287">
        <v>111.0008</v>
      </c>
    </row>
    <row r="288" spans="1:9" x14ac:dyDescent="0.3">
      <c r="A288" t="s">
        <v>9</v>
      </c>
      <c r="B288" t="s">
        <v>386</v>
      </c>
      <c r="C288">
        <v>1</v>
      </c>
      <c r="D288">
        <v>1.0500000000000001E-2</v>
      </c>
      <c r="E288">
        <v>6.8341638732310042</v>
      </c>
      <c r="F288">
        <v>788.5621515696223</v>
      </c>
      <c r="G288">
        <v>0.42399999999999999</v>
      </c>
      <c r="H288">
        <v>1.2999999999999999E-2</v>
      </c>
      <c r="I288">
        <v>111.2021</v>
      </c>
    </row>
    <row r="289" spans="1:9" x14ac:dyDescent="0.3">
      <c r="A289" t="s">
        <v>9</v>
      </c>
      <c r="B289" t="s">
        <v>387</v>
      </c>
      <c r="C289">
        <v>1</v>
      </c>
      <c r="D289">
        <v>1.43E-2</v>
      </c>
      <c r="E289">
        <v>7.1056788460579021</v>
      </c>
      <c r="F289">
        <v>814.32892249089491</v>
      </c>
      <c r="G289">
        <v>0.42399999999999999</v>
      </c>
      <c r="H289">
        <v>1.72E-2</v>
      </c>
      <c r="I289">
        <v>111.4021</v>
      </c>
    </row>
    <row r="290" spans="1:9" x14ac:dyDescent="0.3">
      <c r="A290" t="s">
        <v>9</v>
      </c>
      <c r="B290" t="s">
        <v>388</v>
      </c>
      <c r="C290">
        <v>1</v>
      </c>
      <c r="D290">
        <v>1.8499999999999999E-2</v>
      </c>
      <c r="E290">
        <v>7.3978683669546541</v>
      </c>
      <c r="F290">
        <v>842.05770802399672</v>
      </c>
      <c r="G290">
        <v>0.42399999999999999</v>
      </c>
      <c r="H290">
        <v>2.18E-2</v>
      </c>
      <c r="I290">
        <v>111.60080000000001</v>
      </c>
    </row>
    <row r="291" spans="1:9" x14ac:dyDescent="0.3">
      <c r="A291" t="s">
        <v>9</v>
      </c>
      <c r="B291" t="s">
        <v>389</v>
      </c>
      <c r="C291">
        <v>1</v>
      </c>
      <c r="D291">
        <v>2.29E-2</v>
      </c>
      <c r="E291">
        <v>7.7060374901074464</v>
      </c>
      <c r="F291">
        <v>871.30295781119662</v>
      </c>
      <c r="G291">
        <v>0.42399999999999999</v>
      </c>
      <c r="H291">
        <v>2.6599999999999999E-2</v>
      </c>
      <c r="I291">
        <v>111.8001</v>
      </c>
    </row>
    <row r="292" spans="1:9" x14ac:dyDescent="0.3">
      <c r="A292" t="s">
        <v>9</v>
      </c>
      <c r="B292" t="s">
        <v>390</v>
      </c>
      <c r="C292">
        <v>1</v>
      </c>
      <c r="D292">
        <v>2.7900000000000001E-2</v>
      </c>
      <c r="E292">
        <v>5.9957334838115024</v>
      </c>
      <c r="F292">
        <v>606.80236069123202</v>
      </c>
      <c r="G292">
        <v>0.42399999999999999</v>
      </c>
      <c r="H292">
        <v>0</v>
      </c>
      <c r="I292">
        <v>112.0009</v>
      </c>
    </row>
    <row r="293" spans="1:9" x14ac:dyDescent="0.3">
      <c r="A293" t="s">
        <v>9</v>
      </c>
      <c r="B293" t="s">
        <v>391</v>
      </c>
      <c r="C293">
        <v>1</v>
      </c>
      <c r="D293">
        <v>1.9300000000000001E-2</v>
      </c>
      <c r="E293">
        <v>5.9957334838115024</v>
      </c>
      <c r="F293">
        <v>606.80236069123202</v>
      </c>
      <c r="G293">
        <v>0.42399999999999999</v>
      </c>
      <c r="H293">
        <v>0</v>
      </c>
      <c r="I293">
        <v>112.202</v>
      </c>
    </row>
    <row r="294" spans="1:9" x14ac:dyDescent="0.3">
      <c r="A294" t="s">
        <v>9</v>
      </c>
      <c r="B294" t="s">
        <v>392</v>
      </c>
      <c r="C294">
        <v>1</v>
      </c>
      <c r="D294">
        <v>5.0000000000000001E-3</v>
      </c>
      <c r="E294">
        <v>5.9957334838115024</v>
      </c>
      <c r="F294">
        <v>606.80236069123202</v>
      </c>
      <c r="G294">
        <v>0.42399999999999999</v>
      </c>
      <c r="H294">
        <v>0</v>
      </c>
      <c r="I294">
        <v>112.40300000000001</v>
      </c>
    </row>
    <row r="295" spans="1:9" x14ac:dyDescent="0.3">
      <c r="A295" t="s">
        <v>9</v>
      </c>
      <c r="B295" t="s">
        <v>393</v>
      </c>
      <c r="C295">
        <v>1</v>
      </c>
      <c r="D295">
        <v>-2.0999999999999999E-3</v>
      </c>
      <c r="E295">
        <v>5.9957334838115024</v>
      </c>
      <c r="F295">
        <v>606.80236069123202</v>
      </c>
      <c r="G295">
        <v>0.42399999999999999</v>
      </c>
      <c r="H295">
        <v>0</v>
      </c>
      <c r="I295">
        <v>112.60120000000001</v>
      </c>
    </row>
    <row r="296" spans="1:9" x14ac:dyDescent="0.3">
      <c r="A296" t="s">
        <v>9</v>
      </c>
      <c r="B296" t="s">
        <v>394</v>
      </c>
      <c r="C296">
        <v>1</v>
      </c>
      <c r="D296">
        <v>-3.0999999999999999E-3</v>
      </c>
      <c r="E296">
        <v>5.9957334838115024</v>
      </c>
      <c r="F296">
        <v>606.80236069123202</v>
      </c>
      <c r="G296">
        <v>0.42399999999999999</v>
      </c>
      <c r="H296">
        <v>0</v>
      </c>
      <c r="I296">
        <v>112.8004</v>
      </c>
    </row>
    <row r="297" spans="1:9" x14ac:dyDescent="0.3">
      <c r="A297" t="s">
        <v>9</v>
      </c>
      <c r="B297" t="s">
        <v>395</v>
      </c>
      <c r="C297">
        <v>1</v>
      </c>
      <c r="D297">
        <v>-3.0999999999999999E-3</v>
      </c>
      <c r="E297">
        <v>5.9957334838115024</v>
      </c>
      <c r="F297">
        <v>606.80236069123202</v>
      </c>
      <c r="G297">
        <v>0.42399999999999999</v>
      </c>
      <c r="H297">
        <v>0</v>
      </c>
      <c r="I297">
        <v>113.0016</v>
      </c>
    </row>
    <row r="298" spans="1:9" x14ac:dyDescent="0.3">
      <c r="A298" t="s">
        <v>9</v>
      </c>
      <c r="B298" t="s">
        <v>396</v>
      </c>
      <c r="C298">
        <v>1</v>
      </c>
      <c r="D298">
        <v>-3.0999999999999999E-3</v>
      </c>
      <c r="E298">
        <v>5.9957334838115024</v>
      </c>
      <c r="F298">
        <v>606.80236069123202</v>
      </c>
      <c r="G298">
        <v>0.42399999999999999</v>
      </c>
      <c r="H298">
        <v>0</v>
      </c>
      <c r="I298">
        <v>113.20059999999999</v>
      </c>
    </row>
    <row r="299" spans="1:9" x14ac:dyDescent="0.3">
      <c r="A299" t="s">
        <v>9</v>
      </c>
      <c r="B299" t="s">
        <v>397</v>
      </c>
      <c r="C299">
        <v>1</v>
      </c>
      <c r="D299">
        <v>-3.0999999999999999E-3</v>
      </c>
      <c r="E299">
        <v>5.9957334838115024</v>
      </c>
      <c r="F299">
        <v>606.80236069123202</v>
      </c>
      <c r="G299">
        <v>0.42399999999999999</v>
      </c>
      <c r="H299">
        <v>0</v>
      </c>
      <c r="I299">
        <v>113.40009999999999</v>
      </c>
    </row>
    <row r="300" spans="1:9" x14ac:dyDescent="0.3">
      <c r="A300" t="s">
        <v>9</v>
      </c>
      <c r="B300" t="s">
        <v>398</v>
      </c>
      <c r="C300">
        <v>1</v>
      </c>
      <c r="D300">
        <v>-3.0999999999999999E-3</v>
      </c>
      <c r="E300">
        <v>5.9957334838115024</v>
      </c>
      <c r="F300">
        <v>606.80236069123202</v>
      </c>
      <c r="G300">
        <v>0.42399999999999999</v>
      </c>
      <c r="H300">
        <v>0</v>
      </c>
      <c r="I300">
        <v>113.60129999999999</v>
      </c>
    </row>
    <row r="301" spans="1:9" x14ac:dyDescent="0.3">
      <c r="A301" t="s">
        <v>9</v>
      </c>
      <c r="B301" t="s">
        <v>399</v>
      </c>
      <c r="C301">
        <v>1</v>
      </c>
      <c r="D301">
        <v>-3.0999999999999999E-3</v>
      </c>
      <c r="E301">
        <v>5.9957334838115024</v>
      </c>
      <c r="F301">
        <v>606.80236069123202</v>
      </c>
      <c r="G301">
        <v>0.42399999999999999</v>
      </c>
      <c r="H301">
        <v>0</v>
      </c>
      <c r="I301">
        <v>113.79949999999999</v>
      </c>
    </row>
    <row r="302" spans="1:9" x14ac:dyDescent="0.3">
      <c r="A302" t="s">
        <v>9</v>
      </c>
      <c r="B302" t="s">
        <v>400</v>
      </c>
      <c r="C302">
        <v>1</v>
      </c>
      <c r="D302">
        <v>-3.0999999999999999E-3</v>
      </c>
      <c r="E302">
        <v>5.9957334838115024</v>
      </c>
      <c r="F302">
        <v>606.80236069123202</v>
      </c>
      <c r="G302">
        <v>0.42399999999999999</v>
      </c>
      <c r="H302">
        <v>0</v>
      </c>
      <c r="I302">
        <v>113.99979999999999</v>
      </c>
    </row>
    <row r="303" spans="1:9" x14ac:dyDescent="0.3">
      <c r="A303" t="s">
        <v>9</v>
      </c>
      <c r="B303" t="s">
        <v>401</v>
      </c>
      <c r="C303">
        <v>1</v>
      </c>
      <c r="D303">
        <v>-3.0999999999999999E-3</v>
      </c>
      <c r="E303">
        <v>5.9957334838115024</v>
      </c>
      <c r="F303">
        <v>606.80236069123202</v>
      </c>
      <c r="G303">
        <v>0.42399999999999999</v>
      </c>
      <c r="H303">
        <v>0</v>
      </c>
      <c r="I303">
        <v>114.20059999999999</v>
      </c>
    </row>
    <row r="304" spans="1:9" x14ac:dyDescent="0.3">
      <c r="A304" t="s">
        <v>9</v>
      </c>
      <c r="B304" t="s">
        <v>402</v>
      </c>
      <c r="C304">
        <v>1</v>
      </c>
      <c r="D304">
        <v>-3.0999999999999999E-3</v>
      </c>
      <c r="E304">
        <v>5.9957334838115024</v>
      </c>
      <c r="F304">
        <v>606.80236069123202</v>
      </c>
      <c r="G304">
        <v>0.42399999999999999</v>
      </c>
      <c r="H304">
        <v>0</v>
      </c>
      <c r="I304">
        <v>114.3997</v>
      </c>
    </row>
    <row r="305" spans="1:9" x14ac:dyDescent="0.3">
      <c r="A305" t="s">
        <v>9</v>
      </c>
      <c r="B305" t="s">
        <v>403</v>
      </c>
      <c r="C305">
        <v>1</v>
      </c>
      <c r="D305">
        <v>-3.0999999999999999E-3</v>
      </c>
      <c r="E305">
        <v>5.9957334838115024</v>
      </c>
      <c r="F305">
        <v>606.80236069123202</v>
      </c>
      <c r="G305">
        <v>0.42399999999999999</v>
      </c>
      <c r="H305">
        <v>0</v>
      </c>
      <c r="I305">
        <v>114.6</v>
      </c>
    </row>
    <row r="306" spans="1:9" x14ac:dyDescent="0.3">
      <c r="A306" t="s">
        <v>9</v>
      </c>
      <c r="B306" t="s">
        <v>404</v>
      </c>
      <c r="C306">
        <v>1</v>
      </c>
      <c r="D306">
        <v>-3.0999999999999999E-3</v>
      </c>
      <c r="E306">
        <v>5.9957334838115024</v>
      </c>
      <c r="F306">
        <v>606.80236069123202</v>
      </c>
      <c r="G306">
        <v>0.42399999999999999</v>
      </c>
      <c r="H306">
        <v>0</v>
      </c>
      <c r="I306">
        <v>114.8018</v>
      </c>
    </row>
    <row r="307" spans="1:9" x14ac:dyDescent="0.3">
      <c r="A307" t="s">
        <v>9</v>
      </c>
      <c r="B307" t="s">
        <v>405</v>
      </c>
      <c r="C307">
        <v>1</v>
      </c>
      <c r="D307">
        <v>-3.0999999999999999E-3</v>
      </c>
      <c r="E307">
        <v>5.9957334838115024</v>
      </c>
      <c r="F307">
        <v>606.80236069123202</v>
      </c>
      <c r="G307">
        <v>0.42399999999999999</v>
      </c>
      <c r="H307">
        <v>0</v>
      </c>
      <c r="I307">
        <v>114.9999</v>
      </c>
    </row>
    <row r="308" spans="1:9" x14ac:dyDescent="0.3">
      <c r="A308" t="s">
        <v>9</v>
      </c>
      <c r="B308" t="s">
        <v>406</v>
      </c>
      <c r="C308">
        <v>1</v>
      </c>
      <c r="D308">
        <v>-3.0999999999999999E-3</v>
      </c>
      <c r="E308">
        <v>5.9957334838115024</v>
      </c>
      <c r="F308">
        <v>606.80236069123202</v>
      </c>
      <c r="G308">
        <v>0.42399999999999999</v>
      </c>
      <c r="H308">
        <v>0</v>
      </c>
      <c r="I308">
        <v>115.20010000000001</v>
      </c>
    </row>
    <row r="309" spans="1:9" x14ac:dyDescent="0.3">
      <c r="A309" t="s">
        <v>9</v>
      </c>
      <c r="B309" t="s">
        <v>407</v>
      </c>
      <c r="C309">
        <v>1</v>
      </c>
      <c r="D309">
        <v>-3.0999999999999999E-3</v>
      </c>
      <c r="E309">
        <v>5.9957334838115024</v>
      </c>
      <c r="F309">
        <v>606.80236069123202</v>
      </c>
      <c r="G309">
        <v>0.42399999999999999</v>
      </c>
      <c r="H309">
        <v>0</v>
      </c>
      <c r="I309">
        <v>115.3995</v>
      </c>
    </row>
    <row r="310" spans="1:9" x14ac:dyDescent="0.3">
      <c r="A310" t="s">
        <v>9</v>
      </c>
      <c r="B310" t="s">
        <v>408</v>
      </c>
      <c r="C310">
        <v>1</v>
      </c>
      <c r="D310">
        <v>-3.0999999999999999E-3</v>
      </c>
      <c r="E310">
        <v>5.9957334838115024</v>
      </c>
      <c r="F310">
        <v>606.80236069123202</v>
      </c>
      <c r="G310">
        <v>0.42399999999999999</v>
      </c>
      <c r="H310">
        <v>0</v>
      </c>
      <c r="I310">
        <v>115.5996</v>
      </c>
    </row>
    <row r="311" spans="1:9" x14ac:dyDescent="0.3">
      <c r="A311" t="s">
        <v>9</v>
      </c>
      <c r="B311" t="s">
        <v>409</v>
      </c>
      <c r="C311">
        <v>1</v>
      </c>
      <c r="D311">
        <v>-3.0000000000000001E-3</v>
      </c>
      <c r="E311">
        <v>8.3372925998334129</v>
      </c>
      <c r="F311">
        <v>931.20906772419096</v>
      </c>
      <c r="G311">
        <v>0.42399999999999999</v>
      </c>
      <c r="H311">
        <v>3.6400000000000002E-2</v>
      </c>
      <c r="I311">
        <v>115.8019</v>
      </c>
    </row>
    <row r="312" spans="1:9" x14ac:dyDescent="0.3">
      <c r="A312" t="s">
        <v>9</v>
      </c>
      <c r="B312" t="s">
        <v>410</v>
      </c>
      <c r="C312">
        <v>1</v>
      </c>
      <c r="D312">
        <v>2.1899999999999999E-2</v>
      </c>
      <c r="E312">
        <v>8.0205526359679045</v>
      </c>
      <c r="F312">
        <v>795.51550567220875</v>
      </c>
      <c r="G312">
        <v>0.42399999999999999</v>
      </c>
      <c r="H312">
        <v>3.15E-2</v>
      </c>
      <c r="I312">
        <v>116.0016</v>
      </c>
    </row>
    <row r="313" spans="1:9" x14ac:dyDescent="0.3">
      <c r="A313" t="s">
        <v>9</v>
      </c>
      <c r="B313" t="s">
        <v>411</v>
      </c>
      <c r="C313">
        <v>1</v>
      </c>
      <c r="D313">
        <v>2.81E-2</v>
      </c>
      <c r="E313">
        <v>7.702867114313487</v>
      </c>
      <c r="F313">
        <v>765.907215054017</v>
      </c>
      <c r="G313">
        <v>0.42399999999999999</v>
      </c>
      <c r="H313">
        <v>2.6499999999999999E-2</v>
      </c>
      <c r="I313">
        <v>116.202</v>
      </c>
    </row>
    <row r="314" spans="1:9" x14ac:dyDescent="0.3">
      <c r="A314" t="s">
        <v>9</v>
      </c>
      <c r="B314" t="s">
        <v>412</v>
      </c>
      <c r="C314">
        <v>1</v>
      </c>
      <c r="D314">
        <v>2.5700000000000001E-2</v>
      </c>
      <c r="E314">
        <v>7.3951241409189077</v>
      </c>
      <c r="F314">
        <v>737.22556993364219</v>
      </c>
      <c r="G314">
        <v>0.42399999999999999</v>
      </c>
      <c r="H314">
        <v>2.1700000000000001E-2</v>
      </c>
      <c r="I314">
        <v>116.401</v>
      </c>
    </row>
    <row r="315" spans="1:9" x14ac:dyDescent="0.3">
      <c r="A315" t="s">
        <v>9</v>
      </c>
      <c r="B315" t="s">
        <v>413</v>
      </c>
      <c r="C315">
        <v>1</v>
      </c>
      <c r="D315">
        <v>2.1299999999999999E-2</v>
      </c>
      <c r="E315">
        <v>7.1010670217478236</v>
      </c>
      <c r="F315">
        <v>709.81944642689723</v>
      </c>
      <c r="G315">
        <v>0.42399999999999999</v>
      </c>
      <c r="H315">
        <v>1.72E-2</v>
      </c>
      <c r="I315">
        <v>116.6011</v>
      </c>
    </row>
    <row r="316" spans="1:9" x14ac:dyDescent="0.3">
      <c r="A316" t="s">
        <v>9</v>
      </c>
      <c r="B316" t="s">
        <v>414</v>
      </c>
      <c r="C316">
        <v>1</v>
      </c>
      <c r="D316">
        <v>1.6400000000000001E-2</v>
      </c>
      <c r="E316">
        <v>6.8297259958726606</v>
      </c>
      <c r="F316">
        <v>684.53046281533204</v>
      </c>
      <c r="G316">
        <v>0.42399999999999999</v>
      </c>
      <c r="H316">
        <v>1.2999999999999999E-2</v>
      </c>
      <c r="I316">
        <v>116.8013</v>
      </c>
    </row>
    <row r="317" spans="1:9" x14ac:dyDescent="0.3">
      <c r="A317" t="s">
        <v>9</v>
      </c>
      <c r="B317" t="s">
        <v>415</v>
      </c>
      <c r="C317">
        <v>1</v>
      </c>
      <c r="D317">
        <v>1.15E-2</v>
      </c>
      <c r="E317">
        <v>6.5886772842564767</v>
      </c>
      <c r="F317">
        <v>662.06472289270368</v>
      </c>
      <c r="G317">
        <v>0.42399999999999999</v>
      </c>
      <c r="H317">
        <v>9.1999999999999998E-3</v>
      </c>
      <c r="I317">
        <v>117.0008</v>
      </c>
    </row>
    <row r="318" spans="1:9" x14ac:dyDescent="0.3">
      <c r="A318" t="s">
        <v>9</v>
      </c>
      <c r="B318" t="s">
        <v>416</v>
      </c>
      <c r="C318">
        <v>1</v>
      </c>
      <c r="D318">
        <v>7.1000000000000004E-3</v>
      </c>
      <c r="E318">
        <v>6.3815299414976137</v>
      </c>
      <c r="F318">
        <v>642.75859054757757</v>
      </c>
      <c r="G318">
        <v>0.42399999999999999</v>
      </c>
      <c r="H318">
        <v>6.0000000000000001E-3</v>
      </c>
      <c r="I318">
        <v>117.2015</v>
      </c>
    </row>
    <row r="319" spans="1:9" x14ac:dyDescent="0.3">
      <c r="A319" t="s">
        <v>9</v>
      </c>
      <c r="B319" t="s">
        <v>417</v>
      </c>
      <c r="C319">
        <v>1</v>
      </c>
      <c r="D319">
        <v>3.5000000000000001E-3</v>
      </c>
      <c r="E319">
        <v>6.2155539365016814</v>
      </c>
      <c r="F319">
        <v>627.28962688195668</v>
      </c>
      <c r="G319">
        <v>0.42399999999999999</v>
      </c>
      <c r="H319">
        <v>3.3999999999999998E-3</v>
      </c>
      <c r="I319">
        <v>117.4016</v>
      </c>
    </row>
    <row r="320" spans="1:9" x14ac:dyDescent="0.3">
      <c r="A320" t="s">
        <v>9</v>
      </c>
      <c r="B320" t="s">
        <v>418</v>
      </c>
      <c r="C320">
        <v>1</v>
      </c>
      <c r="D320">
        <v>8.0000000000000004E-4</v>
      </c>
      <c r="E320">
        <v>6.0943487142102502</v>
      </c>
      <c r="F320">
        <v>615.99330016439535</v>
      </c>
      <c r="G320">
        <v>0.42399999999999999</v>
      </c>
      <c r="H320">
        <v>1.5E-3</v>
      </c>
      <c r="I320">
        <v>117.60120000000001</v>
      </c>
    </row>
    <row r="321" spans="1:9" x14ac:dyDescent="0.3">
      <c r="A321" t="s">
        <v>9</v>
      </c>
      <c r="B321" t="s">
        <v>419</v>
      </c>
      <c r="C321">
        <v>1</v>
      </c>
      <c r="D321">
        <v>-1.6000000000000001E-3</v>
      </c>
      <c r="E321">
        <v>6.0201038288372439</v>
      </c>
      <c r="F321">
        <v>609.07367684763119</v>
      </c>
      <c r="G321">
        <v>0.42399999999999999</v>
      </c>
      <c r="H321">
        <v>4.0000000000000002E-4</v>
      </c>
      <c r="I321">
        <v>117.80240000000001</v>
      </c>
    </row>
    <row r="322" spans="1:9" x14ac:dyDescent="0.3">
      <c r="A322" t="s">
        <v>9</v>
      </c>
      <c r="B322" t="s">
        <v>420</v>
      </c>
      <c r="C322">
        <v>1</v>
      </c>
      <c r="D322">
        <v>-2.7000000000000001E-3</v>
      </c>
      <c r="E322">
        <v>5.9957352964068598</v>
      </c>
      <c r="F322">
        <v>606.80252962511929</v>
      </c>
      <c r="G322">
        <v>0.42399999999999999</v>
      </c>
      <c r="H322">
        <v>0</v>
      </c>
      <c r="I322">
        <v>118.0017</v>
      </c>
    </row>
    <row r="323" spans="1:9" x14ac:dyDescent="0.3">
      <c r="A323" t="s">
        <v>9</v>
      </c>
      <c r="B323" t="s">
        <v>421</v>
      </c>
      <c r="C323">
        <v>1</v>
      </c>
      <c r="D323">
        <v>-3.0999999999999999E-3</v>
      </c>
      <c r="E323">
        <v>6.0211009989979214</v>
      </c>
      <c r="F323">
        <v>711.40248480490266</v>
      </c>
      <c r="G323">
        <v>0.42399999999999999</v>
      </c>
      <c r="H323">
        <v>4.0000000000000002E-4</v>
      </c>
      <c r="I323">
        <v>118.2016</v>
      </c>
    </row>
    <row r="324" spans="1:9" x14ac:dyDescent="0.3">
      <c r="A324" t="s">
        <v>9</v>
      </c>
      <c r="B324" t="s">
        <v>422</v>
      </c>
      <c r="C324">
        <v>1</v>
      </c>
      <c r="D324">
        <v>-1.4E-3</v>
      </c>
      <c r="E324">
        <v>6.0947106374016684</v>
      </c>
      <c r="F324">
        <v>718.38803948941836</v>
      </c>
      <c r="G324">
        <v>0.42399999999999999</v>
      </c>
      <c r="H324">
        <v>1.5E-3</v>
      </c>
      <c r="I324">
        <v>118.3995</v>
      </c>
    </row>
    <row r="325" spans="1:9" x14ac:dyDescent="0.3">
      <c r="A325" t="s">
        <v>9</v>
      </c>
      <c r="B325" t="s">
        <v>423</v>
      </c>
      <c r="C325">
        <v>1</v>
      </c>
      <c r="D325">
        <v>2.0999999999999999E-3</v>
      </c>
      <c r="E325">
        <v>6.2164576902562736</v>
      </c>
      <c r="F325">
        <v>729.94183480532047</v>
      </c>
      <c r="G325">
        <v>0.42399999999999999</v>
      </c>
      <c r="H325">
        <v>3.3999999999999998E-3</v>
      </c>
      <c r="I325">
        <v>118.5997</v>
      </c>
    </row>
    <row r="326" spans="1:9" x14ac:dyDescent="0.3">
      <c r="A326" t="s">
        <v>9</v>
      </c>
      <c r="B326" t="s">
        <v>424</v>
      </c>
      <c r="C326">
        <v>1</v>
      </c>
      <c r="D326">
        <v>4.1000000000000003E-3</v>
      </c>
      <c r="E326">
        <v>6.3832825888143274</v>
      </c>
      <c r="F326">
        <v>745.77351767847972</v>
      </c>
      <c r="G326">
        <v>0.42399999999999999</v>
      </c>
      <c r="H326">
        <v>6.0000000000000001E-3</v>
      </c>
      <c r="I326">
        <v>118.8004</v>
      </c>
    </row>
    <row r="327" spans="1:9" x14ac:dyDescent="0.3">
      <c r="A327" t="s">
        <v>9</v>
      </c>
      <c r="B327" t="s">
        <v>425</v>
      </c>
      <c r="C327">
        <v>1</v>
      </c>
      <c r="D327">
        <v>7.0000000000000001E-3</v>
      </c>
      <c r="E327">
        <v>6.5894740342801539</v>
      </c>
      <c r="F327">
        <v>765.34108585318666</v>
      </c>
      <c r="G327">
        <v>0.42399999999999999</v>
      </c>
      <c r="H327">
        <v>9.1999999999999998E-3</v>
      </c>
      <c r="I327">
        <v>118.9999</v>
      </c>
    </row>
    <row r="328" spans="1:9" x14ac:dyDescent="0.3">
      <c r="A328" t="s">
        <v>9</v>
      </c>
      <c r="B328" t="s">
        <v>426</v>
      </c>
      <c r="C328">
        <v>1</v>
      </c>
      <c r="D328">
        <v>1.03E-2</v>
      </c>
      <c r="E328">
        <v>6.8346066472899656</v>
      </c>
      <c r="F328">
        <v>788.60417082781782</v>
      </c>
      <c r="G328">
        <v>0.42399999999999999</v>
      </c>
      <c r="H328">
        <v>1.2999999999999999E-2</v>
      </c>
      <c r="I328">
        <v>119.2025</v>
      </c>
    </row>
    <row r="329" spans="1:9" x14ac:dyDescent="0.3">
      <c r="A329" t="s">
        <v>9</v>
      </c>
      <c r="B329" t="s">
        <v>427</v>
      </c>
      <c r="C329">
        <v>1</v>
      </c>
      <c r="D329">
        <v>1.4200000000000001E-2</v>
      </c>
      <c r="E329">
        <v>7.1019335127404926</v>
      </c>
      <c r="F329">
        <v>813.97349035907291</v>
      </c>
      <c r="G329">
        <v>0.42399999999999999</v>
      </c>
      <c r="H329">
        <v>1.72E-2</v>
      </c>
      <c r="I329">
        <v>119.3995</v>
      </c>
    </row>
    <row r="330" spans="1:9" x14ac:dyDescent="0.3">
      <c r="A330" t="s">
        <v>9</v>
      </c>
      <c r="B330" t="s">
        <v>428</v>
      </c>
      <c r="C330">
        <v>1</v>
      </c>
      <c r="D330">
        <v>1.8200000000000001E-2</v>
      </c>
      <c r="E330">
        <v>7.3960194203348246</v>
      </c>
      <c r="F330">
        <v>841.88224298977491</v>
      </c>
      <c r="G330">
        <v>0.42399999999999999</v>
      </c>
      <c r="H330">
        <v>2.18E-2</v>
      </c>
      <c r="I330">
        <v>119.5996</v>
      </c>
    </row>
    <row r="331" spans="1:9" x14ac:dyDescent="0.3">
      <c r="A331" t="s">
        <v>9</v>
      </c>
      <c r="B331" t="s">
        <v>429</v>
      </c>
      <c r="C331">
        <v>1</v>
      </c>
      <c r="D331">
        <v>2.3E-2</v>
      </c>
      <c r="E331">
        <v>7.7054163089185037</v>
      </c>
      <c r="F331">
        <v>871.24400771636601</v>
      </c>
      <c r="G331">
        <v>0.42399999999999999</v>
      </c>
      <c r="H331">
        <v>2.6599999999999999E-2</v>
      </c>
      <c r="I331">
        <v>119.7997</v>
      </c>
    </row>
    <row r="332" spans="1:9" x14ac:dyDescent="0.3">
      <c r="A332" t="s">
        <v>9</v>
      </c>
      <c r="B332" t="s">
        <v>430</v>
      </c>
      <c r="C332">
        <v>1</v>
      </c>
      <c r="D332">
        <v>2.7900000000000001E-2</v>
      </c>
      <c r="E332">
        <v>8.0247735864750194</v>
      </c>
      <c r="F332">
        <v>901.55101335647942</v>
      </c>
      <c r="G332">
        <v>0.42399999999999999</v>
      </c>
      <c r="H332">
        <v>3.15E-2</v>
      </c>
      <c r="I332">
        <v>120.00109999999999</v>
      </c>
    </row>
    <row r="333" spans="1:9" x14ac:dyDescent="0.3">
      <c r="A333" t="s">
        <v>9</v>
      </c>
      <c r="B333" t="s">
        <v>431</v>
      </c>
      <c r="C333">
        <v>1</v>
      </c>
      <c r="D333">
        <v>3.2800000000000003E-2</v>
      </c>
      <c r="E333">
        <v>8.3422867830607057</v>
      </c>
      <c r="F333">
        <v>931.68301571246104</v>
      </c>
      <c r="G333">
        <v>0.42399999999999999</v>
      </c>
      <c r="H333">
        <v>3.6499999999999998E-2</v>
      </c>
      <c r="I333">
        <v>120.2013</v>
      </c>
    </row>
    <row r="334" spans="1:9" x14ac:dyDescent="0.3">
      <c r="A334" t="s">
        <v>9</v>
      </c>
      <c r="B334" t="s">
        <v>432</v>
      </c>
      <c r="C334">
        <v>1</v>
      </c>
      <c r="D334">
        <v>3.8399999999999997E-2</v>
      </c>
      <c r="E334">
        <v>8.6538022563129395</v>
      </c>
      <c r="F334">
        <v>961.245834124098</v>
      </c>
      <c r="G334">
        <v>0.42399999999999999</v>
      </c>
      <c r="H334">
        <v>4.1300000000000003E-2</v>
      </c>
      <c r="I334">
        <v>120.4028</v>
      </c>
    </row>
    <row r="335" spans="1:9" x14ac:dyDescent="0.3">
      <c r="A335" t="s">
        <v>9</v>
      </c>
      <c r="B335" t="s">
        <v>433</v>
      </c>
      <c r="C335">
        <v>1</v>
      </c>
      <c r="D335">
        <v>4.2599999999999999E-2</v>
      </c>
      <c r="E335">
        <v>8.9434150105936805</v>
      </c>
      <c r="F335">
        <v>988.7300845053403</v>
      </c>
      <c r="G335">
        <v>0.42399999999999999</v>
      </c>
      <c r="H335">
        <v>4.58E-2</v>
      </c>
      <c r="I335">
        <v>120.59990000000001</v>
      </c>
    </row>
    <row r="336" spans="1:9" x14ac:dyDescent="0.3">
      <c r="A336" t="s">
        <v>9</v>
      </c>
      <c r="B336" t="s">
        <v>434</v>
      </c>
      <c r="C336">
        <v>1</v>
      </c>
      <c r="D336">
        <v>4.7800000000000002E-2</v>
      </c>
      <c r="E336">
        <v>9.2172626566451115</v>
      </c>
      <c r="F336">
        <v>1014.718226115621</v>
      </c>
      <c r="G336">
        <v>0.42399999999999999</v>
      </c>
      <c r="H336">
        <v>5.0099999999999999E-2</v>
      </c>
      <c r="I336">
        <v>120.80200000000001</v>
      </c>
    </row>
    <row r="337" spans="1:9" x14ac:dyDescent="0.3">
      <c r="A337" t="s">
        <v>9</v>
      </c>
      <c r="B337" t="s">
        <v>435</v>
      </c>
      <c r="C337">
        <v>1</v>
      </c>
      <c r="D337">
        <v>5.2600000000000001E-2</v>
      </c>
      <c r="E337">
        <v>9.4575977397413631</v>
      </c>
      <c r="F337">
        <v>1037.526025501455</v>
      </c>
      <c r="G337">
        <v>0.42399999999999999</v>
      </c>
      <c r="H337">
        <v>5.3800000000000001E-2</v>
      </c>
      <c r="I337">
        <v>121.0008</v>
      </c>
    </row>
    <row r="338" spans="1:9" x14ac:dyDescent="0.3">
      <c r="A338" t="s">
        <v>9</v>
      </c>
      <c r="B338" t="s">
        <v>436</v>
      </c>
      <c r="C338">
        <v>1</v>
      </c>
      <c r="D338">
        <v>5.62E-2</v>
      </c>
      <c r="E338">
        <v>9.6646096147226626</v>
      </c>
      <c r="F338">
        <v>1057.171452437181</v>
      </c>
      <c r="G338">
        <v>0.42399999999999999</v>
      </c>
      <c r="H338">
        <v>5.7000000000000002E-2</v>
      </c>
      <c r="I338">
        <v>121.2015</v>
      </c>
    </row>
    <row r="339" spans="1:9" x14ac:dyDescent="0.3">
      <c r="A339" t="s">
        <v>9</v>
      </c>
      <c r="B339" t="s">
        <v>437</v>
      </c>
      <c r="C339">
        <v>1</v>
      </c>
      <c r="D339">
        <v>5.9299999999999999E-2</v>
      </c>
      <c r="E339">
        <v>9.8302784756254979</v>
      </c>
      <c r="F339">
        <v>1072.89342733686</v>
      </c>
      <c r="G339">
        <v>0.42399999999999999</v>
      </c>
      <c r="H339">
        <v>5.96E-2</v>
      </c>
      <c r="I339">
        <v>121.4011</v>
      </c>
    </row>
    <row r="340" spans="1:9" x14ac:dyDescent="0.3">
      <c r="A340" t="s">
        <v>9</v>
      </c>
      <c r="B340" t="s">
        <v>438</v>
      </c>
      <c r="C340">
        <v>1</v>
      </c>
      <c r="D340">
        <v>6.2E-2</v>
      </c>
      <c r="E340">
        <v>9.9522262365013336</v>
      </c>
      <c r="F340">
        <v>1084.466269843977</v>
      </c>
      <c r="G340">
        <v>0.42399999999999999</v>
      </c>
      <c r="H340">
        <v>6.1499999999999999E-2</v>
      </c>
      <c r="I340">
        <v>121.60209999999999</v>
      </c>
    </row>
    <row r="341" spans="1:9" x14ac:dyDescent="0.3">
      <c r="A341" t="s">
        <v>9</v>
      </c>
      <c r="B341" t="s">
        <v>439</v>
      </c>
      <c r="C341">
        <v>1</v>
      </c>
      <c r="D341">
        <v>6.4699999999999994E-2</v>
      </c>
      <c r="E341">
        <v>10.02586013016534</v>
      </c>
      <c r="F341">
        <v>1091.454126352691</v>
      </c>
      <c r="G341">
        <v>0.42399999999999999</v>
      </c>
      <c r="H341">
        <v>6.2600000000000003E-2</v>
      </c>
      <c r="I341">
        <v>121.8015</v>
      </c>
    </row>
    <row r="342" spans="1:9" x14ac:dyDescent="0.3">
      <c r="A342" t="s">
        <v>9</v>
      </c>
      <c r="B342" t="s">
        <v>440</v>
      </c>
      <c r="C342">
        <v>1</v>
      </c>
      <c r="D342">
        <v>6.5799999999999997E-2</v>
      </c>
      <c r="E342">
        <v>10.050438550615841</v>
      </c>
      <c r="F342">
        <v>1093.7866184534439</v>
      </c>
      <c r="G342">
        <v>0.42399999999999999</v>
      </c>
      <c r="H342">
        <v>6.3E-2</v>
      </c>
      <c r="I342">
        <v>122.00190000000001</v>
      </c>
    </row>
    <row r="343" spans="1:9" x14ac:dyDescent="0.3">
      <c r="A343" t="s">
        <v>9</v>
      </c>
      <c r="B343" t="s">
        <v>441</v>
      </c>
      <c r="C343">
        <v>1</v>
      </c>
      <c r="D343">
        <v>6.5799999999999997E-2</v>
      </c>
      <c r="E343">
        <v>10.025104738158159</v>
      </c>
      <c r="F343">
        <v>982.33976159634096</v>
      </c>
      <c r="G343">
        <v>0.42399999999999999</v>
      </c>
      <c r="H343">
        <v>6.2600000000000003E-2</v>
      </c>
      <c r="I343">
        <v>122.2015</v>
      </c>
    </row>
    <row r="344" spans="1:9" x14ac:dyDescent="0.3">
      <c r="A344" t="s">
        <v>9</v>
      </c>
      <c r="B344" t="s">
        <v>442</v>
      </c>
      <c r="C344">
        <v>1</v>
      </c>
      <c r="D344">
        <v>6.4199999999999993E-2</v>
      </c>
      <c r="E344">
        <v>9.9512863553029209</v>
      </c>
      <c r="F344">
        <v>975.45988831423222</v>
      </c>
      <c r="G344">
        <v>0.42399999999999999</v>
      </c>
      <c r="H344">
        <v>6.1499999999999999E-2</v>
      </c>
      <c r="I344">
        <v>122.3999</v>
      </c>
    </row>
    <row r="345" spans="1:9" x14ac:dyDescent="0.3">
      <c r="A345" t="s">
        <v>9</v>
      </c>
      <c r="B345" t="s">
        <v>443</v>
      </c>
      <c r="C345">
        <v>1</v>
      </c>
      <c r="D345">
        <v>6.2600000000000003E-2</v>
      </c>
      <c r="E345">
        <v>9.8291536997651008</v>
      </c>
      <c r="F345">
        <v>964.07712481810745</v>
      </c>
      <c r="G345">
        <v>0.42399999999999999</v>
      </c>
      <c r="H345">
        <v>5.96E-2</v>
      </c>
      <c r="I345">
        <v>122.60039999999999</v>
      </c>
    </row>
    <row r="346" spans="1:9" x14ac:dyDescent="0.3">
      <c r="A346" t="s">
        <v>9</v>
      </c>
      <c r="B346" t="s">
        <v>444</v>
      </c>
      <c r="C346">
        <v>1</v>
      </c>
      <c r="D346">
        <v>6.08E-2</v>
      </c>
      <c r="E346">
        <v>9.6618252470826675</v>
      </c>
      <c r="F346">
        <v>948.48211302810466</v>
      </c>
      <c r="G346">
        <v>0.42399999999999999</v>
      </c>
      <c r="H346">
        <v>5.7000000000000002E-2</v>
      </c>
      <c r="I346">
        <v>122.8015</v>
      </c>
    </row>
    <row r="347" spans="1:9" x14ac:dyDescent="0.3">
      <c r="A347" t="s">
        <v>9</v>
      </c>
      <c r="B347" t="s">
        <v>445</v>
      </c>
      <c r="C347">
        <v>1</v>
      </c>
      <c r="D347">
        <v>5.8599999999999999E-2</v>
      </c>
      <c r="E347">
        <v>9.4573982481323817</v>
      </c>
      <c r="F347">
        <v>929.42951672593802</v>
      </c>
      <c r="G347">
        <v>0.42399999999999999</v>
      </c>
      <c r="H347">
        <v>5.3800000000000001E-2</v>
      </c>
      <c r="I347">
        <v>122.99930000000001</v>
      </c>
    </row>
    <row r="348" spans="1:9" x14ac:dyDescent="0.3">
      <c r="A348" t="s">
        <v>9</v>
      </c>
      <c r="B348" t="s">
        <v>446</v>
      </c>
      <c r="C348">
        <v>1</v>
      </c>
      <c r="D348">
        <v>5.5E-2</v>
      </c>
      <c r="E348">
        <v>9.2156719948930075</v>
      </c>
      <c r="F348">
        <v>906.90062992402829</v>
      </c>
      <c r="G348">
        <v>0.42399999999999999</v>
      </c>
      <c r="H348">
        <v>0.05</v>
      </c>
      <c r="I348">
        <v>123.19929999999999</v>
      </c>
    </row>
    <row r="349" spans="1:9" x14ac:dyDescent="0.3">
      <c r="A349" t="s">
        <v>9</v>
      </c>
      <c r="B349" t="s">
        <v>447</v>
      </c>
      <c r="C349">
        <v>1</v>
      </c>
      <c r="D349">
        <v>5.0799999999999998E-2</v>
      </c>
      <c r="E349">
        <v>8.9435082688661716</v>
      </c>
      <c r="F349">
        <v>881.53497065832721</v>
      </c>
      <c r="G349">
        <v>0.42399999999999999</v>
      </c>
      <c r="H349">
        <v>4.58E-2</v>
      </c>
      <c r="I349">
        <v>123.4</v>
      </c>
    </row>
    <row r="350" spans="1:9" x14ac:dyDescent="0.3">
      <c r="A350" t="s">
        <v>9</v>
      </c>
      <c r="B350" t="s">
        <v>448</v>
      </c>
      <c r="C350">
        <v>1</v>
      </c>
      <c r="D350">
        <v>4.5999999999999999E-2</v>
      </c>
      <c r="E350">
        <v>8.649784446651557</v>
      </c>
      <c r="F350">
        <v>854.15991042792518</v>
      </c>
      <c r="G350">
        <v>0.42399999999999999</v>
      </c>
      <c r="H350">
        <v>4.1200000000000001E-2</v>
      </c>
      <c r="I350">
        <v>123.59990000000001</v>
      </c>
    </row>
    <row r="351" spans="1:9" x14ac:dyDescent="0.3">
      <c r="A351" t="s">
        <v>9</v>
      </c>
      <c r="B351" t="s">
        <v>449</v>
      </c>
      <c r="C351">
        <v>1</v>
      </c>
      <c r="D351">
        <v>4.1500000000000002E-2</v>
      </c>
      <c r="E351">
        <v>8.3380512356065939</v>
      </c>
      <c r="F351">
        <v>825.10637515853455</v>
      </c>
      <c r="G351">
        <v>0.42399999999999999</v>
      </c>
      <c r="H351">
        <v>3.6400000000000002E-2</v>
      </c>
      <c r="I351">
        <v>123.8014</v>
      </c>
    </row>
    <row r="352" spans="1:9" x14ac:dyDescent="0.3">
      <c r="A352" t="s">
        <v>9</v>
      </c>
      <c r="B352" t="s">
        <v>450</v>
      </c>
      <c r="C352">
        <v>1</v>
      </c>
      <c r="D352">
        <v>3.6600000000000001E-2</v>
      </c>
      <c r="E352">
        <v>8.0234399931783926</v>
      </c>
      <c r="F352">
        <v>795.78460736422619</v>
      </c>
      <c r="G352">
        <v>0.42399999999999999</v>
      </c>
      <c r="H352">
        <v>3.15E-2</v>
      </c>
      <c r="I352">
        <v>123.99979999999999</v>
      </c>
    </row>
    <row r="353" spans="1:9" x14ac:dyDescent="0.3">
      <c r="A353" t="s">
        <v>9</v>
      </c>
      <c r="B353" t="s">
        <v>451</v>
      </c>
      <c r="C353">
        <v>1</v>
      </c>
      <c r="D353">
        <v>3.1600000000000003E-2</v>
      </c>
      <c r="E353">
        <v>7.7062990187411744</v>
      </c>
      <c r="F353">
        <v>766.2270685466774</v>
      </c>
      <c r="G353">
        <v>0.42399999999999999</v>
      </c>
      <c r="H353">
        <v>2.6599999999999999E-2</v>
      </c>
      <c r="I353">
        <v>124.1998</v>
      </c>
    </row>
    <row r="354" spans="1:9" x14ac:dyDescent="0.3">
      <c r="A354" t="s">
        <v>9</v>
      </c>
      <c r="B354" t="s">
        <v>452</v>
      </c>
      <c r="C354">
        <v>1</v>
      </c>
      <c r="D354">
        <v>2.58E-2</v>
      </c>
      <c r="E354">
        <v>7.3944867408999642</v>
      </c>
      <c r="F354">
        <v>737.16616425187669</v>
      </c>
      <c r="G354">
        <v>0.42399999999999999</v>
      </c>
      <c r="H354">
        <v>2.1700000000000001E-2</v>
      </c>
      <c r="I354">
        <v>124.4014</v>
      </c>
    </row>
    <row r="355" spans="1:9" x14ac:dyDescent="0.3">
      <c r="A355" t="s">
        <v>9</v>
      </c>
      <c r="B355" t="s">
        <v>453</v>
      </c>
      <c r="C355">
        <v>1</v>
      </c>
      <c r="D355">
        <v>2.1499999999999998E-2</v>
      </c>
      <c r="E355">
        <v>7.1009798455365818</v>
      </c>
      <c r="F355">
        <v>709.81132160400944</v>
      </c>
      <c r="G355">
        <v>0.42399999999999999</v>
      </c>
      <c r="H355">
        <v>1.72E-2</v>
      </c>
      <c r="I355">
        <v>124.60120000000001</v>
      </c>
    </row>
    <row r="356" spans="1:9" x14ac:dyDescent="0.3">
      <c r="A356" t="s">
        <v>9</v>
      </c>
      <c r="B356" t="s">
        <v>454</v>
      </c>
      <c r="C356">
        <v>1</v>
      </c>
      <c r="D356">
        <v>1.7000000000000001E-2</v>
      </c>
      <c r="E356">
        <v>6.8311102730130342</v>
      </c>
      <c r="F356">
        <v>684.6594774448148</v>
      </c>
      <c r="G356">
        <v>0.42399999999999999</v>
      </c>
      <c r="H356">
        <v>1.2999999999999999E-2</v>
      </c>
      <c r="I356">
        <v>124.8002</v>
      </c>
    </row>
    <row r="357" spans="1:9" x14ac:dyDescent="0.3">
      <c r="A357" t="s">
        <v>9</v>
      </c>
      <c r="B357" t="s">
        <v>455</v>
      </c>
      <c r="C357">
        <v>1</v>
      </c>
      <c r="D357">
        <v>1.1599999999999999E-2</v>
      </c>
      <c r="E357">
        <v>6.5900076337871054</v>
      </c>
      <c r="F357">
        <v>662.18871146895822</v>
      </c>
      <c r="G357">
        <v>0.42399999999999999</v>
      </c>
      <c r="H357">
        <v>9.1999999999999998E-3</v>
      </c>
      <c r="I357">
        <v>124.9996</v>
      </c>
    </row>
    <row r="358" spans="1:9" x14ac:dyDescent="0.3">
      <c r="A358" t="s">
        <v>9</v>
      </c>
      <c r="B358" t="s">
        <v>456</v>
      </c>
      <c r="C358">
        <v>1</v>
      </c>
      <c r="D358">
        <v>7.3000000000000001E-3</v>
      </c>
      <c r="E358">
        <v>6.3821352282331576</v>
      </c>
      <c r="F358">
        <v>642.8150032713304</v>
      </c>
      <c r="G358">
        <v>0.42399999999999999</v>
      </c>
      <c r="H358">
        <v>6.0000000000000001E-3</v>
      </c>
      <c r="I358">
        <v>125.2008</v>
      </c>
    </row>
    <row r="359" spans="1:9" x14ac:dyDescent="0.3">
      <c r="A359" t="s">
        <v>9</v>
      </c>
      <c r="B359" t="s">
        <v>457</v>
      </c>
      <c r="C359">
        <v>1</v>
      </c>
      <c r="D359">
        <v>3.5999999999999999E-3</v>
      </c>
      <c r="E359">
        <v>6.2167368568676231</v>
      </c>
      <c r="F359">
        <v>627.39987506006253</v>
      </c>
      <c r="G359">
        <v>0.42399999999999999</v>
      </c>
      <c r="H359">
        <v>3.3999999999999998E-3</v>
      </c>
      <c r="I359">
        <v>125.3999</v>
      </c>
    </row>
    <row r="360" spans="1:9" x14ac:dyDescent="0.3">
      <c r="A360" t="s">
        <v>9</v>
      </c>
      <c r="B360" t="s">
        <v>458</v>
      </c>
      <c r="C360">
        <v>1</v>
      </c>
      <c r="D360">
        <v>8.0000000000000004E-4</v>
      </c>
      <c r="E360">
        <v>6.0951300563454298</v>
      </c>
      <c r="F360">
        <v>616.06612125139407</v>
      </c>
      <c r="G360">
        <v>0.42399999999999999</v>
      </c>
      <c r="H360">
        <v>1.5E-3</v>
      </c>
      <c r="I360">
        <v>125.5996</v>
      </c>
    </row>
    <row r="361" spans="1:9" x14ac:dyDescent="0.3">
      <c r="A361" t="s">
        <v>9</v>
      </c>
      <c r="B361" t="s">
        <v>459</v>
      </c>
      <c r="C361">
        <v>1</v>
      </c>
      <c r="D361">
        <v>-1.6999999999999999E-3</v>
      </c>
      <c r="E361">
        <v>6.0204292515517492</v>
      </c>
      <c r="F361">
        <v>609.10400624462306</v>
      </c>
      <c r="G361">
        <v>0.42399999999999999</v>
      </c>
      <c r="H361">
        <v>4.0000000000000002E-4</v>
      </c>
      <c r="I361">
        <v>125.80110000000001</v>
      </c>
    </row>
    <row r="362" spans="1:9" x14ac:dyDescent="0.3">
      <c r="A362" t="s">
        <v>9</v>
      </c>
      <c r="B362" t="s">
        <v>460</v>
      </c>
      <c r="C362">
        <v>1</v>
      </c>
      <c r="D362">
        <v>-2.5999999999999999E-3</v>
      </c>
      <c r="E362">
        <v>5.995734208849564</v>
      </c>
      <c r="F362">
        <v>606.80242826477934</v>
      </c>
      <c r="G362">
        <v>0.42399999999999999</v>
      </c>
      <c r="H362">
        <v>0</v>
      </c>
      <c r="I362">
        <v>126.00109999999999</v>
      </c>
    </row>
    <row r="363" spans="1:9" x14ac:dyDescent="0.3">
      <c r="A363" t="s">
        <v>9</v>
      </c>
      <c r="B363" t="s">
        <v>461</v>
      </c>
      <c r="C363">
        <v>1</v>
      </c>
      <c r="D363">
        <v>-3.0000000000000001E-3</v>
      </c>
      <c r="E363">
        <v>6.0211066796431281</v>
      </c>
      <c r="F363">
        <v>711.40302389813291</v>
      </c>
      <c r="G363">
        <v>0.42399999999999999</v>
      </c>
      <c r="H363">
        <v>4.0000000000000002E-4</v>
      </c>
      <c r="I363">
        <v>126.2017</v>
      </c>
    </row>
    <row r="364" spans="1:9" x14ac:dyDescent="0.3">
      <c r="A364" t="s">
        <v>9</v>
      </c>
      <c r="B364" t="s">
        <v>462</v>
      </c>
      <c r="C364">
        <v>1</v>
      </c>
      <c r="D364">
        <v>-5.9999999999999995E-4</v>
      </c>
      <c r="E364">
        <v>6.0960821422134179</v>
      </c>
      <c r="F364">
        <v>718.51819529605336</v>
      </c>
      <c r="G364">
        <v>0.42399999999999999</v>
      </c>
      <c r="H364">
        <v>1.6000000000000001E-3</v>
      </c>
      <c r="I364">
        <v>126.4023</v>
      </c>
    </row>
    <row r="365" spans="1:9" x14ac:dyDescent="0.3">
      <c r="A365" t="s">
        <v>9</v>
      </c>
      <c r="B365" t="s">
        <v>463</v>
      </c>
      <c r="C365">
        <v>1</v>
      </c>
      <c r="D365">
        <v>2.3E-3</v>
      </c>
      <c r="E365">
        <v>6.2168391976849131</v>
      </c>
      <c r="F365">
        <v>729.97803986029828</v>
      </c>
      <c r="G365">
        <v>0.42399999999999999</v>
      </c>
      <c r="H365">
        <v>3.3999999999999998E-3</v>
      </c>
      <c r="I365">
        <v>126.6002</v>
      </c>
    </row>
    <row r="366" spans="1:9" x14ac:dyDescent="0.3">
      <c r="A366" t="s">
        <v>9</v>
      </c>
      <c r="B366" t="s">
        <v>464</v>
      </c>
      <c r="C366">
        <v>1</v>
      </c>
      <c r="D366">
        <v>4.1999999999999997E-3</v>
      </c>
      <c r="E366">
        <v>6.3844050940385246</v>
      </c>
      <c r="F366">
        <v>745.88004342425597</v>
      </c>
      <c r="G366">
        <v>0.42399999999999999</v>
      </c>
      <c r="H366">
        <v>6.0000000000000001E-3</v>
      </c>
      <c r="I366">
        <v>126.80159999999999</v>
      </c>
    </row>
    <row r="367" spans="1:9" x14ac:dyDescent="0.3">
      <c r="A367" t="s">
        <v>9</v>
      </c>
      <c r="B367" t="s">
        <v>465</v>
      </c>
      <c r="C367">
        <v>1</v>
      </c>
      <c r="D367">
        <v>7.3000000000000001E-3</v>
      </c>
      <c r="E367">
        <v>6.5891277622596851</v>
      </c>
      <c r="F367">
        <v>765.30822463844413</v>
      </c>
      <c r="G367">
        <v>0.42399999999999999</v>
      </c>
      <c r="H367">
        <v>9.1999999999999998E-3</v>
      </c>
      <c r="I367">
        <v>126.9996</v>
      </c>
    </row>
    <row r="368" spans="1:9" x14ac:dyDescent="0.3">
      <c r="A368" t="s">
        <v>9</v>
      </c>
      <c r="B368" t="s">
        <v>466</v>
      </c>
      <c r="C368">
        <v>1</v>
      </c>
      <c r="D368">
        <v>1.0200000000000001E-2</v>
      </c>
      <c r="E368">
        <v>6.8354881407003836</v>
      </c>
      <c r="F368">
        <v>788.68782455246651</v>
      </c>
      <c r="G368">
        <v>0.42399999999999999</v>
      </c>
      <c r="H368">
        <v>1.2999999999999999E-2</v>
      </c>
      <c r="I368">
        <v>127.20310000000001</v>
      </c>
    </row>
    <row r="369" spans="1:9" x14ac:dyDescent="0.3">
      <c r="A369" t="s">
        <v>9</v>
      </c>
      <c r="B369" t="s">
        <v>467</v>
      </c>
      <c r="C369">
        <v>1</v>
      </c>
      <c r="D369">
        <v>1.4200000000000001E-2</v>
      </c>
      <c r="E369">
        <v>7.103591888107843</v>
      </c>
      <c r="F369">
        <v>814.13087018143437</v>
      </c>
      <c r="G369">
        <v>0.42399999999999999</v>
      </c>
      <c r="H369">
        <v>1.72E-2</v>
      </c>
      <c r="I369">
        <v>127.4006</v>
      </c>
    </row>
    <row r="370" spans="1:9" x14ac:dyDescent="0.3">
      <c r="A370" t="s">
        <v>9</v>
      </c>
      <c r="B370" t="s">
        <v>468</v>
      </c>
      <c r="C370">
        <v>1</v>
      </c>
      <c r="D370">
        <v>1.8499999999999999E-2</v>
      </c>
      <c r="E370">
        <v>7.3978193049939076</v>
      </c>
      <c r="F370">
        <v>842.05305204392198</v>
      </c>
      <c r="G370">
        <v>0.42399999999999999</v>
      </c>
      <c r="H370">
        <v>2.18E-2</v>
      </c>
      <c r="I370">
        <v>127.60080000000001</v>
      </c>
    </row>
    <row r="371" spans="1:9" x14ac:dyDescent="0.3">
      <c r="A371" t="s">
        <v>9</v>
      </c>
      <c r="B371" t="s">
        <v>469</v>
      </c>
      <c r="C371">
        <v>1</v>
      </c>
      <c r="D371">
        <v>2.3E-2</v>
      </c>
      <c r="E371">
        <v>7.7059559904867054</v>
      </c>
      <c r="F371">
        <v>871.29522349718832</v>
      </c>
      <c r="G371">
        <v>0.42399999999999999</v>
      </c>
      <c r="H371">
        <v>2.6599999999999999E-2</v>
      </c>
      <c r="I371">
        <v>127.8</v>
      </c>
    </row>
    <row r="372" spans="1:9" x14ac:dyDescent="0.3">
      <c r="A372" t="s">
        <v>9</v>
      </c>
      <c r="B372" t="s">
        <v>470</v>
      </c>
      <c r="C372">
        <v>1</v>
      </c>
      <c r="D372">
        <v>2.7799999999999998E-2</v>
      </c>
      <c r="E372">
        <v>8.0225670146537222</v>
      </c>
      <c r="F372">
        <v>901.34160969063828</v>
      </c>
      <c r="G372">
        <v>0.42399999999999999</v>
      </c>
      <c r="H372">
        <v>3.15E-2</v>
      </c>
      <c r="I372">
        <v>127.9997</v>
      </c>
    </row>
    <row r="373" spans="1:9" x14ac:dyDescent="0.3">
      <c r="A373" t="s">
        <v>9</v>
      </c>
      <c r="B373" t="s">
        <v>471</v>
      </c>
      <c r="C373">
        <v>1</v>
      </c>
      <c r="D373">
        <v>3.3000000000000002E-2</v>
      </c>
      <c r="E373">
        <v>8.3419101007339904</v>
      </c>
      <c r="F373">
        <v>931.64726855965569</v>
      </c>
      <c r="G373">
        <v>0.42399999999999999</v>
      </c>
      <c r="H373">
        <v>3.6499999999999998E-2</v>
      </c>
      <c r="I373">
        <v>128.2011</v>
      </c>
    </row>
    <row r="374" spans="1:9" x14ac:dyDescent="0.3">
      <c r="A374" t="s">
        <v>9</v>
      </c>
      <c r="B374" t="s">
        <v>472</v>
      </c>
      <c r="C374">
        <v>1</v>
      </c>
      <c r="D374">
        <v>3.7499999999999999E-2</v>
      </c>
      <c r="E374">
        <v>8.6495869823963272</v>
      </c>
      <c r="F374">
        <v>960.84580462941153</v>
      </c>
      <c r="G374">
        <v>0.42399999999999999</v>
      </c>
      <c r="H374">
        <v>4.1200000000000001E-2</v>
      </c>
      <c r="I374">
        <v>128.4</v>
      </c>
    </row>
    <row r="375" spans="1:9" x14ac:dyDescent="0.3">
      <c r="A375" t="s">
        <v>9</v>
      </c>
      <c r="B375" t="s">
        <v>473</v>
      </c>
      <c r="C375">
        <v>1</v>
      </c>
      <c r="D375">
        <v>4.2900000000000001E-2</v>
      </c>
      <c r="E375">
        <v>8.9436538328654063</v>
      </c>
      <c r="F375">
        <v>988.75274873892715</v>
      </c>
      <c r="G375">
        <v>0.42399999999999999</v>
      </c>
      <c r="H375">
        <v>4.58E-2</v>
      </c>
      <c r="I375">
        <v>128.6001</v>
      </c>
    </row>
    <row r="376" spans="1:9" x14ac:dyDescent="0.3">
      <c r="A376" t="s">
        <v>9</v>
      </c>
      <c r="B376" t="s">
        <v>474</v>
      </c>
      <c r="C376">
        <v>1</v>
      </c>
      <c r="D376">
        <v>4.7699999999999999E-2</v>
      </c>
      <c r="E376">
        <v>9.2138396725739256</v>
      </c>
      <c r="F376">
        <v>1014.393384927266</v>
      </c>
      <c r="G376">
        <v>0.42399999999999999</v>
      </c>
      <c r="H376">
        <v>0.05</v>
      </c>
      <c r="I376">
        <v>128.79929999999999</v>
      </c>
    </row>
    <row r="377" spans="1:9" x14ac:dyDescent="0.3">
      <c r="A377" t="s">
        <v>9</v>
      </c>
      <c r="B377" t="s">
        <v>475</v>
      </c>
      <c r="C377">
        <v>1</v>
      </c>
      <c r="D377">
        <v>5.2400000000000002E-2</v>
      </c>
      <c r="E377">
        <v>9.458191348919307</v>
      </c>
      <c r="F377">
        <v>1037.5823590124421</v>
      </c>
      <c r="G377">
        <v>0.42399999999999999</v>
      </c>
      <c r="H377">
        <v>5.3800000000000001E-2</v>
      </c>
      <c r="I377">
        <v>129.00139999999999</v>
      </c>
    </row>
    <row r="378" spans="1:9" x14ac:dyDescent="0.3">
      <c r="A378" t="s">
        <v>9</v>
      </c>
      <c r="B378" t="s">
        <v>476</v>
      </c>
      <c r="C378">
        <v>1</v>
      </c>
      <c r="D378">
        <v>5.6300000000000003E-2</v>
      </c>
      <c r="E378">
        <v>9.664576771591916</v>
      </c>
      <c r="F378">
        <v>1057.1683356240731</v>
      </c>
      <c r="G378">
        <v>0.42399999999999999</v>
      </c>
      <c r="H378">
        <v>5.7000000000000002E-2</v>
      </c>
      <c r="I378">
        <v>129.20140000000001</v>
      </c>
    </row>
    <row r="379" spans="1:9" x14ac:dyDescent="0.3">
      <c r="A379" t="s">
        <v>9</v>
      </c>
      <c r="B379" t="s">
        <v>477</v>
      </c>
      <c r="C379">
        <v>1</v>
      </c>
      <c r="D379">
        <v>5.91E-2</v>
      </c>
      <c r="E379">
        <v>9.8297335229375484</v>
      </c>
      <c r="F379">
        <v>1072.8417113267731</v>
      </c>
      <c r="G379">
        <v>0.42399999999999999</v>
      </c>
      <c r="H379">
        <v>5.96E-2</v>
      </c>
      <c r="I379">
        <v>129.40039999999999</v>
      </c>
    </row>
    <row r="380" spans="1:9" x14ac:dyDescent="0.3">
      <c r="A380" t="s">
        <v>9</v>
      </c>
      <c r="B380" t="s">
        <v>478</v>
      </c>
      <c r="C380">
        <v>1</v>
      </c>
      <c r="D380">
        <v>6.1800000000000001E-2</v>
      </c>
      <c r="E380">
        <v>9.9518045469213749</v>
      </c>
      <c r="F380">
        <v>1084.426251502839</v>
      </c>
      <c r="G380">
        <v>0.42399999999999999</v>
      </c>
      <c r="H380">
        <v>6.1499999999999999E-2</v>
      </c>
      <c r="I380">
        <v>129.60120000000001</v>
      </c>
    </row>
    <row r="381" spans="1:9" x14ac:dyDescent="0.3">
      <c r="A381" t="s">
        <v>9</v>
      </c>
      <c r="B381" t="s">
        <v>479</v>
      </c>
      <c r="C381">
        <v>1</v>
      </c>
      <c r="D381">
        <v>6.4699999999999994E-2</v>
      </c>
      <c r="E381">
        <v>10.025971229150841</v>
      </c>
      <c r="F381">
        <v>1091.464669646414</v>
      </c>
      <c r="G381">
        <v>0.42399999999999999</v>
      </c>
      <c r="H381">
        <v>6.2600000000000003E-2</v>
      </c>
      <c r="I381">
        <v>129.80199999999999</v>
      </c>
    </row>
    <row r="382" spans="1:9" x14ac:dyDescent="0.3">
      <c r="A382" t="s">
        <v>9</v>
      </c>
      <c r="B382" t="s">
        <v>480</v>
      </c>
      <c r="C382">
        <v>1</v>
      </c>
      <c r="D382">
        <v>6.6299999999999998E-2</v>
      </c>
      <c r="E382">
        <v>10.05044098344035</v>
      </c>
      <c r="F382">
        <v>1093.7868493284891</v>
      </c>
      <c r="G382">
        <v>0.42399999999999999</v>
      </c>
      <c r="H382">
        <v>6.3E-2</v>
      </c>
      <c r="I382">
        <v>129.9999</v>
      </c>
    </row>
    <row r="383" spans="1:9" x14ac:dyDescent="0.3">
      <c r="A383" t="s">
        <v>9</v>
      </c>
      <c r="B383" t="s">
        <v>481</v>
      </c>
      <c r="C383">
        <v>1</v>
      </c>
      <c r="D383">
        <v>6.6500000000000004E-2</v>
      </c>
      <c r="E383">
        <v>10.02502607683267</v>
      </c>
      <c r="F383">
        <v>982.33243036080489</v>
      </c>
      <c r="G383">
        <v>0.42399999999999999</v>
      </c>
      <c r="H383">
        <v>6.2600000000000003E-2</v>
      </c>
      <c r="I383">
        <v>130.20179999999999</v>
      </c>
    </row>
    <row r="384" spans="1:9" x14ac:dyDescent="0.3">
      <c r="A384" t="s">
        <v>9</v>
      </c>
      <c r="B384" t="s">
        <v>482</v>
      </c>
      <c r="C384">
        <v>1</v>
      </c>
      <c r="D384">
        <v>6.4299999999999996E-2</v>
      </c>
      <c r="E384">
        <v>9.9510791597496908</v>
      </c>
      <c r="F384">
        <v>975.44057768867117</v>
      </c>
      <c r="G384">
        <v>0.42399999999999999</v>
      </c>
      <c r="H384">
        <v>6.1499999999999999E-2</v>
      </c>
      <c r="I384">
        <v>130.40029999999999</v>
      </c>
    </row>
    <row r="385" spans="1:9" x14ac:dyDescent="0.3">
      <c r="A385" t="s">
        <v>9</v>
      </c>
      <c r="B385" t="s">
        <v>483</v>
      </c>
      <c r="C385">
        <v>1</v>
      </c>
      <c r="D385">
        <v>6.2799999999999995E-2</v>
      </c>
      <c r="E385">
        <v>9.8292777738145904</v>
      </c>
      <c r="F385">
        <v>964.08868851951991</v>
      </c>
      <c r="G385">
        <v>0.42399999999999999</v>
      </c>
      <c r="H385">
        <v>5.96E-2</v>
      </c>
      <c r="I385">
        <v>130.6003</v>
      </c>
    </row>
    <row r="386" spans="1:9" x14ac:dyDescent="0.3">
      <c r="A386" t="s">
        <v>9</v>
      </c>
      <c r="B386" t="s">
        <v>484</v>
      </c>
      <c r="C386">
        <v>1</v>
      </c>
      <c r="D386">
        <v>6.08E-2</v>
      </c>
      <c r="E386">
        <v>9.6632691284232859</v>
      </c>
      <c r="F386">
        <v>948.61668276905027</v>
      </c>
      <c r="G386">
        <v>0.42399999999999999</v>
      </c>
      <c r="H386">
        <v>5.7000000000000002E-2</v>
      </c>
      <c r="I386">
        <v>130.80000000000001</v>
      </c>
    </row>
    <row r="387" spans="1:9" x14ac:dyDescent="0.3">
      <c r="A387" t="s">
        <v>9</v>
      </c>
      <c r="B387" t="s">
        <v>485</v>
      </c>
      <c r="C387">
        <v>1</v>
      </c>
      <c r="D387">
        <v>5.8599999999999999E-2</v>
      </c>
      <c r="E387">
        <v>9.4521490238033614</v>
      </c>
      <c r="F387">
        <v>928.94028901847332</v>
      </c>
      <c r="G387">
        <v>0.42399999999999999</v>
      </c>
      <c r="H387">
        <v>5.3699999999999998E-2</v>
      </c>
      <c r="I387">
        <v>131.00399999999999</v>
      </c>
    </row>
    <row r="388" spans="1:9" x14ac:dyDescent="0.3">
      <c r="A388" t="s">
        <v>9</v>
      </c>
      <c r="B388" t="s">
        <v>486</v>
      </c>
      <c r="C388">
        <v>1</v>
      </c>
      <c r="D388">
        <v>5.4899999999999997E-2</v>
      </c>
      <c r="E388">
        <v>9.2154051951395335</v>
      </c>
      <c r="F388">
        <v>906.87576418700451</v>
      </c>
      <c r="G388">
        <v>0.42399999999999999</v>
      </c>
      <c r="H388">
        <v>0.05</v>
      </c>
      <c r="I388">
        <v>131.1995</v>
      </c>
    </row>
    <row r="389" spans="1:9" x14ac:dyDescent="0.3">
      <c r="A389" t="s">
        <v>9</v>
      </c>
      <c r="B389" t="s">
        <v>487</v>
      </c>
      <c r="C389">
        <v>1</v>
      </c>
      <c r="D389">
        <v>5.0900000000000001E-2</v>
      </c>
      <c r="E389">
        <v>8.9419046320500684</v>
      </c>
      <c r="F389">
        <v>881.38551170706637</v>
      </c>
      <c r="G389">
        <v>0.42399999999999999</v>
      </c>
      <c r="H389">
        <v>4.58E-2</v>
      </c>
      <c r="I389">
        <v>131.40110000000001</v>
      </c>
    </row>
    <row r="390" spans="1:9" x14ac:dyDescent="0.3">
      <c r="A390" t="s">
        <v>9</v>
      </c>
      <c r="B390" t="s">
        <v>488</v>
      </c>
      <c r="C390">
        <v>1</v>
      </c>
      <c r="D390">
        <v>4.6300000000000001E-2</v>
      </c>
      <c r="E390">
        <v>8.64867629509191</v>
      </c>
      <c r="F390">
        <v>854.05663070256605</v>
      </c>
      <c r="G390">
        <v>0.42399999999999999</v>
      </c>
      <c r="H390">
        <v>4.1200000000000001E-2</v>
      </c>
      <c r="I390">
        <v>131.60059999999999</v>
      </c>
    </row>
    <row r="391" spans="1:9" x14ac:dyDescent="0.3">
      <c r="A391" t="s">
        <v>9</v>
      </c>
      <c r="B391" t="s">
        <v>489</v>
      </c>
      <c r="C391">
        <v>1</v>
      </c>
      <c r="D391">
        <v>4.1599999999999998E-2</v>
      </c>
      <c r="E391">
        <v>8.3407504543890969</v>
      </c>
      <c r="F391">
        <v>825.35794234906382</v>
      </c>
      <c r="G391">
        <v>0.42399999999999999</v>
      </c>
      <c r="H391">
        <v>3.6400000000000002E-2</v>
      </c>
      <c r="I391">
        <v>131.7997</v>
      </c>
    </row>
    <row r="392" spans="1:9" x14ac:dyDescent="0.3">
      <c r="A392" t="s">
        <v>9</v>
      </c>
      <c r="B392" t="s">
        <v>490</v>
      </c>
      <c r="C392">
        <v>1</v>
      </c>
      <c r="D392">
        <v>3.6499999999999998E-2</v>
      </c>
      <c r="E392">
        <v>8.0211300263158538</v>
      </c>
      <c r="F392">
        <v>795.56931845263762</v>
      </c>
      <c r="G392">
        <v>0.42399999999999999</v>
      </c>
      <c r="H392">
        <v>3.15E-2</v>
      </c>
      <c r="I392">
        <v>132.00120000000001</v>
      </c>
    </row>
    <row r="393" spans="1:9" x14ac:dyDescent="0.3">
      <c r="A393" t="s">
        <v>9</v>
      </c>
      <c r="B393" t="s">
        <v>491</v>
      </c>
      <c r="C393">
        <v>1</v>
      </c>
      <c r="D393">
        <v>3.1800000000000002E-2</v>
      </c>
      <c r="E393">
        <v>7.7040632530258764</v>
      </c>
      <c r="F393">
        <v>766.0186951820117</v>
      </c>
      <c r="G393">
        <v>0.42399999999999999</v>
      </c>
      <c r="H393">
        <v>2.6499999999999999E-2</v>
      </c>
      <c r="I393">
        <v>132.2012</v>
      </c>
    </row>
    <row r="394" spans="1:9" x14ac:dyDescent="0.3">
      <c r="A394" t="s">
        <v>9</v>
      </c>
      <c r="B394" t="s">
        <v>492</v>
      </c>
      <c r="C394">
        <v>1</v>
      </c>
      <c r="D394">
        <v>2.63E-2</v>
      </c>
      <c r="E394">
        <v>7.3785188972956766</v>
      </c>
      <c r="F394">
        <v>735.6779612279571</v>
      </c>
      <c r="G394">
        <v>0.42399999999999999</v>
      </c>
      <c r="H394">
        <v>2.1499999999999998E-2</v>
      </c>
      <c r="I394">
        <v>132.41200000000001</v>
      </c>
    </row>
    <row r="395" spans="1:9" x14ac:dyDescent="0.3">
      <c r="A395" t="s">
        <v>9</v>
      </c>
      <c r="B395" t="s">
        <v>493</v>
      </c>
      <c r="C395">
        <v>1</v>
      </c>
      <c r="D395">
        <v>2.1499999999999998E-2</v>
      </c>
      <c r="E395">
        <v>7.1034556499358557</v>
      </c>
      <c r="F395">
        <v>710.04206657402176</v>
      </c>
      <c r="G395">
        <v>0.42399999999999999</v>
      </c>
      <c r="H395">
        <v>1.72E-2</v>
      </c>
      <c r="I395">
        <v>132.59950000000001</v>
      </c>
    </row>
    <row r="396" spans="1:9" x14ac:dyDescent="0.3">
      <c r="A396" t="s">
        <v>9</v>
      </c>
      <c r="B396" t="s">
        <v>494</v>
      </c>
      <c r="C396">
        <v>1</v>
      </c>
      <c r="D396">
        <v>1.61E-2</v>
      </c>
      <c r="E396">
        <v>6.83030581904511</v>
      </c>
      <c r="F396">
        <v>684.58450233500423</v>
      </c>
      <c r="G396">
        <v>0.42399999999999999</v>
      </c>
      <c r="H396">
        <v>1.2999999999999999E-2</v>
      </c>
      <c r="I396">
        <v>132.80090000000001</v>
      </c>
    </row>
    <row r="397" spans="1:9" x14ac:dyDescent="0.3">
      <c r="A397" t="s">
        <v>9</v>
      </c>
      <c r="B397" t="s">
        <v>495</v>
      </c>
      <c r="C397">
        <v>1</v>
      </c>
      <c r="D397">
        <v>1.1599999999999999E-2</v>
      </c>
      <c r="E397">
        <v>6.5874896604298341</v>
      </c>
      <c r="F397">
        <v>661.9540363520606</v>
      </c>
      <c r="G397">
        <v>0.42399999999999999</v>
      </c>
      <c r="H397">
        <v>9.1999999999999998E-3</v>
      </c>
      <c r="I397">
        <v>133.0018</v>
      </c>
    </row>
    <row r="398" spans="1:9" x14ac:dyDescent="0.3">
      <c r="A398" t="s">
        <v>9</v>
      </c>
      <c r="B398" t="s">
        <v>496</v>
      </c>
      <c r="C398">
        <v>1</v>
      </c>
      <c r="D398">
        <v>7.3000000000000001E-3</v>
      </c>
      <c r="E398">
        <v>6.381723513233645</v>
      </c>
      <c r="F398">
        <v>642.77663143337577</v>
      </c>
      <c r="G398">
        <v>0.42399999999999999</v>
      </c>
      <c r="H398">
        <v>6.0000000000000001E-3</v>
      </c>
      <c r="I398">
        <v>133.2013</v>
      </c>
    </row>
    <row r="399" spans="1:9" x14ac:dyDescent="0.3">
      <c r="A399" t="s">
        <v>9</v>
      </c>
      <c r="B399" t="s">
        <v>497</v>
      </c>
      <c r="C399">
        <v>1</v>
      </c>
      <c r="D399">
        <v>3.5999999999999999E-3</v>
      </c>
      <c r="E399">
        <v>6.2170225110109714</v>
      </c>
      <c r="F399">
        <v>627.42649802622259</v>
      </c>
      <c r="G399">
        <v>0.42399999999999999</v>
      </c>
      <c r="H399">
        <v>3.3999999999999998E-3</v>
      </c>
      <c r="I399">
        <v>133.39959999999999</v>
      </c>
    </row>
    <row r="400" spans="1:9" x14ac:dyDescent="0.3">
      <c r="A400" t="s">
        <v>9</v>
      </c>
      <c r="B400" t="s">
        <v>498</v>
      </c>
      <c r="C400">
        <v>1</v>
      </c>
      <c r="D400">
        <v>2.0000000000000001E-4</v>
      </c>
      <c r="E400">
        <v>6.0952193410045714</v>
      </c>
      <c r="F400">
        <v>616.07444258162604</v>
      </c>
      <c r="G400">
        <v>0.42399999999999999</v>
      </c>
      <c r="H400">
        <v>1.5E-3</v>
      </c>
      <c r="I400">
        <v>133.59950000000001</v>
      </c>
    </row>
    <row r="401" spans="1:9" x14ac:dyDescent="0.3">
      <c r="A401" t="s">
        <v>9</v>
      </c>
      <c r="B401" t="s">
        <v>499</v>
      </c>
      <c r="C401">
        <v>1</v>
      </c>
      <c r="D401">
        <v>-5.0000000000000001E-4</v>
      </c>
      <c r="E401">
        <v>6.0204236925477694</v>
      </c>
      <c r="F401">
        <v>609.10348814545205</v>
      </c>
      <c r="G401">
        <v>0.42399999999999999</v>
      </c>
      <c r="H401">
        <v>4.0000000000000002E-4</v>
      </c>
      <c r="I401">
        <v>133.80109999999999</v>
      </c>
    </row>
    <row r="402" spans="1:9" x14ac:dyDescent="0.3">
      <c r="A402" t="s">
        <v>9</v>
      </c>
      <c r="B402" t="s">
        <v>500</v>
      </c>
      <c r="C402">
        <v>1</v>
      </c>
      <c r="D402">
        <v>-2.8999999999999998E-3</v>
      </c>
      <c r="E402">
        <v>5.995734813048017</v>
      </c>
      <c r="F402">
        <v>606.80248457607524</v>
      </c>
      <c r="G402">
        <v>0.42399999999999999</v>
      </c>
      <c r="H402">
        <v>0</v>
      </c>
      <c r="I402">
        <v>134.00139999999999</v>
      </c>
    </row>
    <row r="403" spans="1:9" x14ac:dyDescent="0.3">
      <c r="A403" t="s">
        <v>9</v>
      </c>
      <c r="B403" t="s">
        <v>501</v>
      </c>
      <c r="C403">
        <v>1</v>
      </c>
      <c r="D403">
        <v>-3.0999999999999999E-3</v>
      </c>
      <c r="E403">
        <v>6.0210368332517392</v>
      </c>
      <c r="F403">
        <v>711.39639547559011</v>
      </c>
      <c r="G403">
        <v>0.42399999999999999</v>
      </c>
      <c r="H403">
        <v>4.0000000000000002E-4</v>
      </c>
      <c r="I403">
        <v>134.20140000000001</v>
      </c>
    </row>
    <row r="404" spans="1:9" x14ac:dyDescent="0.3">
      <c r="A404" t="s">
        <v>9</v>
      </c>
      <c r="B404" t="s">
        <v>502</v>
      </c>
      <c r="C404">
        <v>1</v>
      </c>
      <c r="D404">
        <v>-8.9999999999999998E-4</v>
      </c>
      <c r="E404">
        <v>6.0946804298307962</v>
      </c>
      <c r="F404">
        <v>718.38517279094265</v>
      </c>
      <c r="G404">
        <v>0.42399999999999999</v>
      </c>
      <c r="H404">
        <v>1.5E-3</v>
      </c>
      <c r="I404">
        <v>134.39940000000001</v>
      </c>
    </row>
    <row r="405" spans="1:9" x14ac:dyDescent="0.3">
      <c r="A405" t="s">
        <v>9</v>
      </c>
      <c r="B405" t="s">
        <v>503</v>
      </c>
      <c r="C405">
        <v>1</v>
      </c>
      <c r="D405">
        <v>2.0999999999999999E-3</v>
      </c>
      <c r="E405">
        <v>6.2161676975759006</v>
      </c>
      <c r="F405">
        <v>729.91431449995298</v>
      </c>
      <c r="G405">
        <v>0.42399999999999999</v>
      </c>
      <c r="H405">
        <v>3.3999999999999998E-3</v>
      </c>
      <c r="I405">
        <v>134.5993</v>
      </c>
    </row>
    <row r="406" spans="1:9" x14ac:dyDescent="0.3">
      <c r="A406" t="s">
        <v>9</v>
      </c>
      <c r="B406" t="s">
        <v>504</v>
      </c>
      <c r="C406">
        <v>1</v>
      </c>
      <c r="D406">
        <v>4.3E-3</v>
      </c>
      <c r="E406">
        <v>6.3851735016567801</v>
      </c>
      <c r="F406">
        <v>745.95296530722851</v>
      </c>
      <c r="G406">
        <v>0.42399999999999999</v>
      </c>
      <c r="H406">
        <v>6.1000000000000004E-3</v>
      </c>
      <c r="I406">
        <v>134.80240000000001</v>
      </c>
    </row>
    <row r="407" spans="1:9" x14ac:dyDescent="0.3">
      <c r="A407" t="s">
        <v>9</v>
      </c>
      <c r="B407" t="s">
        <v>505</v>
      </c>
      <c r="C407">
        <v>1</v>
      </c>
      <c r="D407">
        <v>7.1000000000000004E-3</v>
      </c>
      <c r="E407">
        <v>6.5885082029537427</v>
      </c>
      <c r="F407">
        <v>765.24942846031024</v>
      </c>
      <c r="G407">
        <v>0.42399999999999999</v>
      </c>
      <c r="H407">
        <v>9.1999999999999998E-3</v>
      </c>
      <c r="I407">
        <v>134.9991</v>
      </c>
    </row>
    <row r="408" spans="1:9" x14ac:dyDescent="0.3">
      <c r="A408" t="s">
        <v>9</v>
      </c>
      <c r="B408" t="s">
        <v>506</v>
      </c>
      <c r="C408">
        <v>1</v>
      </c>
      <c r="D408">
        <v>1.04E-2</v>
      </c>
      <c r="E408">
        <v>6.8309338932368018</v>
      </c>
      <c r="F408">
        <v>788.25562646817252</v>
      </c>
      <c r="G408">
        <v>0.42399999999999999</v>
      </c>
      <c r="H408">
        <v>1.2999999999999999E-2</v>
      </c>
      <c r="I408">
        <v>135.1996</v>
      </c>
    </row>
    <row r="409" spans="1:9" x14ac:dyDescent="0.3">
      <c r="A409" t="s">
        <v>9</v>
      </c>
      <c r="B409" t="s">
        <v>507</v>
      </c>
      <c r="C409">
        <v>1</v>
      </c>
      <c r="D409">
        <v>1.4E-2</v>
      </c>
      <c r="E409">
        <v>7.1027971654379147</v>
      </c>
      <c r="F409">
        <v>814.05545100005816</v>
      </c>
      <c r="G409">
        <v>0.42399999999999999</v>
      </c>
      <c r="H409">
        <v>1.72E-2</v>
      </c>
      <c r="I409">
        <v>135.40010000000001</v>
      </c>
    </row>
    <row r="410" spans="1:9" x14ac:dyDescent="0.3">
      <c r="A410" t="s">
        <v>9</v>
      </c>
      <c r="B410" t="s">
        <v>508</v>
      </c>
      <c r="C410">
        <v>1</v>
      </c>
      <c r="D410">
        <v>1.84E-2</v>
      </c>
      <c r="E410">
        <v>7.3957793816508461</v>
      </c>
      <c r="F410">
        <v>841.85946331866535</v>
      </c>
      <c r="G410">
        <v>0.42399999999999999</v>
      </c>
      <c r="H410">
        <v>2.18E-2</v>
      </c>
      <c r="I410">
        <v>135.59950000000001</v>
      </c>
    </row>
    <row r="411" spans="1:9" x14ac:dyDescent="0.3">
      <c r="A411" t="s">
        <v>9</v>
      </c>
      <c r="B411" t="s">
        <v>509</v>
      </c>
      <c r="C411">
        <v>1</v>
      </c>
      <c r="D411">
        <v>2.3E-2</v>
      </c>
      <c r="E411">
        <v>7.7068934388606163</v>
      </c>
      <c r="F411">
        <v>871.38418734787251</v>
      </c>
      <c r="G411">
        <v>0.42399999999999999</v>
      </c>
      <c r="H411">
        <v>2.6599999999999999E-2</v>
      </c>
      <c r="I411">
        <v>135.8006</v>
      </c>
    </row>
    <row r="412" spans="1:9" x14ac:dyDescent="0.3">
      <c r="A412" t="s">
        <v>9</v>
      </c>
      <c r="B412" t="s">
        <v>510</v>
      </c>
      <c r="C412">
        <v>1</v>
      </c>
      <c r="D412">
        <v>2.8000000000000001E-2</v>
      </c>
      <c r="E412">
        <v>8.0306464248174816</v>
      </c>
      <c r="F412">
        <v>902.1083457151791</v>
      </c>
      <c r="G412">
        <v>0.42399999999999999</v>
      </c>
      <c r="H412">
        <v>3.1600000000000003E-2</v>
      </c>
      <c r="I412">
        <v>136.00470000000001</v>
      </c>
    </row>
    <row r="413" spans="1:9" x14ac:dyDescent="0.3">
      <c r="A413" t="s">
        <v>9</v>
      </c>
      <c r="B413" t="s">
        <v>511</v>
      </c>
      <c r="C413">
        <v>1</v>
      </c>
      <c r="D413">
        <v>3.27E-2</v>
      </c>
      <c r="E413">
        <v>8.3401584670941507</v>
      </c>
      <c r="F413">
        <v>931.481038527235</v>
      </c>
      <c r="G413">
        <v>0.42399999999999999</v>
      </c>
      <c r="H413">
        <v>3.6400000000000002E-2</v>
      </c>
      <c r="I413">
        <v>136.19999999999999</v>
      </c>
    </row>
    <row r="414" spans="1:9" x14ac:dyDescent="0.3">
      <c r="A414" t="s">
        <v>9</v>
      </c>
      <c r="B414" t="s">
        <v>512</v>
      </c>
      <c r="C414">
        <v>1</v>
      </c>
      <c r="D414">
        <v>3.7999999999999999E-2</v>
      </c>
      <c r="E414">
        <v>8.6492682823868545</v>
      </c>
      <c r="F414">
        <v>960.81555999851253</v>
      </c>
      <c r="G414">
        <v>0.42399999999999999</v>
      </c>
      <c r="H414">
        <v>4.1200000000000001E-2</v>
      </c>
      <c r="I414">
        <v>136.3998</v>
      </c>
    </row>
    <row r="415" spans="1:9" x14ac:dyDescent="0.3">
      <c r="A415" t="s">
        <v>9</v>
      </c>
      <c r="B415" t="s">
        <v>513</v>
      </c>
      <c r="C415">
        <v>1</v>
      </c>
      <c r="D415">
        <v>4.3400000000000001E-2</v>
      </c>
      <c r="E415">
        <v>8.9431761883219512</v>
      </c>
      <c r="F415">
        <v>988.70742027175322</v>
      </c>
      <c r="G415">
        <v>0.42399999999999999</v>
      </c>
      <c r="H415">
        <v>4.58E-2</v>
      </c>
      <c r="I415">
        <v>136.59979999999999</v>
      </c>
    </row>
    <row r="416" spans="1:9" x14ac:dyDescent="0.3">
      <c r="A416" t="s">
        <v>9</v>
      </c>
      <c r="B416" t="s">
        <v>514</v>
      </c>
      <c r="C416">
        <v>1</v>
      </c>
      <c r="D416">
        <v>4.7699999999999999E-2</v>
      </c>
      <c r="E416">
        <v>9.2167837956894054</v>
      </c>
      <c r="F416">
        <v>1014.672782210925</v>
      </c>
      <c r="G416">
        <v>0.42399999999999999</v>
      </c>
      <c r="H416">
        <v>0.05</v>
      </c>
      <c r="I416">
        <v>136.80160000000001</v>
      </c>
    </row>
    <row r="417" spans="1:9" x14ac:dyDescent="0.3">
      <c r="A417" t="s">
        <v>9</v>
      </c>
      <c r="B417" t="s">
        <v>515</v>
      </c>
      <c r="C417">
        <v>1</v>
      </c>
      <c r="D417">
        <v>5.2600000000000001E-2</v>
      </c>
      <c r="E417">
        <v>9.4573536463498851</v>
      </c>
      <c r="F417">
        <v>1037.5028610386039</v>
      </c>
      <c r="G417">
        <v>0.42399999999999999</v>
      </c>
      <c r="H417">
        <v>5.3800000000000001E-2</v>
      </c>
      <c r="I417">
        <v>137.00059999999999</v>
      </c>
    </row>
    <row r="418" spans="1:9" x14ac:dyDescent="0.3">
      <c r="A418" t="s">
        <v>9</v>
      </c>
      <c r="B418" t="s">
        <v>516</v>
      </c>
      <c r="C418">
        <v>1</v>
      </c>
      <c r="D418">
        <v>5.6599999999999998E-2</v>
      </c>
      <c r="E418">
        <v>9.6653779817938439</v>
      </c>
      <c r="F418">
        <v>1057.2443704722359</v>
      </c>
      <c r="G418">
        <v>0.42399999999999999</v>
      </c>
      <c r="H418">
        <v>5.7000000000000002E-2</v>
      </c>
      <c r="I418">
        <v>137.20230000000001</v>
      </c>
    </row>
    <row r="419" spans="1:9" x14ac:dyDescent="0.3">
      <c r="A419" t="s">
        <v>9</v>
      </c>
      <c r="B419" t="s">
        <v>517</v>
      </c>
      <c r="C419">
        <v>1</v>
      </c>
      <c r="D419">
        <v>5.8799999999999998E-2</v>
      </c>
      <c r="E419">
        <v>9.8301077724397654</v>
      </c>
      <c r="F419">
        <v>1072.877227604534</v>
      </c>
      <c r="G419">
        <v>0.42399999999999999</v>
      </c>
      <c r="H419">
        <v>5.96E-2</v>
      </c>
      <c r="I419">
        <v>137.40090000000001</v>
      </c>
    </row>
    <row r="420" spans="1:9" x14ac:dyDescent="0.3">
      <c r="A420" t="s">
        <v>9</v>
      </c>
      <c r="B420" t="s">
        <v>518</v>
      </c>
      <c r="C420">
        <v>1</v>
      </c>
      <c r="D420">
        <v>6.1899999999999997E-2</v>
      </c>
      <c r="E420">
        <v>9.9520725630870999</v>
      </c>
      <c r="F420">
        <v>1084.451686236966</v>
      </c>
      <c r="G420">
        <v>0.42399999999999999</v>
      </c>
      <c r="H420">
        <v>6.1499999999999999E-2</v>
      </c>
      <c r="I420">
        <v>137.60169999999999</v>
      </c>
    </row>
    <row r="421" spans="1:9" x14ac:dyDescent="0.3">
      <c r="A421" t="s">
        <v>9</v>
      </c>
      <c r="B421" t="s">
        <v>519</v>
      </c>
      <c r="C421">
        <v>1</v>
      </c>
      <c r="D421">
        <v>6.4500000000000002E-2</v>
      </c>
      <c r="E421">
        <v>10.026055972537581</v>
      </c>
      <c r="F421">
        <v>1091.472711793816</v>
      </c>
      <c r="G421">
        <v>0.42399999999999999</v>
      </c>
      <c r="H421">
        <v>6.2600000000000003E-2</v>
      </c>
      <c r="I421">
        <v>137.8023</v>
      </c>
    </row>
    <row r="422" spans="1:9" x14ac:dyDescent="0.3">
      <c r="A422" t="s">
        <v>9</v>
      </c>
      <c r="B422" t="s">
        <v>520</v>
      </c>
      <c r="C422">
        <v>1</v>
      </c>
      <c r="D422">
        <v>6.6000000000000003E-2</v>
      </c>
      <c r="E422">
        <v>10.05044098344035</v>
      </c>
      <c r="F422">
        <v>1093.7868493284891</v>
      </c>
      <c r="G422">
        <v>0.42399999999999999</v>
      </c>
      <c r="H422">
        <v>6.3E-2</v>
      </c>
      <c r="I422">
        <v>138.0001</v>
      </c>
    </row>
    <row r="423" spans="1:9" x14ac:dyDescent="0.3">
      <c r="A423" t="s">
        <v>9</v>
      </c>
      <c r="B423" t="s">
        <v>521</v>
      </c>
      <c r="C423">
        <v>1</v>
      </c>
      <c r="D423">
        <v>6.6199999999999995E-2</v>
      </c>
      <c r="E423">
        <v>10.025696725453111</v>
      </c>
      <c r="F423">
        <v>982.39493481222996</v>
      </c>
      <c r="G423">
        <v>0.42399999999999999</v>
      </c>
      <c r="H423">
        <v>6.2600000000000003E-2</v>
      </c>
      <c r="I423">
        <v>138.19909999999999</v>
      </c>
    </row>
    <row r="424" spans="1:9" x14ac:dyDescent="0.3">
      <c r="A424" t="s">
        <v>9</v>
      </c>
      <c r="B424" t="s">
        <v>522</v>
      </c>
      <c r="C424">
        <v>1</v>
      </c>
      <c r="D424">
        <v>6.4299999999999996E-2</v>
      </c>
      <c r="E424">
        <v>9.9514120512354101</v>
      </c>
      <c r="F424">
        <v>975.47160317514022</v>
      </c>
      <c r="G424">
        <v>0.42399999999999999</v>
      </c>
      <c r="H424">
        <v>6.1499999999999999E-2</v>
      </c>
      <c r="I424">
        <v>138.39959999999999</v>
      </c>
    </row>
    <row r="425" spans="1:9" x14ac:dyDescent="0.3">
      <c r="A425" t="s">
        <v>9</v>
      </c>
      <c r="B425" t="s">
        <v>523</v>
      </c>
      <c r="C425">
        <v>1</v>
      </c>
      <c r="D425">
        <v>6.2300000000000001E-2</v>
      </c>
      <c r="E425">
        <v>9.8290644962001092</v>
      </c>
      <c r="F425">
        <v>964.06881104585023</v>
      </c>
      <c r="G425">
        <v>0.42399999999999999</v>
      </c>
      <c r="H425">
        <v>5.96E-2</v>
      </c>
      <c r="I425">
        <v>138.60059999999999</v>
      </c>
    </row>
    <row r="426" spans="1:9" x14ac:dyDescent="0.3">
      <c r="A426" t="s">
        <v>9</v>
      </c>
      <c r="B426" t="s">
        <v>524</v>
      </c>
      <c r="C426">
        <v>1</v>
      </c>
      <c r="D426">
        <v>6.1199999999999997E-2</v>
      </c>
      <c r="E426">
        <v>9.664147378067705</v>
      </c>
      <c r="F426">
        <v>948.69853563591016</v>
      </c>
      <c r="G426">
        <v>0.42399999999999999</v>
      </c>
      <c r="H426">
        <v>5.7000000000000002E-2</v>
      </c>
      <c r="I426">
        <v>138.79900000000001</v>
      </c>
    </row>
    <row r="427" spans="1:9" x14ac:dyDescent="0.3">
      <c r="A427" t="s">
        <v>9</v>
      </c>
      <c r="B427" t="s">
        <v>525</v>
      </c>
      <c r="C427">
        <v>1</v>
      </c>
      <c r="D427">
        <v>5.8400000000000001E-2</v>
      </c>
      <c r="E427">
        <v>9.4559146306582651</v>
      </c>
      <c r="F427">
        <v>929.29124357735031</v>
      </c>
      <c r="G427">
        <v>0.42399999999999999</v>
      </c>
      <c r="H427">
        <v>5.3800000000000001E-2</v>
      </c>
      <c r="I427">
        <v>139.00059999999999</v>
      </c>
    </row>
    <row r="428" spans="1:9" x14ac:dyDescent="0.3">
      <c r="A428" t="s">
        <v>9</v>
      </c>
      <c r="B428" t="s">
        <v>526</v>
      </c>
      <c r="C428">
        <v>1</v>
      </c>
      <c r="D428">
        <v>5.5599999999999997E-2</v>
      </c>
      <c r="E428">
        <v>9.215025674517566</v>
      </c>
      <c r="F428">
        <v>906.84039286503719</v>
      </c>
      <c r="G428">
        <v>0.42399999999999999</v>
      </c>
      <c r="H428">
        <v>0.05</v>
      </c>
      <c r="I428">
        <v>139.19980000000001</v>
      </c>
    </row>
    <row r="429" spans="1:9" x14ac:dyDescent="0.3">
      <c r="A429" t="s">
        <v>9</v>
      </c>
      <c r="B429" t="s">
        <v>527</v>
      </c>
      <c r="C429">
        <v>1</v>
      </c>
      <c r="D429">
        <v>5.0799999999999998E-2</v>
      </c>
      <c r="E429">
        <v>8.9442433873358542</v>
      </c>
      <c r="F429">
        <v>881.60348369970166</v>
      </c>
      <c r="G429">
        <v>0.42399999999999999</v>
      </c>
      <c r="H429">
        <v>4.58E-2</v>
      </c>
      <c r="I429">
        <v>139.39949999999999</v>
      </c>
    </row>
    <row r="430" spans="1:9" x14ac:dyDescent="0.3">
      <c r="A430" t="s">
        <v>9</v>
      </c>
      <c r="B430" t="s">
        <v>528</v>
      </c>
      <c r="C430">
        <v>1</v>
      </c>
      <c r="D430">
        <v>4.6100000000000002E-2</v>
      </c>
      <c r="E430">
        <v>8.647111583467801</v>
      </c>
      <c r="F430">
        <v>853.91079957919908</v>
      </c>
      <c r="G430">
        <v>0.42399999999999999</v>
      </c>
      <c r="H430">
        <v>4.1200000000000001E-2</v>
      </c>
      <c r="I430">
        <v>139.60159999999999</v>
      </c>
    </row>
    <row r="431" spans="1:9" x14ac:dyDescent="0.3">
      <c r="A431" t="s">
        <v>9</v>
      </c>
      <c r="B431" t="s">
        <v>529</v>
      </c>
      <c r="C431">
        <v>1</v>
      </c>
      <c r="D431">
        <v>4.1599999999999998E-2</v>
      </c>
      <c r="E431">
        <v>8.340363635293631</v>
      </c>
      <c r="F431">
        <v>825.32189080936644</v>
      </c>
      <c r="G431">
        <v>0.42399999999999999</v>
      </c>
      <c r="H431">
        <v>3.6400000000000002E-2</v>
      </c>
      <c r="I431">
        <v>139.79990000000001</v>
      </c>
    </row>
    <row r="432" spans="1:9" x14ac:dyDescent="0.3">
      <c r="A432" t="s">
        <v>9</v>
      </c>
      <c r="B432" t="s">
        <v>530</v>
      </c>
      <c r="C432">
        <v>1</v>
      </c>
      <c r="D432">
        <v>3.6700000000000003E-2</v>
      </c>
      <c r="E432">
        <v>8.0234914879636356</v>
      </c>
      <c r="F432">
        <v>795.78940667821087</v>
      </c>
      <c r="G432">
        <v>0.42399999999999999</v>
      </c>
      <c r="H432">
        <v>3.15E-2</v>
      </c>
      <c r="I432">
        <v>139.99969999999999</v>
      </c>
    </row>
    <row r="433" spans="1:9" x14ac:dyDescent="0.3">
      <c r="A433" t="s">
        <v>9</v>
      </c>
      <c r="B433" t="s">
        <v>531</v>
      </c>
      <c r="C433">
        <v>1</v>
      </c>
      <c r="D433">
        <v>3.1699999999999999E-2</v>
      </c>
      <c r="E433">
        <v>7.7051276137445299</v>
      </c>
      <c r="F433">
        <v>766.11789360099021</v>
      </c>
      <c r="G433">
        <v>0.42399999999999999</v>
      </c>
      <c r="H433">
        <v>2.6599999999999999E-2</v>
      </c>
      <c r="I433">
        <v>140.20050000000001</v>
      </c>
    </row>
    <row r="434" spans="1:9" x14ac:dyDescent="0.3">
      <c r="A434" t="s">
        <v>9</v>
      </c>
      <c r="B434" t="s">
        <v>532</v>
      </c>
      <c r="C434">
        <v>1</v>
      </c>
      <c r="D434">
        <v>2.6499999999999999E-2</v>
      </c>
      <c r="E434">
        <v>7.3931093567623414</v>
      </c>
      <c r="F434">
        <v>737.03779205025023</v>
      </c>
      <c r="G434">
        <v>0.42399999999999999</v>
      </c>
      <c r="H434">
        <v>2.1700000000000001E-2</v>
      </c>
      <c r="I434">
        <v>140.4023</v>
      </c>
    </row>
    <row r="435" spans="1:9" x14ac:dyDescent="0.3">
      <c r="A435" t="s">
        <v>9</v>
      </c>
      <c r="B435" t="s">
        <v>533</v>
      </c>
      <c r="C435">
        <v>1</v>
      </c>
      <c r="D435">
        <v>2.1399999999999999E-2</v>
      </c>
      <c r="E435">
        <v>7.1038643644518178</v>
      </c>
      <c r="F435">
        <v>710.08015876690945</v>
      </c>
      <c r="G435">
        <v>0.42399999999999999</v>
      </c>
      <c r="H435">
        <v>1.72E-2</v>
      </c>
      <c r="I435">
        <v>140.5992</v>
      </c>
    </row>
    <row r="436" spans="1:9" x14ac:dyDescent="0.3">
      <c r="A436" t="s">
        <v>9</v>
      </c>
      <c r="B436" t="s">
        <v>534</v>
      </c>
      <c r="C436">
        <v>1</v>
      </c>
      <c r="D436">
        <v>1.6E-2</v>
      </c>
      <c r="E436">
        <v>6.8320031196044546</v>
      </c>
      <c r="F436">
        <v>684.74269074713516</v>
      </c>
      <c r="G436">
        <v>0.42399999999999999</v>
      </c>
      <c r="H436">
        <v>1.2999999999999999E-2</v>
      </c>
      <c r="I436">
        <v>140.7996</v>
      </c>
    </row>
    <row r="437" spans="1:9" x14ac:dyDescent="0.3">
      <c r="A437" t="s">
        <v>9</v>
      </c>
      <c r="B437" t="s">
        <v>535</v>
      </c>
      <c r="C437">
        <v>1</v>
      </c>
      <c r="D437">
        <v>1.1900000000000001E-2</v>
      </c>
      <c r="E437">
        <v>6.5905801584860519</v>
      </c>
      <c r="F437">
        <v>662.24207077090011</v>
      </c>
      <c r="G437">
        <v>0.42399999999999999</v>
      </c>
      <c r="H437">
        <v>9.1999999999999998E-3</v>
      </c>
      <c r="I437">
        <v>140.9991</v>
      </c>
    </row>
    <row r="438" spans="1:9" x14ac:dyDescent="0.3">
      <c r="A438" t="s">
        <v>9</v>
      </c>
      <c r="B438" t="s">
        <v>536</v>
      </c>
      <c r="C438">
        <v>1</v>
      </c>
      <c r="D438">
        <v>7.4999999999999997E-3</v>
      </c>
      <c r="E438">
        <v>6.3834654155754853</v>
      </c>
      <c r="F438">
        <v>642.93897673163519</v>
      </c>
      <c r="G438">
        <v>0.42399999999999999</v>
      </c>
      <c r="H438">
        <v>6.0000000000000001E-3</v>
      </c>
      <c r="I438">
        <v>141.1994</v>
      </c>
    </row>
    <row r="439" spans="1:9" x14ac:dyDescent="0.3">
      <c r="A439" t="s">
        <v>9</v>
      </c>
      <c r="B439" t="s">
        <v>537</v>
      </c>
      <c r="C439">
        <v>1</v>
      </c>
      <c r="D439">
        <v>3.5999999999999999E-3</v>
      </c>
      <c r="E439">
        <v>6.2171889162067568</v>
      </c>
      <c r="F439">
        <v>627.44200699046974</v>
      </c>
      <c r="G439">
        <v>0.42399999999999999</v>
      </c>
      <c r="H439">
        <v>3.3999999999999998E-3</v>
      </c>
      <c r="I439">
        <v>141.39930000000001</v>
      </c>
    </row>
    <row r="440" spans="1:9" x14ac:dyDescent="0.3">
      <c r="A440" t="s">
        <v>9</v>
      </c>
      <c r="B440" t="s">
        <v>538</v>
      </c>
      <c r="C440">
        <v>1</v>
      </c>
      <c r="D440">
        <v>1.2999999999999999E-3</v>
      </c>
      <c r="E440">
        <v>6.0943534176709511</v>
      </c>
      <c r="F440">
        <v>615.9937385269327</v>
      </c>
      <c r="G440">
        <v>0.42399999999999999</v>
      </c>
      <c r="H440">
        <v>1.5E-3</v>
      </c>
      <c r="I440">
        <v>141.60120000000001</v>
      </c>
    </row>
    <row r="441" spans="1:9" x14ac:dyDescent="0.3">
      <c r="A441" t="s">
        <v>9</v>
      </c>
      <c r="B441" t="s">
        <v>539</v>
      </c>
      <c r="C441">
        <v>1</v>
      </c>
      <c r="D441">
        <v>-1.6000000000000001E-3</v>
      </c>
      <c r="E441">
        <v>6.0201444326781468</v>
      </c>
      <c r="F441">
        <v>609.07746112560335</v>
      </c>
      <c r="G441">
        <v>0.42399999999999999</v>
      </c>
      <c r="H441">
        <v>4.0000000000000002E-4</v>
      </c>
      <c r="I441">
        <v>141.8022</v>
      </c>
    </row>
    <row r="442" spans="1:9" x14ac:dyDescent="0.3">
      <c r="A442" t="s">
        <v>9</v>
      </c>
      <c r="B442" t="s">
        <v>540</v>
      </c>
      <c r="C442">
        <v>1</v>
      </c>
      <c r="D442">
        <v>-2.5999999999999999E-3</v>
      </c>
      <c r="E442">
        <v>5.9957350547276409</v>
      </c>
      <c r="F442">
        <v>606.80250710061614</v>
      </c>
      <c r="G442">
        <v>0.42399999999999999</v>
      </c>
      <c r="H442">
        <v>0</v>
      </c>
      <c r="I442">
        <v>142.0016</v>
      </c>
    </row>
    <row r="443" spans="1:9" x14ac:dyDescent="0.3">
      <c r="A443" t="s">
        <v>9</v>
      </c>
      <c r="B443" t="s">
        <v>541</v>
      </c>
      <c r="C443">
        <v>1</v>
      </c>
      <c r="D443">
        <v>-3.0999999999999999E-3</v>
      </c>
      <c r="E443">
        <v>6.0207122579711019</v>
      </c>
      <c r="F443">
        <v>711.36559328145756</v>
      </c>
      <c r="G443">
        <v>0.42399999999999999</v>
      </c>
      <c r="H443">
        <v>4.0000000000000002E-4</v>
      </c>
      <c r="I443">
        <v>142.20009999999999</v>
      </c>
    </row>
    <row r="444" spans="1:9" x14ac:dyDescent="0.3">
      <c r="A444" t="s">
        <v>9</v>
      </c>
      <c r="B444" t="s">
        <v>542</v>
      </c>
      <c r="C444">
        <v>1</v>
      </c>
      <c r="D444">
        <v>-1.1000000000000001E-3</v>
      </c>
      <c r="E444">
        <v>6.0949973863160416</v>
      </c>
      <c r="F444">
        <v>718.41525196139241</v>
      </c>
      <c r="G444">
        <v>0.42399999999999999</v>
      </c>
      <c r="H444">
        <v>1.5E-3</v>
      </c>
      <c r="I444">
        <v>142.40010000000001</v>
      </c>
    </row>
    <row r="445" spans="1:9" x14ac:dyDescent="0.3">
      <c r="A445" t="s">
        <v>9</v>
      </c>
      <c r="B445" t="s">
        <v>543</v>
      </c>
      <c r="C445">
        <v>1</v>
      </c>
      <c r="D445">
        <v>2.2000000000000001E-3</v>
      </c>
      <c r="E445">
        <v>6.2171811717154322</v>
      </c>
      <c r="F445">
        <v>730.01049319579454</v>
      </c>
      <c r="G445">
        <v>0.42399999999999999</v>
      </c>
      <c r="H445">
        <v>3.3999999999999998E-3</v>
      </c>
      <c r="I445">
        <v>142.60069999999999</v>
      </c>
    </row>
    <row r="446" spans="1:9" x14ac:dyDescent="0.3">
      <c r="A446" t="s">
        <v>9</v>
      </c>
      <c r="B446" t="s">
        <v>544</v>
      </c>
      <c r="C446">
        <v>1</v>
      </c>
      <c r="D446">
        <v>3.8E-3</v>
      </c>
      <c r="E446">
        <v>6.3827552335569271</v>
      </c>
      <c r="F446">
        <v>745.72347166455245</v>
      </c>
      <c r="G446">
        <v>0.42399999999999999</v>
      </c>
      <c r="H446">
        <v>6.0000000000000001E-3</v>
      </c>
      <c r="I446">
        <v>142.7998</v>
      </c>
    </row>
    <row r="447" spans="1:9" x14ac:dyDescent="0.3">
      <c r="A447" t="s">
        <v>9</v>
      </c>
      <c r="B447" t="s">
        <v>545</v>
      </c>
      <c r="C447">
        <v>1</v>
      </c>
      <c r="D447">
        <v>6.7999999999999996E-3</v>
      </c>
      <c r="E447">
        <v>6.5927149619846066</v>
      </c>
      <c r="F447">
        <v>765.64864989233922</v>
      </c>
      <c r="G447">
        <v>0.42399999999999999</v>
      </c>
      <c r="H447">
        <v>9.2999999999999992E-3</v>
      </c>
      <c r="I447">
        <v>143.00280000000001</v>
      </c>
    </row>
    <row r="448" spans="1:9" x14ac:dyDescent="0.3">
      <c r="A448" t="s">
        <v>9</v>
      </c>
      <c r="B448" t="s">
        <v>546</v>
      </c>
      <c r="C448">
        <v>1</v>
      </c>
      <c r="D448">
        <v>1.06E-2</v>
      </c>
      <c r="E448">
        <v>6.8305503179073366</v>
      </c>
      <c r="F448">
        <v>788.21922516940629</v>
      </c>
      <c r="G448">
        <v>0.42399999999999999</v>
      </c>
      <c r="H448">
        <v>1.2999999999999999E-2</v>
      </c>
      <c r="I448">
        <v>143.19929999999999</v>
      </c>
    </row>
    <row r="449" spans="1:9" x14ac:dyDescent="0.3">
      <c r="A449" t="s">
        <v>9</v>
      </c>
      <c r="B449" t="s">
        <v>547</v>
      </c>
      <c r="C449">
        <v>1</v>
      </c>
      <c r="D449">
        <v>1.3899999999999999E-2</v>
      </c>
      <c r="E449">
        <v>7.1028567696381586</v>
      </c>
      <c r="F449">
        <v>814.06110743866134</v>
      </c>
      <c r="G449">
        <v>0.42399999999999999</v>
      </c>
      <c r="H449">
        <v>1.72E-2</v>
      </c>
      <c r="I449">
        <v>143.40010000000001</v>
      </c>
    </row>
    <row r="450" spans="1:9" x14ac:dyDescent="0.3">
      <c r="A450" t="s">
        <v>9</v>
      </c>
      <c r="B450" t="s">
        <v>548</v>
      </c>
      <c r="C450">
        <v>1</v>
      </c>
      <c r="D450">
        <v>1.89E-2</v>
      </c>
      <c r="E450">
        <v>7.3970055251987343</v>
      </c>
      <c r="F450">
        <v>841.97582434135995</v>
      </c>
      <c r="G450">
        <v>0.42399999999999999</v>
      </c>
      <c r="H450">
        <v>2.18E-2</v>
      </c>
      <c r="I450">
        <v>143.6003</v>
      </c>
    </row>
    <row r="451" spans="1:9" x14ac:dyDescent="0.3">
      <c r="A451" t="s">
        <v>9</v>
      </c>
      <c r="B451" t="s">
        <v>549</v>
      </c>
      <c r="C451">
        <v>1</v>
      </c>
      <c r="D451">
        <v>2.23E-2</v>
      </c>
      <c r="E451">
        <v>7.7072652555383332</v>
      </c>
      <c r="F451">
        <v>871.41947275058783</v>
      </c>
      <c r="G451">
        <v>0.42399999999999999</v>
      </c>
      <c r="H451">
        <v>2.6599999999999999E-2</v>
      </c>
      <c r="I451">
        <v>143.80080000000001</v>
      </c>
    </row>
    <row r="452" spans="1:9" x14ac:dyDescent="0.3">
      <c r="A452" t="s">
        <v>9</v>
      </c>
      <c r="B452" t="s">
        <v>550</v>
      </c>
      <c r="C452">
        <v>1</v>
      </c>
      <c r="D452">
        <v>2.7699999999999999E-2</v>
      </c>
      <c r="E452">
        <v>8.024557065094541</v>
      </c>
      <c r="F452">
        <v>901.53046547747203</v>
      </c>
      <c r="G452">
        <v>0.42399999999999999</v>
      </c>
      <c r="H452">
        <v>3.15E-2</v>
      </c>
      <c r="I452">
        <v>144.0009</v>
      </c>
    </row>
    <row r="453" spans="1:9" x14ac:dyDescent="0.3">
      <c r="A453" t="s">
        <v>9</v>
      </c>
      <c r="B453" t="s">
        <v>551</v>
      </c>
      <c r="C453">
        <v>1</v>
      </c>
      <c r="D453">
        <v>3.2800000000000003E-2</v>
      </c>
      <c r="E453">
        <v>8.3423934218679463</v>
      </c>
      <c r="F453">
        <v>931.69313573526813</v>
      </c>
      <c r="G453">
        <v>0.42399999999999999</v>
      </c>
      <c r="H453">
        <v>3.6499999999999998E-2</v>
      </c>
      <c r="I453">
        <v>144.20140000000001</v>
      </c>
    </row>
    <row r="454" spans="1:9" x14ac:dyDescent="0.3">
      <c r="A454" t="s">
        <v>9</v>
      </c>
      <c r="B454" t="s">
        <v>552</v>
      </c>
      <c r="C454">
        <v>1</v>
      </c>
      <c r="D454">
        <v>3.8300000000000001E-2</v>
      </c>
      <c r="E454">
        <v>8.647993482348971</v>
      </c>
      <c r="F454">
        <v>960.69458147491741</v>
      </c>
      <c r="G454">
        <v>0.42399999999999999</v>
      </c>
      <c r="H454">
        <v>4.1200000000000001E-2</v>
      </c>
      <c r="I454">
        <v>144.399</v>
      </c>
    </row>
    <row r="455" spans="1:9" x14ac:dyDescent="0.3">
      <c r="A455" t="s">
        <v>9</v>
      </c>
      <c r="B455" t="s">
        <v>553</v>
      </c>
      <c r="C455">
        <v>1</v>
      </c>
      <c r="D455">
        <v>4.2599999999999999E-2</v>
      </c>
      <c r="E455">
        <v>8.9424775622197661</v>
      </c>
      <c r="F455">
        <v>988.64112065465588</v>
      </c>
      <c r="G455">
        <v>0.42399999999999999</v>
      </c>
      <c r="H455">
        <v>4.58E-2</v>
      </c>
      <c r="I455">
        <v>144.5993</v>
      </c>
    </row>
    <row r="456" spans="1:9" x14ac:dyDescent="0.3">
      <c r="A456" t="s">
        <v>9</v>
      </c>
      <c r="B456" t="s">
        <v>554</v>
      </c>
      <c r="C456">
        <v>1</v>
      </c>
      <c r="D456">
        <v>4.7899999999999998E-2</v>
      </c>
      <c r="E456">
        <v>9.2168506983631495</v>
      </c>
      <c r="F456">
        <v>1014.679131274663</v>
      </c>
      <c r="G456">
        <v>0.42399999999999999</v>
      </c>
      <c r="H456">
        <v>0.05</v>
      </c>
      <c r="I456">
        <v>144.80160000000001</v>
      </c>
    </row>
    <row r="457" spans="1:9" x14ac:dyDescent="0.3">
      <c r="A457" t="s">
        <v>9</v>
      </c>
      <c r="B457" t="s">
        <v>555</v>
      </c>
      <c r="C457">
        <v>1</v>
      </c>
      <c r="D457">
        <v>5.2699999999999997E-2</v>
      </c>
      <c r="E457">
        <v>9.4563951134969724</v>
      </c>
      <c r="F457">
        <v>1037.4118962708631</v>
      </c>
      <c r="G457">
        <v>0.42399999999999999</v>
      </c>
      <c r="H457">
        <v>5.3800000000000001E-2</v>
      </c>
      <c r="I457">
        <v>144.99979999999999</v>
      </c>
    </row>
    <row r="458" spans="1:9" x14ac:dyDescent="0.3">
      <c r="A458" t="s">
        <v>9</v>
      </c>
      <c r="B458" t="s">
        <v>556</v>
      </c>
      <c r="C458">
        <v>1</v>
      </c>
      <c r="D458">
        <v>5.6300000000000003E-2</v>
      </c>
      <c r="E458">
        <v>9.6642917256546923</v>
      </c>
      <c r="F458">
        <v>1057.14128476463</v>
      </c>
      <c r="G458">
        <v>0.42399999999999999</v>
      </c>
      <c r="H458">
        <v>5.7000000000000002E-2</v>
      </c>
      <c r="I458">
        <v>145.2011</v>
      </c>
    </row>
    <row r="459" spans="1:9" x14ac:dyDescent="0.3">
      <c r="A459" t="s">
        <v>9</v>
      </c>
      <c r="B459" t="s">
        <v>557</v>
      </c>
      <c r="C459">
        <v>1</v>
      </c>
      <c r="D459">
        <v>5.8999999999999997E-2</v>
      </c>
      <c r="E459">
        <v>9.8306636728379626</v>
      </c>
      <c r="F459">
        <v>1072.9299825523231</v>
      </c>
      <c r="G459">
        <v>0.42399999999999999</v>
      </c>
      <c r="H459">
        <v>5.96E-2</v>
      </c>
      <c r="I459">
        <v>145.4016</v>
      </c>
    </row>
    <row r="460" spans="1:9" x14ac:dyDescent="0.3">
      <c r="A460" t="s">
        <v>9</v>
      </c>
      <c r="B460" t="s">
        <v>558</v>
      </c>
      <c r="C460">
        <v>1</v>
      </c>
      <c r="D460">
        <v>6.1800000000000001E-2</v>
      </c>
      <c r="E460">
        <v>9.9512206690414278</v>
      </c>
      <c r="F460">
        <v>1084.370841492032</v>
      </c>
      <c r="G460">
        <v>0.42399999999999999</v>
      </c>
      <c r="H460">
        <v>6.1499999999999999E-2</v>
      </c>
      <c r="I460">
        <v>145.6</v>
      </c>
    </row>
    <row r="461" spans="1:9" x14ac:dyDescent="0.3">
      <c r="A461" t="s">
        <v>9</v>
      </c>
      <c r="B461" t="s">
        <v>559</v>
      </c>
      <c r="C461">
        <v>1</v>
      </c>
      <c r="D461">
        <v>6.4899999999999999E-2</v>
      </c>
      <c r="E461">
        <v>10.0252413818009</v>
      </c>
      <c r="F461">
        <v>1091.395407132906</v>
      </c>
      <c r="G461">
        <v>0.42399999999999999</v>
      </c>
      <c r="H461">
        <v>6.2600000000000003E-2</v>
      </c>
      <c r="I461">
        <v>145.79900000000001</v>
      </c>
    </row>
    <row r="462" spans="1:9" x14ac:dyDescent="0.3">
      <c r="A462" t="s">
        <v>9</v>
      </c>
      <c r="B462" t="s">
        <v>560</v>
      </c>
      <c r="C462">
        <v>1</v>
      </c>
      <c r="D462">
        <v>6.6299999999999998E-2</v>
      </c>
      <c r="E462">
        <v>10.05044098344035</v>
      </c>
      <c r="F462">
        <v>1093.7868493284891</v>
      </c>
      <c r="G462">
        <v>0.42399999999999999</v>
      </c>
      <c r="H462">
        <v>6.3E-2</v>
      </c>
      <c r="I462">
        <v>145.99950000000001</v>
      </c>
    </row>
    <row r="463" spans="1:9" x14ac:dyDescent="0.3">
      <c r="A463" t="s">
        <v>9</v>
      </c>
      <c r="B463" t="s">
        <v>561</v>
      </c>
      <c r="C463">
        <v>1</v>
      </c>
      <c r="D463">
        <v>6.6299999999999998E-2</v>
      </c>
      <c r="E463">
        <v>10.025607116417371</v>
      </c>
      <c r="F463">
        <v>982.38658325009885</v>
      </c>
      <c r="G463">
        <v>0.42399999999999999</v>
      </c>
      <c r="H463">
        <v>6.2600000000000003E-2</v>
      </c>
      <c r="I463">
        <v>146.1995</v>
      </c>
    </row>
    <row r="464" spans="1:9" x14ac:dyDescent="0.3">
      <c r="A464" t="s">
        <v>9</v>
      </c>
      <c r="B464" t="s">
        <v>562</v>
      </c>
      <c r="C464">
        <v>1</v>
      </c>
      <c r="D464">
        <v>6.4500000000000002E-2</v>
      </c>
      <c r="E464">
        <v>9.9508699368427092</v>
      </c>
      <c r="F464">
        <v>975.42107811374058</v>
      </c>
      <c r="G464">
        <v>0.42399999999999999</v>
      </c>
      <c r="H464">
        <v>6.1499999999999999E-2</v>
      </c>
      <c r="I464">
        <v>146.4007</v>
      </c>
    </row>
    <row r="465" spans="1:9" x14ac:dyDescent="0.3">
      <c r="A465" t="s">
        <v>9</v>
      </c>
      <c r="B465" t="s">
        <v>563</v>
      </c>
      <c r="C465">
        <v>1</v>
      </c>
      <c r="D465">
        <v>6.2300000000000001E-2</v>
      </c>
      <c r="E465">
        <v>9.8295611978688147</v>
      </c>
      <c r="F465">
        <v>964.11510364137359</v>
      </c>
      <c r="G465">
        <v>0.42399999999999999</v>
      </c>
      <c r="H465">
        <v>5.96E-2</v>
      </c>
      <c r="I465">
        <v>146.59989999999999</v>
      </c>
    </row>
    <row r="466" spans="1:9" x14ac:dyDescent="0.3">
      <c r="A466" t="s">
        <v>9</v>
      </c>
      <c r="B466" t="s">
        <v>564</v>
      </c>
      <c r="C466">
        <v>1</v>
      </c>
      <c r="D466">
        <v>6.0999999999999999E-2</v>
      </c>
      <c r="E466">
        <v>9.6631174823628001</v>
      </c>
      <c r="F466">
        <v>948.60254935621299</v>
      </c>
      <c r="G466">
        <v>0.42399999999999999</v>
      </c>
      <c r="H466">
        <v>5.7000000000000002E-2</v>
      </c>
      <c r="I466">
        <v>146.80009999999999</v>
      </c>
    </row>
    <row r="467" spans="1:9" x14ac:dyDescent="0.3">
      <c r="A467" t="s">
        <v>9</v>
      </c>
      <c r="B467" t="s">
        <v>565</v>
      </c>
      <c r="C467">
        <v>1</v>
      </c>
      <c r="D467">
        <v>5.8700000000000002E-2</v>
      </c>
      <c r="E467">
        <v>9.4573216141606373</v>
      </c>
      <c r="F467">
        <v>929.42237443977137</v>
      </c>
      <c r="G467">
        <v>0.42399999999999999</v>
      </c>
      <c r="H467">
        <v>5.3800000000000001E-2</v>
      </c>
      <c r="I467">
        <v>146.99940000000001</v>
      </c>
    </row>
    <row r="468" spans="1:9" x14ac:dyDescent="0.3">
      <c r="A468" t="s">
        <v>9</v>
      </c>
      <c r="B468" t="s">
        <v>566</v>
      </c>
      <c r="C468">
        <v>1</v>
      </c>
      <c r="D468">
        <v>5.5300000000000002E-2</v>
      </c>
      <c r="E468">
        <v>9.2158345886637445</v>
      </c>
      <c r="F468">
        <v>906.91578366346096</v>
      </c>
      <c r="G468">
        <v>0.42399999999999999</v>
      </c>
      <c r="H468">
        <v>0.05</v>
      </c>
      <c r="I468">
        <v>147.19909999999999</v>
      </c>
    </row>
    <row r="469" spans="1:9" x14ac:dyDescent="0.3">
      <c r="A469" t="s">
        <v>9</v>
      </c>
      <c r="B469" t="s">
        <v>567</v>
      </c>
      <c r="C469">
        <v>1</v>
      </c>
      <c r="D469">
        <v>5.0799999999999998E-2</v>
      </c>
      <c r="E469">
        <v>8.9441420196483641</v>
      </c>
      <c r="F469">
        <v>881.59403623122751</v>
      </c>
      <c r="G469">
        <v>0.42399999999999999</v>
      </c>
      <c r="H469">
        <v>4.58E-2</v>
      </c>
      <c r="I469">
        <v>147.39949999999999</v>
      </c>
    </row>
    <row r="470" spans="1:9" x14ac:dyDescent="0.3">
      <c r="A470" t="s">
        <v>9</v>
      </c>
      <c r="B470" t="s">
        <v>568</v>
      </c>
      <c r="C470">
        <v>1</v>
      </c>
      <c r="D470">
        <v>4.5900000000000003E-2</v>
      </c>
      <c r="E470">
        <v>5.9957334838115024</v>
      </c>
      <c r="F470">
        <v>606.80236069123202</v>
      </c>
      <c r="G470">
        <v>0.42399999999999999</v>
      </c>
      <c r="H470">
        <v>0</v>
      </c>
      <c r="I470">
        <v>147.59909999999999</v>
      </c>
    </row>
    <row r="471" spans="1:9" x14ac:dyDescent="0.3">
      <c r="A471" t="s">
        <v>9</v>
      </c>
      <c r="B471" t="s">
        <v>569</v>
      </c>
      <c r="C471">
        <v>1</v>
      </c>
      <c r="D471">
        <v>3.5099999999999999E-2</v>
      </c>
      <c r="E471">
        <v>5.9957334838115024</v>
      </c>
      <c r="F471">
        <v>606.80236069123202</v>
      </c>
      <c r="G471">
        <v>0.42399999999999999</v>
      </c>
      <c r="H471">
        <v>0</v>
      </c>
      <c r="I471">
        <v>147.8014</v>
      </c>
    </row>
    <row r="472" spans="1:9" x14ac:dyDescent="0.3">
      <c r="A472" t="s">
        <v>9</v>
      </c>
      <c r="B472" t="s">
        <v>570</v>
      </c>
      <c r="C472">
        <v>1</v>
      </c>
      <c r="D472">
        <v>2.12E-2</v>
      </c>
      <c r="E472">
        <v>5.9957334838115024</v>
      </c>
      <c r="F472">
        <v>606.80236069123202</v>
      </c>
      <c r="G472">
        <v>0.42399999999999999</v>
      </c>
      <c r="H472">
        <v>0</v>
      </c>
      <c r="I472">
        <v>147.99969999999999</v>
      </c>
    </row>
    <row r="473" spans="1:9" x14ac:dyDescent="0.3">
      <c r="A473" t="s">
        <v>9</v>
      </c>
      <c r="B473" t="s">
        <v>571</v>
      </c>
      <c r="C473">
        <v>1</v>
      </c>
      <c r="D473">
        <v>7.1000000000000004E-3</v>
      </c>
      <c r="E473">
        <v>5.9957334838115024</v>
      </c>
      <c r="F473">
        <v>606.80236069123202</v>
      </c>
      <c r="G473">
        <v>0.42399999999999999</v>
      </c>
      <c r="H473">
        <v>0</v>
      </c>
      <c r="I473">
        <v>148.20050000000001</v>
      </c>
    </row>
    <row r="474" spans="1:9" x14ac:dyDescent="0.3">
      <c r="A474" t="s">
        <v>9</v>
      </c>
      <c r="B474" t="s">
        <v>572</v>
      </c>
      <c r="C474">
        <v>1</v>
      </c>
      <c r="D474">
        <v>-1.1000000000000001E-3</v>
      </c>
      <c r="E474">
        <v>5.9957334838115024</v>
      </c>
      <c r="F474">
        <v>606.80236069123202</v>
      </c>
      <c r="G474">
        <v>0.42399999999999999</v>
      </c>
      <c r="H474">
        <v>0</v>
      </c>
      <c r="I474">
        <v>148.3997</v>
      </c>
    </row>
    <row r="475" spans="1:9" x14ac:dyDescent="0.3">
      <c r="A475" t="s">
        <v>9</v>
      </c>
      <c r="B475" t="s">
        <v>573</v>
      </c>
      <c r="C475">
        <v>1</v>
      </c>
      <c r="D475">
        <v>-3.0999999999999999E-3</v>
      </c>
      <c r="E475">
        <v>5.9957334838115024</v>
      </c>
      <c r="F475">
        <v>606.80236069123202</v>
      </c>
      <c r="G475">
        <v>0.42399999999999999</v>
      </c>
      <c r="H475">
        <v>0</v>
      </c>
      <c r="I475">
        <v>148.6009</v>
      </c>
    </row>
    <row r="476" spans="1:9" x14ac:dyDescent="0.3">
      <c r="A476" t="s">
        <v>9</v>
      </c>
      <c r="B476" t="s">
        <v>574</v>
      </c>
      <c r="C476">
        <v>1</v>
      </c>
      <c r="D476">
        <v>-3.0999999999999999E-3</v>
      </c>
      <c r="E476">
        <v>5.9957334838115024</v>
      </c>
      <c r="F476">
        <v>606.80236069123202</v>
      </c>
      <c r="G476">
        <v>0.42399999999999999</v>
      </c>
      <c r="H476">
        <v>0</v>
      </c>
      <c r="I476">
        <v>148.8014</v>
      </c>
    </row>
    <row r="477" spans="1:9" x14ac:dyDescent="0.3">
      <c r="A477" t="s">
        <v>9</v>
      </c>
      <c r="B477" t="s">
        <v>575</v>
      </c>
      <c r="C477">
        <v>1</v>
      </c>
      <c r="D477">
        <v>-3.0999999999999999E-3</v>
      </c>
      <c r="E477">
        <v>5.9957334838115024</v>
      </c>
      <c r="F477">
        <v>606.80236069123202</v>
      </c>
      <c r="G477">
        <v>0.42399999999999999</v>
      </c>
      <c r="H477">
        <v>0</v>
      </c>
      <c r="I477">
        <v>148.99959999999999</v>
      </c>
    </row>
    <row r="478" spans="1:9" x14ac:dyDescent="0.3">
      <c r="A478" t="s">
        <v>9</v>
      </c>
      <c r="B478" t="s">
        <v>576</v>
      </c>
      <c r="C478">
        <v>1</v>
      </c>
      <c r="D478">
        <v>-3.0999999999999999E-3</v>
      </c>
      <c r="E478">
        <v>5.9957334838115024</v>
      </c>
      <c r="F478">
        <v>606.80236069123202</v>
      </c>
      <c r="G478">
        <v>0.42399999999999999</v>
      </c>
      <c r="H478">
        <v>0</v>
      </c>
      <c r="I478">
        <v>149.20050000000001</v>
      </c>
    </row>
    <row r="479" spans="1:9" x14ac:dyDescent="0.3">
      <c r="A479" t="s">
        <v>9</v>
      </c>
      <c r="B479" t="s">
        <v>577</v>
      </c>
      <c r="C479">
        <v>1</v>
      </c>
      <c r="D479">
        <v>-3.0999999999999999E-3</v>
      </c>
      <c r="E479">
        <v>5.9957334838115024</v>
      </c>
      <c r="F479">
        <v>606.80236069123202</v>
      </c>
      <c r="G479">
        <v>0.42399999999999999</v>
      </c>
      <c r="H479">
        <v>0</v>
      </c>
      <c r="I479">
        <v>149.39920000000001</v>
      </c>
    </row>
    <row r="480" spans="1:9" x14ac:dyDescent="0.3">
      <c r="A480" t="s">
        <v>9</v>
      </c>
      <c r="B480" t="s">
        <v>578</v>
      </c>
      <c r="C480">
        <v>1</v>
      </c>
      <c r="D480">
        <v>-3.0999999999999999E-3</v>
      </c>
      <c r="E480">
        <v>5.9957334838115024</v>
      </c>
      <c r="F480">
        <v>606.80236069123202</v>
      </c>
      <c r="G480">
        <v>0.42399999999999999</v>
      </c>
      <c r="H480">
        <v>0</v>
      </c>
      <c r="I480">
        <v>149.59899999999999</v>
      </c>
    </row>
    <row r="481" spans="1:9" x14ac:dyDescent="0.3">
      <c r="A481" t="s">
        <v>9</v>
      </c>
      <c r="B481" t="s">
        <v>579</v>
      </c>
      <c r="C481">
        <v>1</v>
      </c>
      <c r="D481">
        <v>-3.0999999999999999E-3</v>
      </c>
      <c r="E481">
        <v>5.9957334838115024</v>
      </c>
      <c r="F481">
        <v>606.80236069123202</v>
      </c>
      <c r="G481">
        <v>0.42399999999999999</v>
      </c>
      <c r="H481">
        <v>0</v>
      </c>
      <c r="I481">
        <v>149.7998</v>
      </c>
    </row>
    <row r="482" spans="1:9" x14ac:dyDescent="0.3">
      <c r="A482" t="s">
        <v>9</v>
      </c>
      <c r="B482" t="s">
        <v>580</v>
      </c>
      <c r="C482">
        <v>1</v>
      </c>
      <c r="D482">
        <v>-3.0999999999999999E-3</v>
      </c>
      <c r="E482">
        <v>5.9957334838115024</v>
      </c>
      <c r="F482">
        <v>606.80236069123202</v>
      </c>
      <c r="G482">
        <v>0.42399999999999999</v>
      </c>
      <c r="H482">
        <v>0</v>
      </c>
      <c r="I482">
        <v>149.999</v>
      </c>
    </row>
    <row r="483" spans="1:9" x14ac:dyDescent="0.3">
      <c r="A483" t="s">
        <v>9</v>
      </c>
      <c r="B483" t="s">
        <v>581</v>
      </c>
      <c r="C483">
        <v>1</v>
      </c>
      <c r="D483">
        <v>-3.0999999999999999E-3</v>
      </c>
      <c r="E483">
        <v>5.9957334838115024</v>
      </c>
      <c r="F483">
        <v>606.80236069123202</v>
      </c>
      <c r="G483">
        <v>0.42399999999999999</v>
      </c>
      <c r="H483">
        <v>0</v>
      </c>
      <c r="I483">
        <v>150.2003</v>
      </c>
    </row>
    <row r="484" spans="1:9" x14ac:dyDescent="0.3">
      <c r="A484" t="s">
        <v>9</v>
      </c>
      <c r="B484" t="s">
        <v>582</v>
      </c>
      <c r="C484">
        <v>1</v>
      </c>
      <c r="D484">
        <v>-3.0999999999999999E-3</v>
      </c>
      <c r="E484">
        <v>5.9957334838115024</v>
      </c>
      <c r="F484">
        <v>606.80236069123202</v>
      </c>
      <c r="G484">
        <v>0.42399999999999999</v>
      </c>
      <c r="H484">
        <v>0</v>
      </c>
      <c r="I484">
        <v>150.39920000000001</v>
      </c>
    </row>
    <row r="485" spans="1:9" x14ac:dyDescent="0.3">
      <c r="A485" t="s">
        <v>9</v>
      </c>
      <c r="B485" t="s">
        <v>583</v>
      </c>
      <c r="C485">
        <v>1</v>
      </c>
      <c r="D485">
        <v>-3.0999999999999999E-3</v>
      </c>
      <c r="E485">
        <v>5.9957334838115024</v>
      </c>
      <c r="F485">
        <v>606.80236069123202</v>
      </c>
      <c r="G485">
        <v>0.42399999999999999</v>
      </c>
      <c r="H485">
        <v>0</v>
      </c>
      <c r="I485">
        <v>150.59989999999999</v>
      </c>
    </row>
    <row r="486" spans="1:9" x14ac:dyDescent="0.3">
      <c r="A486" t="s">
        <v>9</v>
      </c>
      <c r="B486" t="s">
        <v>584</v>
      </c>
      <c r="C486">
        <v>1</v>
      </c>
      <c r="D486">
        <v>-3.0999999999999999E-3</v>
      </c>
      <c r="E486">
        <v>5.9957334838115024</v>
      </c>
      <c r="F486">
        <v>606.80236069123202</v>
      </c>
      <c r="G486">
        <v>0.42399999999999999</v>
      </c>
      <c r="H486">
        <v>0</v>
      </c>
      <c r="I486">
        <v>150.7998</v>
      </c>
    </row>
    <row r="487" spans="1:9" x14ac:dyDescent="0.3">
      <c r="A487" t="s">
        <v>9</v>
      </c>
      <c r="B487" t="s">
        <v>585</v>
      </c>
      <c r="C487">
        <v>1</v>
      </c>
      <c r="D487">
        <v>-3.0999999999999999E-3</v>
      </c>
      <c r="E487">
        <v>5.9957334838115024</v>
      </c>
      <c r="F487">
        <v>606.80236069123202</v>
      </c>
      <c r="G487">
        <v>0.42399999999999999</v>
      </c>
      <c r="H487">
        <v>0</v>
      </c>
      <c r="I487">
        <v>151.00020000000001</v>
      </c>
    </row>
    <row r="488" spans="1:9" x14ac:dyDescent="0.3">
      <c r="A488" t="s">
        <v>9</v>
      </c>
      <c r="B488" t="s">
        <v>586</v>
      </c>
      <c r="C488">
        <v>1</v>
      </c>
      <c r="D488">
        <v>-3.0999999999999999E-3</v>
      </c>
      <c r="E488">
        <v>5.9957334838115024</v>
      </c>
      <c r="F488">
        <v>606.80236069123202</v>
      </c>
      <c r="G488">
        <v>0.42399999999999999</v>
      </c>
      <c r="H488">
        <v>0</v>
      </c>
      <c r="I488">
        <v>151.2012</v>
      </c>
    </row>
    <row r="489" spans="1:9" x14ac:dyDescent="0.3">
      <c r="A489" t="s">
        <v>9</v>
      </c>
      <c r="B489" t="s">
        <v>587</v>
      </c>
      <c r="C489">
        <v>1</v>
      </c>
      <c r="D489">
        <v>-3.0999999999999999E-3</v>
      </c>
      <c r="E489">
        <v>6.7340945030816659</v>
      </c>
      <c r="F489">
        <v>779.06556834245009</v>
      </c>
      <c r="G489">
        <v>0.42399999999999999</v>
      </c>
      <c r="H489">
        <v>1.15E-2</v>
      </c>
      <c r="I489">
        <v>151.40039999999999</v>
      </c>
    </row>
    <row r="490" spans="1:9" x14ac:dyDescent="0.3">
      <c r="A490" t="s">
        <v>9</v>
      </c>
      <c r="B490" t="s">
        <v>588</v>
      </c>
      <c r="C490">
        <v>1</v>
      </c>
      <c r="D490">
        <v>6.7999999999999996E-3</v>
      </c>
      <c r="E490">
        <v>7.3983050589523636</v>
      </c>
      <c r="F490">
        <v>842.09915009457939</v>
      </c>
      <c r="G490">
        <v>0.42399999999999999</v>
      </c>
      <c r="H490">
        <v>2.18E-2</v>
      </c>
      <c r="I490">
        <v>151.6011</v>
      </c>
    </row>
    <row r="491" spans="1:9" x14ac:dyDescent="0.3">
      <c r="A491" t="s">
        <v>9</v>
      </c>
      <c r="B491" t="s">
        <v>589</v>
      </c>
      <c r="C491">
        <v>1</v>
      </c>
      <c r="D491">
        <v>1.9699999999999999E-2</v>
      </c>
      <c r="E491">
        <v>7.7072243029925884</v>
      </c>
      <c r="F491">
        <v>871.41558635399667</v>
      </c>
      <c r="G491">
        <v>0.42399999999999999</v>
      </c>
      <c r="H491">
        <v>2.6599999999999999E-2</v>
      </c>
      <c r="I491">
        <v>151.80080000000001</v>
      </c>
    </row>
    <row r="492" spans="1:9" x14ac:dyDescent="0.3">
      <c r="A492" t="s">
        <v>9</v>
      </c>
      <c r="B492" t="s">
        <v>590</v>
      </c>
      <c r="C492">
        <v>1</v>
      </c>
      <c r="D492">
        <v>2.7E-2</v>
      </c>
      <c r="E492">
        <v>8.0226752753439623</v>
      </c>
      <c r="F492">
        <v>901.35188363014208</v>
      </c>
      <c r="G492">
        <v>0.42399999999999999</v>
      </c>
      <c r="H492">
        <v>3.15E-2</v>
      </c>
      <c r="I492">
        <v>151.99969999999999</v>
      </c>
    </row>
    <row r="493" spans="1:9" x14ac:dyDescent="0.3">
      <c r="A493" t="s">
        <v>9</v>
      </c>
      <c r="B493" t="s">
        <v>591</v>
      </c>
      <c r="C493">
        <v>1</v>
      </c>
      <c r="D493">
        <v>3.3099999999999997E-2</v>
      </c>
      <c r="E493">
        <v>8.3407184221998492</v>
      </c>
      <c r="F493">
        <v>931.53417826676571</v>
      </c>
      <c r="G493">
        <v>0.42399999999999999</v>
      </c>
      <c r="H493">
        <v>3.6400000000000002E-2</v>
      </c>
      <c r="I493">
        <v>152.2003</v>
      </c>
    </row>
    <row r="494" spans="1:9" x14ac:dyDescent="0.3">
      <c r="A494" t="s">
        <v>9</v>
      </c>
      <c r="B494" t="s">
        <v>592</v>
      </c>
      <c r="C494">
        <v>1</v>
      </c>
      <c r="D494">
        <v>3.7600000000000001E-2</v>
      </c>
      <c r="E494">
        <v>8.6486308823679146</v>
      </c>
      <c r="F494">
        <v>960.75507073671508</v>
      </c>
      <c r="G494">
        <v>0.42399999999999999</v>
      </c>
      <c r="H494">
        <v>4.1200000000000001E-2</v>
      </c>
      <c r="I494">
        <v>152.39940000000001</v>
      </c>
    </row>
    <row r="495" spans="1:9" x14ac:dyDescent="0.3">
      <c r="A495" t="s">
        <v>9</v>
      </c>
      <c r="B495" t="s">
        <v>593</v>
      </c>
      <c r="C495">
        <v>1</v>
      </c>
      <c r="D495">
        <v>4.3099999999999999E-2</v>
      </c>
      <c r="E495">
        <v>8.944260417107353</v>
      </c>
      <c r="F495">
        <v>988.81031358348787</v>
      </c>
      <c r="G495">
        <v>0.42399999999999999</v>
      </c>
      <c r="H495">
        <v>4.58E-2</v>
      </c>
      <c r="I495">
        <v>152.60050000000001</v>
      </c>
    </row>
    <row r="496" spans="1:9" x14ac:dyDescent="0.3">
      <c r="A496" t="s">
        <v>9</v>
      </c>
      <c r="B496" t="s">
        <v>594</v>
      </c>
      <c r="C496">
        <v>1</v>
      </c>
      <c r="D496">
        <v>4.8000000000000001E-2</v>
      </c>
      <c r="E496">
        <v>9.2147033252713459</v>
      </c>
      <c r="F496">
        <v>1014.475345568251</v>
      </c>
      <c r="G496">
        <v>0.42399999999999999</v>
      </c>
      <c r="H496">
        <v>0.05</v>
      </c>
      <c r="I496">
        <v>152.80000000000001</v>
      </c>
    </row>
    <row r="497" spans="1:9" x14ac:dyDescent="0.3">
      <c r="A497" t="s">
        <v>9</v>
      </c>
      <c r="B497" t="s">
        <v>595</v>
      </c>
      <c r="C497">
        <v>1</v>
      </c>
      <c r="D497">
        <v>5.2600000000000001E-2</v>
      </c>
      <c r="E497">
        <v>9.4603748089078596</v>
      </c>
      <c r="F497">
        <v>1037.7895693653561</v>
      </c>
      <c r="G497">
        <v>0.42399999999999999</v>
      </c>
      <c r="H497">
        <v>5.3800000000000001E-2</v>
      </c>
      <c r="I497">
        <v>153.0033</v>
      </c>
    </row>
    <row r="498" spans="1:9" x14ac:dyDescent="0.3">
      <c r="A498" t="s">
        <v>9</v>
      </c>
      <c r="B498" t="s">
        <v>596</v>
      </c>
      <c r="C498">
        <v>1</v>
      </c>
      <c r="D498">
        <v>5.6099999999999997E-2</v>
      </c>
      <c r="E498">
        <v>9.665900633590546</v>
      </c>
      <c r="F498">
        <v>1057.293970127743</v>
      </c>
      <c r="G498">
        <v>0.42399999999999999</v>
      </c>
      <c r="H498">
        <v>5.7000000000000002E-2</v>
      </c>
      <c r="I498">
        <v>153.2028</v>
      </c>
    </row>
    <row r="499" spans="1:9" x14ac:dyDescent="0.3">
      <c r="A499" t="s">
        <v>9</v>
      </c>
      <c r="B499" t="s">
        <v>597</v>
      </c>
      <c r="C499">
        <v>1</v>
      </c>
      <c r="D499">
        <v>5.9400000000000001E-2</v>
      </c>
      <c r="E499">
        <v>9.8289611011588676</v>
      </c>
      <c r="F499">
        <v>1072.768408499976</v>
      </c>
      <c r="G499">
        <v>0.42399999999999999</v>
      </c>
      <c r="H499">
        <v>5.96E-2</v>
      </c>
      <c r="I499">
        <v>153.39930000000001</v>
      </c>
    </row>
    <row r="500" spans="1:9" x14ac:dyDescent="0.3">
      <c r="A500" t="s">
        <v>9</v>
      </c>
      <c r="B500" t="s">
        <v>598</v>
      </c>
      <c r="C500">
        <v>1</v>
      </c>
      <c r="D500">
        <v>6.1600000000000002E-2</v>
      </c>
      <c r="E500">
        <v>9.9518710441243687</v>
      </c>
      <c r="F500">
        <v>1084.4325620874031</v>
      </c>
      <c r="G500">
        <v>0.42399999999999999</v>
      </c>
      <c r="H500">
        <v>6.1499999999999999E-2</v>
      </c>
      <c r="I500">
        <v>153.60130000000001</v>
      </c>
    </row>
    <row r="501" spans="1:9" x14ac:dyDescent="0.3">
      <c r="A501" t="s">
        <v>9</v>
      </c>
      <c r="B501" t="s">
        <v>599</v>
      </c>
      <c r="C501">
        <v>1</v>
      </c>
      <c r="D501">
        <v>6.4600000000000005E-2</v>
      </c>
      <c r="E501">
        <v>10.025899460828089</v>
      </c>
      <c r="F501">
        <v>1091.457858832586</v>
      </c>
      <c r="G501">
        <v>0.42399999999999999</v>
      </c>
      <c r="H501">
        <v>6.2600000000000003E-2</v>
      </c>
      <c r="I501">
        <v>153.80170000000001</v>
      </c>
    </row>
    <row r="502" spans="1:9" x14ac:dyDescent="0.3">
      <c r="A502" t="s">
        <v>9</v>
      </c>
      <c r="B502" t="s">
        <v>600</v>
      </c>
      <c r="C502">
        <v>1</v>
      </c>
      <c r="D502">
        <v>6.59E-2</v>
      </c>
      <c r="E502">
        <v>10.05044098344035</v>
      </c>
      <c r="F502">
        <v>1093.7868493284891</v>
      </c>
      <c r="G502">
        <v>0.42399999999999999</v>
      </c>
      <c r="H502">
        <v>6.3E-2</v>
      </c>
      <c r="I502">
        <v>153.99979999999999</v>
      </c>
    </row>
    <row r="503" spans="1:9" x14ac:dyDescent="0.3">
      <c r="A503" t="s">
        <v>9</v>
      </c>
      <c r="B503" t="s">
        <v>601</v>
      </c>
      <c r="C503">
        <v>1</v>
      </c>
      <c r="D503">
        <v>6.59E-2</v>
      </c>
      <c r="E503">
        <v>10.02535937378914</v>
      </c>
      <c r="F503">
        <v>982.36349363714805</v>
      </c>
      <c r="G503">
        <v>0.42399999999999999</v>
      </c>
      <c r="H503">
        <v>6.2600000000000003E-2</v>
      </c>
      <c r="I503">
        <v>154.20050000000001</v>
      </c>
    </row>
    <row r="504" spans="1:9" x14ac:dyDescent="0.3">
      <c r="A504" t="s">
        <v>9</v>
      </c>
      <c r="B504" t="s">
        <v>602</v>
      </c>
      <c r="C504">
        <v>1</v>
      </c>
      <c r="D504">
        <v>6.3899999999999998E-2</v>
      </c>
      <c r="E504">
        <v>9.9516378984431402</v>
      </c>
      <c r="F504">
        <v>975.49265213490071</v>
      </c>
      <c r="G504">
        <v>0.42399999999999999</v>
      </c>
      <c r="H504">
        <v>6.1499999999999999E-2</v>
      </c>
      <c r="I504">
        <v>154.3991</v>
      </c>
    </row>
    <row r="505" spans="1:9" x14ac:dyDescent="0.3">
      <c r="A505" t="s">
        <v>9</v>
      </c>
      <c r="B505" t="s">
        <v>603</v>
      </c>
      <c r="C505">
        <v>1</v>
      </c>
      <c r="D505">
        <v>6.2399999999999997E-2</v>
      </c>
      <c r="E505">
        <v>9.8287928307976333</v>
      </c>
      <c r="F505">
        <v>964.04349183033946</v>
      </c>
      <c r="G505">
        <v>0.42399999999999999</v>
      </c>
      <c r="H505">
        <v>5.96E-2</v>
      </c>
      <c r="I505">
        <v>154.6009</v>
      </c>
    </row>
    <row r="506" spans="1:9" x14ac:dyDescent="0.3">
      <c r="A506" t="s">
        <v>9</v>
      </c>
      <c r="B506" t="s">
        <v>604</v>
      </c>
      <c r="C506">
        <v>1</v>
      </c>
      <c r="D506">
        <v>6.0699999999999997E-2</v>
      </c>
      <c r="E506">
        <v>9.6623868240713673</v>
      </c>
      <c r="F506">
        <v>948.53445200345141</v>
      </c>
      <c r="G506">
        <v>0.42399999999999999</v>
      </c>
      <c r="H506">
        <v>5.7000000000000002E-2</v>
      </c>
      <c r="I506">
        <v>154.80090000000001</v>
      </c>
    </row>
    <row r="507" spans="1:9" x14ac:dyDescent="0.3">
      <c r="A507" t="s">
        <v>9</v>
      </c>
      <c r="B507" t="s">
        <v>605</v>
      </c>
      <c r="C507">
        <v>1</v>
      </c>
      <c r="D507">
        <v>5.8500000000000003E-2</v>
      </c>
      <c r="E507">
        <v>9.455381842092816</v>
      </c>
      <c r="F507">
        <v>929.24158768305051</v>
      </c>
      <c r="G507">
        <v>0.42399999999999999</v>
      </c>
      <c r="H507">
        <v>5.3800000000000001E-2</v>
      </c>
      <c r="I507">
        <v>155.00110000000001</v>
      </c>
    </row>
    <row r="508" spans="1:9" x14ac:dyDescent="0.3">
      <c r="A508" t="s">
        <v>9</v>
      </c>
      <c r="B508" t="s">
        <v>606</v>
      </c>
      <c r="C508">
        <v>1</v>
      </c>
      <c r="D508">
        <v>5.5899999999999998E-2</v>
      </c>
      <c r="E508">
        <v>9.2153423471732889</v>
      </c>
      <c r="F508">
        <v>906.86990675655056</v>
      </c>
      <c r="G508">
        <v>0.42399999999999999</v>
      </c>
      <c r="H508">
        <v>0.05</v>
      </c>
      <c r="I508">
        <v>155.1995</v>
      </c>
    </row>
    <row r="509" spans="1:9" x14ac:dyDescent="0.3">
      <c r="A509" t="s">
        <v>9</v>
      </c>
      <c r="B509" t="s">
        <v>607</v>
      </c>
      <c r="C509">
        <v>1</v>
      </c>
      <c r="D509">
        <v>5.0999999999999997E-2</v>
      </c>
      <c r="E509">
        <v>8.9441651314811104</v>
      </c>
      <c r="F509">
        <v>881.59619025403947</v>
      </c>
      <c r="G509">
        <v>0.42399999999999999</v>
      </c>
      <c r="H509">
        <v>4.58E-2</v>
      </c>
      <c r="I509">
        <v>155.39949999999999</v>
      </c>
    </row>
    <row r="510" spans="1:9" x14ac:dyDescent="0.3">
      <c r="A510" t="s">
        <v>9</v>
      </c>
      <c r="B510" t="s">
        <v>608</v>
      </c>
      <c r="C510">
        <v>2</v>
      </c>
      <c r="D510">
        <v>4.5900000000000003E-2</v>
      </c>
      <c r="E510">
        <v>8.6499121699377959</v>
      </c>
      <c r="F510">
        <v>854.17181423820261</v>
      </c>
      <c r="G510">
        <v>0.42399999999999999</v>
      </c>
      <c r="H510">
        <v>4.1200000000000001E-2</v>
      </c>
      <c r="I510">
        <v>155.59979999999999</v>
      </c>
    </row>
    <row r="511" spans="1:9" x14ac:dyDescent="0.3">
      <c r="A511" t="s">
        <v>9</v>
      </c>
      <c r="B511" t="s">
        <v>609</v>
      </c>
      <c r="C511">
        <v>2</v>
      </c>
      <c r="D511">
        <v>4.1200000000000001E-2</v>
      </c>
      <c r="E511">
        <v>8.3387794610735266</v>
      </c>
      <c r="F511">
        <v>825.1742457720527</v>
      </c>
      <c r="G511">
        <v>0.42399999999999999</v>
      </c>
      <c r="H511">
        <v>3.6400000000000002E-2</v>
      </c>
      <c r="I511">
        <v>155.80090000000001</v>
      </c>
    </row>
    <row r="512" spans="1:9" x14ac:dyDescent="0.3">
      <c r="A512" t="s">
        <v>9</v>
      </c>
      <c r="B512" t="s">
        <v>610</v>
      </c>
      <c r="C512">
        <v>2</v>
      </c>
      <c r="D512">
        <v>3.6900000000000002E-2</v>
      </c>
      <c r="E512">
        <v>8.0212074712290953</v>
      </c>
      <c r="F512">
        <v>795.57653631855169</v>
      </c>
      <c r="G512">
        <v>0.42399999999999999</v>
      </c>
      <c r="H512">
        <v>3.15E-2</v>
      </c>
      <c r="I512">
        <v>156.00120000000001</v>
      </c>
    </row>
    <row r="513" spans="1:9" x14ac:dyDescent="0.3">
      <c r="A513" t="s">
        <v>9</v>
      </c>
      <c r="B513" t="s">
        <v>611</v>
      </c>
      <c r="C513">
        <v>2</v>
      </c>
      <c r="D513">
        <v>3.1699999999999999E-2</v>
      </c>
      <c r="E513">
        <v>7.7075158364618108</v>
      </c>
      <c r="F513">
        <v>766.34047595824075</v>
      </c>
      <c r="G513">
        <v>0.42399999999999999</v>
      </c>
      <c r="H513">
        <v>2.6599999999999999E-2</v>
      </c>
      <c r="I513">
        <v>156.19900000000001</v>
      </c>
    </row>
    <row r="514" spans="1:9" x14ac:dyDescent="0.3">
      <c r="A514" t="s">
        <v>9</v>
      </c>
      <c r="B514" t="s">
        <v>612</v>
      </c>
      <c r="C514">
        <v>2</v>
      </c>
      <c r="D514">
        <v>2.6599999999999999E-2</v>
      </c>
      <c r="E514">
        <v>7.3968790183247473</v>
      </c>
      <c r="F514">
        <v>737.38912450786643</v>
      </c>
      <c r="G514">
        <v>0.42399999999999999</v>
      </c>
      <c r="H514">
        <v>2.18E-2</v>
      </c>
      <c r="I514">
        <v>156.3998</v>
      </c>
    </row>
    <row r="515" spans="1:9" x14ac:dyDescent="0.3">
      <c r="A515" t="s">
        <v>9</v>
      </c>
      <c r="B515" t="s">
        <v>613</v>
      </c>
      <c r="C515">
        <v>2</v>
      </c>
      <c r="D515">
        <v>2.1299999999999999E-2</v>
      </c>
      <c r="E515">
        <v>7.1041721167510401</v>
      </c>
      <c r="F515">
        <v>710.10884128119699</v>
      </c>
      <c r="G515">
        <v>0.42399999999999999</v>
      </c>
      <c r="H515">
        <v>1.72E-2</v>
      </c>
      <c r="I515">
        <v>156.59899999999999</v>
      </c>
    </row>
    <row r="516" spans="1:9" x14ac:dyDescent="0.3">
      <c r="A516" t="s">
        <v>9</v>
      </c>
      <c r="B516" t="s">
        <v>614</v>
      </c>
      <c r="C516">
        <v>2</v>
      </c>
      <c r="D516">
        <v>1.6299999999999999E-2</v>
      </c>
      <c r="E516">
        <v>6.8309809278437976</v>
      </c>
      <c r="F516">
        <v>684.64742247504194</v>
      </c>
      <c r="G516">
        <v>0.42399999999999999</v>
      </c>
      <c r="H516">
        <v>1.2999999999999999E-2</v>
      </c>
      <c r="I516">
        <v>156.8004</v>
      </c>
    </row>
    <row r="517" spans="1:9" x14ac:dyDescent="0.3">
      <c r="A517" t="s">
        <v>9</v>
      </c>
      <c r="B517" t="s">
        <v>615</v>
      </c>
      <c r="C517">
        <v>2</v>
      </c>
      <c r="D517">
        <v>1.17E-2</v>
      </c>
      <c r="E517">
        <v>6.5895441807198969</v>
      </c>
      <c r="F517">
        <v>662.14551764309442</v>
      </c>
      <c r="G517">
        <v>0.42399999999999999</v>
      </c>
      <c r="H517">
        <v>9.1999999999999998E-3</v>
      </c>
      <c r="I517">
        <v>157</v>
      </c>
    </row>
    <row r="518" spans="1:9" x14ac:dyDescent="0.3">
      <c r="A518" t="s">
        <v>9</v>
      </c>
      <c r="B518" t="s">
        <v>616</v>
      </c>
      <c r="C518">
        <v>2</v>
      </c>
      <c r="D518">
        <v>7.0000000000000001E-3</v>
      </c>
      <c r="E518">
        <v>6.3837687482435337</v>
      </c>
      <c r="F518">
        <v>642.96724733629731</v>
      </c>
      <c r="G518">
        <v>0.42399999999999999</v>
      </c>
      <c r="H518">
        <v>6.0000000000000001E-3</v>
      </c>
      <c r="I518">
        <v>157.19909999999999</v>
      </c>
    </row>
    <row r="519" spans="1:9" x14ac:dyDescent="0.3">
      <c r="A519" t="s">
        <v>9</v>
      </c>
      <c r="B519" t="s">
        <v>617</v>
      </c>
      <c r="C519">
        <v>2</v>
      </c>
      <c r="D519">
        <v>3.5000000000000001E-3</v>
      </c>
      <c r="E519">
        <v>6.216516807891618</v>
      </c>
      <c r="F519">
        <v>627.37936649549886</v>
      </c>
      <c r="G519">
        <v>0.42399999999999999</v>
      </c>
      <c r="H519">
        <v>3.3999999999999998E-3</v>
      </c>
      <c r="I519">
        <v>157.40029999999999</v>
      </c>
    </row>
    <row r="520" spans="1:9" x14ac:dyDescent="0.3">
      <c r="A520" t="s">
        <v>9</v>
      </c>
      <c r="B520" t="s">
        <v>618</v>
      </c>
      <c r="C520">
        <v>2</v>
      </c>
      <c r="D520">
        <v>1E-3</v>
      </c>
      <c r="E520">
        <v>6.0951332190172787</v>
      </c>
      <c r="F520">
        <v>616.0664160124104</v>
      </c>
      <c r="G520">
        <v>0.42399999999999999</v>
      </c>
      <c r="H520">
        <v>1.5E-3</v>
      </c>
      <c r="I520">
        <v>157.59960000000001</v>
      </c>
    </row>
    <row r="521" spans="1:9" x14ac:dyDescent="0.3">
      <c r="A521" t="s">
        <v>9</v>
      </c>
      <c r="B521" t="s">
        <v>619</v>
      </c>
      <c r="C521">
        <v>2</v>
      </c>
      <c r="D521">
        <v>-1.4E-3</v>
      </c>
      <c r="E521">
        <v>6.0204766226994693</v>
      </c>
      <c r="F521">
        <v>609.10842123559053</v>
      </c>
      <c r="G521">
        <v>0.42399999999999999</v>
      </c>
      <c r="H521">
        <v>4.0000000000000002E-4</v>
      </c>
      <c r="I521">
        <v>157.80090000000001</v>
      </c>
    </row>
    <row r="522" spans="1:9" x14ac:dyDescent="0.3">
      <c r="A522" t="s">
        <v>9</v>
      </c>
      <c r="B522" t="s">
        <v>620</v>
      </c>
      <c r="C522">
        <v>2</v>
      </c>
      <c r="D522">
        <v>-2.5999999999999999E-3</v>
      </c>
      <c r="E522">
        <v>5.9957345713687991</v>
      </c>
      <c r="F522">
        <v>606.80246205157209</v>
      </c>
      <c r="G522">
        <v>0.42399999999999999</v>
      </c>
      <c r="H522">
        <v>0</v>
      </c>
      <c r="I522">
        <v>158.00129999999999</v>
      </c>
    </row>
    <row r="523" spans="1:9" x14ac:dyDescent="0.3">
      <c r="A523" t="s">
        <v>9</v>
      </c>
      <c r="B523" t="s">
        <v>621</v>
      </c>
      <c r="C523">
        <v>2</v>
      </c>
      <c r="D523">
        <v>-3.0999999999999999E-3</v>
      </c>
      <c r="E523">
        <v>6.0208496517347259</v>
      </c>
      <c r="F523">
        <v>711.37863194962551</v>
      </c>
      <c r="G523">
        <v>0.42399999999999999</v>
      </c>
      <c r="H523">
        <v>4.0000000000000002E-4</v>
      </c>
      <c r="I523">
        <v>158.20060000000001</v>
      </c>
    </row>
    <row r="524" spans="1:9" x14ac:dyDescent="0.3">
      <c r="A524" t="s">
        <v>9</v>
      </c>
      <c r="B524" t="s">
        <v>622</v>
      </c>
      <c r="C524">
        <v>2</v>
      </c>
      <c r="D524">
        <v>-2.0000000000000001E-4</v>
      </c>
      <c r="E524">
        <v>6.0954696380985229</v>
      </c>
      <c r="F524">
        <v>718.46006865554989</v>
      </c>
      <c r="G524">
        <v>0.42399999999999999</v>
      </c>
      <c r="H524">
        <v>1.5E-3</v>
      </c>
      <c r="I524">
        <v>158.40100000000001</v>
      </c>
    </row>
    <row r="525" spans="1:9" x14ac:dyDescent="0.3">
      <c r="A525" t="s">
        <v>9</v>
      </c>
      <c r="B525" t="s">
        <v>623</v>
      </c>
      <c r="C525">
        <v>2</v>
      </c>
      <c r="D525">
        <v>2.0999999999999999E-3</v>
      </c>
      <c r="E525">
        <v>6.2168274795802398</v>
      </c>
      <c r="F525">
        <v>729.97692781216483</v>
      </c>
      <c r="G525">
        <v>0.42399999999999999</v>
      </c>
      <c r="H525">
        <v>3.3999999999999998E-3</v>
      </c>
      <c r="I525">
        <v>158.6002</v>
      </c>
    </row>
    <row r="526" spans="1:9" x14ac:dyDescent="0.3">
      <c r="A526" t="s">
        <v>9</v>
      </c>
      <c r="B526" t="s">
        <v>624</v>
      </c>
      <c r="C526">
        <v>2</v>
      </c>
      <c r="D526">
        <v>3.8999999999999998E-3</v>
      </c>
      <c r="E526">
        <v>6.3819618083933989</v>
      </c>
      <c r="F526">
        <v>745.64817561653354</v>
      </c>
      <c r="G526">
        <v>0.42399999999999999</v>
      </c>
      <c r="H526">
        <v>6.0000000000000001E-3</v>
      </c>
      <c r="I526">
        <v>158.79900000000001</v>
      </c>
    </row>
    <row r="527" spans="1:9" x14ac:dyDescent="0.3">
      <c r="A527" t="s">
        <v>9</v>
      </c>
      <c r="B527" t="s">
        <v>625</v>
      </c>
      <c r="C527">
        <v>2</v>
      </c>
      <c r="D527">
        <v>6.8999999999999999E-3</v>
      </c>
      <c r="E527">
        <v>6.5883006019297614</v>
      </c>
      <c r="F527">
        <v>765.22972712313435</v>
      </c>
      <c r="G527">
        <v>0.42399999999999999</v>
      </c>
      <c r="H527">
        <v>9.1999999999999998E-3</v>
      </c>
      <c r="I527">
        <v>158.99889999999999</v>
      </c>
    </row>
    <row r="528" spans="1:9" x14ac:dyDescent="0.3">
      <c r="A528" t="s">
        <v>9</v>
      </c>
      <c r="B528" t="s">
        <v>626</v>
      </c>
      <c r="C528">
        <v>2</v>
      </c>
      <c r="D528">
        <v>1.06E-2</v>
      </c>
      <c r="E528">
        <v>6.8328992099618713</v>
      </c>
      <c r="F528">
        <v>788.44213502538162</v>
      </c>
      <c r="G528">
        <v>0.42399999999999999</v>
      </c>
      <c r="H528">
        <v>1.2999999999999999E-2</v>
      </c>
      <c r="I528">
        <v>159.2011</v>
      </c>
    </row>
    <row r="529" spans="1:9" x14ac:dyDescent="0.3">
      <c r="A529" t="s">
        <v>9</v>
      </c>
      <c r="B529" t="s">
        <v>627</v>
      </c>
      <c r="C529">
        <v>2</v>
      </c>
      <c r="D529">
        <v>1.44E-2</v>
      </c>
      <c r="E529">
        <v>7.1030315275313933</v>
      </c>
      <c r="F529">
        <v>814.07769196272932</v>
      </c>
      <c r="G529">
        <v>0.42399999999999999</v>
      </c>
      <c r="H529">
        <v>1.72E-2</v>
      </c>
      <c r="I529">
        <v>159.40020000000001</v>
      </c>
    </row>
    <row r="530" spans="1:9" x14ac:dyDescent="0.3">
      <c r="A530" t="s">
        <v>9</v>
      </c>
      <c r="B530" t="s">
        <v>628</v>
      </c>
      <c r="C530">
        <v>2</v>
      </c>
      <c r="D530">
        <v>1.7999999999999999E-2</v>
      </c>
      <c r="E530">
        <v>7.3950442631811644</v>
      </c>
      <c r="F530">
        <v>841.78970057589254</v>
      </c>
      <c r="G530">
        <v>0.42399999999999999</v>
      </c>
      <c r="H530">
        <v>2.1700000000000001E-2</v>
      </c>
      <c r="I530">
        <v>159.59899999999999</v>
      </c>
    </row>
    <row r="531" spans="1:9" x14ac:dyDescent="0.3">
      <c r="A531" t="s">
        <v>9</v>
      </c>
      <c r="B531" t="s">
        <v>629</v>
      </c>
      <c r="C531">
        <v>2</v>
      </c>
      <c r="D531">
        <v>2.3099999999999999E-2</v>
      </c>
      <c r="E531">
        <v>7.7183419054858202</v>
      </c>
      <c r="F531">
        <v>872.47064683060444</v>
      </c>
      <c r="G531">
        <v>0.42399999999999999</v>
      </c>
      <c r="H531">
        <v>2.6800000000000001E-2</v>
      </c>
      <c r="I531">
        <v>159.80789999999999</v>
      </c>
    </row>
    <row r="532" spans="1:9" x14ac:dyDescent="0.3">
      <c r="A532" t="s">
        <v>9</v>
      </c>
      <c r="B532" t="s">
        <v>630</v>
      </c>
      <c r="C532">
        <v>2</v>
      </c>
      <c r="D532">
        <v>2.7799999999999998E-2</v>
      </c>
      <c r="E532">
        <v>8.0222166879257557</v>
      </c>
      <c r="F532">
        <v>901.3083636841543</v>
      </c>
      <c r="G532">
        <v>0.42399999999999999</v>
      </c>
      <c r="H532">
        <v>3.15E-2</v>
      </c>
      <c r="I532">
        <v>159.99950000000001</v>
      </c>
    </row>
    <row r="533" spans="1:9" x14ac:dyDescent="0.3">
      <c r="A533" t="s">
        <v>9</v>
      </c>
      <c r="B533" t="s">
        <v>631</v>
      </c>
      <c r="C533">
        <v>2</v>
      </c>
      <c r="D533">
        <v>3.2800000000000003E-2</v>
      </c>
      <c r="E533">
        <v>8.3419457821599856</v>
      </c>
      <c r="F533">
        <v>931.65065472698268</v>
      </c>
      <c r="G533">
        <v>0.42399999999999999</v>
      </c>
      <c r="H533">
        <v>3.6499999999999998E-2</v>
      </c>
      <c r="I533">
        <v>160.2011</v>
      </c>
    </row>
    <row r="534" spans="1:9" x14ac:dyDescent="0.3">
      <c r="A534" t="s">
        <v>9</v>
      </c>
      <c r="B534" t="s">
        <v>632</v>
      </c>
      <c r="C534">
        <v>2</v>
      </c>
      <c r="D534">
        <v>3.7900000000000003E-2</v>
      </c>
      <c r="E534">
        <v>8.6484593682406796</v>
      </c>
      <c r="F534">
        <v>960.73879404604054</v>
      </c>
      <c r="G534">
        <v>0.42399999999999999</v>
      </c>
      <c r="H534">
        <v>4.1200000000000001E-2</v>
      </c>
      <c r="I534">
        <v>160.39930000000001</v>
      </c>
    </row>
    <row r="535" spans="1:9" x14ac:dyDescent="0.3">
      <c r="A535" t="s">
        <v>9</v>
      </c>
      <c r="B535" t="s">
        <v>633</v>
      </c>
      <c r="C535">
        <v>2</v>
      </c>
      <c r="D535">
        <v>4.3400000000000001E-2</v>
      </c>
      <c r="E535">
        <v>8.9424868880470143</v>
      </c>
      <c r="F535">
        <v>988.64200567566172</v>
      </c>
      <c r="G535">
        <v>0.42399999999999999</v>
      </c>
      <c r="H535">
        <v>4.58E-2</v>
      </c>
      <c r="I535">
        <v>160.5993</v>
      </c>
    </row>
    <row r="536" spans="1:9" x14ac:dyDescent="0.3">
      <c r="A536" t="s">
        <v>9</v>
      </c>
      <c r="B536" t="s">
        <v>634</v>
      </c>
      <c r="C536">
        <v>2</v>
      </c>
      <c r="D536">
        <v>4.7600000000000003E-2</v>
      </c>
      <c r="E536">
        <v>9.2154331726212817</v>
      </c>
      <c r="F536">
        <v>1014.54460808176</v>
      </c>
      <c r="G536">
        <v>0.42399999999999999</v>
      </c>
      <c r="H536">
        <v>0.05</v>
      </c>
      <c r="I536">
        <v>160.8005</v>
      </c>
    </row>
    <row r="537" spans="1:9" x14ac:dyDescent="0.3">
      <c r="A537" t="s">
        <v>9</v>
      </c>
      <c r="B537" t="s">
        <v>635</v>
      </c>
      <c r="C537">
        <v>2</v>
      </c>
      <c r="D537">
        <v>5.2600000000000001E-2</v>
      </c>
      <c r="E537">
        <v>9.4559973466912606</v>
      </c>
      <c r="F537">
        <v>1037.3741482010009</v>
      </c>
      <c r="G537">
        <v>0.42399999999999999</v>
      </c>
      <c r="H537">
        <v>5.3800000000000001E-2</v>
      </c>
      <c r="I537">
        <v>160.99940000000001</v>
      </c>
    </row>
    <row r="538" spans="1:9" x14ac:dyDescent="0.3">
      <c r="A538" t="s">
        <v>9</v>
      </c>
      <c r="B538" t="s">
        <v>636</v>
      </c>
      <c r="C538">
        <v>2</v>
      </c>
      <c r="D538">
        <v>5.62E-2</v>
      </c>
      <c r="E538">
        <v>9.6638801728434789</v>
      </c>
      <c r="F538">
        <v>1057.1022284028461</v>
      </c>
      <c r="G538">
        <v>0.42399999999999999</v>
      </c>
      <c r="H538">
        <v>5.7000000000000002E-2</v>
      </c>
      <c r="I538">
        <v>161.20070000000001</v>
      </c>
    </row>
    <row r="539" spans="1:9" x14ac:dyDescent="0.3">
      <c r="A539" t="s">
        <v>9</v>
      </c>
      <c r="B539" t="s">
        <v>637</v>
      </c>
      <c r="C539">
        <v>2</v>
      </c>
      <c r="D539">
        <v>5.8999999999999997E-2</v>
      </c>
      <c r="E539">
        <v>9.8302760428009996</v>
      </c>
      <c r="F539">
        <v>1072.893196461815</v>
      </c>
      <c r="G539">
        <v>0.42399999999999999</v>
      </c>
      <c r="H539">
        <v>5.96E-2</v>
      </c>
      <c r="I539">
        <v>161.40110000000001</v>
      </c>
    </row>
    <row r="540" spans="1:9" x14ac:dyDescent="0.3">
      <c r="A540" t="s">
        <v>9</v>
      </c>
      <c r="B540" t="s">
        <v>638</v>
      </c>
      <c r="C540">
        <v>2</v>
      </c>
      <c r="D540">
        <v>6.1899999999999997E-2</v>
      </c>
      <c r="E540">
        <v>9.9511614703119324</v>
      </c>
      <c r="F540">
        <v>1084.3652235326031</v>
      </c>
      <c r="G540">
        <v>0.42399999999999999</v>
      </c>
      <c r="H540">
        <v>6.1499999999999999E-2</v>
      </c>
      <c r="I540">
        <v>161.59989999999999</v>
      </c>
    </row>
    <row r="541" spans="1:9" x14ac:dyDescent="0.3">
      <c r="A541" t="s">
        <v>9</v>
      </c>
      <c r="B541" t="s">
        <v>639</v>
      </c>
      <c r="C541">
        <v>2</v>
      </c>
      <c r="D541">
        <v>6.4399999999999999E-2</v>
      </c>
      <c r="E541">
        <v>10.02557751705262</v>
      </c>
      <c r="F541">
        <v>1091.427306368294</v>
      </c>
      <c r="G541">
        <v>0.42399999999999999</v>
      </c>
      <c r="H541">
        <v>6.2600000000000003E-2</v>
      </c>
      <c r="I541">
        <v>161.8004</v>
      </c>
    </row>
    <row r="542" spans="1:9" x14ac:dyDescent="0.3">
      <c r="A542" t="s">
        <v>9</v>
      </c>
      <c r="B542" t="s">
        <v>640</v>
      </c>
      <c r="C542">
        <v>2</v>
      </c>
      <c r="D542">
        <v>6.6500000000000004E-2</v>
      </c>
      <c r="E542">
        <v>10.050440172498851</v>
      </c>
      <c r="F542">
        <v>1093.7867723701411</v>
      </c>
      <c r="G542">
        <v>0.42399999999999999</v>
      </c>
      <c r="H542">
        <v>6.3E-2</v>
      </c>
      <c r="I542">
        <v>162.00120000000001</v>
      </c>
    </row>
    <row r="543" spans="1:9" x14ac:dyDescent="0.3">
      <c r="A543" t="s">
        <v>9</v>
      </c>
      <c r="B543" t="s">
        <v>641</v>
      </c>
      <c r="C543">
        <v>2</v>
      </c>
      <c r="D543">
        <v>6.6600000000000006E-2</v>
      </c>
      <c r="E543">
        <v>10.02571618804911</v>
      </c>
      <c r="F543">
        <v>982.39674872617684</v>
      </c>
      <c r="G543">
        <v>0.42399999999999999</v>
      </c>
      <c r="H543">
        <v>6.2600000000000003E-2</v>
      </c>
      <c r="I543">
        <v>162.19909999999999</v>
      </c>
    </row>
    <row r="544" spans="1:9" x14ac:dyDescent="0.3">
      <c r="A544" t="s">
        <v>9</v>
      </c>
      <c r="B544" t="s">
        <v>642</v>
      </c>
      <c r="C544">
        <v>2</v>
      </c>
      <c r="D544">
        <v>6.4000000000000001E-2</v>
      </c>
      <c r="E544">
        <v>9.9507519448544706</v>
      </c>
      <c r="F544">
        <v>975.41008126043664</v>
      </c>
      <c r="G544">
        <v>0.42399999999999999</v>
      </c>
      <c r="H544">
        <v>6.1499999999999999E-2</v>
      </c>
      <c r="I544">
        <v>162.40090000000001</v>
      </c>
    </row>
    <row r="545" spans="1:9" x14ac:dyDescent="0.3">
      <c r="A545" t="s">
        <v>9</v>
      </c>
      <c r="B545" t="s">
        <v>643</v>
      </c>
      <c r="C545">
        <v>2</v>
      </c>
      <c r="D545">
        <v>6.2300000000000001E-2</v>
      </c>
      <c r="E545">
        <v>9.8288045894493816</v>
      </c>
      <c r="F545">
        <v>964.04458773668239</v>
      </c>
      <c r="G545">
        <v>0.42399999999999999</v>
      </c>
      <c r="H545">
        <v>5.96E-2</v>
      </c>
      <c r="I545">
        <v>162.6009</v>
      </c>
    </row>
    <row r="546" spans="1:9" x14ac:dyDescent="0.3">
      <c r="A546" t="s">
        <v>9</v>
      </c>
      <c r="B546" t="s">
        <v>644</v>
      </c>
      <c r="C546">
        <v>2</v>
      </c>
      <c r="D546">
        <v>6.08E-2</v>
      </c>
      <c r="E546">
        <v>9.6618556573889158</v>
      </c>
      <c r="F546">
        <v>948.48494726864703</v>
      </c>
      <c r="G546">
        <v>0.42399999999999999</v>
      </c>
      <c r="H546">
        <v>5.7000000000000002E-2</v>
      </c>
      <c r="I546">
        <v>162.8015</v>
      </c>
    </row>
    <row r="547" spans="1:9" x14ac:dyDescent="0.3">
      <c r="A547" t="s">
        <v>9</v>
      </c>
      <c r="B547" t="s">
        <v>645</v>
      </c>
      <c r="C547">
        <v>2</v>
      </c>
      <c r="D547">
        <v>5.91E-2</v>
      </c>
      <c r="E547">
        <v>9.4566254208829523</v>
      </c>
      <c r="F547">
        <v>929.35748922629114</v>
      </c>
      <c r="G547">
        <v>0.42399999999999999</v>
      </c>
      <c r="H547">
        <v>5.3800000000000001E-2</v>
      </c>
      <c r="I547">
        <v>163</v>
      </c>
    </row>
    <row r="548" spans="1:9" x14ac:dyDescent="0.3">
      <c r="A548" t="s">
        <v>9</v>
      </c>
      <c r="B548" t="s">
        <v>646</v>
      </c>
      <c r="C548">
        <v>2</v>
      </c>
      <c r="D548">
        <v>5.5300000000000002E-2</v>
      </c>
      <c r="E548">
        <v>9.2145249181413647</v>
      </c>
      <c r="F548">
        <v>906.79372237077519</v>
      </c>
      <c r="G548">
        <v>0.42399999999999999</v>
      </c>
      <c r="H548">
        <v>0.05</v>
      </c>
      <c r="I548">
        <v>163.20009999999999</v>
      </c>
    </row>
    <row r="549" spans="1:9" x14ac:dyDescent="0.3">
      <c r="A549" t="s">
        <v>9</v>
      </c>
      <c r="B549" t="s">
        <v>647</v>
      </c>
      <c r="C549">
        <v>2</v>
      </c>
      <c r="D549">
        <v>5.0799999999999998E-2</v>
      </c>
      <c r="E549">
        <v>8.9433472969784358</v>
      </c>
      <c r="F549">
        <v>881.51996807839021</v>
      </c>
      <c r="G549">
        <v>0.42399999999999999</v>
      </c>
      <c r="H549">
        <v>4.58E-2</v>
      </c>
      <c r="I549">
        <v>163.40010000000001</v>
      </c>
    </row>
    <row r="550" spans="1:9" x14ac:dyDescent="0.3">
      <c r="A550" t="s">
        <v>9</v>
      </c>
      <c r="B550" t="s">
        <v>648</v>
      </c>
      <c r="C550">
        <v>2</v>
      </c>
      <c r="D550">
        <v>4.5900000000000003E-2</v>
      </c>
      <c r="E550">
        <v>8.6490833877248736</v>
      </c>
      <c r="F550">
        <v>854.0945717359582</v>
      </c>
      <c r="G550">
        <v>0.42399999999999999</v>
      </c>
      <c r="H550">
        <v>4.1200000000000001E-2</v>
      </c>
      <c r="I550">
        <v>163.6003</v>
      </c>
    </row>
    <row r="551" spans="1:9" x14ac:dyDescent="0.3">
      <c r="A551" t="s">
        <v>9</v>
      </c>
      <c r="B551" t="s">
        <v>649</v>
      </c>
      <c r="C551">
        <v>2</v>
      </c>
      <c r="D551">
        <v>4.1700000000000001E-2</v>
      </c>
      <c r="E551">
        <v>8.3415703162455213</v>
      </c>
      <c r="F551">
        <v>825.43435347408263</v>
      </c>
      <c r="G551">
        <v>0.42399999999999999</v>
      </c>
      <c r="H551">
        <v>3.6400000000000002E-2</v>
      </c>
      <c r="I551">
        <v>163.79910000000001</v>
      </c>
    </row>
    <row r="552" spans="1:9" x14ac:dyDescent="0.3">
      <c r="A552" t="s">
        <v>9</v>
      </c>
      <c r="B552" t="s">
        <v>650</v>
      </c>
      <c r="C552">
        <v>2</v>
      </c>
      <c r="D552">
        <v>3.6600000000000001E-2</v>
      </c>
      <c r="E552">
        <v>8.0224084755904883</v>
      </c>
      <c r="F552">
        <v>795.68846992503359</v>
      </c>
      <c r="G552">
        <v>0.42399999999999999</v>
      </c>
      <c r="H552">
        <v>3.15E-2</v>
      </c>
      <c r="I552">
        <v>164.00040000000001</v>
      </c>
    </row>
    <row r="553" spans="1:9" x14ac:dyDescent="0.3">
      <c r="A553" t="s">
        <v>9</v>
      </c>
      <c r="B553" t="s">
        <v>651</v>
      </c>
      <c r="C553">
        <v>2</v>
      </c>
      <c r="D553">
        <v>3.1199999999999999E-2</v>
      </c>
      <c r="E553">
        <v>7.7070523833946032</v>
      </c>
      <c r="F553">
        <v>766.29728213237706</v>
      </c>
      <c r="G553">
        <v>0.42399999999999999</v>
      </c>
      <c r="H553">
        <v>2.6599999999999999E-2</v>
      </c>
      <c r="I553">
        <v>164.19929999999999</v>
      </c>
    </row>
    <row r="554" spans="1:9" x14ac:dyDescent="0.3">
      <c r="A554" t="s">
        <v>9</v>
      </c>
      <c r="B554" t="s">
        <v>652</v>
      </c>
      <c r="C554">
        <v>2</v>
      </c>
      <c r="D554">
        <v>2.7E-2</v>
      </c>
      <c r="E554">
        <v>7.397359501163451</v>
      </c>
      <c r="F554">
        <v>737.43390550843367</v>
      </c>
      <c r="G554">
        <v>0.42399999999999999</v>
      </c>
      <c r="H554">
        <v>2.18E-2</v>
      </c>
      <c r="I554">
        <v>164.39949999999999</v>
      </c>
    </row>
    <row r="555" spans="1:9" x14ac:dyDescent="0.3">
      <c r="A555" t="s">
        <v>9</v>
      </c>
      <c r="B555" t="s">
        <v>653</v>
      </c>
      <c r="C555">
        <v>2</v>
      </c>
      <c r="D555">
        <v>2.1399999999999999E-2</v>
      </c>
      <c r="E555">
        <v>7.1013974804090454</v>
      </c>
      <c r="F555">
        <v>709.85024517412296</v>
      </c>
      <c r="G555">
        <v>0.42399999999999999</v>
      </c>
      <c r="H555">
        <v>1.72E-2</v>
      </c>
      <c r="I555">
        <v>164.6009</v>
      </c>
    </row>
    <row r="556" spans="1:9" x14ac:dyDescent="0.3">
      <c r="A556" t="s">
        <v>9</v>
      </c>
      <c r="B556" t="s">
        <v>654</v>
      </c>
      <c r="C556">
        <v>2</v>
      </c>
      <c r="D556">
        <v>1.6E-2</v>
      </c>
      <c r="E556">
        <v>6.8313020606777677</v>
      </c>
      <c r="F556">
        <v>684.67735205516794</v>
      </c>
      <c r="G556">
        <v>0.42399999999999999</v>
      </c>
      <c r="H556">
        <v>1.2999999999999999E-2</v>
      </c>
      <c r="I556">
        <v>164.80009999999999</v>
      </c>
    </row>
    <row r="557" spans="1:9" x14ac:dyDescent="0.3">
      <c r="A557" t="s">
        <v>9</v>
      </c>
      <c r="B557" t="s">
        <v>655</v>
      </c>
      <c r="C557">
        <v>2</v>
      </c>
      <c r="D557">
        <v>1.21E-2</v>
      </c>
      <c r="E557">
        <v>6.5887206696267224</v>
      </c>
      <c r="F557">
        <v>662.06876640921041</v>
      </c>
      <c r="G557">
        <v>0.42399999999999999</v>
      </c>
      <c r="H557">
        <v>9.1999999999999998E-3</v>
      </c>
      <c r="I557">
        <v>165.00069999999999</v>
      </c>
    </row>
    <row r="558" spans="1:9" x14ac:dyDescent="0.3">
      <c r="A558" t="s">
        <v>9</v>
      </c>
      <c r="B558" t="s">
        <v>656</v>
      </c>
      <c r="C558">
        <v>2</v>
      </c>
      <c r="D558">
        <v>7.4000000000000003E-3</v>
      </c>
      <c r="E558">
        <v>6.3830925041267461</v>
      </c>
      <c r="F558">
        <v>642.90422138461281</v>
      </c>
      <c r="G558">
        <v>0.42399999999999999</v>
      </c>
      <c r="H558">
        <v>6.0000000000000001E-3</v>
      </c>
      <c r="I558">
        <v>165.19980000000001</v>
      </c>
    </row>
    <row r="559" spans="1:9" x14ac:dyDescent="0.3">
      <c r="A559" t="s">
        <v>9</v>
      </c>
      <c r="B559" t="s">
        <v>657</v>
      </c>
      <c r="C559">
        <v>2</v>
      </c>
      <c r="D559">
        <v>3.8E-3</v>
      </c>
      <c r="E559">
        <v>6.2173434816566422</v>
      </c>
      <c r="F559">
        <v>627.45641249039909</v>
      </c>
      <c r="G559">
        <v>0.42399999999999999</v>
      </c>
      <c r="H559">
        <v>3.3999999999999998E-3</v>
      </c>
      <c r="I559">
        <v>165.3991</v>
      </c>
    </row>
    <row r="560" spans="1:9" x14ac:dyDescent="0.3">
      <c r="A560" t="s">
        <v>9</v>
      </c>
      <c r="B560" t="s">
        <v>658</v>
      </c>
      <c r="C560">
        <v>2</v>
      </c>
      <c r="D560">
        <v>1.1000000000000001E-3</v>
      </c>
      <c r="E560">
        <v>6.0951603855575271</v>
      </c>
      <c r="F560">
        <v>616.06894793396157</v>
      </c>
      <c r="G560">
        <v>0.42399999999999999</v>
      </c>
      <c r="H560">
        <v>1.5E-3</v>
      </c>
      <c r="I560">
        <v>165.59960000000001</v>
      </c>
    </row>
    <row r="561" spans="1:9" x14ac:dyDescent="0.3">
      <c r="A561" t="s">
        <v>9</v>
      </c>
      <c r="B561" t="s">
        <v>659</v>
      </c>
      <c r="C561">
        <v>2</v>
      </c>
      <c r="D561">
        <v>-1.4E-3</v>
      </c>
      <c r="E561">
        <v>6.0205312396094879</v>
      </c>
      <c r="F561">
        <v>609.11351153160433</v>
      </c>
      <c r="G561">
        <v>0.42399999999999999</v>
      </c>
      <c r="H561">
        <v>4.0000000000000002E-4</v>
      </c>
      <c r="I561">
        <v>165.8006</v>
      </c>
    </row>
    <row r="562" spans="1:9" x14ac:dyDescent="0.3">
      <c r="A562" t="s">
        <v>9</v>
      </c>
      <c r="B562" t="s">
        <v>660</v>
      </c>
      <c r="C562">
        <v>2</v>
      </c>
      <c r="D562">
        <v>-2.3999999999999998E-3</v>
      </c>
      <c r="E562">
        <v>5.9957336046511944</v>
      </c>
      <c r="F562">
        <v>606.80237195349127</v>
      </c>
      <c r="G562">
        <v>0.42399999999999999</v>
      </c>
      <c r="H562">
        <v>0</v>
      </c>
      <c r="I562">
        <v>166.00030000000001</v>
      </c>
    </row>
    <row r="563" spans="1:9" x14ac:dyDescent="0.3">
      <c r="A563" t="s">
        <v>9</v>
      </c>
      <c r="B563" t="s">
        <v>661</v>
      </c>
      <c r="C563">
        <v>2</v>
      </c>
      <c r="D563">
        <v>-3.0999999999999999E-3</v>
      </c>
      <c r="E563">
        <v>6.0208965403722523</v>
      </c>
      <c r="F563">
        <v>711.38308168132676</v>
      </c>
      <c r="G563">
        <v>0.42399999999999999</v>
      </c>
      <c r="H563">
        <v>4.0000000000000002E-4</v>
      </c>
      <c r="I563">
        <v>166.20079999999999</v>
      </c>
    </row>
    <row r="564" spans="1:9" x14ac:dyDescent="0.3">
      <c r="A564" t="s">
        <v>9</v>
      </c>
      <c r="B564" t="s">
        <v>662</v>
      </c>
      <c r="C564">
        <v>2</v>
      </c>
      <c r="D564">
        <v>-1.6000000000000001E-3</v>
      </c>
      <c r="E564">
        <v>6.0949925612141174</v>
      </c>
      <c r="F564">
        <v>718.41479405921973</v>
      </c>
      <c r="G564">
        <v>0.42399999999999999</v>
      </c>
      <c r="H564">
        <v>1.5E-3</v>
      </c>
      <c r="I564">
        <v>166.40010000000001</v>
      </c>
    </row>
    <row r="565" spans="1:9" x14ac:dyDescent="0.3">
      <c r="A565" t="s">
        <v>9</v>
      </c>
      <c r="B565" t="s">
        <v>663</v>
      </c>
      <c r="C565">
        <v>2</v>
      </c>
      <c r="D565">
        <v>2E-3</v>
      </c>
      <c r="E565">
        <v>6.2167034866249011</v>
      </c>
      <c r="F565">
        <v>729.96516088070314</v>
      </c>
      <c r="G565">
        <v>0.42399999999999999</v>
      </c>
      <c r="H565">
        <v>3.3999999999999998E-3</v>
      </c>
      <c r="I565">
        <v>166.6</v>
      </c>
    </row>
    <row r="566" spans="1:9" x14ac:dyDescent="0.3">
      <c r="A566" t="s">
        <v>9</v>
      </c>
      <c r="B566" t="s">
        <v>664</v>
      </c>
      <c r="C566">
        <v>2</v>
      </c>
      <c r="D566">
        <v>3.8E-3</v>
      </c>
      <c r="E566">
        <v>6.3830826106404457</v>
      </c>
      <c r="F566">
        <v>745.75453974977836</v>
      </c>
      <c r="G566">
        <v>0.42399999999999999</v>
      </c>
      <c r="H566">
        <v>6.0000000000000001E-3</v>
      </c>
      <c r="I566">
        <v>166.80019999999999</v>
      </c>
    </row>
    <row r="567" spans="1:9" x14ac:dyDescent="0.3">
      <c r="A567" t="s">
        <v>9</v>
      </c>
      <c r="B567" t="s">
        <v>665</v>
      </c>
      <c r="C567">
        <v>2</v>
      </c>
      <c r="D567">
        <v>6.7999999999999996E-3</v>
      </c>
      <c r="E567">
        <v>6.5889055642887069</v>
      </c>
      <c r="F567">
        <v>765.28713805099835</v>
      </c>
      <c r="G567">
        <v>0.42399999999999999</v>
      </c>
      <c r="H567">
        <v>9.1999999999999998E-3</v>
      </c>
      <c r="I567">
        <v>166.99940000000001</v>
      </c>
    </row>
    <row r="568" spans="1:9" x14ac:dyDescent="0.3">
      <c r="A568" t="s">
        <v>9</v>
      </c>
      <c r="B568" t="s">
        <v>666</v>
      </c>
      <c r="C568">
        <v>2</v>
      </c>
      <c r="D568">
        <v>1.0500000000000001E-2</v>
      </c>
      <c r="E568">
        <v>6.8435590359783944</v>
      </c>
      <c r="F568">
        <v>789.45375251434962</v>
      </c>
      <c r="G568">
        <v>0.42399999999999999</v>
      </c>
      <c r="H568">
        <v>1.32E-2</v>
      </c>
      <c r="I568">
        <v>167.20939999999999</v>
      </c>
    </row>
    <row r="569" spans="1:9" x14ac:dyDescent="0.3">
      <c r="A569" t="s">
        <v>9</v>
      </c>
      <c r="B569" t="s">
        <v>667</v>
      </c>
      <c r="C569">
        <v>2</v>
      </c>
      <c r="D569">
        <v>1.41E-2</v>
      </c>
      <c r="E569">
        <v>7.1045248763035076</v>
      </c>
      <c r="F569">
        <v>814.21941076120299</v>
      </c>
      <c r="G569">
        <v>0.42399999999999999</v>
      </c>
      <c r="H569">
        <v>1.72E-2</v>
      </c>
      <c r="I569">
        <v>167.40129999999999</v>
      </c>
    </row>
    <row r="570" spans="1:9" x14ac:dyDescent="0.3">
      <c r="A570" t="s">
        <v>9</v>
      </c>
      <c r="B570" t="s">
        <v>668</v>
      </c>
      <c r="C570">
        <v>2</v>
      </c>
      <c r="D570">
        <v>1.8599999999999998E-2</v>
      </c>
      <c r="E570">
        <v>7.3966081638637711</v>
      </c>
      <c r="F570">
        <v>841.93811475067196</v>
      </c>
      <c r="G570">
        <v>0.42399999999999999</v>
      </c>
      <c r="H570">
        <v>2.18E-2</v>
      </c>
      <c r="I570">
        <v>167.6</v>
      </c>
    </row>
    <row r="571" spans="1:9" x14ac:dyDescent="0.3">
      <c r="A571" t="s">
        <v>9</v>
      </c>
      <c r="B571" t="s">
        <v>669</v>
      </c>
      <c r="C571">
        <v>2</v>
      </c>
      <c r="D571">
        <v>2.3199999999999998E-2</v>
      </c>
      <c r="E571">
        <v>7.7070665748708516</v>
      </c>
      <c r="F571">
        <v>871.40061795524389</v>
      </c>
      <c r="G571">
        <v>0.42399999999999999</v>
      </c>
      <c r="H571">
        <v>2.6599999999999999E-2</v>
      </c>
      <c r="I571">
        <v>167.80070000000001</v>
      </c>
    </row>
    <row r="572" spans="1:9" x14ac:dyDescent="0.3">
      <c r="A572" t="s">
        <v>9</v>
      </c>
      <c r="B572" t="s">
        <v>670</v>
      </c>
      <c r="C572">
        <v>2</v>
      </c>
      <c r="D572">
        <v>2.8000000000000001E-2</v>
      </c>
      <c r="E572">
        <v>8.0257637460464313</v>
      </c>
      <c r="F572">
        <v>901.64497949980637</v>
      </c>
      <c r="G572">
        <v>0.42399999999999999</v>
      </c>
      <c r="H572">
        <v>3.15E-2</v>
      </c>
      <c r="I572">
        <v>168.0017</v>
      </c>
    </row>
    <row r="573" spans="1:9" x14ac:dyDescent="0.3">
      <c r="A573" t="s">
        <v>9</v>
      </c>
      <c r="B573" t="s">
        <v>671</v>
      </c>
      <c r="C573">
        <v>2</v>
      </c>
      <c r="D573">
        <v>3.27E-2</v>
      </c>
      <c r="E573">
        <v>8.3395064701282102</v>
      </c>
      <c r="F573">
        <v>931.41916401516721</v>
      </c>
      <c r="G573">
        <v>0.42399999999999999</v>
      </c>
      <c r="H573">
        <v>3.6400000000000002E-2</v>
      </c>
      <c r="I573">
        <v>168.1995</v>
      </c>
    </row>
    <row r="574" spans="1:9" x14ac:dyDescent="0.3">
      <c r="A574" t="s">
        <v>9</v>
      </c>
      <c r="B574" t="s">
        <v>672</v>
      </c>
      <c r="C574">
        <v>2</v>
      </c>
      <c r="D574">
        <v>3.8300000000000001E-2</v>
      </c>
      <c r="E574">
        <v>8.6504206302582496</v>
      </c>
      <c r="F574">
        <v>960.92491781150795</v>
      </c>
      <c r="G574">
        <v>0.42399999999999999</v>
      </c>
      <c r="H574">
        <v>4.1200000000000001E-2</v>
      </c>
      <c r="I574">
        <v>168.4006</v>
      </c>
    </row>
    <row r="575" spans="1:9" x14ac:dyDescent="0.3">
      <c r="A575" t="s">
        <v>9</v>
      </c>
      <c r="B575" t="s">
        <v>673</v>
      </c>
      <c r="C575">
        <v>2</v>
      </c>
      <c r="D575">
        <v>4.2799999999999998E-2</v>
      </c>
      <c r="E575">
        <v>8.9443520534968446</v>
      </c>
      <c r="F575">
        <v>988.8190098768506</v>
      </c>
      <c r="G575">
        <v>0.42399999999999999</v>
      </c>
      <c r="H575">
        <v>4.58E-2</v>
      </c>
      <c r="I575">
        <v>168.60059999999999</v>
      </c>
    </row>
    <row r="576" spans="1:9" x14ac:dyDescent="0.3">
      <c r="A576" t="s">
        <v>9</v>
      </c>
      <c r="B576" t="s">
        <v>674</v>
      </c>
      <c r="C576">
        <v>2</v>
      </c>
      <c r="D576">
        <v>4.7899999999999998E-2</v>
      </c>
      <c r="E576">
        <v>9.2161877536869614</v>
      </c>
      <c r="F576">
        <v>1014.6162178248931</v>
      </c>
      <c r="G576">
        <v>0.42399999999999999</v>
      </c>
      <c r="H576">
        <v>0.05</v>
      </c>
      <c r="I576">
        <v>168.80109999999999</v>
      </c>
    </row>
    <row r="577" spans="1:9" x14ac:dyDescent="0.3">
      <c r="A577" t="s">
        <v>9</v>
      </c>
      <c r="B577" t="s">
        <v>675</v>
      </c>
      <c r="C577">
        <v>2</v>
      </c>
      <c r="D577">
        <v>5.2600000000000001E-2</v>
      </c>
      <c r="E577">
        <v>9.4553664342043167</v>
      </c>
      <c r="F577">
        <v>1037.31427460599</v>
      </c>
      <c r="G577">
        <v>0.42399999999999999</v>
      </c>
      <c r="H577">
        <v>5.3800000000000001E-2</v>
      </c>
      <c r="I577">
        <v>168.99889999999999</v>
      </c>
    </row>
    <row r="578" spans="1:9" x14ac:dyDescent="0.3">
      <c r="A578" t="s">
        <v>9</v>
      </c>
      <c r="B578" t="s">
        <v>676</v>
      </c>
      <c r="C578">
        <v>2</v>
      </c>
      <c r="D578">
        <v>5.6099999999999997E-2</v>
      </c>
      <c r="E578">
        <v>9.6628016206485778</v>
      </c>
      <c r="F578">
        <v>1056.99987379955</v>
      </c>
      <c r="G578">
        <v>0.42399999999999999</v>
      </c>
      <c r="H578">
        <v>5.7000000000000002E-2</v>
      </c>
      <c r="I578">
        <v>169.1995</v>
      </c>
    </row>
    <row r="579" spans="1:9" x14ac:dyDescent="0.3">
      <c r="A579" t="s">
        <v>9</v>
      </c>
      <c r="B579" t="s">
        <v>677</v>
      </c>
      <c r="C579">
        <v>2</v>
      </c>
      <c r="D579">
        <v>5.8999999999999997E-2</v>
      </c>
      <c r="E579">
        <v>9.8287826940288863</v>
      </c>
      <c r="F579">
        <v>1072.7514776633409</v>
      </c>
      <c r="G579">
        <v>0.42399999999999999</v>
      </c>
      <c r="H579">
        <v>5.96E-2</v>
      </c>
      <c r="I579">
        <v>169.399</v>
      </c>
    </row>
    <row r="580" spans="1:9" x14ac:dyDescent="0.3">
      <c r="A580" t="s">
        <v>9</v>
      </c>
      <c r="B580" t="s">
        <v>678</v>
      </c>
      <c r="C580">
        <v>2</v>
      </c>
      <c r="D580">
        <v>6.1800000000000001E-2</v>
      </c>
      <c r="E580">
        <v>9.9512968975424201</v>
      </c>
      <c r="F580">
        <v>1084.3780755767759</v>
      </c>
      <c r="G580">
        <v>0.42399999999999999</v>
      </c>
      <c r="H580">
        <v>6.1499999999999999E-2</v>
      </c>
      <c r="I580">
        <v>169.6002</v>
      </c>
    </row>
    <row r="581" spans="1:9" x14ac:dyDescent="0.3">
      <c r="A581" t="s">
        <v>9</v>
      </c>
      <c r="B581" t="s">
        <v>679</v>
      </c>
      <c r="C581">
        <v>2</v>
      </c>
      <c r="D581">
        <v>6.4699999999999994E-2</v>
      </c>
      <c r="E581">
        <v>10.02537518714839</v>
      </c>
      <c r="F581">
        <v>1091.4081052603819</v>
      </c>
      <c r="G581">
        <v>0.42399999999999999</v>
      </c>
      <c r="H581">
        <v>6.2600000000000003E-2</v>
      </c>
      <c r="I581">
        <v>169.7996</v>
      </c>
    </row>
    <row r="582" spans="1:9" x14ac:dyDescent="0.3">
      <c r="A582" t="s">
        <v>9</v>
      </c>
      <c r="B582" t="s">
        <v>680</v>
      </c>
      <c r="C582">
        <v>2</v>
      </c>
      <c r="D582">
        <v>6.6500000000000004E-2</v>
      </c>
      <c r="E582">
        <v>10.050440172498851</v>
      </c>
      <c r="F582">
        <v>1093.7867723701411</v>
      </c>
      <c r="G582">
        <v>0.42399999999999999</v>
      </c>
      <c r="H582">
        <v>6.3E-2</v>
      </c>
      <c r="I582">
        <v>170.00110000000001</v>
      </c>
    </row>
    <row r="583" spans="1:9" x14ac:dyDescent="0.3">
      <c r="A583" t="s">
        <v>9</v>
      </c>
      <c r="B583" t="s">
        <v>681</v>
      </c>
      <c r="C583">
        <v>2</v>
      </c>
      <c r="D583">
        <v>6.6699999999999995E-2</v>
      </c>
      <c r="E583">
        <v>10.025299364118149</v>
      </c>
      <c r="F583">
        <v>982.35790073581143</v>
      </c>
      <c r="G583">
        <v>0.42399999999999999</v>
      </c>
      <c r="H583">
        <v>6.2600000000000003E-2</v>
      </c>
      <c r="I583">
        <v>170.20070000000001</v>
      </c>
    </row>
    <row r="584" spans="1:9" x14ac:dyDescent="0.3">
      <c r="A584" t="s">
        <v>9</v>
      </c>
      <c r="B584" t="s">
        <v>682</v>
      </c>
      <c r="C584">
        <v>2</v>
      </c>
      <c r="D584">
        <v>6.4500000000000002E-2</v>
      </c>
      <c r="E584">
        <v>9.9507937083417168</v>
      </c>
      <c r="F584">
        <v>975.41397361744805</v>
      </c>
      <c r="G584">
        <v>0.42399999999999999</v>
      </c>
      <c r="H584">
        <v>6.1499999999999999E-2</v>
      </c>
      <c r="I584">
        <v>170.4008</v>
      </c>
    </row>
    <row r="585" spans="1:9" x14ac:dyDescent="0.3">
      <c r="A585" t="s">
        <v>9</v>
      </c>
      <c r="B585" t="s">
        <v>683</v>
      </c>
      <c r="C585">
        <v>2</v>
      </c>
      <c r="D585">
        <v>6.3E-2</v>
      </c>
      <c r="E585">
        <v>9.8288585170591283</v>
      </c>
      <c r="F585">
        <v>964.04961378991084</v>
      </c>
      <c r="G585">
        <v>0.42399999999999999</v>
      </c>
      <c r="H585">
        <v>5.96E-2</v>
      </c>
      <c r="I585">
        <v>170.60079999999999</v>
      </c>
    </row>
    <row r="586" spans="1:9" x14ac:dyDescent="0.3">
      <c r="A586" t="s">
        <v>9</v>
      </c>
      <c r="B586" t="s">
        <v>684</v>
      </c>
      <c r="C586">
        <v>2</v>
      </c>
      <c r="D586">
        <v>6.0999999999999999E-2</v>
      </c>
      <c r="E586">
        <v>9.6638627376012316</v>
      </c>
      <c r="F586">
        <v>948.67200714443482</v>
      </c>
      <c r="G586">
        <v>0.42399999999999999</v>
      </c>
      <c r="H586">
        <v>5.7000000000000002E-2</v>
      </c>
      <c r="I586">
        <v>170.79929999999999</v>
      </c>
    </row>
    <row r="587" spans="1:9" x14ac:dyDescent="0.3">
      <c r="A587" t="s">
        <v>9</v>
      </c>
      <c r="B587" t="s">
        <v>685</v>
      </c>
      <c r="C587">
        <v>2</v>
      </c>
      <c r="D587">
        <v>5.8900000000000001E-2</v>
      </c>
      <c r="E587">
        <v>9.4556591840857891</v>
      </c>
      <c r="F587">
        <v>929.26743595679557</v>
      </c>
      <c r="G587">
        <v>0.42399999999999999</v>
      </c>
      <c r="H587">
        <v>5.3800000000000001E-2</v>
      </c>
      <c r="I587">
        <v>171.0009</v>
      </c>
    </row>
    <row r="588" spans="1:9" x14ac:dyDescent="0.3">
      <c r="A588" t="s">
        <v>9</v>
      </c>
      <c r="B588" t="s">
        <v>686</v>
      </c>
      <c r="C588">
        <v>2</v>
      </c>
      <c r="D588">
        <v>5.5199999999999999E-2</v>
      </c>
      <c r="E588">
        <v>9.2149964806235705</v>
      </c>
      <c r="F588">
        <v>906.83767199411682</v>
      </c>
      <c r="G588">
        <v>0.42399999999999999</v>
      </c>
      <c r="H588">
        <v>0.05</v>
      </c>
      <c r="I588">
        <v>171.19980000000001</v>
      </c>
    </row>
    <row r="589" spans="1:9" x14ac:dyDescent="0.3">
      <c r="A589" t="s">
        <v>9</v>
      </c>
      <c r="B589" t="s">
        <v>687</v>
      </c>
      <c r="C589">
        <v>2</v>
      </c>
      <c r="D589">
        <v>5.0999999999999997E-2</v>
      </c>
      <c r="E589">
        <v>8.9424881044592635</v>
      </c>
      <c r="F589">
        <v>881.43989133560342</v>
      </c>
      <c r="G589">
        <v>0.42399999999999999</v>
      </c>
      <c r="H589">
        <v>4.58E-2</v>
      </c>
      <c r="I589">
        <v>171.4007</v>
      </c>
    </row>
    <row r="590" spans="1:9" x14ac:dyDescent="0.3">
      <c r="A590" t="s">
        <v>9</v>
      </c>
      <c r="B590" t="s">
        <v>688</v>
      </c>
      <c r="C590">
        <v>2</v>
      </c>
      <c r="D590">
        <v>4.58E-2</v>
      </c>
      <c r="E590">
        <v>8.6514610682026554</v>
      </c>
      <c r="F590">
        <v>854.31617155648746</v>
      </c>
      <c r="G590">
        <v>0.42399999999999999</v>
      </c>
      <c r="H590">
        <v>4.1300000000000003E-2</v>
      </c>
      <c r="I590">
        <v>171.59880000000001</v>
      </c>
    </row>
    <row r="591" spans="1:9" x14ac:dyDescent="0.3">
      <c r="A591" t="s">
        <v>9</v>
      </c>
      <c r="B591" t="s">
        <v>689</v>
      </c>
      <c r="C591">
        <v>2</v>
      </c>
      <c r="D591">
        <v>4.1599999999999998E-2</v>
      </c>
      <c r="E591">
        <v>8.3420232270732289</v>
      </c>
      <c r="F591">
        <v>825.47656476322493</v>
      </c>
      <c r="G591">
        <v>0.42399999999999999</v>
      </c>
      <c r="H591">
        <v>3.6499999999999998E-2</v>
      </c>
      <c r="I591">
        <v>171.7989</v>
      </c>
    </row>
    <row r="592" spans="1:9" x14ac:dyDescent="0.3">
      <c r="A592" t="s">
        <v>9</v>
      </c>
      <c r="B592" t="s">
        <v>690</v>
      </c>
      <c r="C592">
        <v>2</v>
      </c>
      <c r="D592">
        <v>3.61E-2</v>
      </c>
      <c r="E592">
        <v>8.0242286337870699</v>
      </c>
      <c r="F592">
        <v>795.85810866895497</v>
      </c>
      <c r="G592">
        <v>0.42399999999999999</v>
      </c>
      <c r="H592">
        <v>3.15E-2</v>
      </c>
      <c r="I592">
        <v>171.99930000000001</v>
      </c>
    </row>
    <row r="593" spans="1:9" x14ac:dyDescent="0.3">
      <c r="A593" t="s">
        <v>9</v>
      </c>
      <c r="B593" t="s">
        <v>691</v>
      </c>
      <c r="C593">
        <v>2</v>
      </c>
      <c r="D593">
        <v>3.1800000000000002E-2</v>
      </c>
      <c r="E593">
        <v>7.691106840681563</v>
      </c>
      <c r="F593">
        <v>764.81115755152166</v>
      </c>
      <c r="G593">
        <v>0.42399999999999999</v>
      </c>
      <c r="H593">
        <v>2.63E-2</v>
      </c>
      <c r="I593">
        <v>172.20939999999999</v>
      </c>
    </row>
    <row r="594" spans="1:9" x14ac:dyDescent="0.3">
      <c r="A594" t="s">
        <v>9</v>
      </c>
      <c r="B594" t="s">
        <v>692</v>
      </c>
      <c r="C594">
        <v>2</v>
      </c>
      <c r="D594">
        <v>2.6700000000000002E-2</v>
      </c>
      <c r="E594">
        <v>7.3962659465508009</v>
      </c>
      <c r="F594">
        <v>737.33198621853467</v>
      </c>
      <c r="G594">
        <v>0.42399999999999999</v>
      </c>
      <c r="H594">
        <v>2.18E-2</v>
      </c>
      <c r="I594">
        <v>172.40020000000001</v>
      </c>
    </row>
    <row r="595" spans="1:9" x14ac:dyDescent="0.3">
      <c r="A595" t="s">
        <v>9</v>
      </c>
      <c r="B595" t="s">
        <v>693</v>
      </c>
      <c r="C595">
        <v>2</v>
      </c>
      <c r="D595">
        <v>2.12E-2</v>
      </c>
      <c r="E595">
        <v>7.1033773940811118</v>
      </c>
      <c r="F595">
        <v>710.03477312835969</v>
      </c>
      <c r="G595">
        <v>0.42399999999999999</v>
      </c>
      <c r="H595">
        <v>1.72E-2</v>
      </c>
      <c r="I595">
        <v>172.59950000000001</v>
      </c>
    </row>
    <row r="596" spans="1:9" x14ac:dyDescent="0.3">
      <c r="A596" t="s">
        <v>9</v>
      </c>
      <c r="B596" t="s">
        <v>694</v>
      </c>
      <c r="C596">
        <v>2</v>
      </c>
      <c r="D596">
        <v>1.6400000000000001E-2</v>
      </c>
      <c r="E596">
        <v>6.8331757410133447</v>
      </c>
      <c r="F596">
        <v>684.85197906244377</v>
      </c>
      <c r="G596">
        <v>0.42399999999999999</v>
      </c>
      <c r="H596">
        <v>1.2999999999999999E-2</v>
      </c>
      <c r="I596">
        <v>172.79859999999999</v>
      </c>
    </row>
    <row r="597" spans="1:9" x14ac:dyDescent="0.3">
      <c r="A597" t="s">
        <v>9</v>
      </c>
      <c r="B597" t="s">
        <v>695</v>
      </c>
      <c r="C597">
        <v>2</v>
      </c>
      <c r="D597">
        <v>1.15E-2</v>
      </c>
      <c r="E597">
        <v>6.5899638429461094</v>
      </c>
      <c r="F597">
        <v>662.18463016257738</v>
      </c>
      <c r="G597">
        <v>0.42399999999999999</v>
      </c>
      <c r="H597">
        <v>9.1999999999999998E-3</v>
      </c>
      <c r="I597">
        <v>172.99959999999999</v>
      </c>
    </row>
    <row r="598" spans="1:9" x14ac:dyDescent="0.3">
      <c r="A598" t="s">
        <v>9</v>
      </c>
      <c r="B598" t="s">
        <v>696</v>
      </c>
      <c r="C598">
        <v>2</v>
      </c>
      <c r="D598">
        <v>7.1000000000000004E-3</v>
      </c>
      <c r="E598">
        <v>6.3822714258580708</v>
      </c>
      <c r="F598">
        <v>642.82769688997223</v>
      </c>
      <c r="G598">
        <v>0.42399999999999999</v>
      </c>
      <c r="H598">
        <v>6.0000000000000001E-3</v>
      </c>
      <c r="I598">
        <v>173.20070000000001</v>
      </c>
    </row>
    <row r="599" spans="1:9" x14ac:dyDescent="0.3">
      <c r="A599" t="s">
        <v>9</v>
      </c>
      <c r="B599" t="s">
        <v>697</v>
      </c>
      <c r="C599">
        <v>2</v>
      </c>
      <c r="D599">
        <v>3.7000000000000002E-3</v>
      </c>
      <c r="E599">
        <v>6.2177632655240789</v>
      </c>
      <c r="F599">
        <v>627.49553634684412</v>
      </c>
      <c r="G599">
        <v>0.42399999999999999</v>
      </c>
      <c r="H599">
        <v>3.3999999999999998E-3</v>
      </c>
      <c r="I599">
        <v>173.39850000000001</v>
      </c>
    </row>
    <row r="600" spans="1:9" x14ac:dyDescent="0.3">
      <c r="A600" t="s">
        <v>9</v>
      </c>
      <c r="B600" t="s">
        <v>698</v>
      </c>
      <c r="C600">
        <v>2</v>
      </c>
      <c r="D600">
        <v>1.2999999999999999E-3</v>
      </c>
      <c r="E600">
        <v>6.095695363665028</v>
      </c>
      <c r="F600">
        <v>616.11880789358065</v>
      </c>
      <c r="G600">
        <v>0.42399999999999999</v>
      </c>
      <c r="H600">
        <v>1.6000000000000001E-3</v>
      </c>
      <c r="I600">
        <v>173.5985</v>
      </c>
    </row>
    <row r="601" spans="1:9" x14ac:dyDescent="0.3">
      <c r="A601" t="s">
        <v>9</v>
      </c>
      <c r="B601" t="s">
        <v>699</v>
      </c>
      <c r="C601">
        <v>2</v>
      </c>
      <c r="D601">
        <v>-1.4E-3</v>
      </c>
      <c r="E601">
        <v>6.0210443263512001</v>
      </c>
      <c r="F601">
        <v>609.16133121593191</v>
      </c>
      <c r="G601">
        <v>0.42399999999999999</v>
      </c>
      <c r="H601">
        <v>4.0000000000000002E-4</v>
      </c>
      <c r="I601">
        <v>173.79859999999999</v>
      </c>
    </row>
    <row r="602" spans="1:9" x14ac:dyDescent="0.3">
      <c r="A602" t="s">
        <v>9</v>
      </c>
      <c r="B602" t="s">
        <v>700</v>
      </c>
      <c r="C602">
        <v>2</v>
      </c>
      <c r="D602">
        <v>-2.5999999999999999E-3</v>
      </c>
      <c r="E602">
        <v>5.9957336046511944</v>
      </c>
      <c r="F602">
        <v>606.80237195349127</v>
      </c>
      <c r="G602">
        <v>0.42399999999999999</v>
      </c>
      <c r="H602">
        <v>0</v>
      </c>
      <c r="I602">
        <v>174.00040000000001</v>
      </c>
    </row>
    <row r="603" spans="1:9" x14ac:dyDescent="0.3">
      <c r="A603" t="s">
        <v>9</v>
      </c>
      <c r="B603" t="s">
        <v>701</v>
      </c>
      <c r="C603">
        <v>2</v>
      </c>
      <c r="D603">
        <v>-3.0999999999999999E-3</v>
      </c>
      <c r="E603">
        <v>6.0204957122623766</v>
      </c>
      <c r="F603">
        <v>711.34504309369959</v>
      </c>
      <c r="G603">
        <v>0.42399999999999999</v>
      </c>
      <c r="H603">
        <v>4.0000000000000002E-4</v>
      </c>
      <c r="I603">
        <v>174.19919999999999</v>
      </c>
    </row>
    <row r="604" spans="1:9" x14ac:dyDescent="0.3">
      <c r="A604" t="s">
        <v>9</v>
      </c>
      <c r="B604" t="s">
        <v>702</v>
      </c>
      <c r="C604">
        <v>2</v>
      </c>
      <c r="D604">
        <v>-6.9999999999999999E-4</v>
      </c>
      <c r="E604">
        <v>6.0952621181686917</v>
      </c>
      <c r="F604">
        <v>718.44037501420883</v>
      </c>
      <c r="G604">
        <v>0.42399999999999999</v>
      </c>
      <c r="H604">
        <v>1.5E-3</v>
      </c>
      <c r="I604">
        <v>174.4006</v>
      </c>
    </row>
    <row r="605" spans="1:9" x14ac:dyDescent="0.3">
      <c r="A605" t="s">
        <v>9</v>
      </c>
      <c r="B605" t="s">
        <v>703</v>
      </c>
      <c r="C605">
        <v>2</v>
      </c>
      <c r="D605">
        <v>1.9E-3</v>
      </c>
      <c r="E605">
        <v>6.2160883064030594</v>
      </c>
      <c r="F605">
        <v>729.90678027765034</v>
      </c>
      <c r="G605">
        <v>0.42399999999999999</v>
      </c>
      <c r="H605">
        <v>3.3999999999999998E-3</v>
      </c>
      <c r="I605">
        <v>174.5992</v>
      </c>
    </row>
    <row r="606" spans="1:9" x14ac:dyDescent="0.3">
      <c r="A606" t="s">
        <v>9</v>
      </c>
      <c r="B606" t="s">
        <v>704</v>
      </c>
      <c r="C606">
        <v>2</v>
      </c>
      <c r="D606">
        <v>4.1000000000000003E-3</v>
      </c>
      <c r="E606">
        <v>6.3841229269436246</v>
      </c>
      <c r="F606">
        <v>745.85326576695013</v>
      </c>
      <c r="G606">
        <v>0.42399999999999999</v>
      </c>
      <c r="H606">
        <v>6.0000000000000001E-3</v>
      </c>
      <c r="I606">
        <v>174.8013</v>
      </c>
    </row>
    <row r="607" spans="1:9" x14ac:dyDescent="0.3">
      <c r="A607" t="s">
        <v>9</v>
      </c>
      <c r="B607" t="s">
        <v>705</v>
      </c>
      <c r="C607">
        <v>2</v>
      </c>
      <c r="D607">
        <v>7.1000000000000004E-3</v>
      </c>
      <c r="E607">
        <v>6.5903530948660727</v>
      </c>
      <c r="F607">
        <v>765.42450870279038</v>
      </c>
      <c r="G607">
        <v>0.42399999999999999</v>
      </c>
      <c r="H607">
        <v>9.1999999999999998E-3</v>
      </c>
      <c r="I607">
        <v>175.00069999999999</v>
      </c>
    </row>
    <row r="608" spans="1:9" x14ac:dyDescent="0.3">
      <c r="A608" t="s">
        <v>9</v>
      </c>
      <c r="B608" t="s">
        <v>706</v>
      </c>
      <c r="C608">
        <v>2</v>
      </c>
      <c r="D608">
        <v>1.0500000000000001E-2</v>
      </c>
      <c r="E608">
        <v>6.8345733986884687</v>
      </c>
      <c r="F608">
        <v>788.60101553553568</v>
      </c>
      <c r="G608">
        <v>0.42399999999999999</v>
      </c>
      <c r="H608">
        <v>1.2999999999999999E-2</v>
      </c>
      <c r="I608">
        <v>175.20240000000001</v>
      </c>
    </row>
    <row r="609" spans="1:9" x14ac:dyDescent="0.3">
      <c r="A609" t="s">
        <v>9</v>
      </c>
      <c r="B609" t="s">
        <v>707</v>
      </c>
      <c r="C609">
        <v>2</v>
      </c>
      <c r="D609">
        <v>1.3899999999999999E-2</v>
      </c>
      <c r="E609">
        <v>7.1048054620624814</v>
      </c>
      <c r="F609">
        <v>814.24603834972947</v>
      </c>
      <c r="G609">
        <v>0.42399999999999999</v>
      </c>
      <c r="H609">
        <v>1.72E-2</v>
      </c>
      <c r="I609">
        <v>175.4015</v>
      </c>
    </row>
    <row r="610" spans="1:9" x14ac:dyDescent="0.3">
      <c r="A610" t="s">
        <v>9</v>
      </c>
      <c r="B610" t="s">
        <v>708</v>
      </c>
      <c r="C610">
        <v>2</v>
      </c>
      <c r="D610">
        <v>1.84E-2</v>
      </c>
      <c r="E610">
        <v>7.3944656564209668</v>
      </c>
      <c r="F610">
        <v>841.73479079434981</v>
      </c>
      <c r="G610">
        <v>0.42399999999999999</v>
      </c>
      <c r="H610">
        <v>2.1700000000000001E-2</v>
      </c>
      <c r="I610">
        <v>175.5986</v>
      </c>
    </row>
    <row r="611" spans="1:9" x14ac:dyDescent="0.3">
      <c r="A611" t="s">
        <v>9</v>
      </c>
      <c r="B611" t="s">
        <v>709</v>
      </c>
      <c r="C611">
        <v>2</v>
      </c>
      <c r="D611">
        <v>2.3099999999999999E-2</v>
      </c>
      <c r="E611">
        <v>7.7074992121610606</v>
      </c>
      <c r="F611">
        <v>871.44167523408464</v>
      </c>
      <c r="G611">
        <v>0.42399999999999999</v>
      </c>
      <c r="H611">
        <v>2.6599999999999999E-2</v>
      </c>
      <c r="I611">
        <v>175.80099999999999</v>
      </c>
    </row>
    <row r="612" spans="1:9" x14ac:dyDescent="0.3">
      <c r="A612" t="s">
        <v>9</v>
      </c>
      <c r="B612" t="s">
        <v>710</v>
      </c>
      <c r="C612">
        <v>2</v>
      </c>
      <c r="D612">
        <v>2.7900000000000001E-2</v>
      </c>
      <c r="E612">
        <v>8.0298525130890557</v>
      </c>
      <c r="F612">
        <v>902.03300349215147</v>
      </c>
      <c r="G612">
        <v>0.42399999999999999</v>
      </c>
      <c r="H612">
        <v>3.1600000000000003E-2</v>
      </c>
      <c r="I612">
        <v>176.0042</v>
      </c>
    </row>
    <row r="613" spans="1:9" x14ac:dyDescent="0.3">
      <c r="A613" t="s">
        <v>9</v>
      </c>
      <c r="B613" t="s">
        <v>711</v>
      </c>
      <c r="C613">
        <v>2</v>
      </c>
      <c r="D613">
        <v>3.2800000000000003E-2</v>
      </c>
      <c r="E613">
        <v>8.3381367899348344</v>
      </c>
      <c r="F613">
        <v>931.28918136481582</v>
      </c>
      <c r="G613">
        <v>0.42399999999999999</v>
      </c>
      <c r="H613">
        <v>3.6400000000000002E-2</v>
      </c>
      <c r="I613">
        <v>176.1987</v>
      </c>
    </row>
    <row r="614" spans="1:9" x14ac:dyDescent="0.3">
      <c r="A614" t="s">
        <v>9</v>
      </c>
      <c r="B614" t="s">
        <v>712</v>
      </c>
      <c r="C614">
        <v>2</v>
      </c>
      <c r="D614">
        <v>3.7900000000000003E-2</v>
      </c>
      <c r="E614">
        <v>8.6478069658039871</v>
      </c>
      <c r="F614">
        <v>960.6768810547984</v>
      </c>
      <c r="G614">
        <v>0.42399999999999999</v>
      </c>
      <c r="H614">
        <v>4.1200000000000001E-2</v>
      </c>
      <c r="I614">
        <v>176.39879999999999</v>
      </c>
    </row>
    <row r="615" spans="1:9" x14ac:dyDescent="0.3">
      <c r="A615" t="s">
        <v>9</v>
      </c>
      <c r="B615" t="s">
        <v>713</v>
      </c>
      <c r="C615">
        <v>2</v>
      </c>
      <c r="D615">
        <v>4.3400000000000001E-2</v>
      </c>
      <c r="E615">
        <v>8.9426202879237522</v>
      </c>
      <c r="F615">
        <v>988.65466532396408</v>
      </c>
      <c r="G615">
        <v>0.42399999999999999</v>
      </c>
      <c r="H615">
        <v>4.58E-2</v>
      </c>
      <c r="I615">
        <v>176.5994</v>
      </c>
    </row>
    <row r="616" spans="1:9" x14ac:dyDescent="0.3">
      <c r="A616" t="s">
        <v>9</v>
      </c>
      <c r="B616" t="s">
        <v>714</v>
      </c>
      <c r="C616">
        <v>2</v>
      </c>
      <c r="D616">
        <v>4.8099999999999997E-2</v>
      </c>
      <c r="E616">
        <v>9.217317395196357</v>
      </c>
      <c r="F616">
        <v>1014.723420804134</v>
      </c>
      <c r="G616">
        <v>0.42399999999999999</v>
      </c>
      <c r="H616">
        <v>5.0099999999999999E-2</v>
      </c>
      <c r="I616">
        <v>176.80199999999999</v>
      </c>
    </row>
    <row r="617" spans="1:9" x14ac:dyDescent="0.3">
      <c r="A617" t="s">
        <v>9</v>
      </c>
      <c r="B617" t="s">
        <v>715</v>
      </c>
      <c r="C617">
        <v>2</v>
      </c>
      <c r="D617">
        <v>5.2200000000000003E-2</v>
      </c>
      <c r="E617">
        <v>9.4567048931499436</v>
      </c>
      <c r="F617">
        <v>1037.44129435993</v>
      </c>
      <c r="G617">
        <v>0.42399999999999999</v>
      </c>
      <c r="H617">
        <v>5.3800000000000001E-2</v>
      </c>
      <c r="I617">
        <v>177</v>
      </c>
    </row>
    <row r="618" spans="1:9" x14ac:dyDescent="0.3">
      <c r="A618" t="s">
        <v>9</v>
      </c>
      <c r="B618" t="s">
        <v>716</v>
      </c>
      <c r="C618">
        <v>2</v>
      </c>
      <c r="D618">
        <v>5.62E-2</v>
      </c>
      <c r="E618">
        <v>9.6633684687570263</v>
      </c>
      <c r="F618">
        <v>1057.053667685042</v>
      </c>
      <c r="G618">
        <v>0.42399999999999999</v>
      </c>
      <c r="H618">
        <v>5.7000000000000002E-2</v>
      </c>
      <c r="I618">
        <v>177.20009999999999</v>
      </c>
    </row>
    <row r="619" spans="1:9" x14ac:dyDescent="0.3">
      <c r="A619" t="s">
        <v>9</v>
      </c>
      <c r="B619" t="s">
        <v>717</v>
      </c>
      <c r="C619">
        <v>2</v>
      </c>
      <c r="D619">
        <v>5.91E-2</v>
      </c>
      <c r="E619">
        <v>9.8283630318026738</v>
      </c>
      <c r="F619">
        <v>1072.7116517180741</v>
      </c>
      <c r="G619">
        <v>0.42399999999999999</v>
      </c>
      <c r="H619">
        <v>5.9499999999999997E-2</v>
      </c>
      <c r="I619">
        <v>177.39850000000001</v>
      </c>
    </row>
    <row r="620" spans="1:9" x14ac:dyDescent="0.3">
      <c r="A620" t="s">
        <v>9</v>
      </c>
      <c r="B620" t="s">
        <v>718</v>
      </c>
      <c r="C620">
        <v>2</v>
      </c>
      <c r="D620">
        <v>6.1699999999999998E-2</v>
      </c>
      <c r="E620">
        <v>9.9517567013728776</v>
      </c>
      <c r="F620">
        <v>1084.421710960286</v>
      </c>
      <c r="G620">
        <v>0.42399999999999999</v>
      </c>
      <c r="H620">
        <v>6.1499999999999999E-2</v>
      </c>
      <c r="I620">
        <v>177.6011</v>
      </c>
    </row>
    <row r="621" spans="1:9" x14ac:dyDescent="0.3">
      <c r="A621" t="s">
        <v>9</v>
      </c>
      <c r="B621" t="s">
        <v>719</v>
      </c>
      <c r="C621">
        <v>2</v>
      </c>
      <c r="D621">
        <v>6.4600000000000005E-2</v>
      </c>
      <c r="E621">
        <v>10.02529368752765</v>
      </c>
      <c r="F621">
        <v>1091.4003709463741</v>
      </c>
      <c r="G621">
        <v>0.42399999999999999</v>
      </c>
      <c r="H621">
        <v>6.2600000000000003E-2</v>
      </c>
      <c r="I621">
        <v>177.79920000000001</v>
      </c>
    </row>
    <row r="622" spans="1:9" x14ac:dyDescent="0.3">
      <c r="A622" t="s">
        <v>9</v>
      </c>
      <c r="B622" t="s">
        <v>720</v>
      </c>
      <c r="C622">
        <v>2</v>
      </c>
      <c r="D622">
        <v>6.54E-2</v>
      </c>
      <c r="E622">
        <v>10.05044098344035</v>
      </c>
      <c r="F622">
        <v>1093.7868493284891</v>
      </c>
      <c r="G622">
        <v>0.42399999999999999</v>
      </c>
      <c r="H622">
        <v>6.3E-2</v>
      </c>
      <c r="I622">
        <v>178.00020000000001</v>
      </c>
    </row>
    <row r="623" spans="1:9" x14ac:dyDescent="0.3">
      <c r="A623" t="s">
        <v>9</v>
      </c>
      <c r="B623" t="s">
        <v>721</v>
      </c>
      <c r="C623">
        <v>2</v>
      </c>
      <c r="D623">
        <v>6.5500000000000003E-2</v>
      </c>
      <c r="E623">
        <v>10.025666315146861</v>
      </c>
      <c r="F623">
        <v>982.39210057168759</v>
      </c>
      <c r="G623">
        <v>0.42399999999999999</v>
      </c>
      <c r="H623">
        <v>6.2600000000000003E-2</v>
      </c>
      <c r="I623">
        <v>178.19919999999999</v>
      </c>
    </row>
    <row r="624" spans="1:9" x14ac:dyDescent="0.3">
      <c r="A624" t="s">
        <v>9</v>
      </c>
      <c r="B624" t="s">
        <v>722</v>
      </c>
      <c r="C624">
        <v>2</v>
      </c>
      <c r="D624">
        <v>6.3500000000000001E-2</v>
      </c>
      <c r="E624">
        <v>9.9513848846951642</v>
      </c>
      <c r="F624">
        <v>975.46907125358939</v>
      </c>
      <c r="G624">
        <v>0.42399999999999999</v>
      </c>
      <c r="H624">
        <v>6.1499999999999999E-2</v>
      </c>
      <c r="I624">
        <v>178.39959999999999</v>
      </c>
    </row>
    <row r="625" spans="1:9" x14ac:dyDescent="0.3">
      <c r="A625" t="s">
        <v>9</v>
      </c>
      <c r="B625" t="s">
        <v>723</v>
      </c>
      <c r="C625">
        <v>2</v>
      </c>
      <c r="D625">
        <v>6.1800000000000001E-2</v>
      </c>
      <c r="E625">
        <v>9.8296710804420542</v>
      </c>
      <c r="F625">
        <v>964.12534469719947</v>
      </c>
      <c r="G625">
        <v>0.42399999999999999</v>
      </c>
      <c r="H625">
        <v>5.96E-2</v>
      </c>
      <c r="I625">
        <v>178.59970000000001</v>
      </c>
    </row>
    <row r="626" spans="1:9" x14ac:dyDescent="0.3">
      <c r="A626" t="s">
        <v>9</v>
      </c>
      <c r="B626" t="s">
        <v>724</v>
      </c>
      <c r="C626">
        <v>2</v>
      </c>
      <c r="D626">
        <v>6.08E-2</v>
      </c>
      <c r="E626">
        <v>9.6641506218337039</v>
      </c>
      <c r="F626">
        <v>948.69883795490125</v>
      </c>
      <c r="G626">
        <v>0.42399999999999999</v>
      </c>
      <c r="H626">
        <v>5.7000000000000002E-2</v>
      </c>
      <c r="I626">
        <v>178.79900000000001</v>
      </c>
    </row>
    <row r="627" spans="1:9" x14ac:dyDescent="0.3">
      <c r="A627" t="s">
        <v>9</v>
      </c>
      <c r="B627" t="s">
        <v>725</v>
      </c>
      <c r="C627">
        <v>2</v>
      </c>
      <c r="D627">
        <v>5.8999999999999997E-2</v>
      </c>
      <c r="E627">
        <v>9.4544946720918972</v>
      </c>
      <c r="F627">
        <v>929.1589034389649</v>
      </c>
      <c r="G627">
        <v>0.42399999999999999</v>
      </c>
      <c r="H627">
        <v>5.3699999999999998E-2</v>
      </c>
      <c r="I627">
        <v>179.00190000000001</v>
      </c>
    </row>
    <row r="628" spans="1:9" x14ac:dyDescent="0.3">
      <c r="A628" t="s">
        <v>9</v>
      </c>
      <c r="B628" t="s">
        <v>726</v>
      </c>
      <c r="C628">
        <v>2</v>
      </c>
      <c r="D628">
        <v>5.5599999999999997E-2</v>
      </c>
      <c r="E628">
        <v>9.2132651205212284</v>
      </c>
      <c r="F628">
        <v>906.67630923257855</v>
      </c>
      <c r="G628">
        <v>0.42399999999999999</v>
      </c>
      <c r="H628">
        <v>0.05</v>
      </c>
      <c r="I628">
        <v>179.2011</v>
      </c>
    </row>
    <row r="629" spans="1:9" x14ac:dyDescent="0.3">
      <c r="A629" t="s">
        <v>9</v>
      </c>
      <c r="B629" t="s">
        <v>727</v>
      </c>
      <c r="C629">
        <v>2</v>
      </c>
      <c r="D629">
        <v>5.0900000000000001E-2</v>
      </c>
      <c r="E629">
        <v>8.9433931151731816</v>
      </c>
      <c r="F629">
        <v>881.52423833414059</v>
      </c>
      <c r="G629">
        <v>0.42399999999999999</v>
      </c>
      <c r="H629">
        <v>4.58E-2</v>
      </c>
      <c r="I629">
        <v>179.40010000000001</v>
      </c>
    </row>
    <row r="630" spans="1:9" x14ac:dyDescent="0.3">
      <c r="A630" t="s">
        <v>9</v>
      </c>
      <c r="B630" t="s">
        <v>728</v>
      </c>
      <c r="C630">
        <v>2</v>
      </c>
      <c r="D630">
        <v>4.6100000000000002E-2</v>
      </c>
      <c r="E630">
        <v>8.6519857473531054</v>
      </c>
      <c r="F630">
        <v>854.36507165330943</v>
      </c>
      <c r="G630">
        <v>0.42399999999999999</v>
      </c>
      <c r="H630">
        <v>4.1300000000000003E-2</v>
      </c>
      <c r="I630">
        <v>179.5984</v>
      </c>
    </row>
    <row r="631" spans="1:9" x14ac:dyDescent="0.3">
      <c r="A631" t="s">
        <v>9</v>
      </c>
      <c r="B631" t="s">
        <v>729</v>
      </c>
      <c r="C631">
        <v>2</v>
      </c>
      <c r="D631">
        <v>4.1599999999999998E-2</v>
      </c>
      <c r="E631">
        <v>8.341712636478757</v>
      </c>
      <c r="F631">
        <v>825.44761771982019</v>
      </c>
      <c r="G631">
        <v>0.42399999999999999</v>
      </c>
      <c r="H631">
        <v>3.6499999999999998E-2</v>
      </c>
      <c r="I631">
        <v>179.79910000000001</v>
      </c>
    </row>
    <row r="632" spans="1:9" x14ac:dyDescent="0.3">
      <c r="A632" t="s">
        <v>9</v>
      </c>
      <c r="B632" t="s">
        <v>730</v>
      </c>
      <c r="C632">
        <v>2</v>
      </c>
      <c r="D632">
        <v>3.6600000000000001E-2</v>
      </c>
      <c r="E632">
        <v>8.0252751537927232</v>
      </c>
      <c r="F632">
        <v>795.95564433348181</v>
      </c>
      <c r="G632">
        <v>0.42399999999999999</v>
      </c>
      <c r="H632">
        <v>3.15E-2</v>
      </c>
      <c r="I632">
        <v>179.99860000000001</v>
      </c>
    </row>
    <row r="633" spans="1:9" x14ac:dyDescent="0.3">
      <c r="A633" t="s">
        <v>9</v>
      </c>
      <c r="B633" t="s">
        <v>731</v>
      </c>
      <c r="C633">
        <v>2</v>
      </c>
      <c r="D633">
        <v>3.1699999999999999E-2</v>
      </c>
      <c r="E633">
        <v>7.7026120732117596</v>
      </c>
      <c r="F633">
        <v>765.88344522333603</v>
      </c>
      <c r="G633">
        <v>0.42399999999999999</v>
      </c>
      <c r="H633">
        <v>2.6499999999999999E-2</v>
      </c>
      <c r="I633">
        <v>180.2021</v>
      </c>
    </row>
    <row r="634" spans="1:9" x14ac:dyDescent="0.3">
      <c r="A634" t="s">
        <v>9</v>
      </c>
      <c r="B634" t="s">
        <v>732</v>
      </c>
      <c r="C634">
        <v>2</v>
      </c>
      <c r="D634">
        <v>2.6700000000000002E-2</v>
      </c>
      <c r="E634">
        <v>7.3921143315419311</v>
      </c>
      <c r="F634">
        <v>736.94505569970795</v>
      </c>
      <c r="G634">
        <v>0.42399999999999999</v>
      </c>
      <c r="H634">
        <v>2.1700000000000001E-2</v>
      </c>
      <c r="I634">
        <v>180.40299999999999</v>
      </c>
    </row>
    <row r="635" spans="1:9" x14ac:dyDescent="0.3">
      <c r="A635" t="s">
        <v>9</v>
      </c>
      <c r="B635" t="s">
        <v>733</v>
      </c>
      <c r="C635">
        <v>2</v>
      </c>
      <c r="D635">
        <v>2.1399999999999999E-2</v>
      </c>
      <c r="E635">
        <v>7.1039791126740566</v>
      </c>
      <c r="F635">
        <v>710.09085330122207</v>
      </c>
      <c r="G635">
        <v>0.42399999999999999</v>
      </c>
      <c r="H635">
        <v>1.72E-2</v>
      </c>
      <c r="I635">
        <v>180.59909999999999</v>
      </c>
    </row>
    <row r="636" spans="1:9" x14ac:dyDescent="0.3">
      <c r="A636" t="s">
        <v>9</v>
      </c>
      <c r="B636" t="s">
        <v>734</v>
      </c>
      <c r="C636">
        <v>2</v>
      </c>
      <c r="D636">
        <v>1.6299999999999999E-2</v>
      </c>
      <c r="E636">
        <v>6.8305932978068329</v>
      </c>
      <c r="F636">
        <v>684.61129535559689</v>
      </c>
      <c r="G636">
        <v>0.42399999999999999</v>
      </c>
      <c r="H636">
        <v>1.2999999999999999E-2</v>
      </c>
      <c r="I636">
        <v>180.8006</v>
      </c>
    </row>
    <row r="637" spans="1:9" x14ac:dyDescent="0.3">
      <c r="A637" t="s">
        <v>9</v>
      </c>
      <c r="B637" t="s">
        <v>735</v>
      </c>
      <c r="C637">
        <v>2</v>
      </c>
      <c r="D637">
        <v>1.1599999999999999E-2</v>
      </c>
      <c r="E637">
        <v>6.5887133711532231</v>
      </c>
      <c r="F637">
        <v>662.06808619148046</v>
      </c>
      <c r="G637">
        <v>0.42399999999999999</v>
      </c>
      <c r="H637">
        <v>9.1999999999999998E-3</v>
      </c>
      <c r="I637">
        <v>181.00069999999999</v>
      </c>
    </row>
    <row r="638" spans="1:9" x14ac:dyDescent="0.3">
      <c r="A638" t="s">
        <v>9</v>
      </c>
      <c r="B638" t="s">
        <v>736</v>
      </c>
      <c r="C638">
        <v>2</v>
      </c>
      <c r="D638">
        <v>7.3000000000000001E-3</v>
      </c>
      <c r="E638">
        <v>6.3832864813335277</v>
      </c>
      <c r="F638">
        <v>642.92230006028478</v>
      </c>
      <c r="G638">
        <v>0.42399999999999999</v>
      </c>
      <c r="H638">
        <v>6.0000000000000001E-3</v>
      </c>
      <c r="I638">
        <v>181.1996</v>
      </c>
    </row>
    <row r="639" spans="1:9" x14ac:dyDescent="0.3">
      <c r="A639" t="s">
        <v>9</v>
      </c>
      <c r="B639" t="s">
        <v>737</v>
      </c>
      <c r="C639">
        <v>2</v>
      </c>
      <c r="D639">
        <v>3.7000000000000002E-3</v>
      </c>
      <c r="E639">
        <v>6.2162290858474458</v>
      </c>
      <c r="F639">
        <v>627.35255080098193</v>
      </c>
      <c r="G639">
        <v>0.42399999999999999</v>
      </c>
      <c r="H639">
        <v>3.3999999999999998E-3</v>
      </c>
      <c r="I639">
        <v>181.4007</v>
      </c>
    </row>
    <row r="640" spans="1:9" x14ac:dyDescent="0.3">
      <c r="A640" t="s">
        <v>9</v>
      </c>
      <c r="B640" t="s">
        <v>738</v>
      </c>
      <c r="C640">
        <v>2</v>
      </c>
      <c r="D640">
        <v>1.1999999999999999E-3</v>
      </c>
      <c r="E640">
        <v>6.0950423124751376</v>
      </c>
      <c r="F640">
        <v>616.05794352268288</v>
      </c>
      <c r="G640">
        <v>0.42399999999999999</v>
      </c>
      <c r="H640">
        <v>1.5E-3</v>
      </c>
      <c r="I640">
        <v>181.59979999999999</v>
      </c>
    </row>
    <row r="641" spans="1:9" x14ac:dyDescent="0.3">
      <c r="A641" t="s">
        <v>9</v>
      </c>
      <c r="B641" t="s">
        <v>739</v>
      </c>
      <c r="C641">
        <v>2</v>
      </c>
      <c r="D641">
        <v>-1.1999999999999999E-3</v>
      </c>
      <c r="E641">
        <v>5.9957334838115024</v>
      </c>
      <c r="F641">
        <v>606.80236069123202</v>
      </c>
      <c r="G641">
        <v>0.42399999999999999</v>
      </c>
      <c r="H641">
        <v>0</v>
      </c>
      <c r="I641">
        <v>181.80019999999999</v>
      </c>
    </row>
    <row r="642" spans="1:9" x14ac:dyDescent="0.3">
      <c r="A642" t="s">
        <v>9</v>
      </c>
      <c r="B642" t="s">
        <v>740</v>
      </c>
      <c r="C642">
        <v>2</v>
      </c>
      <c r="D642">
        <v>-2.8999999999999998E-3</v>
      </c>
      <c r="E642">
        <v>5.9957334838115024</v>
      </c>
      <c r="F642">
        <v>606.80236069123202</v>
      </c>
      <c r="G642">
        <v>0.42399999999999999</v>
      </c>
      <c r="H642">
        <v>0</v>
      </c>
      <c r="I642">
        <v>181.999</v>
      </c>
    </row>
    <row r="643" spans="1:9" x14ac:dyDescent="0.3">
      <c r="A643" t="s">
        <v>9</v>
      </c>
      <c r="B643" t="s">
        <v>741</v>
      </c>
      <c r="C643">
        <v>2</v>
      </c>
      <c r="D643">
        <v>-3.0000000000000001E-3</v>
      </c>
      <c r="E643">
        <v>5.9957334838115024</v>
      </c>
      <c r="F643">
        <v>606.80236069123202</v>
      </c>
      <c r="G643">
        <v>0.42399999999999999</v>
      </c>
      <c r="H643">
        <v>0</v>
      </c>
      <c r="I643">
        <v>182.20099999999999</v>
      </c>
    </row>
    <row r="644" spans="1:9" x14ac:dyDescent="0.3">
      <c r="A644" t="s">
        <v>9</v>
      </c>
      <c r="B644" t="s">
        <v>742</v>
      </c>
      <c r="C644">
        <v>2</v>
      </c>
      <c r="D644">
        <v>-3.0000000000000001E-3</v>
      </c>
      <c r="E644">
        <v>5.9957334838115024</v>
      </c>
      <c r="F644">
        <v>606.80236069123202</v>
      </c>
      <c r="G644">
        <v>0.42399999999999999</v>
      </c>
      <c r="H644">
        <v>0</v>
      </c>
      <c r="I644">
        <v>182.3999</v>
      </c>
    </row>
    <row r="645" spans="1:9" x14ac:dyDescent="0.3">
      <c r="A645" t="s">
        <v>9</v>
      </c>
      <c r="B645" t="s">
        <v>743</v>
      </c>
      <c r="C645">
        <v>2</v>
      </c>
      <c r="D645">
        <v>-3.0000000000000001E-3</v>
      </c>
      <c r="E645">
        <v>5.9957334838115024</v>
      </c>
      <c r="F645">
        <v>606.80236069123202</v>
      </c>
      <c r="G645">
        <v>0.42399999999999999</v>
      </c>
      <c r="H645">
        <v>0</v>
      </c>
      <c r="I645">
        <v>182.60050000000001</v>
      </c>
    </row>
    <row r="646" spans="1:9" x14ac:dyDescent="0.3">
      <c r="A646" t="s">
        <v>9</v>
      </c>
      <c r="B646" t="s">
        <v>744</v>
      </c>
      <c r="C646">
        <v>2</v>
      </c>
      <c r="D646">
        <v>-3.0000000000000001E-3</v>
      </c>
      <c r="E646">
        <v>5.9957334838115024</v>
      </c>
      <c r="F646">
        <v>606.80236069123202</v>
      </c>
      <c r="G646">
        <v>0.42399999999999999</v>
      </c>
      <c r="H646">
        <v>0</v>
      </c>
      <c r="I646">
        <v>182.79949999999999</v>
      </c>
    </row>
    <row r="647" spans="1:9" x14ac:dyDescent="0.3">
      <c r="A647" t="s">
        <v>9</v>
      </c>
      <c r="B647" t="s">
        <v>745</v>
      </c>
      <c r="C647">
        <v>2</v>
      </c>
      <c r="D647">
        <v>-3.0000000000000001E-3</v>
      </c>
      <c r="E647">
        <v>5.9957334838115024</v>
      </c>
      <c r="F647">
        <v>606.80236069123202</v>
      </c>
      <c r="G647">
        <v>0.42399999999999999</v>
      </c>
      <c r="H647">
        <v>0</v>
      </c>
      <c r="I647">
        <v>183.0008</v>
      </c>
    </row>
    <row r="648" spans="1:9" x14ac:dyDescent="0.3">
      <c r="A648" t="s">
        <v>9</v>
      </c>
      <c r="B648" t="s">
        <v>746</v>
      </c>
      <c r="C648">
        <v>2</v>
      </c>
      <c r="D648">
        <v>-3.0000000000000001E-3</v>
      </c>
      <c r="E648">
        <v>5.9957334838115024</v>
      </c>
      <c r="F648">
        <v>606.80236069123202</v>
      </c>
      <c r="G648">
        <v>0.42399999999999999</v>
      </c>
      <c r="H648">
        <v>0</v>
      </c>
      <c r="I648">
        <v>183.19839999999999</v>
      </c>
    </row>
    <row r="649" spans="1:9" x14ac:dyDescent="0.3">
      <c r="A649" t="s">
        <v>9</v>
      </c>
      <c r="B649" t="s">
        <v>747</v>
      </c>
      <c r="C649">
        <v>2</v>
      </c>
      <c r="D649">
        <v>-3.0000000000000001E-3</v>
      </c>
      <c r="E649">
        <v>5.9957334838115024</v>
      </c>
      <c r="F649">
        <v>606.80236069123202</v>
      </c>
      <c r="G649">
        <v>0.42399999999999999</v>
      </c>
      <c r="H649">
        <v>0</v>
      </c>
      <c r="I649">
        <v>183.3991</v>
      </c>
    </row>
    <row r="650" spans="1:9" x14ac:dyDescent="0.3">
      <c r="A650" t="s">
        <v>9</v>
      </c>
      <c r="B650" t="s">
        <v>748</v>
      </c>
      <c r="C650">
        <v>2</v>
      </c>
      <c r="D650">
        <v>-3.0000000000000001E-3</v>
      </c>
      <c r="E650">
        <v>5.9957334838115024</v>
      </c>
      <c r="F650">
        <v>606.80236069123202</v>
      </c>
      <c r="G650">
        <v>0.42399999999999999</v>
      </c>
      <c r="H650">
        <v>0</v>
      </c>
      <c r="I650">
        <v>183.59899999999999</v>
      </c>
    </row>
    <row r="651" spans="1:9" x14ac:dyDescent="0.3">
      <c r="A651" t="s">
        <v>9</v>
      </c>
      <c r="B651" t="s">
        <v>749</v>
      </c>
      <c r="C651">
        <v>2</v>
      </c>
      <c r="D651">
        <v>-3.0000000000000001E-3</v>
      </c>
      <c r="E651">
        <v>5.9957334838115024</v>
      </c>
      <c r="F651">
        <v>606.80236069123202</v>
      </c>
      <c r="G651">
        <v>0.42399999999999999</v>
      </c>
      <c r="H651">
        <v>0</v>
      </c>
      <c r="I651">
        <v>183.8006</v>
      </c>
    </row>
    <row r="652" spans="1:9" x14ac:dyDescent="0.3">
      <c r="A652" t="s">
        <v>9</v>
      </c>
      <c r="B652" t="s">
        <v>750</v>
      </c>
      <c r="C652">
        <v>2</v>
      </c>
      <c r="D652">
        <v>-3.0000000000000001E-3</v>
      </c>
      <c r="E652">
        <v>5.9957334838115024</v>
      </c>
      <c r="F652">
        <v>606.80236069123202</v>
      </c>
      <c r="G652">
        <v>0.42399999999999999</v>
      </c>
      <c r="H652">
        <v>0</v>
      </c>
      <c r="I652">
        <v>184.00059999999999</v>
      </c>
    </row>
    <row r="653" spans="1:9" x14ac:dyDescent="0.3">
      <c r="A653" t="s">
        <v>9</v>
      </c>
      <c r="B653" t="s">
        <v>751</v>
      </c>
      <c r="C653">
        <v>2</v>
      </c>
      <c r="D653">
        <v>-3.0000000000000001E-3</v>
      </c>
      <c r="E653">
        <v>5.9957334838115024</v>
      </c>
      <c r="F653">
        <v>606.80236069123202</v>
      </c>
      <c r="G653">
        <v>0.42399999999999999</v>
      </c>
      <c r="H653">
        <v>0</v>
      </c>
      <c r="I653">
        <v>184.1996</v>
      </c>
    </row>
    <row r="654" spans="1:9" x14ac:dyDescent="0.3">
      <c r="A654" t="s">
        <v>9</v>
      </c>
      <c r="B654" t="s">
        <v>752</v>
      </c>
      <c r="C654">
        <v>2</v>
      </c>
      <c r="D654">
        <v>-3.0000000000000001E-3</v>
      </c>
      <c r="E654">
        <v>5.9957334838115024</v>
      </c>
      <c r="F654">
        <v>606.80236069123202</v>
      </c>
      <c r="G654">
        <v>0.42399999999999999</v>
      </c>
      <c r="H654">
        <v>0</v>
      </c>
      <c r="I654">
        <v>184.39959999999999</v>
      </c>
    </row>
    <row r="655" spans="1:9" x14ac:dyDescent="0.3">
      <c r="A655" t="s">
        <v>9</v>
      </c>
      <c r="B655" t="s">
        <v>753</v>
      </c>
      <c r="C655">
        <v>2</v>
      </c>
      <c r="D655">
        <v>-3.0000000000000001E-3</v>
      </c>
      <c r="E655">
        <v>5.9957334838115024</v>
      </c>
      <c r="F655">
        <v>606.80236069123202</v>
      </c>
      <c r="G655">
        <v>0.42399999999999999</v>
      </c>
      <c r="H655">
        <v>0</v>
      </c>
      <c r="I655">
        <v>184.59880000000001</v>
      </c>
    </row>
    <row r="656" spans="1:9" x14ac:dyDescent="0.3">
      <c r="A656" t="s">
        <v>9</v>
      </c>
      <c r="B656" t="s">
        <v>754</v>
      </c>
      <c r="C656">
        <v>2</v>
      </c>
      <c r="D656">
        <v>-3.0000000000000001E-3</v>
      </c>
      <c r="E656">
        <v>5.9957334838115024</v>
      </c>
      <c r="F656">
        <v>606.80236069123202</v>
      </c>
      <c r="G656">
        <v>0.42399999999999999</v>
      </c>
      <c r="H656">
        <v>0</v>
      </c>
      <c r="I656">
        <v>184.8005</v>
      </c>
    </row>
    <row r="657" spans="1:9" x14ac:dyDescent="0.3">
      <c r="A657" t="s">
        <v>9</v>
      </c>
      <c r="B657" t="s">
        <v>755</v>
      </c>
      <c r="C657">
        <v>2</v>
      </c>
      <c r="D657">
        <v>-3.0000000000000001E-3</v>
      </c>
      <c r="E657">
        <v>5.9957334838115024</v>
      </c>
      <c r="F657">
        <v>606.80236069123202</v>
      </c>
      <c r="G657">
        <v>0.42399999999999999</v>
      </c>
      <c r="H657">
        <v>0</v>
      </c>
      <c r="I657">
        <v>185.00139999999999</v>
      </c>
    </row>
    <row r="658" spans="1:9" x14ac:dyDescent="0.3">
      <c r="A658" t="s">
        <v>9</v>
      </c>
      <c r="B658" t="s">
        <v>756</v>
      </c>
      <c r="C658">
        <v>2</v>
      </c>
      <c r="D658">
        <v>-3.0000000000000001E-3</v>
      </c>
      <c r="E658">
        <v>5.9957334838115024</v>
      </c>
      <c r="F658">
        <v>606.80236069123202</v>
      </c>
      <c r="G658">
        <v>0.42399999999999999</v>
      </c>
      <c r="H658">
        <v>0</v>
      </c>
      <c r="I658">
        <v>185.2003</v>
      </c>
    </row>
    <row r="659" spans="1:9" x14ac:dyDescent="0.3">
      <c r="A659" t="s">
        <v>9</v>
      </c>
      <c r="B659" t="s">
        <v>757</v>
      </c>
      <c r="C659">
        <v>2</v>
      </c>
      <c r="D659">
        <v>-3.0000000000000001E-3</v>
      </c>
      <c r="E659">
        <v>5.9957334838115024</v>
      </c>
      <c r="F659">
        <v>606.80236069123202</v>
      </c>
      <c r="G659">
        <v>0.42399999999999999</v>
      </c>
      <c r="H659">
        <v>0</v>
      </c>
      <c r="I659">
        <v>185.4015</v>
      </c>
    </row>
    <row r="660" spans="1:9" x14ac:dyDescent="0.3">
      <c r="A660" t="s">
        <v>9</v>
      </c>
      <c r="B660" t="s">
        <v>758</v>
      </c>
      <c r="C660">
        <v>2</v>
      </c>
      <c r="D660">
        <v>-3.0000000000000001E-3</v>
      </c>
      <c r="E660">
        <v>5.9957334838115024</v>
      </c>
      <c r="F660">
        <v>606.80236069123202</v>
      </c>
      <c r="G660">
        <v>0.42399999999999999</v>
      </c>
      <c r="H660">
        <v>0</v>
      </c>
      <c r="I660">
        <v>185.59909999999999</v>
      </c>
    </row>
    <row r="661" spans="1:9" x14ac:dyDescent="0.3">
      <c r="A661" t="s">
        <v>9</v>
      </c>
      <c r="B661" t="s">
        <v>759</v>
      </c>
      <c r="C661">
        <v>2</v>
      </c>
      <c r="D661">
        <v>-3.0000000000000001E-3</v>
      </c>
      <c r="E661">
        <v>5.9957334838115024</v>
      </c>
      <c r="F661">
        <v>606.80236069123202</v>
      </c>
      <c r="G661">
        <v>0.42399999999999999</v>
      </c>
      <c r="H661">
        <v>0</v>
      </c>
      <c r="I661">
        <v>185.80029999999999</v>
      </c>
    </row>
    <row r="662" spans="1:9" x14ac:dyDescent="0.3">
      <c r="A662" t="s">
        <v>9</v>
      </c>
      <c r="B662" t="s">
        <v>760</v>
      </c>
      <c r="C662">
        <v>2</v>
      </c>
      <c r="D662">
        <v>-3.0000000000000001E-3</v>
      </c>
      <c r="E662">
        <v>5.9957334838115024</v>
      </c>
      <c r="F662">
        <v>606.80236069123202</v>
      </c>
      <c r="G662">
        <v>0.42399999999999999</v>
      </c>
      <c r="H662">
        <v>0</v>
      </c>
      <c r="I662">
        <v>186.00290000000001</v>
      </c>
    </row>
    <row r="663" spans="1:9" x14ac:dyDescent="0.3">
      <c r="A663" t="s">
        <v>9</v>
      </c>
      <c r="B663" t="s">
        <v>761</v>
      </c>
      <c r="C663">
        <v>2</v>
      </c>
      <c r="D663">
        <v>-3.0000000000000001E-3</v>
      </c>
      <c r="E663">
        <v>5.9957334838115024</v>
      </c>
      <c r="F663">
        <v>606.80236069123202</v>
      </c>
      <c r="G663">
        <v>0.42399999999999999</v>
      </c>
      <c r="H663">
        <v>0</v>
      </c>
      <c r="I663">
        <v>186.20060000000001</v>
      </c>
    </row>
    <row r="664" spans="1:9" x14ac:dyDescent="0.3">
      <c r="A664" t="s">
        <v>9</v>
      </c>
      <c r="B664" t="s">
        <v>762</v>
      </c>
      <c r="C664">
        <v>2</v>
      </c>
      <c r="D664">
        <v>-3.0000000000000001E-3</v>
      </c>
      <c r="E664">
        <v>5.9957334838115024</v>
      </c>
      <c r="F664">
        <v>606.80236069123202</v>
      </c>
      <c r="G664">
        <v>0.42399999999999999</v>
      </c>
      <c r="H664">
        <v>0</v>
      </c>
      <c r="I664">
        <v>186.3991</v>
      </c>
    </row>
    <row r="665" spans="1:9" x14ac:dyDescent="0.3">
      <c r="A665" t="s">
        <v>9</v>
      </c>
      <c r="B665" t="s">
        <v>763</v>
      </c>
      <c r="C665">
        <v>2</v>
      </c>
      <c r="D665">
        <v>-3.0000000000000001E-3</v>
      </c>
      <c r="E665">
        <v>5.9957334838115024</v>
      </c>
      <c r="F665">
        <v>606.80236069123202</v>
      </c>
      <c r="G665">
        <v>0.42399999999999999</v>
      </c>
      <c r="H665">
        <v>0</v>
      </c>
      <c r="I665">
        <v>186.59889999999999</v>
      </c>
    </row>
    <row r="666" spans="1:9" x14ac:dyDescent="0.3">
      <c r="A666" t="s">
        <v>9</v>
      </c>
      <c r="B666" t="s">
        <v>764</v>
      </c>
      <c r="C666">
        <v>2</v>
      </c>
      <c r="D666">
        <v>-3.0000000000000001E-3</v>
      </c>
      <c r="E666">
        <v>5.9957334838115024</v>
      </c>
      <c r="F666">
        <v>606.80236069123202</v>
      </c>
      <c r="G666">
        <v>0.42399999999999999</v>
      </c>
      <c r="H666">
        <v>0</v>
      </c>
      <c r="I666">
        <v>186.79900000000001</v>
      </c>
    </row>
    <row r="667" spans="1:9" x14ac:dyDescent="0.3">
      <c r="A667" t="s">
        <v>9</v>
      </c>
      <c r="B667" t="s">
        <v>765</v>
      </c>
      <c r="C667">
        <v>2</v>
      </c>
      <c r="D667">
        <v>-3.0000000000000001E-3</v>
      </c>
      <c r="E667">
        <v>5.9957334838115024</v>
      </c>
      <c r="F667">
        <v>606.80236069123202</v>
      </c>
      <c r="G667">
        <v>0.42399999999999999</v>
      </c>
      <c r="H667">
        <v>0</v>
      </c>
      <c r="I667">
        <v>186.9992</v>
      </c>
    </row>
    <row r="668" spans="1:9" x14ac:dyDescent="0.3">
      <c r="A668" t="s">
        <v>9</v>
      </c>
      <c r="B668" t="s">
        <v>766</v>
      </c>
      <c r="C668">
        <v>2</v>
      </c>
      <c r="D668">
        <v>-3.0000000000000001E-3</v>
      </c>
      <c r="E668">
        <v>9.2164140063654383</v>
      </c>
      <c r="F668">
        <v>1014.6376892040799</v>
      </c>
      <c r="G668">
        <v>0.42399999999999999</v>
      </c>
      <c r="H668">
        <v>0.05</v>
      </c>
      <c r="I668">
        <v>187.1987</v>
      </c>
    </row>
    <row r="669" spans="1:9" x14ac:dyDescent="0.3">
      <c r="A669" t="s">
        <v>9</v>
      </c>
      <c r="B669" t="s">
        <v>767</v>
      </c>
      <c r="C669">
        <v>2</v>
      </c>
      <c r="D669">
        <v>3.09E-2</v>
      </c>
      <c r="E669">
        <v>8.9431405068959542</v>
      </c>
      <c r="F669">
        <v>881.50069524270293</v>
      </c>
      <c r="G669">
        <v>0.42399999999999999</v>
      </c>
      <c r="H669">
        <v>4.58E-2</v>
      </c>
      <c r="I669">
        <v>187.40020000000001</v>
      </c>
    </row>
    <row r="670" spans="1:9" x14ac:dyDescent="0.3">
      <c r="A670" t="s">
        <v>9</v>
      </c>
      <c r="B670" t="s">
        <v>768</v>
      </c>
      <c r="C670">
        <v>2</v>
      </c>
      <c r="D670">
        <v>3.8600000000000002E-2</v>
      </c>
      <c r="E670">
        <v>8.6519216829746117</v>
      </c>
      <c r="F670">
        <v>854.35910085323383</v>
      </c>
      <c r="G670">
        <v>0.42399999999999999</v>
      </c>
      <c r="H670">
        <v>4.1300000000000003E-2</v>
      </c>
      <c r="I670">
        <v>187.5984</v>
      </c>
    </row>
    <row r="671" spans="1:9" x14ac:dyDescent="0.3">
      <c r="A671" t="s">
        <v>9</v>
      </c>
      <c r="B671" t="s">
        <v>769</v>
      </c>
      <c r="C671">
        <v>2</v>
      </c>
      <c r="D671">
        <v>3.8199999999999998E-2</v>
      </c>
      <c r="E671">
        <v>8.3383464183125646</v>
      </c>
      <c r="F671">
        <v>825.13388618673105</v>
      </c>
      <c r="G671">
        <v>0.42399999999999999</v>
      </c>
      <c r="H671">
        <v>3.6400000000000002E-2</v>
      </c>
      <c r="I671">
        <v>187.80119999999999</v>
      </c>
    </row>
    <row r="672" spans="1:9" x14ac:dyDescent="0.3">
      <c r="A672" t="s">
        <v>9</v>
      </c>
      <c r="B672" t="s">
        <v>770</v>
      </c>
      <c r="C672">
        <v>2</v>
      </c>
      <c r="D672">
        <v>3.56E-2</v>
      </c>
      <c r="E672">
        <v>8.025424772499461</v>
      </c>
      <c r="F672">
        <v>795.96958879694978</v>
      </c>
      <c r="G672">
        <v>0.42399999999999999</v>
      </c>
      <c r="H672">
        <v>3.15E-2</v>
      </c>
      <c r="I672">
        <v>187.99850000000001</v>
      </c>
    </row>
    <row r="673" spans="1:9" x14ac:dyDescent="0.3">
      <c r="A673" t="s">
        <v>9</v>
      </c>
      <c r="B673" t="s">
        <v>771</v>
      </c>
      <c r="C673">
        <v>2</v>
      </c>
      <c r="D673">
        <v>3.1099999999999999E-2</v>
      </c>
      <c r="E673">
        <v>7.7074039265348206</v>
      </c>
      <c r="F673">
        <v>766.33004595304533</v>
      </c>
      <c r="G673">
        <v>0.42399999999999999</v>
      </c>
      <c r="H673">
        <v>2.6599999999999999E-2</v>
      </c>
      <c r="I673">
        <v>188.19909999999999</v>
      </c>
    </row>
    <row r="674" spans="1:9" x14ac:dyDescent="0.3">
      <c r="A674" t="s">
        <v>9</v>
      </c>
      <c r="B674" t="s">
        <v>772</v>
      </c>
      <c r="C674">
        <v>2</v>
      </c>
      <c r="D674">
        <v>2.6499999999999999E-2</v>
      </c>
      <c r="E674">
        <v>7.3972861109577082</v>
      </c>
      <c r="F674">
        <v>737.42706554125846</v>
      </c>
      <c r="G674">
        <v>0.42399999999999999</v>
      </c>
      <c r="H674">
        <v>2.18E-2</v>
      </c>
      <c r="I674">
        <v>188.39959999999999</v>
      </c>
    </row>
    <row r="675" spans="1:9" x14ac:dyDescent="0.3">
      <c r="A675" t="s">
        <v>9</v>
      </c>
      <c r="B675" t="s">
        <v>773</v>
      </c>
      <c r="C675">
        <v>2</v>
      </c>
      <c r="D675">
        <v>2.1600000000000001E-2</v>
      </c>
      <c r="E675">
        <v>7.105049960924708</v>
      </c>
      <c r="F675">
        <v>710.19065635818276</v>
      </c>
      <c r="G675">
        <v>0.42399999999999999</v>
      </c>
      <c r="H675">
        <v>1.72E-2</v>
      </c>
      <c r="I675">
        <v>188.59829999999999</v>
      </c>
    </row>
    <row r="676" spans="1:9" x14ac:dyDescent="0.3">
      <c r="A676" t="s">
        <v>9</v>
      </c>
      <c r="B676" t="s">
        <v>774</v>
      </c>
      <c r="C676">
        <v>2</v>
      </c>
      <c r="D676">
        <v>1.5800000000000002E-2</v>
      </c>
      <c r="E676">
        <v>6.8311646060935294</v>
      </c>
      <c r="F676">
        <v>684.6645412879169</v>
      </c>
      <c r="G676">
        <v>0.42399999999999999</v>
      </c>
      <c r="H676">
        <v>1.2999999999999999E-2</v>
      </c>
      <c r="I676">
        <v>188.80019999999999</v>
      </c>
    </row>
    <row r="677" spans="1:9" x14ac:dyDescent="0.3">
      <c r="A677" t="s">
        <v>9</v>
      </c>
      <c r="B677" t="s">
        <v>775</v>
      </c>
      <c r="C677">
        <v>2</v>
      </c>
      <c r="D677">
        <v>1.14E-2</v>
      </c>
      <c r="E677">
        <v>6.5908100604012807</v>
      </c>
      <c r="F677">
        <v>662.26349762939935</v>
      </c>
      <c r="G677">
        <v>0.42399999999999999</v>
      </c>
      <c r="H677">
        <v>9.1999999999999998E-3</v>
      </c>
      <c r="I677">
        <v>188.99889999999999</v>
      </c>
    </row>
    <row r="678" spans="1:9" x14ac:dyDescent="0.3">
      <c r="A678" t="s">
        <v>9</v>
      </c>
      <c r="B678" t="s">
        <v>776</v>
      </c>
      <c r="C678">
        <v>2</v>
      </c>
      <c r="D678">
        <v>7.6E-3</v>
      </c>
      <c r="E678">
        <v>6.3837382973902113</v>
      </c>
      <c r="F678">
        <v>642.96440931676773</v>
      </c>
      <c r="G678">
        <v>0.42399999999999999</v>
      </c>
      <c r="H678">
        <v>6.0000000000000001E-3</v>
      </c>
      <c r="I678">
        <v>189.19909999999999</v>
      </c>
    </row>
    <row r="679" spans="1:9" x14ac:dyDescent="0.3">
      <c r="A679" t="s">
        <v>9</v>
      </c>
      <c r="B679" t="s">
        <v>777</v>
      </c>
      <c r="C679">
        <v>2</v>
      </c>
      <c r="D679">
        <v>3.7000000000000002E-3</v>
      </c>
      <c r="E679">
        <v>6.2178428999793711</v>
      </c>
      <c r="F679">
        <v>627.50295827807736</v>
      </c>
      <c r="G679">
        <v>0.42399999999999999</v>
      </c>
      <c r="H679">
        <v>3.5000000000000001E-3</v>
      </c>
      <c r="I679">
        <v>189.39840000000001</v>
      </c>
    </row>
    <row r="680" spans="1:9" x14ac:dyDescent="0.3">
      <c r="A680" t="s">
        <v>9</v>
      </c>
      <c r="B680" t="s">
        <v>778</v>
      </c>
      <c r="C680">
        <v>2</v>
      </c>
      <c r="D680">
        <v>1E-3</v>
      </c>
      <c r="E680">
        <v>6.0946776320826208</v>
      </c>
      <c r="F680">
        <v>616.02395531010029</v>
      </c>
      <c r="G680">
        <v>0.42399999999999999</v>
      </c>
      <c r="H680">
        <v>1.5E-3</v>
      </c>
      <c r="I680">
        <v>189.60059999999999</v>
      </c>
    </row>
    <row r="681" spans="1:9" x14ac:dyDescent="0.3">
      <c r="A681" t="s">
        <v>9</v>
      </c>
      <c r="B681" t="s">
        <v>779</v>
      </c>
      <c r="C681">
        <v>2</v>
      </c>
      <c r="D681">
        <v>-1.4E-3</v>
      </c>
      <c r="E681">
        <v>6.0208869915360896</v>
      </c>
      <c r="F681">
        <v>609.14666761116359</v>
      </c>
      <c r="G681">
        <v>0.42399999999999999</v>
      </c>
      <c r="H681">
        <v>4.0000000000000002E-4</v>
      </c>
      <c r="I681">
        <v>189.79920000000001</v>
      </c>
    </row>
    <row r="682" spans="1:9" x14ac:dyDescent="0.3">
      <c r="A682" t="s">
        <v>9</v>
      </c>
      <c r="B682" t="s">
        <v>780</v>
      </c>
      <c r="C682">
        <v>2</v>
      </c>
      <c r="D682">
        <v>-2.3E-3</v>
      </c>
      <c r="E682">
        <v>5.9957334838115024</v>
      </c>
      <c r="F682">
        <v>606.80236069123202</v>
      </c>
      <c r="G682">
        <v>0.42399999999999999</v>
      </c>
      <c r="H682">
        <v>0</v>
      </c>
      <c r="I682">
        <v>189.99969999999999</v>
      </c>
    </row>
    <row r="683" spans="1:9" x14ac:dyDescent="0.3">
      <c r="A683" t="s">
        <v>9</v>
      </c>
      <c r="B683" t="s">
        <v>781</v>
      </c>
      <c r="C683">
        <v>2</v>
      </c>
      <c r="D683">
        <v>-2.8999999999999998E-3</v>
      </c>
      <c r="E683">
        <v>6.0204395221258462</v>
      </c>
      <c r="F683">
        <v>711.33971064974287</v>
      </c>
      <c r="G683">
        <v>0.42399999999999999</v>
      </c>
      <c r="H683">
        <v>4.0000000000000002E-4</v>
      </c>
      <c r="I683">
        <v>190.19900000000001</v>
      </c>
    </row>
    <row r="684" spans="1:9" x14ac:dyDescent="0.3">
      <c r="A684" t="s">
        <v>9</v>
      </c>
      <c r="B684" t="s">
        <v>782</v>
      </c>
      <c r="C684">
        <v>2</v>
      </c>
      <c r="D684">
        <v>-6.9999999999999999E-4</v>
      </c>
      <c r="E684">
        <v>6.0942434540035606</v>
      </c>
      <c r="F684">
        <v>718.34370378493793</v>
      </c>
      <c r="G684">
        <v>0.42399999999999999</v>
      </c>
      <c r="H684">
        <v>1.5E-3</v>
      </c>
      <c r="I684">
        <v>190.39850000000001</v>
      </c>
    </row>
    <row r="685" spans="1:9" x14ac:dyDescent="0.3">
      <c r="A685" t="s">
        <v>9</v>
      </c>
      <c r="B685" t="s">
        <v>783</v>
      </c>
      <c r="C685">
        <v>2</v>
      </c>
      <c r="D685">
        <v>1.9E-3</v>
      </c>
      <c r="E685">
        <v>6.2165280394313918</v>
      </c>
      <c r="F685">
        <v>729.94851094203909</v>
      </c>
      <c r="G685">
        <v>0.42399999999999999</v>
      </c>
      <c r="H685">
        <v>3.3999999999999998E-3</v>
      </c>
      <c r="I685">
        <v>190.59979999999999</v>
      </c>
    </row>
    <row r="686" spans="1:9" x14ac:dyDescent="0.3">
      <c r="A686" t="s">
        <v>9</v>
      </c>
      <c r="B686" t="s">
        <v>784</v>
      </c>
      <c r="C686">
        <v>2</v>
      </c>
      <c r="D686">
        <v>4.1999999999999997E-3</v>
      </c>
      <c r="E686">
        <v>6.3835283851829541</v>
      </c>
      <c r="F686">
        <v>745.79684375386239</v>
      </c>
      <c r="G686">
        <v>0.42399999999999999</v>
      </c>
      <c r="H686">
        <v>6.0000000000000001E-3</v>
      </c>
      <c r="I686">
        <v>190.8006</v>
      </c>
    </row>
    <row r="687" spans="1:9" x14ac:dyDescent="0.3">
      <c r="A687" t="s">
        <v>9</v>
      </c>
      <c r="B687" t="s">
        <v>785</v>
      </c>
      <c r="C687">
        <v>2</v>
      </c>
      <c r="D687">
        <v>7.3000000000000001E-3</v>
      </c>
      <c r="E687">
        <v>6.5907983017495324</v>
      </c>
      <c r="F687">
        <v>765.46675883603052</v>
      </c>
      <c r="G687">
        <v>0.42399999999999999</v>
      </c>
      <c r="H687">
        <v>9.1999999999999998E-3</v>
      </c>
      <c r="I687">
        <v>191.00110000000001</v>
      </c>
    </row>
    <row r="688" spans="1:9" x14ac:dyDescent="0.3">
      <c r="A688" t="s">
        <v>9</v>
      </c>
      <c r="B688" t="s">
        <v>786</v>
      </c>
      <c r="C688">
        <v>2</v>
      </c>
      <c r="D688">
        <v>1.04E-2</v>
      </c>
      <c r="E688">
        <v>6.8312761105497684</v>
      </c>
      <c r="F688">
        <v>788.28810289117303</v>
      </c>
      <c r="G688">
        <v>0.42399999999999999</v>
      </c>
      <c r="H688">
        <v>1.2999999999999999E-2</v>
      </c>
      <c r="I688">
        <v>191.19990000000001</v>
      </c>
    </row>
    <row r="689" spans="1:9" x14ac:dyDescent="0.3">
      <c r="A689" t="s">
        <v>9</v>
      </c>
      <c r="B689" t="s">
        <v>787</v>
      </c>
      <c r="C689">
        <v>2</v>
      </c>
      <c r="D689">
        <v>1.41E-2</v>
      </c>
      <c r="E689">
        <v>7.1003221719801406</v>
      </c>
      <c r="F689">
        <v>813.82057412091535</v>
      </c>
      <c r="G689">
        <v>0.42399999999999999</v>
      </c>
      <c r="H689">
        <v>1.72E-2</v>
      </c>
      <c r="I689">
        <v>191.39830000000001</v>
      </c>
    </row>
    <row r="690" spans="1:9" x14ac:dyDescent="0.3">
      <c r="A690" t="s">
        <v>9</v>
      </c>
      <c r="B690" t="s">
        <v>788</v>
      </c>
      <c r="C690">
        <v>2</v>
      </c>
      <c r="D690">
        <v>1.83E-2</v>
      </c>
      <c r="E690">
        <v>7.3978586356566574</v>
      </c>
      <c r="F690">
        <v>842.05678452381687</v>
      </c>
      <c r="G690">
        <v>0.42399999999999999</v>
      </c>
      <c r="H690">
        <v>2.18E-2</v>
      </c>
      <c r="I690">
        <v>191.60079999999999</v>
      </c>
    </row>
    <row r="691" spans="1:9" x14ac:dyDescent="0.3">
      <c r="A691" t="s">
        <v>9</v>
      </c>
      <c r="B691" t="s">
        <v>789</v>
      </c>
      <c r="C691">
        <v>2</v>
      </c>
      <c r="D691">
        <v>2.29E-2</v>
      </c>
      <c r="E691">
        <v>7.7040571709646271</v>
      </c>
      <c r="F691">
        <v>871.11502552454317</v>
      </c>
      <c r="G691">
        <v>0.42399999999999999</v>
      </c>
      <c r="H691">
        <v>2.6499999999999999E-2</v>
      </c>
      <c r="I691">
        <v>191.7988</v>
      </c>
    </row>
    <row r="692" spans="1:9" x14ac:dyDescent="0.3">
      <c r="A692" t="s">
        <v>9</v>
      </c>
      <c r="B692" t="s">
        <v>790</v>
      </c>
      <c r="C692">
        <v>2</v>
      </c>
      <c r="D692">
        <v>2.7799999999999998E-2</v>
      </c>
      <c r="E692">
        <v>8.0245728784537889</v>
      </c>
      <c r="F692">
        <v>901.53196616526463</v>
      </c>
      <c r="G692">
        <v>0.42399999999999999</v>
      </c>
      <c r="H692">
        <v>3.15E-2</v>
      </c>
      <c r="I692">
        <v>192.0009</v>
      </c>
    </row>
    <row r="693" spans="1:9" x14ac:dyDescent="0.3">
      <c r="A693" t="s">
        <v>9</v>
      </c>
      <c r="B693" t="s">
        <v>791</v>
      </c>
      <c r="C693">
        <v>2</v>
      </c>
      <c r="D693">
        <v>3.27E-2</v>
      </c>
      <c r="E693">
        <v>8.3390632905984994</v>
      </c>
      <c r="F693">
        <v>931.37710627779768</v>
      </c>
      <c r="G693">
        <v>0.42399999999999999</v>
      </c>
      <c r="H693">
        <v>3.6400000000000002E-2</v>
      </c>
      <c r="I693">
        <v>192.19919999999999</v>
      </c>
    </row>
    <row r="694" spans="1:9" x14ac:dyDescent="0.3">
      <c r="A694" t="s">
        <v>9</v>
      </c>
      <c r="B694" t="s">
        <v>792</v>
      </c>
      <c r="C694">
        <v>2</v>
      </c>
      <c r="D694">
        <v>3.7699999999999997E-2</v>
      </c>
      <c r="E694">
        <v>8.6478166971019874</v>
      </c>
      <c r="F694">
        <v>960.67780455497871</v>
      </c>
      <c r="G694">
        <v>0.42399999999999999</v>
      </c>
      <c r="H694">
        <v>4.1200000000000001E-2</v>
      </c>
      <c r="I694">
        <v>192.39879999999999</v>
      </c>
    </row>
    <row r="695" spans="1:9" x14ac:dyDescent="0.3">
      <c r="A695" t="s">
        <v>9</v>
      </c>
      <c r="B695" t="s">
        <v>793</v>
      </c>
      <c r="C695">
        <v>2</v>
      </c>
      <c r="D695">
        <v>4.2999999999999997E-2</v>
      </c>
      <c r="E695">
        <v>8.9471481797885879</v>
      </c>
      <c r="F695">
        <v>989.08436226193703</v>
      </c>
      <c r="G695">
        <v>0.42399999999999999</v>
      </c>
      <c r="H695">
        <v>4.5900000000000003E-2</v>
      </c>
      <c r="I695">
        <v>192.6026</v>
      </c>
    </row>
    <row r="696" spans="1:9" x14ac:dyDescent="0.3">
      <c r="A696" t="s">
        <v>9</v>
      </c>
      <c r="B696" t="s">
        <v>794</v>
      </c>
      <c r="C696">
        <v>2</v>
      </c>
      <c r="D696">
        <v>4.7899999999999998E-2</v>
      </c>
      <c r="E696">
        <v>9.2125709545972896</v>
      </c>
      <c r="F696">
        <v>1014.272983591283</v>
      </c>
      <c r="G696">
        <v>0.42399999999999999</v>
      </c>
      <c r="H696">
        <v>0.05</v>
      </c>
      <c r="I696">
        <v>192.79830000000001</v>
      </c>
    </row>
    <row r="697" spans="1:9" x14ac:dyDescent="0.3">
      <c r="A697" t="s">
        <v>9</v>
      </c>
      <c r="B697" t="s">
        <v>795</v>
      </c>
      <c r="C697">
        <v>2</v>
      </c>
      <c r="D697">
        <v>5.28E-2</v>
      </c>
      <c r="E697">
        <v>9.4560557344792535</v>
      </c>
      <c r="F697">
        <v>1037.379689202081</v>
      </c>
      <c r="G697">
        <v>0.42399999999999999</v>
      </c>
      <c r="H697">
        <v>5.3800000000000001E-2</v>
      </c>
      <c r="I697">
        <v>192.99950000000001</v>
      </c>
    </row>
    <row r="698" spans="1:9" x14ac:dyDescent="0.3">
      <c r="A698" t="s">
        <v>9</v>
      </c>
      <c r="B698" t="s">
        <v>796</v>
      </c>
      <c r="C698">
        <v>2</v>
      </c>
      <c r="D698">
        <v>5.6099999999999997E-2</v>
      </c>
      <c r="E698">
        <v>9.6651724081236114</v>
      </c>
      <c r="F698">
        <v>1057.2248615309311</v>
      </c>
      <c r="G698">
        <v>0.42399999999999999</v>
      </c>
      <c r="H698">
        <v>5.7000000000000002E-2</v>
      </c>
      <c r="I698">
        <v>193.202</v>
      </c>
    </row>
    <row r="699" spans="1:9" x14ac:dyDescent="0.3">
      <c r="A699" t="s">
        <v>9</v>
      </c>
      <c r="B699" t="s">
        <v>797</v>
      </c>
      <c r="C699">
        <v>2</v>
      </c>
      <c r="D699">
        <v>5.91E-2</v>
      </c>
      <c r="E699">
        <v>9.8297736645417935</v>
      </c>
      <c r="F699">
        <v>1072.8455207650161</v>
      </c>
      <c r="G699">
        <v>0.42399999999999999</v>
      </c>
      <c r="H699">
        <v>5.96E-2</v>
      </c>
      <c r="I699">
        <v>193.40039999999999</v>
      </c>
    </row>
    <row r="700" spans="1:9" x14ac:dyDescent="0.3">
      <c r="A700" t="s">
        <v>9</v>
      </c>
      <c r="B700" t="s">
        <v>798</v>
      </c>
      <c r="C700">
        <v>2</v>
      </c>
      <c r="D700">
        <v>6.1899999999999997E-2</v>
      </c>
      <c r="E700">
        <v>9.9509287301014542</v>
      </c>
      <c r="F700">
        <v>1084.3431364866281</v>
      </c>
      <c r="G700">
        <v>0.42399999999999999</v>
      </c>
      <c r="H700">
        <v>6.1499999999999999E-2</v>
      </c>
      <c r="I700">
        <v>193.5994</v>
      </c>
    </row>
    <row r="701" spans="1:9" x14ac:dyDescent="0.3">
      <c r="A701" t="s">
        <v>9</v>
      </c>
      <c r="B701" t="s">
        <v>799</v>
      </c>
      <c r="C701">
        <v>2</v>
      </c>
      <c r="D701">
        <v>6.4699999999999994E-2</v>
      </c>
      <c r="E701">
        <v>10.02507635520567</v>
      </c>
      <c r="F701">
        <v>1091.379746109018</v>
      </c>
      <c r="G701">
        <v>0.42399999999999999</v>
      </c>
      <c r="H701">
        <v>6.2600000000000003E-2</v>
      </c>
      <c r="I701">
        <v>193.79839999999999</v>
      </c>
    </row>
    <row r="702" spans="1:9" x14ac:dyDescent="0.3">
      <c r="A702" t="s">
        <v>9</v>
      </c>
      <c r="B702" t="s">
        <v>800</v>
      </c>
      <c r="C702">
        <v>2</v>
      </c>
      <c r="D702">
        <v>6.59E-2</v>
      </c>
      <c r="E702">
        <v>10.05044057796959</v>
      </c>
      <c r="F702">
        <v>1093.786810849314</v>
      </c>
      <c r="G702">
        <v>0.42399999999999999</v>
      </c>
      <c r="H702">
        <v>6.3E-2</v>
      </c>
      <c r="I702">
        <v>193.999</v>
      </c>
    </row>
    <row r="703" spans="1:9" x14ac:dyDescent="0.3">
      <c r="A703" t="s">
        <v>9</v>
      </c>
      <c r="B703" t="s">
        <v>801</v>
      </c>
      <c r="C703">
        <v>2</v>
      </c>
      <c r="D703">
        <v>6.6000000000000003E-2</v>
      </c>
      <c r="E703">
        <v>10.025563325576369</v>
      </c>
      <c r="F703">
        <v>982.38250194371801</v>
      </c>
      <c r="G703">
        <v>0.42399999999999999</v>
      </c>
      <c r="H703">
        <v>6.2600000000000003E-2</v>
      </c>
      <c r="I703">
        <v>194.19970000000001</v>
      </c>
    </row>
    <row r="704" spans="1:9" x14ac:dyDescent="0.3">
      <c r="A704" t="s">
        <v>9</v>
      </c>
      <c r="B704" t="s">
        <v>802</v>
      </c>
      <c r="C704">
        <v>2</v>
      </c>
      <c r="D704">
        <v>6.4000000000000001E-2</v>
      </c>
      <c r="E704">
        <v>9.9519160513776139</v>
      </c>
      <c r="F704">
        <v>975.51857598839365</v>
      </c>
      <c r="G704">
        <v>0.42399999999999999</v>
      </c>
      <c r="H704">
        <v>6.1499999999999999E-2</v>
      </c>
      <c r="I704">
        <v>194.39859999999999</v>
      </c>
    </row>
    <row r="705" spans="1:9" x14ac:dyDescent="0.3">
      <c r="A705" t="s">
        <v>9</v>
      </c>
      <c r="B705" t="s">
        <v>803</v>
      </c>
      <c r="C705">
        <v>2</v>
      </c>
      <c r="D705">
        <v>6.2700000000000006E-2</v>
      </c>
      <c r="E705">
        <v>9.8306198819969683</v>
      </c>
      <c r="F705">
        <v>964.21377300211748</v>
      </c>
      <c r="G705">
        <v>0.42399999999999999</v>
      </c>
      <c r="H705">
        <v>5.96E-2</v>
      </c>
      <c r="I705">
        <v>194.5984</v>
      </c>
    </row>
    <row r="706" spans="1:9" x14ac:dyDescent="0.3">
      <c r="A706" t="s">
        <v>9</v>
      </c>
      <c r="B706" t="s">
        <v>804</v>
      </c>
      <c r="C706">
        <v>2</v>
      </c>
      <c r="D706">
        <v>6.08E-2</v>
      </c>
      <c r="E706">
        <v>9.6628174340078257</v>
      </c>
      <c r="F706">
        <v>948.5745848495294</v>
      </c>
      <c r="G706">
        <v>0.42399999999999999</v>
      </c>
      <c r="H706">
        <v>5.7000000000000002E-2</v>
      </c>
      <c r="I706">
        <v>194.8005</v>
      </c>
    </row>
    <row r="707" spans="1:9" x14ac:dyDescent="0.3">
      <c r="A707" t="s">
        <v>9</v>
      </c>
      <c r="B707" t="s">
        <v>805</v>
      </c>
      <c r="C707">
        <v>2</v>
      </c>
      <c r="D707">
        <v>5.8999999999999997E-2</v>
      </c>
      <c r="E707">
        <v>9.4568078827204332</v>
      </c>
      <c r="F707">
        <v>929.37449466954445</v>
      </c>
      <c r="G707">
        <v>0.42399999999999999</v>
      </c>
      <c r="H707">
        <v>5.3800000000000001E-2</v>
      </c>
      <c r="I707">
        <v>194.99979999999999</v>
      </c>
    </row>
    <row r="708" spans="1:9" x14ac:dyDescent="0.3">
      <c r="A708" t="s">
        <v>9</v>
      </c>
      <c r="B708" t="s">
        <v>806</v>
      </c>
      <c r="C708">
        <v>2</v>
      </c>
      <c r="D708">
        <v>5.5300000000000002E-2</v>
      </c>
      <c r="E708">
        <v>9.2140829550239047</v>
      </c>
      <c r="F708">
        <v>906.75253140822792</v>
      </c>
      <c r="G708">
        <v>0.42399999999999999</v>
      </c>
      <c r="H708">
        <v>0.05</v>
      </c>
      <c r="I708">
        <v>195.20050000000001</v>
      </c>
    </row>
    <row r="709" spans="1:9" x14ac:dyDescent="0.3">
      <c r="A709" t="s">
        <v>9</v>
      </c>
      <c r="B709" t="s">
        <v>807</v>
      </c>
      <c r="C709">
        <v>2</v>
      </c>
      <c r="D709">
        <v>5.0799999999999998E-2</v>
      </c>
      <c r="E709">
        <v>8.9452578751522616</v>
      </c>
      <c r="F709">
        <v>881.69803396419081</v>
      </c>
      <c r="G709">
        <v>0.42399999999999999</v>
      </c>
      <c r="H709">
        <v>4.58E-2</v>
      </c>
      <c r="I709">
        <v>195.39869999999999</v>
      </c>
    </row>
    <row r="710" spans="1:9" x14ac:dyDescent="0.3">
      <c r="A710" t="s">
        <v>9</v>
      </c>
      <c r="B710" t="s">
        <v>808</v>
      </c>
      <c r="C710">
        <v>2</v>
      </c>
      <c r="D710">
        <v>4.6100000000000002E-2</v>
      </c>
      <c r="E710">
        <v>8.6517992308081233</v>
      </c>
      <c r="F710">
        <v>854.34768831131714</v>
      </c>
      <c r="G710">
        <v>0.42399999999999999</v>
      </c>
      <c r="H710">
        <v>4.1300000000000003E-2</v>
      </c>
      <c r="I710">
        <v>195.5985</v>
      </c>
    </row>
    <row r="711" spans="1:9" x14ac:dyDescent="0.3">
      <c r="A711" t="s">
        <v>9</v>
      </c>
      <c r="B711" t="s">
        <v>809</v>
      </c>
      <c r="C711">
        <v>2</v>
      </c>
      <c r="D711">
        <v>4.1700000000000001E-2</v>
      </c>
      <c r="E711">
        <v>8.340694093954852</v>
      </c>
      <c r="F711">
        <v>825.35268955659228</v>
      </c>
      <c r="G711">
        <v>0.42399999999999999</v>
      </c>
      <c r="H711">
        <v>3.6400000000000002E-2</v>
      </c>
      <c r="I711">
        <v>195.7997</v>
      </c>
    </row>
    <row r="712" spans="1:9" x14ac:dyDescent="0.3">
      <c r="A712" t="s">
        <v>9</v>
      </c>
      <c r="B712" t="s">
        <v>810</v>
      </c>
      <c r="C712">
        <v>2</v>
      </c>
      <c r="D712">
        <v>3.6700000000000003E-2</v>
      </c>
      <c r="E712">
        <v>8.0229757291696853</v>
      </c>
      <c r="F712">
        <v>795.74133795861474</v>
      </c>
      <c r="G712">
        <v>0.42399999999999999</v>
      </c>
      <c r="H712">
        <v>3.15E-2</v>
      </c>
      <c r="I712">
        <v>196.0001</v>
      </c>
    </row>
    <row r="713" spans="1:9" x14ac:dyDescent="0.3">
      <c r="A713" t="s">
        <v>9</v>
      </c>
      <c r="B713" t="s">
        <v>811</v>
      </c>
      <c r="C713">
        <v>2</v>
      </c>
      <c r="D713">
        <v>3.1699999999999999E-2</v>
      </c>
      <c r="E713">
        <v>7.7072766087193338</v>
      </c>
      <c r="F713">
        <v>766.3181799326419</v>
      </c>
      <c r="G713">
        <v>0.42399999999999999</v>
      </c>
      <c r="H713">
        <v>2.6599999999999999E-2</v>
      </c>
      <c r="I713">
        <v>196.19909999999999</v>
      </c>
    </row>
    <row r="714" spans="1:9" x14ac:dyDescent="0.3">
      <c r="A714" t="s">
        <v>9</v>
      </c>
      <c r="B714" t="s">
        <v>812</v>
      </c>
      <c r="C714">
        <v>2</v>
      </c>
      <c r="D714">
        <v>2.6700000000000002E-2</v>
      </c>
      <c r="E714">
        <v>7.3961041637215663</v>
      </c>
      <c r="F714">
        <v>737.31690805885</v>
      </c>
      <c r="G714">
        <v>0.42399999999999999</v>
      </c>
      <c r="H714">
        <v>2.18E-2</v>
      </c>
      <c r="I714">
        <v>196.40029999999999</v>
      </c>
    </row>
    <row r="715" spans="1:9" x14ac:dyDescent="0.3">
      <c r="A715" t="s">
        <v>9</v>
      </c>
      <c r="B715" t="s">
        <v>813</v>
      </c>
      <c r="C715">
        <v>2</v>
      </c>
      <c r="D715">
        <v>2.1000000000000001E-2</v>
      </c>
      <c r="E715">
        <v>7.1037767827698248</v>
      </c>
      <c r="F715">
        <v>710.07199615414766</v>
      </c>
      <c r="G715">
        <v>0.42399999999999999</v>
      </c>
      <c r="H715">
        <v>1.72E-2</v>
      </c>
      <c r="I715">
        <v>196.5992</v>
      </c>
    </row>
    <row r="716" spans="1:9" x14ac:dyDescent="0.3">
      <c r="A716" t="s">
        <v>9</v>
      </c>
      <c r="B716" t="s">
        <v>814</v>
      </c>
      <c r="C716">
        <v>2</v>
      </c>
      <c r="D716">
        <v>1.6799999999999999E-2</v>
      </c>
      <c r="E716">
        <v>6.8325119853956577</v>
      </c>
      <c r="F716">
        <v>684.79011703887534</v>
      </c>
      <c r="G716">
        <v>0.42399999999999999</v>
      </c>
      <c r="H716">
        <v>1.2999999999999999E-2</v>
      </c>
      <c r="I716">
        <v>196.79920000000001</v>
      </c>
    </row>
    <row r="717" spans="1:9" x14ac:dyDescent="0.3">
      <c r="A717" t="s">
        <v>9</v>
      </c>
      <c r="B717" t="s">
        <v>815</v>
      </c>
      <c r="C717">
        <v>2</v>
      </c>
      <c r="D717">
        <v>1.1599999999999999E-2</v>
      </c>
      <c r="E717">
        <v>6.5903247119135759</v>
      </c>
      <c r="F717">
        <v>662.21826315034525</v>
      </c>
      <c r="G717">
        <v>0.42399999999999999</v>
      </c>
      <c r="H717">
        <v>9.1999999999999998E-3</v>
      </c>
      <c r="I717">
        <v>196.99930000000001</v>
      </c>
    </row>
    <row r="718" spans="1:9" x14ac:dyDescent="0.3">
      <c r="A718" t="s">
        <v>9</v>
      </c>
      <c r="B718" t="s">
        <v>816</v>
      </c>
      <c r="C718">
        <v>2</v>
      </c>
      <c r="D718">
        <v>7.1999999999999998E-3</v>
      </c>
      <c r="E718">
        <v>6.3747549307364837</v>
      </c>
      <c r="F718">
        <v>642.12715954464034</v>
      </c>
      <c r="G718">
        <v>0.42399999999999999</v>
      </c>
      <c r="H718">
        <v>5.8999999999999999E-3</v>
      </c>
      <c r="I718">
        <v>197.2088</v>
      </c>
    </row>
    <row r="719" spans="1:9" x14ac:dyDescent="0.3">
      <c r="A719" t="s">
        <v>9</v>
      </c>
      <c r="B719" t="s">
        <v>817</v>
      </c>
      <c r="C719">
        <v>2</v>
      </c>
      <c r="D719">
        <v>3.7000000000000002E-3</v>
      </c>
      <c r="E719">
        <v>6.2167859188283687</v>
      </c>
      <c r="F719">
        <v>627.404447634804</v>
      </c>
      <c r="G719">
        <v>0.42399999999999999</v>
      </c>
      <c r="H719">
        <v>3.3999999999999998E-3</v>
      </c>
      <c r="I719">
        <v>197.3999</v>
      </c>
    </row>
    <row r="720" spans="1:9" x14ac:dyDescent="0.3">
      <c r="A720" t="s">
        <v>9</v>
      </c>
      <c r="B720" t="s">
        <v>818</v>
      </c>
      <c r="C720">
        <v>2</v>
      </c>
      <c r="D720">
        <v>1E-3</v>
      </c>
      <c r="E720">
        <v>6.0956040921992116</v>
      </c>
      <c r="F720">
        <v>616.11030139296656</v>
      </c>
      <c r="G720">
        <v>0.42399999999999999</v>
      </c>
      <c r="H720">
        <v>1.6000000000000001E-3</v>
      </c>
      <c r="I720">
        <v>197.59870000000001</v>
      </c>
    </row>
    <row r="721" spans="1:9" x14ac:dyDescent="0.3">
      <c r="A721" t="s">
        <v>9</v>
      </c>
      <c r="B721" t="s">
        <v>819</v>
      </c>
      <c r="C721">
        <v>2</v>
      </c>
      <c r="D721">
        <v>-1.2999999999999999E-3</v>
      </c>
      <c r="E721">
        <v>6.0211442586722344</v>
      </c>
      <c r="F721">
        <v>609.17064490825226</v>
      </c>
      <c r="G721">
        <v>0.42399999999999999</v>
      </c>
      <c r="H721">
        <v>4.0000000000000002E-4</v>
      </c>
      <c r="I721">
        <v>197.79820000000001</v>
      </c>
    </row>
    <row r="722" spans="1:9" x14ac:dyDescent="0.3">
      <c r="A722" t="s">
        <v>9</v>
      </c>
      <c r="B722" t="s">
        <v>820</v>
      </c>
      <c r="C722">
        <v>2</v>
      </c>
      <c r="D722">
        <v>-2.8E-3</v>
      </c>
      <c r="E722">
        <v>5.9957343296895793</v>
      </c>
      <c r="F722">
        <v>606.80243952706883</v>
      </c>
      <c r="G722">
        <v>0.42399999999999999</v>
      </c>
      <c r="H722">
        <v>0</v>
      </c>
      <c r="I722">
        <v>198.00120000000001</v>
      </c>
    </row>
    <row r="723" spans="1:9" x14ac:dyDescent="0.3">
      <c r="A723" t="s">
        <v>9</v>
      </c>
      <c r="B723" t="s">
        <v>821</v>
      </c>
      <c r="C723">
        <v>2</v>
      </c>
      <c r="D723">
        <v>-2.8999999999999998E-3</v>
      </c>
      <c r="E723">
        <v>6.0203296800996808</v>
      </c>
      <c r="F723">
        <v>711.3292866414597</v>
      </c>
      <c r="G723">
        <v>0.42399999999999999</v>
      </c>
      <c r="H723">
        <v>4.0000000000000002E-4</v>
      </c>
      <c r="I723">
        <v>198.1985</v>
      </c>
    </row>
    <row r="724" spans="1:9" x14ac:dyDescent="0.3">
      <c r="A724" t="s">
        <v>9</v>
      </c>
      <c r="B724" t="s">
        <v>822</v>
      </c>
      <c r="C724">
        <v>2</v>
      </c>
      <c r="D724">
        <v>-8.0000000000000004E-4</v>
      </c>
      <c r="E724">
        <v>6.0942260593083866</v>
      </c>
      <c r="F724">
        <v>718.34205302836597</v>
      </c>
      <c r="G724">
        <v>0.42399999999999999</v>
      </c>
      <c r="H724">
        <v>1.5E-3</v>
      </c>
      <c r="I724">
        <v>198.39850000000001</v>
      </c>
    </row>
    <row r="725" spans="1:9" x14ac:dyDescent="0.3">
      <c r="A725" t="s">
        <v>9</v>
      </c>
      <c r="B725" t="s">
        <v>823</v>
      </c>
      <c r="C725">
        <v>2</v>
      </c>
      <c r="D725">
        <v>1.6000000000000001E-3</v>
      </c>
      <c r="E725">
        <v>6.2161093097879059</v>
      </c>
      <c r="F725">
        <v>729.90877349887228</v>
      </c>
      <c r="G725">
        <v>0.42399999999999999</v>
      </c>
      <c r="H725">
        <v>3.3999999999999998E-3</v>
      </c>
      <c r="I725">
        <v>198.5992</v>
      </c>
    </row>
    <row r="726" spans="1:9" x14ac:dyDescent="0.3">
      <c r="A726" t="s">
        <v>9</v>
      </c>
      <c r="B726" t="s">
        <v>824</v>
      </c>
      <c r="C726">
        <v>2</v>
      </c>
      <c r="D726">
        <v>4.3E-3</v>
      </c>
      <c r="E726">
        <v>6.3820950866289117</v>
      </c>
      <c r="F726">
        <v>745.66082372108372</v>
      </c>
      <c r="G726">
        <v>0.42399999999999999</v>
      </c>
      <c r="H726">
        <v>6.0000000000000001E-3</v>
      </c>
      <c r="I726">
        <v>198.79910000000001</v>
      </c>
    </row>
    <row r="727" spans="1:9" x14ac:dyDescent="0.3">
      <c r="A727" t="s">
        <v>9</v>
      </c>
      <c r="B727" t="s">
        <v>825</v>
      </c>
      <c r="C727">
        <v>2</v>
      </c>
      <c r="D727">
        <v>7.1000000000000004E-3</v>
      </c>
      <c r="E727">
        <v>6.5897732716936268</v>
      </c>
      <c r="F727">
        <v>765.36948348372528</v>
      </c>
      <c r="G727">
        <v>0.42399999999999999</v>
      </c>
      <c r="H727">
        <v>9.1999999999999998E-3</v>
      </c>
      <c r="I727">
        <v>199.00020000000001</v>
      </c>
    </row>
    <row r="728" spans="1:9" x14ac:dyDescent="0.3">
      <c r="A728" t="s">
        <v>9</v>
      </c>
      <c r="B728" t="s">
        <v>826</v>
      </c>
      <c r="C728">
        <v>2</v>
      </c>
      <c r="D728">
        <v>1.03E-2</v>
      </c>
      <c r="E728">
        <v>6.8292041550174591</v>
      </c>
      <c r="F728">
        <v>788.09147431115696</v>
      </c>
      <c r="G728">
        <v>0.42399999999999999</v>
      </c>
      <c r="H728">
        <v>1.2999999999999999E-2</v>
      </c>
      <c r="I728">
        <v>199.19829999999999</v>
      </c>
    </row>
    <row r="729" spans="1:9" x14ac:dyDescent="0.3">
      <c r="A729" t="s">
        <v>9</v>
      </c>
      <c r="B729" t="s">
        <v>827</v>
      </c>
      <c r="C729">
        <v>2</v>
      </c>
      <c r="D729">
        <v>1.4200000000000001E-2</v>
      </c>
      <c r="E729">
        <v>7.1004916587536258</v>
      </c>
      <c r="F729">
        <v>813.83665841571917</v>
      </c>
      <c r="G729">
        <v>0.42399999999999999</v>
      </c>
      <c r="H729">
        <v>1.72E-2</v>
      </c>
      <c r="I729">
        <v>199.39850000000001</v>
      </c>
    </row>
    <row r="730" spans="1:9" x14ac:dyDescent="0.3">
      <c r="A730" t="s">
        <v>9</v>
      </c>
      <c r="B730" t="s">
        <v>828</v>
      </c>
      <c r="C730">
        <v>2</v>
      </c>
      <c r="D730">
        <v>1.8599999999999998E-2</v>
      </c>
      <c r="E730">
        <v>7.3974519484944423</v>
      </c>
      <c r="F730">
        <v>842.01818991212258</v>
      </c>
      <c r="G730">
        <v>0.42399999999999999</v>
      </c>
      <c r="H730">
        <v>2.18E-2</v>
      </c>
      <c r="I730">
        <v>199.60059999999999</v>
      </c>
    </row>
    <row r="731" spans="1:9" x14ac:dyDescent="0.3">
      <c r="A731" t="s">
        <v>9</v>
      </c>
      <c r="B731" t="s">
        <v>829</v>
      </c>
      <c r="C731">
        <v>2</v>
      </c>
      <c r="D731">
        <v>2.2499999999999999E-2</v>
      </c>
      <c r="E731">
        <v>7.7038791693053934</v>
      </c>
      <c r="F731">
        <v>871.09813316708187</v>
      </c>
      <c r="G731">
        <v>0.42399999999999999</v>
      </c>
      <c r="H731">
        <v>2.6499999999999999E-2</v>
      </c>
      <c r="I731">
        <v>199.7987</v>
      </c>
    </row>
    <row r="732" spans="1:9" x14ac:dyDescent="0.3">
      <c r="A732" t="s">
        <v>9</v>
      </c>
      <c r="B732" t="s">
        <v>830</v>
      </c>
      <c r="C732">
        <v>2</v>
      </c>
      <c r="D732">
        <v>2.75E-2</v>
      </c>
      <c r="E732">
        <v>8.0220415245617698</v>
      </c>
      <c r="F732">
        <v>901.29174068091197</v>
      </c>
      <c r="G732">
        <v>0.42399999999999999</v>
      </c>
      <c r="H732">
        <v>3.15E-2</v>
      </c>
      <c r="I732">
        <v>199.99930000000001</v>
      </c>
    </row>
    <row r="733" spans="1:9" x14ac:dyDescent="0.3">
      <c r="A733" t="s">
        <v>9</v>
      </c>
      <c r="B733" t="s">
        <v>831</v>
      </c>
      <c r="C733">
        <v>2</v>
      </c>
      <c r="D733">
        <v>3.2599999999999997E-2</v>
      </c>
      <c r="E733">
        <v>8.3398324686111813</v>
      </c>
      <c r="F733">
        <v>931.45010127120111</v>
      </c>
      <c r="G733">
        <v>0.42399999999999999</v>
      </c>
      <c r="H733">
        <v>3.6400000000000002E-2</v>
      </c>
      <c r="I733">
        <v>200.19970000000001</v>
      </c>
    </row>
    <row r="734" spans="1:9" x14ac:dyDescent="0.3">
      <c r="A734" t="s">
        <v>9</v>
      </c>
      <c r="B734" t="s">
        <v>832</v>
      </c>
      <c r="C734">
        <v>2</v>
      </c>
      <c r="D734">
        <v>3.78E-2</v>
      </c>
      <c r="E734">
        <v>8.6475271909865139</v>
      </c>
      <c r="F734">
        <v>960.65033042462017</v>
      </c>
      <c r="G734">
        <v>0.42399999999999999</v>
      </c>
      <c r="H734">
        <v>4.1200000000000001E-2</v>
      </c>
      <c r="I734">
        <v>200.39859999999999</v>
      </c>
    </row>
    <row r="735" spans="1:9" x14ac:dyDescent="0.3">
      <c r="A735" t="s">
        <v>9</v>
      </c>
      <c r="B735" t="s">
        <v>833</v>
      </c>
      <c r="C735">
        <v>2</v>
      </c>
      <c r="D735">
        <v>4.2999999999999997E-2</v>
      </c>
      <c r="E735">
        <v>8.9439019809643838</v>
      </c>
      <c r="F735">
        <v>988.77629799352007</v>
      </c>
      <c r="G735">
        <v>0.42399999999999999</v>
      </c>
      <c r="H735">
        <v>4.58E-2</v>
      </c>
      <c r="I735">
        <v>200.6003</v>
      </c>
    </row>
    <row r="736" spans="1:9" x14ac:dyDescent="0.3">
      <c r="A736" t="s">
        <v>9</v>
      </c>
      <c r="B736" t="s">
        <v>834</v>
      </c>
      <c r="C736">
        <v>2</v>
      </c>
      <c r="D736">
        <v>4.82E-2</v>
      </c>
      <c r="E736">
        <v>9.2148788941060804</v>
      </c>
      <c r="F736">
        <v>1014.492007050667</v>
      </c>
      <c r="G736">
        <v>0.42399999999999999</v>
      </c>
      <c r="H736">
        <v>0.05</v>
      </c>
      <c r="I736">
        <v>200.80009999999999</v>
      </c>
    </row>
    <row r="737" spans="1:9" x14ac:dyDescent="0.3">
      <c r="A737" t="s">
        <v>9</v>
      </c>
      <c r="B737" t="s">
        <v>835</v>
      </c>
      <c r="C737">
        <v>2</v>
      </c>
      <c r="D737">
        <v>5.2200000000000003E-2</v>
      </c>
      <c r="E737">
        <v>9.4571095529584071</v>
      </c>
      <c r="F737">
        <v>1037.479696575753</v>
      </c>
      <c r="G737">
        <v>0.42399999999999999</v>
      </c>
      <c r="H737">
        <v>5.3800000000000001E-2</v>
      </c>
      <c r="I737">
        <v>201.00040000000001</v>
      </c>
    </row>
    <row r="738" spans="1:9" x14ac:dyDescent="0.3">
      <c r="A738" t="s">
        <v>9</v>
      </c>
      <c r="B738" t="s">
        <v>836</v>
      </c>
      <c r="C738">
        <v>2</v>
      </c>
      <c r="D738">
        <v>5.6099999999999997E-2</v>
      </c>
      <c r="E738">
        <v>9.6622858618546275</v>
      </c>
      <c r="F738">
        <v>1056.950928290004</v>
      </c>
      <c r="G738">
        <v>0.42399999999999999</v>
      </c>
      <c r="H738">
        <v>5.7000000000000002E-2</v>
      </c>
      <c r="I738">
        <v>201.19900000000001</v>
      </c>
    </row>
    <row r="739" spans="1:9" x14ac:dyDescent="0.3">
      <c r="A739" t="s">
        <v>9</v>
      </c>
      <c r="B739" t="s">
        <v>837</v>
      </c>
      <c r="C739">
        <v>2</v>
      </c>
      <c r="D739">
        <v>5.8999999999999997E-2</v>
      </c>
      <c r="E739">
        <v>9.8288483802903794</v>
      </c>
      <c r="F739">
        <v>1072.7577112895569</v>
      </c>
      <c r="G739">
        <v>0.42399999999999999</v>
      </c>
      <c r="H739">
        <v>5.96E-2</v>
      </c>
      <c r="I739">
        <v>201.3991</v>
      </c>
    </row>
    <row r="740" spans="1:9" x14ac:dyDescent="0.3">
      <c r="A740" t="s">
        <v>9</v>
      </c>
      <c r="B740" t="s">
        <v>838</v>
      </c>
      <c r="C740">
        <v>2</v>
      </c>
      <c r="D740">
        <v>6.1600000000000002E-2</v>
      </c>
      <c r="E740">
        <v>9.950729238492471</v>
      </c>
      <c r="F740">
        <v>1084.324204732935</v>
      </c>
      <c r="G740">
        <v>0.42399999999999999</v>
      </c>
      <c r="H740">
        <v>6.1499999999999999E-2</v>
      </c>
      <c r="I740">
        <v>201.59899999999999</v>
      </c>
    </row>
    <row r="741" spans="1:9" x14ac:dyDescent="0.3">
      <c r="A741" t="s">
        <v>9</v>
      </c>
      <c r="B741" t="s">
        <v>839</v>
      </c>
      <c r="C741">
        <v>2</v>
      </c>
      <c r="D741">
        <v>6.4600000000000005E-2</v>
      </c>
      <c r="E741">
        <v>10.025480204072631</v>
      </c>
      <c r="F741">
        <v>1091.418071366493</v>
      </c>
      <c r="G741">
        <v>0.42399999999999999</v>
      </c>
      <c r="H741">
        <v>6.2600000000000003E-2</v>
      </c>
      <c r="I741">
        <v>201.8</v>
      </c>
    </row>
    <row r="742" spans="1:9" x14ac:dyDescent="0.3">
      <c r="A742" t="s">
        <v>9</v>
      </c>
      <c r="B742" t="s">
        <v>840</v>
      </c>
      <c r="C742">
        <v>2</v>
      </c>
      <c r="D742">
        <v>6.59E-2</v>
      </c>
      <c r="E742">
        <v>10.05044057796959</v>
      </c>
      <c r="F742">
        <v>1093.786810849314</v>
      </c>
      <c r="G742">
        <v>0.42399999999999999</v>
      </c>
      <c r="H742">
        <v>6.3E-2</v>
      </c>
      <c r="I742">
        <v>201.99930000000001</v>
      </c>
    </row>
    <row r="743" spans="1:9" x14ac:dyDescent="0.3">
      <c r="A743" t="s">
        <v>9</v>
      </c>
      <c r="B743" t="s">
        <v>841</v>
      </c>
      <c r="C743">
        <v>2</v>
      </c>
      <c r="D743">
        <v>6.59E-2</v>
      </c>
      <c r="E743">
        <v>10.02581309555835</v>
      </c>
      <c r="F743">
        <v>982.40578050603847</v>
      </c>
      <c r="G743">
        <v>0.42399999999999999</v>
      </c>
      <c r="H743">
        <v>6.2600000000000003E-2</v>
      </c>
      <c r="I743">
        <v>202.1987</v>
      </c>
    </row>
    <row r="744" spans="1:9" x14ac:dyDescent="0.3">
      <c r="A744" t="s">
        <v>9</v>
      </c>
      <c r="B744" t="s">
        <v>842</v>
      </c>
      <c r="C744">
        <v>2</v>
      </c>
      <c r="D744">
        <v>6.3799999999999996E-2</v>
      </c>
      <c r="E744">
        <v>9.9516378984431402</v>
      </c>
      <c r="F744">
        <v>975.49265213490071</v>
      </c>
      <c r="G744">
        <v>0.42399999999999999</v>
      </c>
      <c r="H744">
        <v>6.1499999999999999E-2</v>
      </c>
      <c r="I744">
        <v>202.3991</v>
      </c>
    </row>
    <row r="745" spans="1:9" x14ac:dyDescent="0.3">
      <c r="A745" t="s">
        <v>9</v>
      </c>
      <c r="B745" t="s">
        <v>843</v>
      </c>
      <c r="C745">
        <v>2</v>
      </c>
      <c r="D745">
        <v>6.1899999999999997E-2</v>
      </c>
      <c r="E745">
        <v>9.8295238945598182</v>
      </c>
      <c r="F745">
        <v>964.11162697297505</v>
      </c>
      <c r="G745">
        <v>0.42399999999999999</v>
      </c>
      <c r="H745">
        <v>5.96E-2</v>
      </c>
      <c r="I745">
        <v>202.59989999999999</v>
      </c>
    </row>
    <row r="746" spans="1:9" x14ac:dyDescent="0.3">
      <c r="A746" t="s">
        <v>9</v>
      </c>
      <c r="B746" t="s">
        <v>844</v>
      </c>
      <c r="C746">
        <v>2</v>
      </c>
      <c r="D746">
        <v>6.08E-2</v>
      </c>
      <c r="E746">
        <v>9.6644498592471777</v>
      </c>
      <c r="F746">
        <v>948.72672688183695</v>
      </c>
      <c r="G746">
        <v>0.42399999999999999</v>
      </c>
      <c r="H746">
        <v>5.7000000000000002E-2</v>
      </c>
      <c r="I746">
        <v>202.7987</v>
      </c>
    </row>
    <row r="747" spans="1:9" x14ac:dyDescent="0.3">
      <c r="A747" t="s">
        <v>9</v>
      </c>
      <c r="B747" t="s">
        <v>845</v>
      </c>
      <c r="C747">
        <v>2</v>
      </c>
      <c r="D747">
        <v>5.8799999999999998E-2</v>
      </c>
      <c r="E747">
        <v>9.4583125846735463</v>
      </c>
      <c r="F747">
        <v>929.51473289157457</v>
      </c>
      <c r="G747">
        <v>0.42399999999999999</v>
      </c>
      <c r="H747">
        <v>5.3800000000000001E-2</v>
      </c>
      <c r="I747">
        <v>202.99850000000001</v>
      </c>
    </row>
    <row r="748" spans="1:9" x14ac:dyDescent="0.3">
      <c r="A748" t="s">
        <v>9</v>
      </c>
      <c r="B748" t="s">
        <v>846</v>
      </c>
      <c r="C748">
        <v>2</v>
      </c>
      <c r="D748">
        <v>5.5599999999999997E-2</v>
      </c>
      <c r="E748">
        <v>9.215555219317018</v>
      </c>
      <c r="F748">
        <v>906.88974644034613</v>
      </c>
      <c r="G748">
        <v>0.42399999999999999</v>
      </c>
      <c r="H748">
        <v>0.05</v>
      </c>
      <c r="I748">
        <v>203.1994</v>
      </c>
    </row>
    <row r="749" spans="1:9" x14ac:dyDescent="0.3">
      <c r="A749" t="s">
        <v>9</v>
      </c>
      <c r="B749" t="s">
        <v>847</v>
      </c>
      <c r="C749">
        <v>2</v>
      </c>
      <c r="D749">
        <v>5.0799999999999998E-2</v>
      </c>
      <c r="E749">
        <v>8.9455011576022372</v>
      </c>
      <c r="F749">
        <v>881.72070788852852</v>
      </c>
      <c r="G749">
        <v>0.42399999999999999</v>
      </c>
      <c r="H749">
        <v>4.58E-2</v>
      </c>
      <c r="I749">
        <v>203.39859999999999</v>
      </c>
    </row>
    <row r="750" spans="1:9" x14ac:dyDescent="0.3">
      <c r="A750" t="s">
        <v>9</v>
      </c>
      <c r="B750" t="s">
        <v>848</v>
      </c>
      <c r="C750">
        <v>2</v>
      </c>
      <c r="D750">
        <v>4.65E-2</v>
      </c>
      <c r="E750">
        <v>8.6513828123479115</v>
      </c>
      <c r="F750">
        <v>854.30887811082539</v>
      </c>
      <c r="G750">
        <v>0.42399999999999999</v>
      </c>
      <c r="H750">
        <v>4.1300000000000003E-2</v>
      </c>
      <c r="I750">
        <v>203.59880000000001</v>
      </c>
    </row>
    <row r="751" spans="1:9" x14ac:dyDescent="0.3">
      <c r="A751" t="s">
        <v>9</v>
      </c>
      <c r="B751" t="s">
        <v>849</v>
      </c>
      <c r="C751">
        <v>2</v>
      </c>
      <c r="D751">
        <v>4.19E-2</v>
      </c>
      <c r="E751">
        <v>8.3431938211283718</v>
      </c>
      <c r="F751">
        <v>825.58566412916423</v>
      </c>
      <c r="G751">
        <v>0.42399999999999999</v>
      </c>
      <c r="H751">
        <v>3.6499999999999998E-2</v>
      </c>
      <c r="I751">
        <v>203.79810000000001</v>
      </c>
    </row>
    <row r="752" spans="1:9" x14ac:dyDescent="0.3">
      <c r="A752" t="s">
        <v>9</v>
      </c>
      <c r="B752" t="s">
        <v>850</v>
      </c>
      <c r="C752">
        <v>2</v>
      </c>
      <c r="D752">
        <v>3.6799999999999999E-2</v>
      </c>
      <c r="E752">
        <v>8.0231869794304131</v>
      </c>
      <c r="F752">
        <v>795.76102648291453</v>
      </c>
      <c r="G752">
        <v>0.42399999999999999</v>
      </c>
      <c r="H752">
        <v>3.15E-2</v>
      </c>
      <c r="I752">
        <v>203.9999</v>
      </c>
    </row>
    <row r="753" spans="1:9" x14ac:dyDescent="0.3">
      <c r="A753" t="s">
        <v>9</v>
      </c>
      <c r="B753" t="s">
        <v>851</v>
      </c>
      <c r="C753">
        <v>2</v>
      </c>
      <c r="D753">
        <v>3.1899999999999998E-2</v>
      </c>
      <c r="E753">
        <v>7.705407388562004</v>
      </c>
      <c r="F753">
        <v>766.14396861397881</v>
      </c>
      <c r="G753">
        <v>0.42399999999999999</v>
      </c>
      <c r="H753">
        <v>2.6599999999999999E-2</v>
      </c>
      <c r="I753">
        <v>204.2003</v>
      </c>
    </row>
    <row r="754" spans="1:9" x14ac:dyDescent="0.3">
      <c r="A754" t="s">
        <v>9</v>
      </c>
      <c r="B754" t="s">
        <v>852</v>
      </c>
      <c r="C754">
        <v>2</v>
      </c>
      <c r="D754">
        <v>2.6700000000000002E-2</v>
      </c>
      <c r="E754">
        <v>7.3993657704342679</v>
      </c>
      <c r="F754">
        <v>737.62088980447379</v>
      </c>
      <c r="G754">
        <v>0.42399999999999999</v>
      </c>
      <c r="H754">
        <v>2.18E-2</v>
      </c>
      <c r="I754">
        <v>204.3982</v>
      </c>
    </row>
    <row r="755" spans="1:9" x14ac:dyDescent="0.3">
      <c r="A755" t="s">
        <v>9</v>
      </c>
      <c r="B755" t="s">
        <v>853</v>
      </c>
      <c r="C755">
        <v>2</v>
      </c>
      <c r="D755">
        <v>2.1399999999999999E-2</v>
      </c>
      <c r="E755">
        <v>7.1049854910754648</v>
      </c>
      <c r="F755">
        <v>710.18464776823339</v>
      </c>
      <c r="G755">
        <v>0.42399999999999999</v>
      </c>
      <c r="H755">
        <v>1.72E-2</v>
      </c>
      <c r="I755">
        <v>204.5984</v>
      </c>
    </row>
    <row r="756" spans="1:9" x14ac:dyDescent="0.3">
      <c r="A756" t="s">
        <v>9</v>
      </c>
      <c r="B756" t="s">
        <v>854</v>
      </c>
      <c r="C756">
        <v>2</v>
      </c>
      <c r="D756">
        <v>1.6500000000000001E-2</v>
      </c>
      <c r="E756">
        <v>6.8335597218135611</v>
      </c>
      <c r="F756">
        <v>684.88776607302395</v>
      </c>
      <c r="G756">
        <v>0.42399999999999999</v>
      </c>
      <c r="H756">
        <v>1.2999999999999999E-2</v>
      </c>
      <c r="I756">
        <v>204.79839999999999</v>
      </c>
    </row>
    <row r="757" spans="1:9" x14ac:dyDescent="0.3">
      <c r="A757" t="s">
        <v>9</v>
      </c>
      <c r="B757" t="s">
        <v>855</v>
      </c>
      <c r="C757">
        <v>2</v>
      </c>
      <c r="D757">
        <v>1.17E-2</v>
      </c>
      <c r="E757">
        <v>6.5893803705369134</v>
      </c>
      <c r="F757">
        <v>662.13025053404021</v>
      </c>
      <c r="G757">
        <v>0.42399999999999999</v>
      </c>
      <c r="H757">
        <v>9.1999999999999998E-3</v>
      </c>
      <c r="I757">
        <v>205.0001</v>
      </c>
    </row>
    <row r="758" spans="1:9" x14ac:dyDescent="0.3">
      <c r="A758" t="s">
        <v>9</v>
      </c>
      <c r="B758" t="s">
        <v>856</v>
      </c>
      <c r="C758">
        <v>2</v>
      </c>
      <c r="D758">
        <v>7.3000000000000001E-3</v>
      </c>
      <c r="E758">
        <v>6.3832409064212303</v>
      </c>
      <c r="F758">
        <v>642.91805247845866</v>
      </c>
      <c r="G758">
        <v>0.42399999999999999</v>
      </c>
      <c r="H758">
        <v>6.0000000000000001E-3</v>
      </c>
      <c r="I758">
        <v>205.1996</v>
      </c>
    </row>
    <row r="759" spans="1:9" x14ac:dyDescent="0.3">
      <c r="A759" t="s">
        <v>9</v>
      </c>
      <c r="B759" t="s">
        <v>857</v>
      </c>
      <c r="C759">
        <v>2</v>
      </c>
      <c r="D759">
        <v>3.7000000000000002E-3</v>
      </c>
      <c r="E759">
        <v>6.21720509448968</v>
      </c>
      <c r="F759">
        <v>627.4435148064382</v>
      </c>
      <c r="G759">
        <v>0.42399999999999999</v>
      </c>
      <c r="H759">
        <v>3.3999999999999998E-3</v>
      </c>
      <c r="I759">
        <v>205.39930000000001</v>
      </c>
    </row>
    <row r="760" spans="1:9" x14ac:dyDescent="0.3">
      <c r="A760" t="s">
        <v>9</v>
      </c>
      <c r="B760" t="s">
        <v>858</v>
      </c>
      <c r="C760">
        <v>2</v>
      </c>
      <c r="D760">
        <v>8.9999999999999998E-4</v>
      </c>
      <c r="E760">
        <v>6.0948463079146054</v>
      </c>
      <c r="F760">
        <v>616.03967589764125</v>
      </c>
      <c r="G760">
        <v>0.42399999999999999</v>
      </c>
      <c r="H760">
        <v>1.5E-3</v>
      </c>
      <c r="I760">
        <v>205.6002</v>
      </c>
    </row>
    <row r="761" spans="1:9" x14ac:dyDescent="0.3">
      <c r="A761" t="s">
        <v>9</v>
      </c>
      <c r="B761" t="s">
        <v>859</v>
      </c>
      <c r="C761">
        <v>2</v>
      </c>
      <c r="D761">
        <v>-1.2999999999999999E-3</v>
      </c>
      <c r="E761">
        <v>6.0208173884271519</v>
      </c>
      <c r="F761">
        <v>609.14018060141052</v>
      </c>
      <c r="G761">
        <v>0.42399999999999999</v>
      </c>
      <c r="H761">
        <v>4.0000000000000002E-4</v>
      </c>
      <c r="I761">
        <v>205.79949999999999</v>
      </c>
    </row>
    <row r="762" spans="1:9" x14ac:dyDescent="0.3">
      <c r="A762" t="s">
        <v>9</v>
      </c>
      <c r="B762" t="s">
        <v>860</v>
      </c>
      <c r="C762">
        <v>2</v>
      </c>
      <c r="D762">
        <v>-2.7000000000000001E-3</v>
      </c>
      <c r="E762">
        <v>5.9957337254908847</v>
      </c>
      <c r="F762">
        <v>606.80238321575052</v>
      </c>
      <c r="G762">
        <v>0.42399999999999999</v>
      </c>
      <c r="H762">
        <v>0</v>
      </c>
      <c r="I762">
        <v>205.99940000000001</v>
      </c>
    </row>
    <row r="763" spans="1:9" x14ac:dyDescent="0.3">
      <c r="A763" t="s">
        <v>9</v>
      </c>
      <c r="B763" t="s">
        <v>861</v>
      </c>
      <c r="C763">
        <v>2</v>
      </c>
      <c r="D763">
        <v>-3.0000000000000001E-3</v>
      </c>
      <c r="E763">
        <v>6.0203592835191362</v>
      </c>
      <c r="F763">
        <v>711.33209600596604</v>
      </c>
      <c r="G763">
        <v>0.42399999999999999</v>
      </c>
      <c r="H763">
        <v>4.0000000000000002E-4</v>
      </c>
      <c r="I763">
        <v>206.1987</v>
      </c>
    </row>
    <row r="764" spans="1:9" x14ac:dyDescent="0.3">
      <c r="A764" t="s">
        <v>9</v>
      </c>
      <c r="B764" t="s">
        <v>862</v>
      </c>
      <c r="C764">
        <v>2</v>
      </c>
      <c r="D764">
        <v>-5.9999999999999995E-4</v>
      </c>
      <c r="E764">
        <v>6.0944277404594187</v>
      </c>
      <c r="F764">
        <v>718.36119256959887</v>
      </c>
      <c r="G764">
        <v>0.42399999999999999</v>
      </c>
      <c r="H764">
        <v>1.5E-3</v>
      </c>
      <c r="I764">
        <v>206.3989</v>
      </c>
    </row>
    <row r="765" spans="1:9" x14ac:dyDescent="0.3">
      <c r="A765" t="s">
        <v>9</v>
      </c>
      <c r="B765" t="s">
        <v>863</v>
      </c>
      <c r="C765">
        <v>2</v>
      </c>
      <c r="D765">
        <v>2E-3</v>
      </c>
      <c r="E765">
        <v>6.2175868452007697</v>
      </c>
      <c r="F765">
        <v>730.04899160955313</v>
      </c>
      <c r="G765">
        <v>0.42399999999999999</v>
      </c>
      <c r="H765">
        <v>3.3999999999999998E-3</v>
      </c>
      <c r="I765">
        <v>206.60120000000001</v>
      </c>
    </row>
    <row r="766" spans="1:9" x14ac:dyDescent="0.3">
      <c r="A766" t="s">
        <v>9</v>
      </c>
      <c r="B766" t="s">
        <v>864</v>
      </c>
      <c r="C766">
        <v>2</v>
      </c>
      <c r="D766">
        <v>4.3E-3</v>
      </c>
      <c r="E766">
        <v>6.3818621436830583</v>
      </c>
      <c r="F766">
        <v>745.63871743552227</v>
      </c>
      <c r="G766">
        <v>0.42399999999999999</v>
      </c>
      <c r="H766">
        <v>6.0000000000000001E-3</v>
      </c>
      <c r="I766">
        <v>206.7989</v>
      </c>
    </row>
    <row r="767" spans="1:9" x14ac:dyDescent="0.3">
      <c r="A767" t="s">
        <v>9</v>
      </c>
      <c r="B767" t="s">
        <v>865</v>
      </c>
      <c r="C767">
        <v>2</v>
      </c>
      <c r="D767">
        <v>7.0000000000000001E-3</v>
      </c>
      <c r="E767">
        <v>6.5901053522378463</v>
      </c>
      <c r="F767">
        <v>765.40099792737169</v>
      </c>
      <c r="G767">
        <v>0.42399999999999999</v>
      </c>
      <c r="H767">
        <v>9.1999999999999998E-3</v>
      </c>
      <c r="I767">
        <v>207.00049999999999</v>
      </c>
    </row>
    <row r="768" spans="1:9" x14ac:dyDescent="0.3">
      <c r="A768" t="s">
        <v>9</v>
      </c>
      <c r="B768" t="s">
        <v>866</v>
      </c>
      <c r="C768">
        <v>2</v>
      </c>
      <c r="D768">
        <v>1.04E-2</v>
      </c>
      <c r="E768">
        <v>6.8297332943461599</v>
      </c>
      <c r="F768">
        <v>788.1416896334506</v>
      </c>
      <c r="G768">
        <v>0.42399999999999999</v>
      </c>
      <c r="H768">
        <v>1.2999999999999999E-2</v>
      </c>
      <c r="I768">
        <v>207.1987</v>
      </c>
    </row>
    <row r="769" spans="1:9" x14ac:dyDescent="0.3">
      <c r="A769" t="s">
        <v>9</v>
      </c>
      <c r="B769" t="s">
        <v>867</v>
      </c>
      <c r="C769">
        <v>2</v>
      </c>
      <c r="D769">
        <v>1.3899999999999999E-2</v>
      </c>
      <c r="E769">
        <v>7.1004689523916298</v>
      </c>
      <c r="F769">
        <v>813.83450358196569</v>
      </c>
      <c r="G769">
        <v>0.42399999999999999</v>
      </c>
      <c r="H769">
        <v>1.72E-2</v>
      </c>
      <c r="I769">
        <v>207.39840000000001</v>
      </c>
    </row>
    <row r="770" spans="1:9" x14ac:dyDescent="0.3">
      <c r="A770" t="s">
        <v>9</v>
      </c>
      <c r="B770" t="s">
        <v>868</v>
      </c>
      <c r="C770">
        <v>2</v>
      </c>
      <c r="D770">
        <v>1.8499999999999999E-2</v>
      </c>
      <c r="E770">
        <v>7.3948678834049293</v>
      </c>
      <c r="F770">
        <v>841.77296213512784</v>
      </c>
      <c r="G770">
        <v>0.42399999999999999</v>
      </c>
      <c r="H770">
        <v>2.1700000000000001E-2</v>
      </c>
      <c r="I770">
        <v>207.59880000000001</v>
      </c>
    </row>
    <row r="771" spans="1:9" x14ac:dyDescent="0.3">
      <c r="A771" t="s">
        <v>9</v>
      </c>
      <c r="B771" t="s">
        <v>869</v>
      </c>
      <c r="C771">
        <v>2</v>
      </c>
      <c r="D771">
        <v>2.2599999999999999E-2</v>
      </c>
      <c r="E771">
        <v>7.7052589862675163</v>
      </c>
      <c r="F771">
        <v>871.22907779678735</v>
      </c>
      <c r="G771">
        <v>0.42399999999999999</v>
      </c>
      <c r="H771">
        <v>2.6599999999999999E-2</v>
      </c>
      <c r="I771">
        <v>207.7996</v>
      </c>
    </row>
    <row r="772" spans="1:9" x14ac:dyDescent="0.3">
      <c r="A772" t="s">
        <v>9</v>
      </c>
      <c r="B772" t="s">
        <v>870</v>
      </c>
      <c r="C772">
        <v>2</v>
      </c>
      <c r="D772">
        <v>2.8299999999999999E-2</v>
      </c>
      <c r="E772">
        <v>8.0214588630940717</v>
      </c>
      <c r="F772">
        <v>901.23644610762744</v>
      </c>
      <c r="G772">
        <v>0.42399999999999999</v>
      </c>
      <c r="H772">
        <v>3.15E-2</v>
      </c>
      <c r="I772">
        <v>207.999</v>
      </c>
    </row>
    <row r="773" spans="1:9" x14ac:dyDescent="0.3">
      <c r="A773" t="s">
        <v>9</v>
      </c>
      <c r="B773" t="s">
        <v>871</v>
      </c>
      <c r="C773">
        <v>2</v>
      </c>
      <c r="D773">
        <v>3.2399999999999998E-2</v>
      </c>
      <c r="E773">
        <v>8.3384319726408087</v>
      </c>
      <c r="F773">
        <v>931.31719420361276</v>
      </c>
      <c r="G773">
        <v>0.42399999999999999</v>
      </c>
      <c r="H773">
        <v>3.6400000000000002E-2</v>
      </c>
      <c r="I773">
        <v>208.19890000000001</v>
      </c>
    </row>
    <row r="774" spans="1:9" x14ac:dyDescent="0.3">
      <c r="A774" t="s">
        <v>9</v>
      </c>
      <c r="B774" t="s">
        <v>872</v>
      </c>
      <c r="C774">
        <v>2</v>
      </c>
      <c r="D774">
        <v>3.7600000000000001E-2</v>
      </c>
      <c r="E774">
        <v>8.6484447712936792</v>
      </c>
      <c r="F774">
        <v>960.73740879577019</v>
      </c>
      <c r="G774">
        <v>0.42399999999999999</v>
      </c>
      <c r="H774">
        <v>4.1200000000000001E-2</v>
      </c>
      <c r="I774">
        <v>208.39920000000001</v>
      </c>
    </row>
    <row r="775" spans="1:9" x14ac:dyDescent="0.3">
      <c r="A775" t="s">
        <v>9</v>
      </c>
      <c r="B775" t="s">
        <v>873</v>
      </c>
      <c r="C775">
        <v>2</v>
      </c>
      <c r="D775">
        <v>4.3299999999999998E-2</v>
      </c>
      <c r="E775">
        <v>8.9434381224264285</v>
      </c>
      <c r="F775">
        <v>988.73227781826813</v>
      </c>
      <c r="G775">
        <v>0.42399999999999999</v>
      </c>
      <c r="H775">
        <v>4.58E-2</v>
      </c>
      <c r="I775">
        <v>208.6</v>
      </c>
    </row>
    <row r="776" spans="1:9" x14ac:dyDescent="0.3">
      <c r="A776" t="s">
        <v>9</v>
      </c>
      <c r="B776" t="s">
        <v>874</v>
      </c>
      <c r="C776">
        <v>2</v>
      </c>
      <c r="D776">
        <v>4.7600000000000003E-2</v>
      </c>
      <c r="E776">
        <v>9.2162838502547029</v>
      </c>
      <c r="F776">
        <v>1014.625337389171</v>
      </c>
      <c r="G776">
        <v>0.42399999999999999</v>
      </c>
      <c r="H776">
        <v>0.05</v>
      </c>
      <c r="I776">
        <v>208.80119999999999</v>
      </c>
    </row>
    <row r="777" spans="1:9" x14ac:dyDescent="0.3">
      <c r="A777" t="s">
        <v>9</v>
      </c>
      <c r="B777" t="s">
        <v>875</v>
      </c>
      <c r="C777">
        <v>2</v>
      </c>
      <c r="D777">
        <v>5.2499999999999998E-2</v>
      </c>
      <c r="E777">
        <v>9.4561944054757401</v>
      </c>
      <c r="F777">
        <v>1037.3928490796479</v>
      </c>
      <c r="G777">
        <v>0.42399999999999999</v>
      </c>
      <c r="H777">
        <v>5.3800000000000001E-2</v>
      </c>
      <c r="I777">
        <v>208.99959999999999</v>
      </c>
    </row>
    <row r="778" spans="1:9" x14ac:dyDescent="0.3">
      <c r="A778" t="s">
        <v>9</v>
      </c>
      <c r="B778" t="s">
        <v>876</v>
      </c>
      <c r="C778">
        <v>2</v>
      </c>
      <c r="D778">
        <v>5.62E-2</v>
      </c>
      <c r="E778">
        <v>9.6630899103518004</v>
      </c>
      <c r="F778">
        <v>1057.027232492386</v>
      </c>
      <c r="G778">
        <v>0.42399999999999999</v>
      </c>
      <c r="H778">
        <v>5.7000000000000002E-2</v>
      </c>
      <c r="I778">
        <v>209.19980000000001</v>
      </c>
    </row>
    <row r="779" spans="1:9" x14ac:dyDescent="0.3">
      <c r="A779" t="s">
        <v>9</v>
      </c>
      <c r="B779" t="s">
        <v>877</v>
      </c>
      <c r="C779">
        <v>2</v>
      </c>
      <c r="D779">
        <v>5.8999999999999997E-2</v>
      </c>
      <c r="E779">
        <v>9.8294132010450781</v>
      </c>
      <c r="F779">
        <v>1072.811312779178</v>
      </c>
      <c r="G779">
        <v>0.42399999999999999</v>
      </c>
      <c r="H779">
        <v>5.96E-2</v>
      </c>
      <c r="I779">
        <v>209.3999</v>
      </c>
    </row>
    <row r="780" spans="1:9" x14ac:dyDescent="0.3">
      <c r="A780" t="s">
        <v>9</v>
      </c>
      <c r="B780" t="s">
        <v>878</v>
      </c>
      <c r="C780">
        <v>2</v>
      </c>
      <c r="D780">
        <v>6.1600000000000002E-2</v>
      </c>
      <c r="E780">
        <v>9.9509226480402049</v>
      </c>
      <c r="F780">
        <v>1084.3425592990161</v>
      </c>
      <c r="G780">
        <v>0.42399999999999999</v>
      </c>
      <c r="H780">
        <v>6.1499999999999999E-2</v>
      </c>
      <c r="I780">
        <v>209.5994</v>
      </c>
    </row>
    <row r="781" spans="1:9" x14ac:dyDescent="0.3">
      <c r="A781" t="s">
        <v>9</v>
      </c>
      <c r="B781" t="s">
        <v>879</v>
      </c>
      <c r="C781">
        <v>2</v>
      </c>
      <c r="D781">
        <v>6.5199999999999994E-2</v>
      </c>
      <c r="E781">
        <v>10.025640365018869</v>
      </c>
      <c r="F781">
        <v>1091.4332706402899</v>
      </c>
      <c r="G781">
        <v>0.42399999999999999</v>
      </c>
      <c r="H781">
        <v>6.2600000000000003E-2</v>
      </c>
      <c r="I781">
        <v>209.8006</v>
      </c>
    </row>
    <row r="782" spans="1:9" x14ac:dyDescent="0.3">
      <c r="A782" t="s">
        <v>9</v>
      </c>
      <c r="B782" t="s">
        <v>880</v>
      </c>
      <c r="C782">
        <v>2</v>
      </c>
      <c r="D782">
        <v>6.59E-2</v>
      </c>
      <c r="E782">
        <v>10.05044098344035</v>
      </c>
      <c r="F782">
        <v>1093.7868493284891</v>
      </c>
      <c r="G782">
        <v>0.42399999999999999</v>
      </c>
      <c r="H782">
        <v>6.3E-2</v>
      </c>
      <c r="I782">
        <v>210.0001</v>
      </c>
    </row>
    <row r="783" spans="1:9" x14ac:dyDescent="0.3">
      <c r="A783" t="s">
        <v>9</v>
      </c>
      <c r="B783" t="s">
        <v>881</v>
      </c>
      <c r="C783">
        <v>2</v>
      </c>
      <c r="D783">
        <v>6.6000000000000003E-2</v>
      </c>
      <c r="E783">
        <v>10.025319637655651</v>
      </c>
      <c r="F783">
        <v>982.35979022950619</v>
      </c>
      <c r="G783">
        <v>0.42399999999999999</v>
      </c>
      <c r="H783">
        <v>6.2600000000000003E-2</v>
      </c>
      <c r="I783">
        <v>210.20060000000001</v>
      </c>
    </row>
    <row r="784" spans="1:9" x14ac:dyDescent="0.3">
      <c r="A784" t="s">
        <v>9</v>
      </c>
      <c r="B784" t="s">
        <v>882</v>
      </c>
      <c r="C784">
        <v>2</v>
      </c>
      <c r="D784">
        <v>6.3100000000000003E-2</v>
      </c>
      <c r="E784">
        <v>9.664138052240455</v>
      </c>
      <c r="F784">
        <v>948.69766646881044</v>
      </c>
      <c r="G784">
        <v>0.42399999999999999</v>
      </c>
      <c r="H784">
        <v>5.7000000000000002E-2</v>
      </c>
      <c r="I784">
        <v>210.79900000000001</v>
      </c>
    </row>
    <row r="785" spans="1:9" x14ac:dyDescent="0.3">
      <c r="A785" t="s">
        <v>9</v>
      </c>
      <c r="B785" t="s">
        <v>883</v>
      </c>
      <c r="C785">
        <v>2</v>
      </c>
      <c r="D785">
        <v>5.9299999999999999E-2</v>
      </c>
      <c r="E785">
        <v>9.4575871975018639</v>
      </c>
      <c r="F785">
        <v>929.44712680717373</v>
      </c>
      <c r="G785">
        <v>0.42399999999999999</v>
      </c>
      <c r="H785">
        <v>5.3800000000000001E-2</v>
      </c>
      <c r="I785">
        <v>210.9992</v>
      </c>
    </row>
    <row r="786" spans="1:9" x14ac:dyDescent="0.3">
      <c r="A786" t="s">
        <v>9</v>
      </c>
      <c r="B786" t="s">
        <v>884</v>
      </c>
      <c r="C786">
        <v>2</v>
      </c>
      <c r="D786">
        <v>5.5500000000000001E-2</v>
      </c>
      <c r="E786">
        <v>9.2147503598783427</v>
      </c>
      <c r="F786">
        <v>906.81473354066156</v>
      </c>
      <c r="G786">
        <v>0.42399999999999999</v>
      </c>
      <c r="H786">
        <v>0.05</v>
      </c>
      <c r="I786">
        <v>211.2</v>
      </c>
    </row>
    <row r="787" spans="1:9" x14ac:dyDescent="0.3">
      <c r="A787" t="s">
        <v>9</v>
      </c>
      <c r="B787" t="s">
        <v>885</v>
      </c>
      <c r="C787">
        <v>2</v>
      </c>
      <c r="D787">
        <v>5.11E-2</v>
      </c>
      <c r="E787">
        <v>8.9458823001072059</v>
      </c>
      <c r="F787">
        <v>881.75623036999161</v>
      </c>
      <c r="G787">
        <v>0.42399999999999999</v>
      </c>
      <c r="H787">
        <v>4.58E-2</v>
      </c>
      <c r="I787">
        <v>211.39830000000001</v>
      </c>
    </row>
    <row r="788" spans="1:9" x14ac:dyDescent="0.3">
      <c r="A788" t="s">
        <v>9</v>
      </c>
      <c r="B788" t="s">
        <v>886</v>
      </c>
      <c r="C788">
        <v>2</v>
      </c>
      <c r="D788">
        <v>4.5900000000000003E-2</v>
      </c>
      <c r="E788">
        <v>8.6489949951013809</v>
      </c>
      <c r="F788">
        <v>854.08633354344875</v>
      </c>
      <c r="G788">
        <v>0.42399999999999999</v>
      </c>
      <c r="H788">
        <v>4.1200000000000001E-2</v>
      </c>
      <c r="I788">
        <v>211.60040000000001</v>
      </c>
    </row>
    <row r="789" spans="1:9" x14ac:dyDescent="0.3">
      <c r="A789" t="s">
        <v>9</v>
      </c>
      <c r="B789" t="s">
        <v>887</v>
      </c>
      <c r="C789">
        <v>2</v>
      </c>
      <c r="D789">
        <v>4.1500000000000002E-2</v>
      </c>
      <c r="E789">
        <v>8.3414782743852793</v>
      </c>
      <c r="F789">
        <v>825.42577517270809</v>
      </c>
      <c r="G789">
        <v>0.42399999999999999</v>
      </c>
      <c r="H789">
        <v>3.6400000000000002E-2</v>
      </c>
      <c r="I789">
        <v>211.79920000000001</v>
      </c>
    </row>
    <row r="790" spans="1:9" x14ac:dyDescent="0.3">
      <c r="A790" t="s">
        <v>9</v>
      </c>
      <c r="B790" t="s">
        <v>888</v>
      </c>
      <c r="C790">
        <v>2</v>
      </c>
      <c r="D790">
        <v>3.6700000000000003E-2</v>
      </c>
      <c r="E790">
        <v>8.0251308062057376</v>
      </c>
      <c r="F790">
        <v>795.94219113837482</v>
      </c>
      <c r="G790">
        <v>0.42399999999999999</v>
      </c>
      <c r="H790">
        <v>3.15E-2</v>
      </c>
      <c r="I790">
        <v>211.99870000000001</v>
      </c>
    </row>
    <row r="791" spans="1:9" x14ac:dyDescent="0.3">
      <c r="A791" t="s">
        <v>9</v>
      </c>
      <c r="B791" t="s">
        <v>889</v>
      </c>
      <c r="C791">
        <v>2</v>
      </c>
      <c r="D791">
        <v>3.1899999999999998E-2</v>
      </c>
      <c r="E791">
        <v>7.7088551063489366</v>
      </c>
      <c r="F791">
        <v>766.465295911721</v>
      </c>
      <c r="G791">
        <v>0.42399999999999999</v>
      </c>
      <c r="H791">
        <v>2.6599999999999999E-2</v>
      </c>
      <c r="I791">
        <v>212.19810000000001</v>
      </c>
    </row>
    <row r="792" spans="1:9" x14ac:dyDescent="0.3">
      <c r="A792" t="s">
        <v>9</v>
      </c>
      <c r="B792" t="s">
        <v>890</v>
      </c>
      <c r="C792">
        <v>2</v>
      </c>
      <c r="D792">
        <v>2.7E-2</v>
      </c>
      <c r="E792">
        <v>7.3965943778582721</v>
      </c>
      <c r="F792">
        <v>737.36259601639097</v>
      </c>
      <c r="G792">
        <v>0.42399999999999999</v>
      </c>
      <c r="H792">
        <v>2.18E-2</v>
      </c>
      <c r="I792">
        <v>212.4</v>
      </c>
    </row>
    <row r="793" spans="1:9" x14ac:dyDescent="0.3">
      <c r="A793" t="s">
        <v>9</v>
      </c>
      <c r="B793" t="s">
        <v>891</v>
      </c>
      <c r="C793">
        <v>2</v>
      </c>
      <c r="D793">
        <v>2.1600000000000001E-2</v>
      </c>
      <c r="E793">
        <v>7.1042913251515287</v>
      </c>
      <c r="F793">
        <v>710.11995150412247</v>
      </c>
      <c r="G793">
        <v>0.42399999999999999</v>
      </c>
      <c r="H793">
        <v>1.72E-2</v>
      </c>
      <c r="I793">
        <v>212.59889999999999</v>
      </c>
    </row>
    <row r="794" spans="1:9" x14ac:dyDescent="0.3">
      <c r="A794" t="s">
        <v>9</v>
      </c>
      <c r="B794" t="s">
        <v>892</v>
      </c>
      <c r="C794">
        <v>2</v>
      </c>
      <c r="D794">
        <v>1.67E-2</v>
      </c>
      <c r="E794">
        <v>6.8334802495465672</v>
      </c>
      <c r="F794">
        <v>684.88035925774011</v>
      </c>
      <c r="G794">
        <v>0.42399999999999999</v>
      </c>
      <c r="H794">
        <v>1.2999999999999999E-2</v>
      </c>
      <c r="I794">
        <v>212.79839999999999</v>
      </c>
    </row>
    <row r="795" spans="1:9" x14ac:dyDescent="0.3">
      <c r="A795" t="s">
        <v>9</v>
      </c>
      <c r="B795" t="s">
        <v>893</v>
      </c>
      <c r="C795">
        <v>2</v>
      </c>
      <c r="D795">
        <v>1.17E-2</v>
      </c>
      <c r="E795">
        <v>6.5879117554805466</v>
      </c>
      <c r="F795">
        <v>661.99337561078698</v>
      </c>
      <c r="G795">
        <v>0.42399999999999999</v>
      </c>
      <c r="H795">
        <v>9.1999999999999998E-3</v>
      </c>
      <c r="I795">
        <v>213.00139999999999</v>
      </c>
    </row>
    <row r="796" spans="1:9" x14ac:dyDescent="0.3">
      <c r="A796" t="s">
        <v>9</v>
      </c>
      <c r="B796" t="s">
        <v>894</v>
      </c>
      <c r="C796">
        <v>2</v>
      </c>
      <c r="D796">
        <v>7.4999999999999997E-3</v>
      </c>
      <c r="E796">
        <v>6.3838746977504979</v>
      </c>
      <c r="F796">
        <v>642.97712183034639</v>
      </c>
      <c r="G796">
        <v>0.42399999999999999</v>
      </c>
      <c r="H796">
        <v>6.0000000000000001E-3</v>
      </c>
      <c r="I796">
        <v>213.19900000000001</v>
      </c>
    </row>
    <row r="797" spans="1:9" x14ac:dyDescent="0.3">
      <c r="A797" t="s">
        <v>9</v>
      </c>
      <c r="B797" t="s">
        <v>895</v>
      </c>
      <c r="C797">
        <v>2</v>
      </c>
      <c r="D797">
        <v>3.5000000000000001E-3</v>
      </c>
      <c r="E797">
        <v>6.2169919385164247</v>
      </c>
      <c r="F797">
        <v>627.42364866973082</v>
      </c>
      <c r="G797">
        <v>0.42399999999999999</v>
      </c>
      <c r="H797">
        <v>3.3999999999999998E-3</v>
      </c>
      <c r="I797">
        <v>213.39959999999999</v>
      </c>
    </row>
    <row r="798" spans="1:9" x14ac:dyDescent="0.3">
      <c r="A798" t="s">
        <v>9</v>
      </c>
      <c r="B798" t="s">
        <v>896</v>
      </c>
      <c r="C798">
        <v>2</v>
      </c>
      <c r="D798">
        <v>8.9999999999999998E-4</v>
      </c>
      <c r="E798">
        <v>6.0958695944462873</v>
      </c>
      <c r="F798">
        <v>616.13504620239394</v>
      </c>
      <c r="G798">
        <v>0.42399999999999999</v>
      </c>
      <c r="H798">
        <v>1.6000000000000001E-3</v>
      </c>
      <c r="I798">
        <v>213.59809999999999</v>
      </c>
    </row>
    <row r="799" spans="1:9" x14ac:dyDescent="0.3">
      <c r="A799" t="s">
        <v>9</v>
      </c>
      <c r="B799" t="s">
        <v>897</v>
      </c>
      <c r="C799">
        <v>2</v>
      </c>
      <c r="D799">
        <v>-1.4E-3</v>
      </c>
      <c r="E799">
        <v>6.0208991962056642</v>
      </c>
      <c r="F799">
        <v>609.14780508636795</v>
      </c>
      <c r="G799">
        <v>0.42399999999999999</v>
      </c>
      <c r="H799">
        <v>4.0000000000000002E-4</v>
      </c>
      <c r="I799">
        <v>213.79920000000001</v>
      </c>
    </row>
    <row r="800" spans="1:9" x14ac:dyDescent="0.3">
      <c r="A800" t="s">
        <v>9</v>
      </c>
      <c r="B800" t="s">
        <v>898</v>
      </c>
      <c r="C800">
        <v>2</v>
      </c>
      <c r="D800">
        <v>-2.5000000000000001E-3</v>
      </c>
      <c r="E800">
        <v>5.9957366256437776</v>
      </c>
      <c r="F800">
        <v>606.80265351000014</v>
      </c>
      <c r="G800">
        <v>0.42399999999999999</v>
      </c>
      <c r="H800">
        <v>0</v>
      </c>
      <c r="I800">
        <v>214.00229999999999</v>
      </c>
    </row>
    <row r="801" spans="1:9" x14ac:dyDescent="0.3">
      <c r="A801" t="s">
        <v>9</v>
      </c>
      <c r="B801" t="s">
        <v>899</v>
      </c>
      <c r="C801">
        <v>2</v>
      </c>
      <c r="D801">
        <v>-3.0999999999999999E-3</v>
      </c>
      <c r="E801">
        <v>6.0202784448157161</v>
      </c>
      <c r="F801">
        <v>711.32442441301146</v>
      </c>
      <c r="G801">
        <v>0.42399999999999999</v>
      </c>
      <c r="H801">
        <v>4.0000000000000002E-4</v>
      </c>
      <c r="I801">
        <v>214.19829999999999</v>
      </c>
    </row>
    <row r="802" spans="1:9" x14ac:dyDescent="0.3">
      <c r="A802" t="s">
        <v>9</v>
      </c>
      <c r="B802" t="s">
        <v>900</v>
      </c>
      <c r="C802">
        <v>2</v>
      </c>
      <c r="D802">
        <v>-1.1999999999999999E-3</v>
      </c>
      <c r="E802">
        <v>6.0949735851830189</v>
      </c>
      <c r="F802">
        <v>718.41299323386852</v>
      </c>
      <c r="G802">
        <v>0.42399999999999999</v>
      </c>
      <c r="H802">
        <v>1.5E-3</v>
      </c>
      <c r="I802">
        <v>214.4</v>
      </c>
    </row>
    <row r="803" spans="1:9" x14ac:dyDescent="0.3">
      <c r="A803" t="s">
        <v>9</v>
      </c>
      <c r="B803" t="s">
        <v>901</v>
      </c>
      <c r="C803">
        <v>2</v>
      </c>
      <c r="D803">
        <v>2.2000000000000001E-3</v>
      </c>
      <c r="E803">
        <v>6.2163105449211118</v>
      </c>
      <c r="F803">
        <v>729.92787071301359</v>
      </c>
      <c r="G803">
        <v>0.42399999999999999</v>
      </c>
      <c r="H803">
        <v>3.3999999999999998E-3</v>
      </c>
      <c r="I803">
        <v>214.59950000000001</v>
      </c>
    </row>
    <row r="804" spans="1:9" x14ac:dyDescent="0.3">
      <c r="A804" t="s">
        <v>9</v>
      </c>
      <c r="B804" t="s">
        <v>902</v>
      </c>
      <c r="C804">
        <v>2</v>
      </c>
      <c r="D804">
        <v>3.8999999999999998E-3</v>
      </c>
      <c r="E804">
        <v>6.3818470196240851</v>
      </c>
      <c r="F804">
        <v>745.63728216232573</v>
      </c>
      <c r="G804">
        <v>0.42399999999999999</v>
      </c>
      <c r="H804">
        <v>6.0000000000000001E-3</v>
      </c>
      <c r="I804">
        <v>214.7988</v>
      </c>
    </row>
    <row r="805" spans="1:9" x14ac:dyDescent="0.3">
      <c r="A805" t="s">
        <v>9</v>
      </c>
      <c r="B805" t="s">
        <v>903</v>
      </c>
      <c r="C805">
        <v>2</v>
      </c>
      <c r="D805">
        <v>7.0000000000000001E-3</v>
      </c>
      <c r="E805">
        <v>6.5872451615676084</v>
      </c>
      <c r="F805">
        <v>765.12956583276605</v>
      </c>
      <c r="G805">
        <v>0.42399999999999999</v>
      </c>
      <c r="H805">
        <v>9.1999999999999998E-3</v>
      </c>
      <c r="I805">
        <v>214.99799999999999</v>
      </c>
    </row>
    <row r="806" spans="1:9" x14ac:dyDescent="0.3">
      <c r="A806" t="s">
        <v>9</v>
      </c>
      <c r="B806" t="s">
        <v>904</v>
      </c>
      <c r="C806">
        <v>2</v>
      </c>
      <c r="D806">
        <v>1.0200000000000001E-2</v>
      </c>
      <c r="E806">
        <v>6.8316142731552389</v>
      </c>
      <c r="F806">
        <v>788.32019452243219</v>
      </c>
      <c r="G806">
        <v>0.42399999999999999</v>
      </c>
      <c r="H806">
        <v>1.2999999999999999E-2</v>
      </c>
      <c r="I806">
        <v>215.20009999999999</v>
      </c>
    </row>
    <row r="807" spans="1:9" x14ac:dyDescent="0.3">
      <c r="A807" t="s">
        <v>9</v>
      </c>
      <c r="B807" t="s">
        <v>905</v>
      </c>
      <c r="C807">
        <v>2</v>
      </c>
      <c r="D807">
        <v>1.37E-2</v>
      </c>
      <c r="E807">
        <v>7.1002256699416506</v>
      </c>
      <c r="F807">
        <v>813.8114160774627</v>
      </c>
      <c r="G807">
        <v>0.42399999999999999</v>
      </c>
      <c r="H807">
        <v>1.72E-2</v>
      </c>
      <c r="I807">
        <v>215.39830000000001</v>
      </c>
    </row>
    <row r="808" spans="1:9" x14ac:dyDescent="0.3">
      <c r="A808" t="s">
        <v>9</v>
      </c>
      <c r="B808" t="s">
        <v>906</v>
      </c>
      <c r="C808">
        <v>3</v>
      </c>
      <c r="D808">
        <v>1.8200000000000001E-2</v>
      </c>
      <c r="E808">
        <v>7.3942260232077386</v>
      </c>
      <c r="F808">
        <v>841.71204960241448</v>
      </c>
      <c r="G808">
        <v>0.42399999999999999</v>
      </c>
      <c r="H808">
        <v>2.1700000000000001E-2</v>
      </c>
      <c r="I808">
        <v>215.5984</v>
      </c>
    </row>
    <row r="809" spans="1:9" x14ac:dyDescent="0.3">
      <c r="A809" t="s">
        <v>9</v>
      </c>
      <c r="B809" t="s">
        <v>907</v>
      </c>
      <c r="C809">
        <v>3</v>
      </c>
      <c r="D809">
        <v>2.3E-2</v>
      </c>
      <c r="E809">
        <v>7.7063943043674126</v>
      </c>
      <c r="F809">
        <v>871.33681948446758</v>
      </c>
      <c r="G809">
        <v>0.42399999999999999</v>
      </c>
      <c r="H809">
        <v>2.6599999999999999E-2</v>
      </c>
      <c r="I809">
        <v>215.80029999999999</v>
      </c>
    </row>
    <row r="810" spans="1:9" x14ac:dyDescent="0.3">
      <c r="A810" t="s">
        <v>9</v>
      </c>
      <c r="B810" t="s">
        <v>908</v>
      </c>
      <c r="C810">
        <v>3</v>
      </c>
      <c r="D810">
        <v>2.7900000000000001E-2</v>
      </c>
      <c r="E810">
        <v>8.027311022428286</v>
      </c>
      <c r="F810">
        <v>901.79181602844437</v>
      </c>
      <c r="G810">
        <v>0.42399999999999999</v>
      </c>
      <c r="H810">
        <v>3.1600000000000003E-2</v>
      </c>
      <c r="I810">
        <v>216.0026</v>
      </c>
    </row>
    <row r="811" spans="1:9" x14ac:dyDescent="0.3">
      <c r="A811" t="s">
        <v>9</v>
      </c>
      <c r="B811" t="s">
        <v>909</v>
      </c>
      <c r="C811">
        <v>3</v>
      </c>
      <c r="D811">
        <v>3.2899999999999999E-2</v>
      </c>
      <c r="E811">
        <v>8.3384984698438025</v>
      </c>
      <c r="F811">
        <v>931.32350478817693</v>
      </c>
      <c r="G811">
        <v>0.42399999999999999</v>
      </c>
      <c r="H811">
        <v>3.6400000000000002E-2</v>
      </c>
      <c r="I811">
        <v>216.19890000000001</v>
      </c>
    </row>
    <row r="812" spans="1:9" x14ac:dyDescent="0.3">
      <c r="A812" t="s">
        <v>9</v>
      </c>
      <c r="B812" t="s">
        <v>910</v>
      </c>
      <c r="C812">
        <v>3</v>
      </c>
      <c r="D812">
        <v>3.8199999999999998E-2</v>
      </c>
      <c r="E812">
        <v>8.6499502841882929</v>
      </c>
      <c r="F812">
        <v>960.88028196946902</v>
      </c>
      <c r="G812">
        <v>0.42399999999999999</v>
      </c>
      <c r="H812">
        <v>4.1200000000000001E-2</v>
      </c>
      <c r="I812">
        <v>216.40020000000001</v>
      </c>
    </row>
    <row r="813" spans="1:9" x14ac:dyDescent="0.3">
      <c r="A813" t="s">
        <v>9</v>
      </c>
      <c r="B813" t="s">
        <v>911</v>
      </c>
      <c r="C813">
        <v>3</v>
      </c>
      <c r="D813">
        <v>4.2700000000000002E-2</v>
      </c>
      <c r="E813">
        <v>8.941595663338596</v>
      </c>
      <c r="F813">
        <v>988.55742845083284</v>
      </c>
      <c r="G813">
        <v>0.42399999999999999</v>
      </c>
      <c r="H813">
        <v>4.58E-2</v>
      </c>
      <c r="I813">
        <v>216.59870000000001</v>
      </c>
    </row>
    <row r="814" spans="1:9" x14ac:dyDescent="0.3">
      <c r="A814" t="s">
        <v>9</v>
      </c>
      <c r="B814" t="s">
        <v>912</v>
      </c>
      <c r="C814">
        <v>3</v>
      </c>
      <c r="D814">
        <v>4.7899999999999998E-2</v>
      </c>
      <c r="E814">
        <v>9.2137358720619336</v>
      </c>
      <c r="F814">
        <v>1014.383534258678</v>
      </c>
      <c r="G814">
        <v>0.42399999999999999</v>
      </c>
      <c r="H814">
        <v>0.05</v>
      </c>
      <c r="I814">
        <v>216.79920000000001</v>
      </c>
    </row>
    <row r="815" spans="1:9" x14ac:dyDescent="0.3">
      <c r="A815" t="s">
        <v>9</v>
      </c>
      <c r="B815" t="s">
        <v>913</v>
      </c>
      <c r="C815">
        <v>3</v>
      </c>
      <c r="D815">
        <v>5.2699999999999997E-2</v>
      </c>
      <c r="E815">
        <v>8.3033226658722725</v>
      </c>
      <c r="F815">
        <v>821.86967245929577</v>
      </c>
      <c r="G815">
        <v>0.42399999999999999</v>
      </c>
      <c r="H815">
        <v>3.5900000000000001E-2</v>
      </c>
      <c r="I815">
        <v>217.00040000000001</v>
      </c>
    </row>
    <row r="816" spans="1:9" x14ac:dyDescent="0.3">
      <c r="A816" t="s">
        <v>9</v>
      </c>
      <c r="B816" t="s">
        <v>914</v>
      </c>
      <c r="C816">
        <v>3</v>
      </c>
      <c r="D816">
        <v>4.58E-2</v>
      </c>
      <c r="E816">
        <v>5.9957334838115024</v>
      </c>
      <c r="F816">
        <v>606.80236069123202</v>
      </c>
      <c r="G816">
        <v>0.42399999999999999</v>
      </c>
      <c r="H816">
        <v>0</v>
      </c>
      <c r="I816">
        <v>217.19929999999999</v>
      </c>
    </row>
    <row r="817" spans="1:9" x14ac:dyDescent="0.3">
      <c r="A817" t="s">
        <v>9</v>
      </c>
      <c r="B817" t="s">
        <v>915</v>
      </c>
      <c r="C817">
        <v>3</v>
      </c>
      <c r="D817">
        <v>3.1800000000000002E-2</v>
      </c>
      <c r="E817">
        <v>5.9957334838115024</v>
      </c>
      <c r="F817">
        <v>606.80236069123202</v>
      </c>
      <c r="G817">
        <v>0.42399999999999999</v>
      </c>
      <c r="H817">
        <v>0</v>
      </c>
      <c r="I817">
        <v>217.3981</v>
      </c>
    </row>
    <row r="818" spans="1:9" x14ac:dyDescent="0.3">
      <c r="A818" t="s">
        <v>9</v>
      </c>
      <c r="B818" t="s">
        <v>916</v>
      </c>
      <c r="C818">
        <v>3</v>
      </c>
      <c r="D818">
        <v>1.5900000000000001E-2</v>
      </c>
      <c r="E818">
        <v>5.9957334838115024</v>
      </c>
      <c r="F818">
        <v>606.80236069123202</v>
      </c>
      <c r="G818">
        <v>0.42399999999999999</v>
      </c>
      <c r="H818">
        <v>0</v>
      </c>
      <c r="I818">
        <v>217.59880000000001</v>
      </c>
    </row>
    <row r="819" spans="1:9" x14ac:dyDescent="0.3">
      <c r="A819" t="s">
        <v>9</v>
      </c>
      <c r="B819" t="s">
        <v>917</v>
      </c>
      <c r="C819">
        <v>3</v>
      </c>
      <c r="D819">
        <v>3.2000000000000002E-3</v>
      </c>
      <c r="E819">
        <v>5.9957334838115024</v>
      </c>
      <c r="F819">
        <v>606.80236069123202</v>
      </c>
      <c r="G819">
        <v>0.42399999999999999</v>
      </c>
      <c r="H819">
        <v>0</v>
      </c>
      <c r="I819">
        <v>217.8</v>
      </c>
    </row>
    <row r="820" spans="1:9" x14ac:dyDescent="0.3">
      <c r="A820" t="s">
        <v>9</v>
      </c>
      <c r="B820" t="s">
        <v>918</v>
      </c>
      <c r="C820">
        <v>3</v>
      </c>
      <c r="D820">
        <v>-2.3999999999999998E-3</v>
      </c>
      <c r="E820">
        <v>5.9957334838115024</v>
      </c>
      <c r="F820">
        <v>606.80236069123202</v>
      </c>
      <c r="G820">
        <v>0.42399999999999999</v>
      </c>
      <c r="H820">
        <v>0</v>
      </c>
      <c r="I820">
        <v>217.99789999999999</v>
      </c>
    </row>
    <row r="821" spans="1:9" x14ac:dyDescent="0.3">
      <c r="A821" t="s">
        <v>9</v>
      </c>
      <c r="B821" t="s">
        <v>919</v>
      </c>
      <c r="C821">
        <v>3</v>
      </c>
      <c r="D821">
        <v>-3.0999999999999999E-3</v>
      </c>
      <c r="E821">
        <v>5.9957334838115024</v>
      </c>
      <c r="F821">
        <v>606.80236069123202</v>
      </c>
      <c r="G821">
        <v>0.42399999999999999</v>
      </c>
      <c r="H821">
        <v>0</v>
      </c>
      <c r="I821">
        <v>218.19829999999999</v>
      </c>
    </row>
    <row r="822" spans="1:9" x14ac:dyDescent="0.3">
      <c r="A822" t="s">
        <v>9</v>
      </c>
      <c r="B822" t="s">
        <v>920</v>
      </c>
      <c r="C822">
        <v>3</v>
      </c>
      <c r="D822">
        <v>-3.0999999999999999E-3</v>
      </c>
      <c r="E822">
        <v>5.9957334838115024</v>
      </c>
      <c r="F822">
        <v>606.80236069123202</v>
      </c>
      <c r="G822">
        <v>0.42399999999999999</v>
      </c>
      <c r="H822">
        <v>0</v>
      </c>
      <c r="I822">
        <v>218.40010000000001</v>
      </c>
    </row>
    <row r="823" spans="1:9" x14ac:dyDescent="0.3">
      <c r="A823" t="s">
        <v>9</v>
      </c>
      <c r="B823" t="s">
        <v>921</v>
      </c>
      <c r="C823">
        <v>3</v>
      </c>
      <c r="D823">
        <v>-3.0999999999999999E-3</v>
      </c>
      <c r="E823">
        <v>5.9957334838115024</v>
      </c>
      <c r="F823">
        <v>606.80236069123202</v>
      </c>
      <c r="G823">
        <v>0.42399999999999999</v>
      </c>
      <c r="H823">
        <v>0</v>
      </c>
      <c r="I823">
        <v>218.60040000000001</v>
      </c>
    </row>
    <row r="824" spans="1:9" x14ac:dyDescent="0.3">
      <c r="A824" t="s">
        <v>9</v>
      </c>
      <c r="B824" t="s">
        <v>922</v>
      </c>
      <c r="C824">
        <v>3</v>
      </c>
      <c r="D824">
        <v>-3.0999999999999999E-3</v>
      </c>
      <c r="E824">
        <v>5.9957334838115024</v>
      </c>
      <c r="F824">
        <v>606.80236069123202</v>
      </c>
      <c r="G824">
        <v>0.42399999999999999</v>
      </c>
      <c r="H824">
        <v>0</v>
      </c>
      <c r="I824">
        <v>218.79939999999999</v>
      </c>
    </row>
    <row r="825" spans="1:9" x14ac:dyDescent="0.3">
      <c r="A825" t="s">
        <v>9</v>
      </c>
      <c r="B825" t="s">
        <v>923</v>
      </c>
      <c r="C825">
        <v>3</v>
      </c>
      <c r="D825">
        <v>-3.0999999999999999E-3</v>
      </c>
      <c r="E825">
        <v>5.9957334838115024</v>
      </c>
      <c r="F825">
        <v>606.80236069123202</v>
      </c>
      <c r="G825">
        <v>0.42399999999999999</v>
      </c>
      <c r="H825">
        <v>0</v>
      </c>
      <c r="I825">
        <v>218.9992</v>
      </c>
    </row>
    <row r="826" spans="1:9" x14ac:dyDescent="0.3">
      <c r="A826" t="s">
        <v>9</v>
      </c>
      <c r="B826" t="s">
        <v>924</v>
      </c>
      <c r="C826">
        <v>3</v>
      </c>
      <c r="D826">
        <v>-3.0999999999999999E-3</v>
      </c>
      <c r="E826">
        <v>5.9957334838115024</v>
      </c>
      <c r="F826">
        <v>606.80236069123202</v>
      </c>
      <c r="G826">
        <v>0.42399999999999999</v>
      </c>
      <c r="H826">
        <v>0</v>
      </c>
      <c r="I826">
        <v>219.20079999999999</v>
      </c>
    </row>
    <row r="827" spans="1:9" x14ac:dyDescent="0.3">
      <c r="A827" t="s">
        <v>9</v>
      </c>
      <c r="B827" t="s">
        <v>925</v>
      </c>
      <c r="C827">
        <v>3</v>
      </c>
      <c r="D827">
        <v>-3.0999999999999999E-3</v>
      </c>
      <c r="E827">
        <v>5.9957334838115024</v>
      </c>
      <c r="F827">
        <v>606.80236069123202</v>
      </c>
      <c r="G827">
        <v>0.42399999999999999</v>
      </c>
      <c r="H827">
        <v>0</v>
      </c>
      <c r="I827">
        <v>219.39869999999999</v>
      </c>
    </row>
    <row r="828" spans="1:9" x14ac:dyDescent="0.3">
      <c r="A828" t="s">
        <v>9</v>
      </c>
      <c r="B828" t="s">
        <v>926</v>
      </c>
      <c r="C828">
        <v>3</v>
      </c>
      <c r="D828">
        <v>-3.0999999999999999E-3</v>
      </c>
      <c r="E828">
        <v>5.9957334838115024</v>
      </c>
      <c r="F828">
        <v>606.80236069123202</v>
      </c>
      <c r="G828">
        <v>0.42399999999999999</v>
      </c>
      <c r="H828">
        <v>0</v>
      </c>
      <c r="I828">
        <v>219.59829999999999</v>
      </c>
    </row>
    <row r="829" spans="1:9" x14ac:dyDescent="0.3">
      <c r="A829" t="s">
        <v>9</v>
      </c>
      <c r="B829" t="s">
        <v>927</v>
      </c>
      <c r="C829">
        <v>3</v>
      </c>
      <c r="D829">
        <v>-3.0999999999999999E-3</v>
      </c>
      <c r="E829">
        <v>5.9957334838115024</v>
      </c>
      <c r="F829">
        <v>606.80236069123202</v>
      </c>
      <c r="G829">
        <v>0.42399999999999999</v>
      </c>
      <c r="H829">
        <v>0</v>
      </c>
      <c r="I829">
        <v>219.79949999999999</v>
      </c>
    </row>
    <row r="830" spans="1:9" x14ac:dyDescent="0.3">
      <c r="A830" t="s">
        <v>9</v>
      </c>
      <c r="B830" t="s">
        <v>928</v>
      </c>
      <c r="C830">
        <v>3</v>
      </c>
      <c r="D830">
        <v>-3.0999999999999999E-3</v>
      </c>
      <c r="E830">
        <v>5.9957334838115024</v>
      </c>
      <c r="F830">
        <v>606.80236069123202</v>
      </c>
      <c r="G830">
        <v>0.42399999999999999</v>
      </c>
      <c r="H830">
        <v>0</v>
      </c>
      <c r="I830">
        <v>219.99969999999999</v>
      </c>
    </row>
    <row r="831" spans="1:9" x14ac:dyDescent="0.3">
      <c r="A831" t="s">
        <v>9</v>
      </c>
      <c r="B831" t="s">
        <v>929</v>
      </c>
      <c r="C831">
        <v>3</v>
      </c>
      <c r="D831">
        <v>-3.0999999999999999E-3</v>
      </c>
      <c r="E831">
        <v>5.9957334838115024</v>
      </c>
      <c r="F831">
        <v>606.80236069123202</v>
      </c>
      <c r="G831">
        <v>0.42399999999999999</v>
      </c>
      <c r="H831">
        <v>0</v>
      </c>
      <c r="I831">
        <v>220.19909999999999</v>
      </c>
    </row>
    <row r="832" spans="1:9" x14ac:dyDescent="0.3">
      <c r="A832" t="s">
        <v>9</v>
      </c>
      <c r="B832" t="s">
        <v>930</v>
      </c>
      <c r="C832">
        <v>3</v>
      </c>
      <c r="D832">
        <v>-3.0999999999999999E-3</v>
      </c>
      <c r="E832">
        <v>5.9957334838115024</v>
      </c>
      <c r="F832">
        <v>606.80236069123202</v>
      </c>
      <c r="G832">
        <v>0.42399999999999999</v>
      </c>
      <c r="H832">
        <v>0</v>
      </c>
      <c r="I832">
        <v>220.39949999999999</v>
      </c>
    </row>
    <row r="833" spans="1:9" x14ac:dyDescent="0.3">
      <c r="A833" t="s">
        <v>9</v>
      </c>
      <c r="B833" t="s">
        <v>931</v>
      </c>
      <c r="C833">
        <v>3</v>
      </c>
      <c r="D833">
        <v>-3.0999999999999999E-3</v>
      </c>
      <c r="E833">
        <v>5.9957334838115024</v>
      </c>
      <c r="F833">
        <v>606.80236069123202</v>
      </c>
      <c r="G833">
        <v>0.42399999999999999</v>
      </c>
      <c r="H833">
        <v>0</v>
      </c>
      <c r="I833">
        <v>220.59909999999999</v>
      </c>
    </row>
    <row r="834" spans="1:9" x14ac:dyDescent="0.3">
      <c r="A834" t="s">
        <v>9</v>
      </c>
      <c r="B834" t="s">
        <v>932</v>
      </c>
      <c r="C834">
        <v>3</v>
      </c>
      <c r="D834">
        <v>-3.0999999999999999E-3</v>
      </c>
      <c r="E834">
        <v>5.9957334838115024</v>
      </c>
      <c r="F834">
        <v>606.80236069123202</v>
      </c>
      <c r="G834">
        <v>0.42399999999999999</v>
      </c>
      <c r="H834">
        <v>0</v>
      </c>
      <c r="I834">
        <v>220.79810000000001</v>
      </c>
    </row>
    <row r="835" spans="1:9" x14ac:dyDescent="0.3">
      <c r="A835" t="s">
        <v>9</v>
      </c>
      <c r="B835" t="s">
        <v>933</v>
      </c>
      <c r="C835">
        <v>3</v>
      </c>
      <c r="D835">
        <v>-3.0999999999999999E-3</v>
      </c>
      <c r="E835">
        <v>5.9957334838115024</v>
      </c>
      <c r="F835">
        <v>606.80236069123202</v>
      </c>
      <c r="G835">
        <v>0.42399999999999999</v>
      </c>
      <c r="H835">
        <v>0</v>
      </c>
      <c r="I835">
        <v>220.99889999999999</v>
      </c>
    </row>
    <row r="836" spans="1:9" x14ac:dyDescent="0.3">
      <c r="A836" t="s">
        <v>9</v>
      </c>
      <c r="B836" t="s">
        <v>934</v>
      </c>
      <c r="C836">
        <v>3</v>
      </c>
      <c r="D836">
        <v>-3.0999999999999999E-3</v>
      </c>
      <c r="E836">
        <v>5.9957334838115024</v>
      </c>
      <c r="F836">
        <v>606.80236069123202</v>
      </c>
      <c r="G836">
        <v>0.42399999999999999</v>
      </c>
      <c r="H836">
        <v>0</v>
      </c>
      <c r="I836">
        <v>221.19900000000001</v>
      </c>
    </row>
    <row r="837" spans="1:9" x14ac:dyDescent="0.3">
      <c r="A837" t="s">
        <v>9</v>
      </c>
      <c r="B837" t="s">
        <v>935</v>
      </c>
      <c r="C837">
        <v>3</v>
      </c>
      <c r="D837">
        <v>-3.0999999999999999E-3</v>
      </c>
      <c r="E837">
        <v>5.9957334838115024</v>
      </c>
      <c r="F837">
        <v>606.80236069123202</v>
      </c>
      <c r="G837">
        <v>0.42399999999999999</v>
      </c>
      <c r="H837">
        <v>0</v>
      </c>
      <c r="I837">
        <v>221.40100000000001</v>
      </c>
    </row>
    <row r="838" spans="1:9" x14ac:dyDescent="0.3">
      <c r="A838" t="s">
        <v>9</v>
      </c>
      <c r="B838" t="s">
        <v>936</v>
      </c>
      <c r="C838">
        <v>3</v>
      </c>
      <c r="D838">
        <v>-3.0999999999999999E-3</v>
      </c>
      <c r="E838">
        <v>5.9957334838115024</v>
      </c>
      <c r="F838">
        <v>606.80236069123202</v>
      </c>
      <c r="G838">
        <v>0.42399999999999999</v>
      </c>
      <c r="H838">
        <v>0</v>
      </c>
      <c r="I838">
        <v>221.601</v>
      </c>
    </row>
    <row r="839" spans="1:9" x14ac:dyDescent="0.3">
      <c r="A839" t="s">
        <v>9</v>
      </c>
      <c r="B839" t="s">
        <v>937</v>
      </c>
      <c r="C839">
        <v>3</v>
      </c>
      <c r="D839">
        <v>-3.0999999999999999E-3</v>
      </c>
      <c r="E839">
        <v>5.9957334838115024</v>
      </c>
      <c r="F839">
        <v>606.80236069123202</v>
      </c>
      <c r="G839">
        <v>0.42399999999999999</v>
      </c>
      <c r="H839">
        <v>0</v>
      </c>
      <c r="I839">
        <v>221.8</v>
      </c>
    </row>
    <row r="840" spans="1:9" x14ac:dyDescent="0.3">
      <c r="A840" t="s">
        <v>9</v>
      </c>
      <c r="B840" t="s">
        <v>938</v>
      </c>
      <c r="C840">
        <v>3</v>
      </c>
      <c r="D840">
        <v>-3.0999999999999999E-3</v>
      </c>
      <c r="E840">
        <v>5.9957334838115024</v>
      </c>
      <c r="F840">
        <v>606.80236069123202</v>
      </c>
      <c r="G840">
        <v>0.42399999999999999</v>
      </c>
      <c r="H840">
        <v>0</v>
      </c>
      <c r="I840">
        <v>221.99780000000001</v>
      </c>
    </row>
    <row r="841" spans="1:9" x14ac:dyDescent="0.3">
      <c r="A841" t="s">
        <v>9</v>
      </c>
      <c r="B841" t="s">
        <v>939</v>
      </c>
      <c r="C841">
        <v>3</v>
      </c>
      <c r="D841">
        <v>-3.0999999999999999E-3</v>
      </c>
      <c r="E841">
        <v>6.0204763794170173</v>
      </c>
      <c r="F841">
        <v>711.34320840667499</v>
      </c>
      <c r="G841">
        <v>0.42399999999999999</v>
      </c>
      <c r="H841">
        <v>4.0000000000000002E-4</v>
      </c>
      <c r="I841">
        <v>222.19909999999999</v>
      </c>
    </row>
    <row r="842" spans="1:9" x14ac:dyDescent="0.3">
      <c r="A842" t="s">
        <v>9</v>
      </c>
      <c r="B842" t="s">
        <v>940</v>
      </c>
      <c r="C842">
        <v>3</v>
      </c>
      <c r="D842">
        <v>-3.0999999999999999E-3</v>
      </c>
      <c r="E842">
        <v>6.0950802645373354</v>
      </c>
      <c r="F842">
        <v>718.42311710459308</v>
      </c>
      <c r="G842">
        <v>0.42399999999999999</v>
      </c>
      <c r="H842">
        <v>1.5E-3</v>
      </c>
      <c r="I842">
        <v>222.40020000000001</v>
      </c>
    </row>
    <row r="843" spans="1:9" x14ac:dyDescent="0.3">
      <c r="A843" t="s">
        <v>9</v>
      </c>
      <c r="B843" t="s">
        <v>941</v>
      </c>
      <c r="C843">
        <v>3</v>
      </c>
      <c r="D843">
        <v>-3.0000000000000001E-3</v>
      </c>
      <c r="E843">
        <v>6.217296082125972</v>
      </c>
      <c r="F843">
        <v>730.02139819375475</v>
      </c>
      <c r="G843">
        <v>0.42399999999999999</v>
      </c>
      <c r="H843">
        <v>3.3999999999999998E-3</v>
      </c>
      <c r="I843">
        <v>222.60079999999999</v>
      </c>
    </row>
    <row r="844" spans="1:9" x14ac:dyDescent="0.3">
      <c r="A844" t="s">
        <v>9</v>
      </c>
      <c r="B844" t="s">
        <v>942</v>
      </c>
      <c r="C844">
        <v>3</v>
      </c>
      <c r="D844">
        <v>2.2000000000000001E-3</v>
      </c>
      <c r="E844">
        <v>6.3820316710036176</v>
      </c>
      <c r="F844">
        <v>745.65480557824344</v>
      </c>
      <c r="G844">
        <v>0.42399999999999999</v>
      </c>
      <c r="H844">
        <v>6.0000000000000001E-3</v>
      </c>
      <c r="I844">
        <v>222.79900000000001</v>
      </c>
    </row>
    <row r="845" spans="1:9" x14ac:dyDescent="0.3">
      <c r="A845" t="s">
        <v>9</v>
      </c>
      <c r="B845" t="s">
        <v>943</v>
      </c>
      <c r="C845">
        <v>3</v>
      </c>
      <c r="D845">
        <v>7.0000000000000001E-3</v>
      </c>
      <c r="E845">
        <v>6.5898499056653694</v>
      </c>
      <c r="F845">
        <v>765.37675604764365</v>
      </c>
      <c r="G845">
        <v>0.42399999999999999</v>
      </c>
      <c r="H845">
        <v>9.1999999999999998E-3</v>
      </c>
      <c r="I845">
        <v>223.00030000000001</v>
      </c>
    </row>
    <row r="846" spans="1:9" x14ac:dyDescent="0.3">
      <c r="A846" t="s">
        <v>9</v>
      </c>
      <c r="B846" t="s">
        <v>944</v>
      </c>
      <c r="C846">
        <v>3</v>
      </c>
      <c r="D846">
        <v>1.03E-2</v>
      </c>
      <c r="E846">
        <v>6.8299919846846366</v>
      </c>
      <c r="F846">
        <v>788.16623934657207</v>
      </c>
      <c r="G846">
        <v>0.42399999999999999</v>
      </c>
      <c r="H846">
        <v>1.2999999999999999E-2</v>
      </c>
      <c r="I846">
        <v>223.19890000000001</v>
      </c>
    </row>
    <row r="847" spans="1:9" x14ac:dyDescent="0.3">
      <c r="A847" t="s">
        <v>9</v>
      </c>
      <c r="B847" t="s">
        <v>945</v>
      </c>
      <c r="C847">
        <v>3</v>
      </c>
      <c r="D847">
        <v>1.4200000000000001E-2</v>
      </c>
      <c r="E847">
        <v>7.1003404181638894</v>
      </c>
      <c r="F847">
        <v>813.82230568375314</v>
      </c>
      <c r="G847">
        <v>0.42399999999999999</v>
      </c>
      <c r="H847">
        <v>1.72E-2</v>
      </c>
      <c r="I847">
        <v>223.39830000000001</v>
      </c>
    </row>
    <row r="848" spans="1:9" x14ac:dyDescent="0.3">
      <c r="A848" t="s">
        <v>9</v>
      </c>
      <c r="B848" t="s">
        <v>946</v>
      </c>
      <c r="C848">
        <v>3</v>
      </c>
      <c r="D848">
        <v>1.8499999999999999E-2</v>
      </c>
      <c r="E848">
        <v>7.3934953649163049</v>
      </c>
      <c r="F848">
        <v>841.64271013055736</v>
      </c>
      <c r="G848">
        <v>0.42399999999999999</v>
      </c>
      <c r="H848">
        <v>2.1700000000000001E-2</v>
      </c>
      <c r="I848">
        <v>223.59790000000001</v>
      </c>
    </row>
    <row r="849" spans="1:9" x14ac:dyDescent="0.3">
      <c r="A849" t="s">
        <v>9</v>
      </c>
      <c r="B849" t="s">
        <v>947</v>
      </c>
      <c r="C849">
        <v>3</v>
      </c>
      <c r="D849">
        <v>2.3E-2</v>
      </c>
      <c r="E849">
        <v>7.7063995754871621</v>
      </c>
      <c r="F849">
        <v>871.33731971373174</v>
      </c>
      <c r="G849">
        <v>0.42399999999999999</v>
      </c>
      <c r="H849">
        <v>2.6599999999999999E-2</v>
      </c>
      <c r="I849">
        <v>223.80029999999999</v>
      </c>
    </row>
    <row r="850" spans="1:9" x14ac:dyDescent="0.3">
      <c r="A850" t="s">
        <v>9</v>
      </c>
      <c r="B850" t="s">
        <v>948</v>
      </c>
      <c r="C850">
        <v>3</v>
      </c>
      <c r="D850">
        <v>2.7699999999999999E-2</v>
      </c>
      <c r="E850">
        <v>8.0214689998628224</v>
      </c>
      <c r="F850">
        <v>901.23740808698187</v>
      </c>
      <c r="G850">
        <v>0.42399999999999999</v>
      </c>
      <c r="H850">
        <v>3.15E-2</v>
      </c>
      <c r="I850">
        <v>223.999</v>
      </c>
    </row>
    <row r="851" spans="1:9" x14ac:dyDescent="0.3">
      <c r="A851" t="s">
        <v>9</v>
      </c>
      <c r="B851" t="s">
        <v>949</v>
      </c>
      <c r="C851">
        <v>3</v>
      </c>
      <c r="D851">
        <v>3.3099999999999997E-2</v>
      </c>
      <c r="E851">
        <v>8.3388090604382743</v>
      </c>
      <c r="F851">
        <v>931.35297983559224</v>
      </c>
      <c r="G851">
        <v>0.42399999999999999</v>
      </c>
      <c r="H851">
        <v>3.6400000000000002E-2</v>
      </c>
      <c r="I851">
        <v>224.19909999999999</v>
      </c>
    </row>
    <row r="852" spans="1:9" x14ac:dyDescent="0.3">
      <c r="A852" t="s">
        <v>9</v>
      </c>
      <c r="B852" t="s">
        <v>950</v>
      </c>
      <c r="C852">
        <v>3</v>
      </c>
      <c r="D852">
        <v>3.7699999999999997E-2</v>
      </c>
      <c r="E852">
        <v>8.6471594290162965</v>
      </c>
      <c r="F852">
        <v>960.61542981364664</v>
      </c>
      <c r="G852">
        <v>0.42399999999999999</v>
      </c>
      <c r="H852">
        <v>4.1200000000000001E-2</v>
      </c>
      <c r="I852">
        <v>224.39840000000001</v>
      </c>
    </row>
    <row r="853" spans="1:9" x14ac:dyDescent="0.3">
      <c r="A853" t="s">
        <v>9</v>
      </c>
      <c r="B853" t="s">
        <v>951</v>
      </c>
      <c r="C853">
        <v>3</v>
      </c>
      <c r="D853">
        <v>4.2999999999999997E-2</v>
      </c>
      <c r="E853">
        <v>8.9421795412185432</v>
      </c>
      <c r="F853">
        <v>988.61283846163985</v>
      </c>
      <c r="G853">
        <v>0.42399999999999999</v>
      </c>
      <c r="H853">
        <v>4.58E-2</v>
      </c>
      <c r="I853">
        <v>224.59909999999999</v>
      </c>
    </row>
    <row r="854" spans="1:9" x14ac:dyDescent="0.3">
      <c r="A854" t="s">
        <v>9</v>
      </c>
      <c r="B854" t="s">
        <v>952</v>
      </c>
      <c r="C854">
        <v>3</v>
      </c>
      <c r="D854">
        <v>4.8000000000000001E-2</v>
      </c>
      <c r="E854">
        <v>9.2284139132105913</v>
      </c>
      <c r="F854">
        <v>1015.776480363685</v>
      </c>
      <c r="G854">
        <v>0.42399999999999999</v>
      </c>
      <c r="H854">
        <v>5.0200000000000002E-2</v>
      </c>
      <c r="I854">
        <v>224.8107</v>
      </c>
    </row>
    <row r="855" spans="1:9" x14ac:dyDescent="0.3">
      <c r="A855" t="s">
        <v>9</v>
      </c>
      <c r="B855" t="s">
        <v>953</v>
      </c>
      <c r="C855">
        <v>3</v>
      </c>
      <c r="D855">
        <v>5.2400000000000002E-2</v>
      </c>
      <c r="E855">
        <v>9.4555233513845529</v>
      </c>
      <c r="F855">
        <v>1037.329166046394</v>
      </c>
      <c r="G855">
        <v>0.42399999999999999</v>
      </c>
      <c r="H855">
        <v>5.3800000000000001E-2</v>
      </c>
      <c r="I855">
        <v>224.999</v>
      </c>
    </row>
    <row r="856" spans="1:9" x14ac:dyDescent="0.3">
      <c r="A856" t="s">
        <v>9</v>
      </c>
      <c r="B856" t="s">
        <v>954</v>
      </c>
      <c r="C856">
        <v>3</v>
      </c>
      <c r="D856">
        <v>5.6099999999999997E-2</v>
      </c>
      <c r="E856">
        <v>9.6617307723979273</v>
      </c>
      <c r="F856">
        <v>1056.8982503005629</v>
      </c>
      <c r="G856">
        <v>0.42399999999999999</v>
      </c>
      <c r="H856">
        <v>5.7000000000000002E-2</v>
      </c>
      <c r="I856">
        <v>225.19839999999999</v>
      </c>
    </row>
    <row r="857" spans="1:9" x14ac:dyDescent="0.3">
      <c r="A857" t="s">
        <v>9</v>
      </c>
      <c r="B857" t="s">
        <v>955</v>
      </c>
      <c r="C857">
        <v>3</v>
      </c>
      <c r="D857">
        <v>5.91E-2</v>
      </c>
      <c r="E857">
        <v>9.8283630318026738</v>
      </c>
      <c r="F857">
        <v>1072.7116517180741</v>
      </c>
      <c r="G857">
        <v>0.42399999999999999</v>
      </c>
      <c r="H857">
        <v>5.9499999999999997E-2</v>
      </c>
      <c r="I857">
        <v>225.39850000000001</v>
      </c>
    </row>
    <row r="858" spans="1:9" x14ac:dyDescent="0.3">
      <c r="A858" t="s">
        <v>9</v>
      </c>
      <c r="B858" t="s">
        <v>956</v>
      </c>
      <c r="C858">
        <v>3</v>
      </c>
      <c r="D858">
        <v>6.2100000000000002E-2</v>
      </c>
      <c r="E858">
        <v>9.9503983743605033</v>
      </c>
      <c r="F858">
        <v>1084.292805726812</v>
      </c>
      <c r="G858">
        <v>0.42399999999999999</v>
      </c>
      <c r="H858">
        <v>6.1400000000000003E-2</v>
      </c>
      <c r="I858">
        <v>225.59829999999999</v>
      </c>
    </row>
    <row r="859" spans="1:9" x14ac:dyDescent="0.3">
      <c r="A859" t="s">
        <v>9</v>
      </c>
      <c r="B859" t="s">
        <v>957</v>
      </c>
      <c r="C859">
        <v>3</v>
      </c>
      <c r="D859">
        <v>6.4899999999999999E-2</v>
      </c>
      <c r="E859">
        <v>10.02699342091149</v>
      </c>
      <c r="F859">
        <v>1091.5616756445011</v>
      </c>
      <c r="G859">
        <v>0.42399999999999999</v>
      </c>
      <c r="H859">
        <v>6.2600000000000003E-2</v>
      </c>
      <c r="I859">
        <v>225.80619999999999</v>
      </c>
    </row>
    <row r="860" spans="1:9" x14ac:dyDescent="0.3">
      <c r="A860" t="s">
        <v>9</v>
      </c>
      <c r="B860" t="s">
        <v>958</v>
      </c>
      <c r="C860">
        <v>3</v>
      </c>
      <c r="D860">
        <v>6.6000000000000003E-2</v>
      </c>
      <c r="E860">
        <v>10.05044057796959</v>
      </c>
      <c r="F860">
        <v>1093.786810849314</v>
      </c>
      <c r="G860">
        <v>0.42399999999999999</v>
      </c>
      <c r="H860">
        <v>6.3E-2</v>
      </c>
      <c r="I860">
        <v>225.99940000000001</v>
      </c>
    </row>
    <row r="861" spans="1:9" x14ac:dyDescent="0.3">
      <c r="A861" t="s">
        <v>9</v>
      </c>
      <c r="B861" t="s">
        <v>959</v>
      </c>
      <c r="C861">
        <v>3</v>
      </c>
      <c r="D861">
        <v>6.6000000000000003E-2</v>
      </c>
      <c r="E861">
        <v>10.0257916056086</v>
      </c>
      <c r="F861">
        <v>982.40377764272182</v>
      </c>
      <c r="G861">
        <v>0.42399999999999999</v>
      </c>
      <c r="H861">
        <v>6.2600000000000003E-2</v>
      </c>
      <c r="I861">
        <v>226.1987</v>
      </c>
    </row>
    <row r="862" spans="1:9" x14ac:dyDescent="0.3">
      <c r="A862" t="s">
        <v>9</v>
      </c>
      <c r="B862" t="s">
        <v>960</v>
      </c>
      <c r="C862">
        <v>3</v>
      </c>
      <c r="D862">
        <v>6.3899999999999998E-2</v>
      </c>
      <c r="E862">
        <v>9.9521378438778427</v>
      </c>
      <c r="F862">
        <v>975.53924704941494</v>
      </c>
      <c r="G862">
        <v>0.42399999999999999</v>
      </c>
      <c r="H862">
        <v>6.1499999999999999E-2</v>
      </c>
      <c r="I862">
        <v>226.3981</v>
      </c>
    </row>
    <row r="863" spans="1:9" x14ac:dyDescent="0.3">
      <c r="A863" t="s">
        <v>9</v>
      </c>
      <c r="B863" t="s">
        <v>961</v>
      </c>
      <c r="C863">
        <v>3</v>
      </c>
      <c r="D863">
        <v>6.2E-2</v>
      </c>
      <c r="E863">
        <v>9.8294886186045716</v>
      </c>
      <c r="F863">
        <v>964.10833925394604</v>
      </c>
      <c r="G863">
        <v>0.42399999999999999</v>
      </c>
      <c r="H863">
        <v>5.96E-2</v>
      </c>
      <c r="I863">
        <v>226.6</v>
      </c>
    </row>
    <row r="864" spans="1:9" x14ac:dyDescent="0.3">
      <c r="A864" t="s">
        <v>9</v>
      </c>
      <c r="B864" t="s">
        <v>962</v>
      </c>
      <c r="C864">
        <v>3</v>
      </c>
      <c r="D864">
        <v>6.0600000000000001E-2</v>
      </c>
      <c r="E864">
        <v>9.663841247651483</v>
      </c>
      <c r="F864">
        <v>948.67000428111828</v>
      </c>
      <c r="G864">
        <v>0.42399999999999999</v>
      </c>
      <c r="H864">
        <v>5.7000000000000002E-2</v>
      </c>
      <c r="I864">
        <v>226.79939999999999</v>
      </c>
    </row>
    <row r="865" spans="1:9" x14ac:dyDescent="0.3">
      <c r="A865" t="s">
        <v>9</v>
      </c>
      <c r="B865" t="s">
        <v>963</v>
      </c>
      <c r="C865">
        <v>3</v>
      </c>
      <c r="D865">
        <v>5.8799999999999998E-2</v>
      </c>
      <c r="E865">
        <v>9.4581045781788173</v>
      </c>
      <c r="F865">
        <v>929.49534668626575</v>
      </c>
      <c r="G865">
        <v>0.42399999999999999</v>
      </c>
      <c r="H865">
        <v>5.3800000000000001E-2</v>
      </c>
      <c r="I865">
        <v>226.99870000000001</v>
      </c>
    </row>
    <row r="866" spans="1:9" x14ac:dyDescent="0.3">
      <c r="A866" t="s">
        <v>9</v>
      </c>
      <c r="B866" t="s">
        <v>964</v>
      </c>
      <c r="C866">
        <v>3</v>
      </c>
      <c r="D866">
        <v>5.57E-2</v>
      </c>
      <c r="E866">
        <v>9.2156176618125123</v>
      </c>
      <c r="F866">
        <v>906.89556608092619</v>
      </c>
      <c r="G866">
        <v>0.42399999999999999</v>
      </c>
      <c r="H866">
        <v>0.05</v>
      </c>
      <c r="I866">
        <v>227.19929999999999</v>
      </c>
    </row>
    <row r="867" spans="1:9" x14ac:dyDescent="0.3">
      <c r="A867" t="s">
        <v>9</v>
      </c>
      <c r="B867" t="s">
        <v>965</v>
      </c>
      <c r="C867">
        <v>3</v>
      </c>
      <c r="D867">
        <v>5.0999999999999997E-2</v>
      </c>
      <c r="E867">
        <v>8.9434758312061735</v>
      </c>
      <c r="F867">
        <v>881.53194746841541</v>
      </c>
      <c r="G867">
        <v>0.42399999999999999</v>
      </c>
      <c r="H867">
        <v>4.58E-2</v>
      </c>
      <c r="I867">
        <v>227.4</v>
      </c>
    </row>
    <row r="868" spans="1:9" x14ac:dyDescent="0.3">
      <c r="A868" t="s">
        <v>9</v>
      </c>
      <c r="B868" t="s">
        <v>966</v>
      </c>
      <c r="C868">
        <v>3</v>
      </c>
      <c r="D868">
        <v>4.6300000000000001E-2</v>
      </c>
      <c r="E868">
        <v>8.6505734927309845</v>
      </c>
      <c r="F868">
        <v>854.23344952252774</v>
      </c>
      <c r="G868">
        <v>0.42399999999999999</v>
      </c>
      <c r="H868">
        <v>4.1200000000000001E-2</v>
      </c>
      <c r="I868">
        <v>227.5993</v>
      </c>
    </row>
    <row r="869" spans="1:9" x14ac:dyDescent="0.3">
      <c r="A869" t="s">
        <v>9</v>
      </c>
      <c r="B869" t="s">
        <v>967</v>
      </c>
      <c r="C869">
        <v>3</v>
      </c>
      <c r="D869">
        <v>4.1599999999999998E-2</v>
      </c>
      <c r="E869">
        <v>8.3429343198483963</v>
      </c>
      <c r="F869">
        <v>825.56147860987051</v>
      </c>
      <c r="G869">
        <v>0.42399999999999999</v>
      </c>
      <c r="H869">
        <v>3.6499999999999998E-2</v>
      </c>
      <c r="I869">
        <v>227.79830000000001</v>
      </c>
    </row>
    <row r="870" spans="1:9" x14ac:dyDescent="0.3">
      <c r="A870" t="s">
        <v>9</v>
      </c>
      <c r="B870" t="s">
        <v>968</v>
      </c>
      <c r="C870">
        <v>3</v>
      </c>
      <c r="D870">
        <v>3.6499999999999998E-2</v>
      </c>
      <c r="E870">
        <v>8.0260483865129029</v>
      </c>
      <c r="F870">
        <v>796.02770962300258</v>
      </c>
      <c r="G870">
        <v>0.42399999999999999</v>
      </c>
      <c r="H870">
        <v>3.15E-2</v>
      </c>
      <c r="I870">
        <v>227.99809999999999</v>
      </c>
    </row>
    <row r="871" spans="1:9" x14ac:dyDescent="0.3">
      <c r="A871" t="s">
        <v>9</v>
      </c>
      <c r="B871" t="s">
        <v>969</v>
      </c>
      <c r="C871">
        <v>3</v>
      </c>
      <c r="D871">
        <v>3.1699999999999999E-2</v>
      </c>
      <c r="E871">
        <v>7.7075308388795598</v>
      </c>
      <c r="F871">
        <v>766.34187418357499</v>
      </c>
      <c r="G871">
        <v>0.42399999999999999</v>
      </c>
      <c r="H871">
        <v>2.6599999999999999E-2</v>
      </c>
      <c r="I871">
        <v>228.19900000000001</v>
      </c>
    </row>
    <row r="872" spans="1:9" x14ac:dyDescent="0.3">
      <c r="A872" t="s">
        <v>9</v>
      </c>
      <c r="B872" t="s">
        <v>970</v>
      </c>
      <c r="C872">
        <v>3</v>
      </c>
      <c r="D872">
        <v>2.6700000000000002E-2</v>
      </c>
      <c r="E872">
        <v>7.3957315361023506</v>
      </c>
      <c r="F872">
        <v>737.28217916473909</v>
      </c>
      <c r="G872">
        <v>0.42399999999999999</v>
      </c>
      <c r="H872">
        <v>2.18E-2</v>
      </c>
      <c r="I872">
        <v>228.4006</v>
      </c>
    </row>
    <row r="873" spans="1:9" x14ac:dyDescent="0.3">
      <c r="A873" t="s">
        <v>9</v>
      </c>
      <c r="B873" t="s">
        <v>971</v>
      </c>
      <c r="C873">
        <v>3</v>
      </c>
      <c r="D873">
        <v>2.1399999999999999E-2</v>
      </c>
      <c r="E873">
        <v>7.1011951505048128</v>
      </c>
      <c r="F873">
        <v>709.83138802704855</v>
      </c>
      <c r="G873">
        <v>0.42399999999999999</v>
      </c>
      <c r="H873">
        <v>1.72E-2</v>
      </c>
      <c r="I873">
        <v>228.601</v>
      </c>
    </row>
    <row r="874" spans="1:9" x14ac:dyDescent="0.3">
      <c r="A874" t="s">
        <v>9</v>
      </c>
      <c r="B874" t="s">
        <v>972</v>
      </c>
      <c r="C874">
        <v>3</v>
      </c>
      <c r="D874">
        <v>1.66E-2</v>
      </c>
      <c r="E874">
        <v>6.8315939996177413</v>
      </c>
      <c r="F874">
        <v>684.70456076437347</v>
      </c>
      <c r="G874">
        <v>0.42399999999999999</v>
      </c>
      <c r="H874">
        <v>1.2999999999999999E-2</v>
      </c>
      <c r="I874">
        <v>228.79990000000001</v>
      </c>
    </row>
    <row r="875" spans="1:9" x14ac:dyDescent="0.3">
      <c r="A875" t="s">
        <v>9</v>
      </c>
      <c r="B875" t="s">
        <v>973</v>
      </c>
      <c r="C875">
        <v>3</v>
      </c>
      <c r="D875">
        <v>1.18E-2</v>
      </c>
      <c r="E875">
        <v>6.5915143630939674</v>
      </c>
      <c r="F875">
        <v>662.32913864035777</v>
      </c>
      <c r="G875">
        <v>0.42399999999999999</v>
      </c>
      <c r="H875">
        <v>9.2999999999999992E-3</v>
      </c>
      <c r="I875">
        <v>228.9982</v>
      </c>
    </row>
    <row r="876" spans="1:9" x14ac:dyDescent="0.3">
      <c r="A876" t="s">
        <v>9</v>
      </c>
      <c r="B876" t="s">
        <v>974</v>
      </c>
      <c r="C876">
        <v>3</v>
      </c>
      <c r="D876">
        <v>7.3000000000000001E-3</v>
      </c>
      <c r="E876">
        <v>6.3842145227860421</v>
      </c>
      <c r="F876">
        <v>643.00879352365916</v>
      </c>
      <c r="G876">
        <v>0.42399999999999999</v>
      </c>
      <c r="H876">
        <v>6.0000000000000001E-3</v>
      </c>
      <c r="I876">
        <v>229.1986</v>
      </c>
    </row>
    <row r="877" spans="1:9" x14ac:dyDescent="0.3">
      <c r="A877" t="s">
        <v>9</v>
      </c>
      <c r="B877" t="s">
        <v>975</v>
      </c>
      <c r="C877">
        <v>3</v>
      </c>
      <c r="D877">
        <v>3.5999999999999999E-3</v>
      </c>
      <c r="E877">
        <v>6.2173246272667697</v>
      </c>
      <c r="F877">
        <v>627.45465526126293</v>
      </c>
      <c r="G877">
        <v>0.42399999999999999</v>
      </c>
      <c r="H877">
        <v>3.3999999999999998E-3</v>
      </c>
      <c r="I877">
        <v>229.3991</v>
      </c>
    </row>
    <row r="878" spans="1:9" x14ac:dyDescent="0.3">
      <c r="A878" t="s">
        <v>9</v>
      </c>
      <c r="B878" t="s">
        <v>976</v>
      </c>
      <c r="C878">
        <v>3</v>
      </c>
      <c r="D878">
        <v>8.0000000000000004E-4</v>
      </c>
      <c r="E878">
        <v>6.0949658406916951</v>
      </c>
      <c r="F878">
        <v>616.05081635246597</v>
      </c>
      <c r="G878">
        <v>0.42399999999999999</v>
      </c>
      <c r="H878">
        <v>1.5E-3</v>
      </c>
      <c r="I878">
        <v>229.6</v>
      </c>
    </row>
    <row r="879" spans="1:9" x14ac:dyDescent="0.3">
      <c r="A879" t="s">
        <v>9</v>
      </c>
      <c r="B879" t="s">
        <v>977</v>
      </c>
      <c r="C879">
        <v>3</v>
      </c>
      <c r="D879">
        <v>-1.1000000000000001E-3</v>
      </c>
      <c r="E879">
        <v>6.0206696024482058</v>
      </c>
      <c r="F879">
        <v>609.12640694817276</v>
      </c>
      <c r="G879">
        <v>0.42399999999999999</v>
      </c>
      <c r="H879">
        <v>4.0000000000000002E-4</v>
      </c>
      <c r="I879">
        <v>229.80009999999999</v>
      </c>
    </row>
    <row r="880" spans="1:9" x14ac:dyDescent="0.3">
      <c r="A880" t="s">
        <v>9</v>
      </c>
      <c r="B880" t="s">
        <v>978</v>
      </c>
      <c r="C880">
        <v>3</v>
      </c>
      <c r="D880">
        <v>-2.5999999999999999E-3</v>
      </c>
      <c r="E880">
        <v>5.995735900605311</v>
      </c>
      <c r="F880">
        <v>606.80258593641497</v>
      </c>
      <c r="G880">
        <v>0.42399999999999999</v>
      </c>
      <c r="H880">
        <v>0</v>
      </c>
      <c r="I880">
        <v>229.99799999999999</v>
      </c>
    </row>
    <row r="881" spans="1:9" x14ac:dyDescent="0.3">
      <c r="A881" t="s">
        <v>9</v>
      </c>
      <c r="B881" t="s">
        <v>979</v>
      </c>
      <c r="C881">
        <v>3</v>
      </c>
      <c r="D881">
        <v>-2.8E-3</v>
      </c>
      <c r="E881">
        <v>6.0203232736618322</v>
      </c>
      <c r="F881">
        <v>711.32867867050788</v>
      </c>
      <c r="G881">
        <v>0.42399999999999999</v>
      </c>
      <c r="H881">
        <v>4.0000000000000002E-4</v>
      </c>
      <c r="I881">
        <v>230.1985</v>
      </c>
    </row>
    <row r="882" spans="1:9" x14ac:dyDescent="0.3">
      <c r="A882" t="s">
        <v>9</v>
      </c>
      <c r="B882" t="s">
        <v>980</v>
      </c>
      <c r="C882">
        <v>3</v>
      </c>
      <c r="D882">
        <v>-8.0000000000000004E-4</v>
      </c>
      <c r="E882">
        <v>6.0941085944321216</v>
      </c>
      <c r="F882">
        <v>718.3309056116085</v>
      </c>
      <c r="G882">
        <v>0.42399999999999999</v>
      </c>
      <c r="H882">
        <v>1.5E-3</v>
      </c>
      <c r="I882">
        <v>230.39830000000001</v>
      </c>
    </row>
    <row r="883" spans="1:9" x14ac:dyDescent="0.3">
      <c r="A883" t="s">
        <v>9</v>
      </c>
      <c r="B883" t="s">
        <v>981</v>
      </c>
      <c r="C883">
        <v>3</v>
      </c>
      <c r="D883">
        <v>2.0999999999999999E-3</v>
      </c>
      <c r="E883">
        <v>6.217551690886749</v>
      </c>
      <c r="F883">
        <v>730.04565546515255</v>
      </c>
      <c r="G883">
        <v>0.42399999999999999</v>
      </c>
      <c r="H883">
        <v>3.3999999999999998E-3</v>
      </c>
      <c r="I883">
        <v>230.60120000000001</v>
      </c>
    </row>
    <row r="884" spans="1:9" x14ac:dyDescent="0.3">
      <c r="A884" t="s">
        <v>9</v>
      </c>
      <c r="B884" t="s">
        <v>982</v>
      </c>
      <c r="C884">
        <v>3</v>
      </c>
      <c r="D884">
        <v>4.1999999999999997E-3</v>
      </c>
      <c r="E884">
        <v>6.3845996389043567</v>
      </c>
      <c r="F884">
        <v>745.89850573202352</v>
      </c>
      <c r="G884">
        <v>0.42399999999999999</v>
      </c>
      <c r="H884">
        <v>6.0000000000000001E-3</v>
      </c>
      <c r="I884">
        <v>230.80179999999999</v>
      </c>
    </row>
    <row r="885" spans="1:9" x14ac:dyDescent="0.3">
      <c r="A885" t="s">
        <v>9</v>
      </c>
      <c r="B885" t="s">
        <v>983</v>
      </c>
      <c r="C885">
        <v>3</v>
      </c>
      <c r="D885">
        <v>6.7999999999999996E-3</v>
      </c>
      <c r="E885">
        <v>6.5876019758275746</v>
      </c>
      <c r="F885">
        <v>765.1634275060369</v>
      </c>
      <c r="G885">
        <v>0.42399999999999999</v>
      </c>
      <c r="H885">
        <v>9.1999999999999998E-3</v>
      </c>
      <c r="I885">
        <v>230.9983</v>
      </c>
    </row>
    <row r="886" spans="1:9" x14ac:dyDescent="0.3">
      <c r="A886" t="s">
        <v>9</v>
      </c>
      <c r="B886" t="s">
        <v>984</v>
      </c>
      <c r="C886">
        <v>3</v>
      </c>
      <c r="D886">
        <v>1.01E-2</v>
      </c>
      <c r="E886">
        <v>6.8298460152146498</v>
      </c>
      <c r="F886">
        <v>788.15238684387032</v>
      </c>
      <c r="G886">
        <v>0.42399999999999999</v>
      </c>
      <c r="H886">
        <v>1.2999999999999999E-2</v>
      </c>
      <c r="I886">
        <v>231.19880000000001</v>
      </c>
    </row>
    <row r="887" spans="1:9" x14ac:dyDescent="0.3">
      <c r="A887" t="s">
        <v>9</v>
      </c>
      <c r="B887" t="s">
        <v>985</v>
      </c>
      <c r="C887">
        <v>3</v>
      </c>
      <c r="D887">
        <v>1.41E-2</v>
      </c>
      <c r="E887">
        <v>7.1009234851023377</v>
      </c>
      <c r="F887">
        <v>813.87763873621191</v>
      </c>
      <c r="G887">
        <v>0.42399999999999999</v>
      </c>
      <c r="H887">
        <v>1.72E-2</v>
      </c>
      <c r="I887">
        <v>231.39879999999999</v>
      </c>
    </row>
    <row r="888" spans="1:9" x14ac:dyDescent="0.3">
      <c r="A888" t="s">
        <v>9</v>
      </c>
      <c r="B888" t="s">
        <v>986</v>
      </c>
      <c r="C888">
        <v>3</v>
      </c>
      <c r="D888">
        <v>1.84E-2</v>
      </c>
      <c r="E888">
        <v>7.3938825894825211</v>
      </c>
      <c r="F888">
        <v>841.67945774189127</v>
      </c>
      <c r="G888">
        <v>0.42399999999999999</v>
      </c>
      <c r="H888">
        <v>2.1700000000000001E-2</v>
      </c>
      <c r="I888">
        <v>231.59819999999999</v>
      </c>
    </row>
    <row r="889" spans="1:9" x14ac:dyDescent="0.3">
      <c r="A889" t="s">
        <v>9</v>
      </c>
      <c r="B889" t="s">
        <v>987</v>
      </c>
      <c r="C889">
        <v>3</v>
      </c>
      <c r="D889">
        <v>2.2599999999999999E-2</v>
      </c>
      <c r="E889">
        <v>7.7032579881164516</v>
      </c>
      <c r="F889">
        <v>871.03918307225126</v>
      </c>
      <c r="G889">
        <v>0.42399999999999999</v>
      </c>
      <c r="H889">
        <v>2.6499999999999999E-2</v>
      </c>
      <c r="I889">
        <v>231.79830000000001</v>
      </c>
    </row>
    <row r="890" spans="1:9" x14ac:dyDescent="0.3">
      <c r="A890" t="s">
        <v>9</v>
      </c>
      <c r="B890" t="s">
        <v>988</v>
      </c>
      <c r="C890">
        <v>3</v>
      </c>
      <c r="D890">
        <v>2.7799999999999998E-2</v>
      </c>
      <c r="E890">
        <v>8.0216291608090575</v>
      </c>
      <c r="F890">
        <v>901.25260736077962</v>
      </c>
      <c r="G890">
        <v>0.42399999999999999</v>
      </c>
      <c r="H890">
        <v>3.15E-2</v>
      </c>
      <c r="I890">
        <v>231.9991</v>
      </c>
    </row>
    <row r="891" spans="1:9" x14ac:dyDescent="0.3">
      <c r="A891" t="s">
        <v>9</v>
      </c>
      <c r="B891" t="s">
        <v>989</v>
      </c>
      <c r="C891">
        <v>3</v>
      </c>
      <c r="D891">
        <v>3.2599999999999997E-2</v>
      </c>
      <c r="E891">
        <v>8.3373473383846584</v>
      </c>
      <c r="F891">
        <v>931.2142624127041</v>
      </c>
      <c r="G891">
        <v>0.42399999999999999</v>
      </c>
      <c r="H891">
        <v>3.6400000000000002E-2</v>
      </c>
      <c r="I891">
        <v>232.19820000000001</v>
      </c>
    </row>
    <row r="892" spans="1:9" x14ac:dyDescent="0.3">
      <c r="A892" t="s">
        <v>9</v>
      </c>
      <c r="B892" t="s">
        <v>990</v>
      </c>
      <c r="C892">
        <v>3</v>
      </c>
      <c r="D892">
        <v>3.78E-2</v>
      </c>
      <c r="E892">
        <v>8.6474590719005207</v>
      </c>
      <c r="F892">
        <v>960.6438659233595</v>
      </c>
      <c r="G892">
        <v>0.42399999999999999</v>
      </c>
      <c r="H892">
        <v>4.1200000000000001E-2</v>
      </c>
      <c r="I892">
        <v>232.39859999999999</v>
      </c>
    </row>
    <row r="893" spans="1:9" x14ac:dyDescent="0.3">
      <c r="A893" t="s">
        <v>9</v>
      </c>
      <c r="B893" t="s">
        <v>991</v>
      </c>
      <c r="C893">
        <v>3</v>
      </c>
      <c r="D893">
        <v>4.2900000000000001E-2</v>
      </c>
      <c r="E893">
        <v>8.9427354416167422</v>
      </c>
      <c r="F893">
        <v>988.66559340942888</v>
      </c>
      <c r="G893">
        <v>0.42399999999999999</v>
      </c>
      <c r="H893">
        <v>4.58E-2</v>
      </c>
      <c r="I893">
        <v>232.59950000000001</v>
      </c>
    </row>
    <row r="894" spans="1:9" x14ac:dyDescent="0.3">
      <c r="A894" t="s">
        <v>9</v>
      </c>
      <c r="B894" t="s">
        <v>992</v>
      </c>
      <c r="C894">
        <v>3</v>
      </c>
      <c r="D894">
        <v>4.7699999999999999E-2</v>
      </c>
      <c r="E894">
        <v>9.2143951675013742</v>
      </c>
      <c r="F894">
        <v>1014.44610139588</v>
      </c>
      <c r="G894">
        <v>0.42399999999999999</v>
      </c>
      <c r="H894">
        <v>0.05</v>
      </c>
      <c r="I894">
        <v>232.7997</v>
      </c>
    </row>
    <row r="895" spans="1:9" x14ac:dyDescent="0.3">
      <c r="A895" t="s">
        <v>9</v>
      </c>
      <c r="B895" t="s">
        <v>993</v>
      </c>
      <c r="C895">
        <v>3</v>
      </c>
      <c r="D895">
        <v>5.2299999999999999E-2</v>
      </c>
      <c r="E895">
        <v>9.4546949746423792</v>
      </c>
      <c r="F895">
        <v>1037.2505530935621</v>
      </c>
      <c r="G895">
        <v>0.42399999999999999</v>
      </c>
      <c r="H895">
        <v>5.3699999999999998E-2</v>
      </c>
      <c r="I895">
        <v>232.9983</v>
      </c>
    </row>
    <row r="896" spans="1:9" x14ac:dyDescent="0.3">
      <c r="A896" t="s">
        <v>9</v>
      </c>
      <c r="B896" t="s">
        <v>994</v>
      </c>
      <c r="C896">
        <v>3</v>
      </c>
      <c r="D896">
        <v>5.62E-2</v>
      </c>
      <c r="E896">
        <v>9.6613877441434575</v>
      </c>
      <c r="F896">
        <v>1056.8656969192141</v>
      </c>
      <c r="G896">
        <v>0.42399999999999999</v>
      </c>
      <c r="H896">
        <v>5.7000000000000002E-2</v>
      </c>
      <c r="I896">
        <v>233.19800000000001</v>
      </c>
    </row>
    <row r="897" spans="1:9" x14ac:dyDescent="0.3">
      <c r="A897" t="s">
        <v>9</v>
      </c>
      <c r="B897" t="s">
        <v>995</v>
      </c>
      <c r="C897">
        <v>3</v>
      </c>
      <c r="D897">
        <v>5.8700000000000002E-2</v>
      </c>
      <c r="E897">
        <v>9.8282811267111807</v>
      </c>
      <c r="F897">
        <v>1072.7038789248909</v>
      </c>
      <c r="G897">
        <v>0.42399999999999999</v>
      </c>
      <c r="H897">
        <v>5.9499999999999997E-2</v>
      </c>
      <c r="I897">
        <v>233.39830000000001</v>
      </c>
    </row>
    <row r="898" spans="1:9" x14ac:dyDescent="0.3">
      <c r="A898" t="s">
        <v>9</v>
      </c>
      <c r="B898" t="s">
        <v>996</v>
      </c>
      <c r="C898">
        <v>3</v>
      </c>
      <c r="D898">
        <v>6.1699999999999998E-2</v>
      </c>
      <c r="E898">
        <v>9.9501311691362773</v>
      </c>
      <c r="F898">
        <v>1084.2674479510331</v>
      </c>
      <c r="G898">
        <v>0.42399999999999999</v>
      </c>
      <c r="H898">
        <v>6.1400000000000003E-2</v>
      </c>
      <c r="I898">
        <v>233.59780000000001</v>
      </c>
    </row>
    <row r="899" spans="1:9" x14ac:dyDescent="0.3">
      <c r="A899" t="s">
        <v>9</v>
      </c>
      <c r="B899" t="s">
        <v>997</v>
      </c>
      <c r="C899">
        <v>3</v>
      </c>
      <c r="D899">
        <v>6.4600000000000005E-2</v>
      </c>
      <c r="E899">
        <v>10.025546295804871</v>
      </c>
      <c r="F899">
        <v>1091.424343471883</v>
      </c>
      <c r="G899">
        <v>0.42399999999999999</v>
      </c>
      <c r="H899">
        <v>6.2600000000000003E-2</v>
      </c>
      <c r="I899">
        <v>233.80019999999999</v>
      </c>
    </row>
    <row r="900" spans="1:9" x14ac:dyDescent="0.3">
      <c r="A900" t="s">
        <v>9</v>
      </c>
      <c r="B900" t="s">
        <v>998</v>
      </c>
      <c r="C900">
        <v>3</v>
      </c>
      <c r="D900">
        <v>6.6199999999999995E-2</v>
      </c>
      <c r="E900">
        <v>10.05044057796959</v>
      </c>
      <c r="F900">
        <v>1093.786810849314</v>
      </c>
      <c r="G900">
        <v>0.42399999999999999</v>
      </c>
      <c r="H900">
        <v>6.3E-2</v>
      </c>
      <c r="I900">
        <v>233.99930000000001</v>
      </c>
    </row>
    <row r="901" spans="1:9" x14ac:dyDescent="0.3">
      <c r="A901" t="s">
        <v>9</v>
      </c>
      <c r="B901" t="s">
        <v>999</v>
      </c>
      <c r="C901">
        <v>3</v>
      </c>
      <c r="D901">
        <v>6.6199999999999995E-2</v>
      </c>
      <c r="E901">
        <v>10.025597790590121</v>
      </c>
      <c r="F901">
        <v>982.38571408299924</v>
      </c>
      <c r="G901">
        <v>0.42399999999999999</v>
      </c>
      <c r="H901">
        <v>6.2600000000000003E-2</v>
      </c>
      <c r="I901">
        <v>234.1995</v>
      </c>
    </row>
    <row r="902" spans="1:9" x14ac:dyDescent="0.3">
      <c r="A902" t="s">
        <v>9</v>
      </c>
      <c r="B902" t="s">
        <v>1000</v>
      </c>
      <c r="C902">
        <v>3</v>
      </c>
      <c r="D902">
        <v>6.4199999999999993E-2</v>
      </c>
      <c r="E902">
        <v>9.951774542085877</v>
      </c>
      <c r="F902">
        <v>975.50538732240375</v>
      </c>
      <c r="G902">
        <v>0.42399999999999999</v>
      </c>
      <c r="H902">
        <v>6.1499999999999999E-2</v>
      </c>
      <c r="I902">
        <v>234.3989</v>
      </c>
    </row>
    <row r="903" spans="1:9" x14ac:dyDescent="0.3">
      <c r="A903" t="s">
        <v>9</v>
      </c>
      <c r="B903" t="s">
        <v>1001</v>
      </c>
      <c r="C903">
        <v>3</v>
      </c>
      <c r="D903">
        <v>6.2199999999999998E-2</v>
      </c>
      <c r="E903">
        <v>9.8294440168220749</v>
      </c>
      <c r="F903">
        <v>964.10418236781743</v>
      </c>
      <c r="G903">
        <v>0.42399999999999999</v>
      </c>
      <c r="H903">
        <v>5.96E-2</v>
      </c>
      <c r="I903">
        <v>234.6</v>
      </c>
    </row>
    <row r="904" spans="1:9" x14ac:dyDescent="0.3">
      <c r="A904" t="s">
        <v>9</v>
      </c>
      <c r="B904" t="s">
        <v>1002</v>
      </c>
      <c r="C904">
        <v>3</v>
      </c>
      <c r="D904">
        <v>6.0699999999999997E-2</v>
      </c>
      <c r="E904">
        <v>9.6640747988034637</v>
      </c>
      <c r="F904">
        <v>948.69177124848284</v>
      </c>
      <c r="G904">
        <v>0.42399999999999999</v>
      </c>
      <c r="H904">
        <v>5.7000000000000002E-2</v>
      </c>
      <c r="I904">
        <v>234.79910000000001</v>
      </c>
    </row>
    <row r="905" spans="1:9" x14ac:dyDescent="0.3">
      <c r="A905" t="s">
        <v>9</v>
      </c>
      <c r="B905" t="s">
        <v>1003</v>
      </c>
      <c r="C905">
        <v>3</v>
      </c>
      <c r="D905">
        <v>5.8500000000000003E-2</v>
      </c>
      <c r="E905">
        <v>9.4568768127479288</v>
      </c>
      <c r="F905">
        <v>929.38091894810702</v>
      </c>
      <c r="G905">
        <v>0.42399999999999999</v>
      </c>
      <c r="H905">
        <v>5.3800000000000001E-2</v>
      </c>
      <c r="I905">
        <v>234.99979999999999</v>
      </c>
    </row>
    <row r="906" spans="1:9" x14ac:dyDescent="0.3">
      <c r="A906" t="s">
        <v>9</v>
      </c>
      <c r="B906" t="s">
        <v>1004</v>
      </c>
      <c r="C906">
        <v>3</v>
      </c>
      <c r="D906">
        <v>5.5399999999999998E-2</v>
      </c>
      <c r="E906">
        <v>9.2150629778265625</v>
      </c>
      <c r="F906">
        <v>906.84386953343562</v>
      </c>
      <c r="G906">
        <v>0.42399999999999999</v>
      </c>
      <c r="H906">
        <v>0.05</v>
      </c>
      <c r="I906">
        <v>235.19970000000001</v>
      </c>
    </row>
    <row r="907" spans="1:9" x14ac:dyDescent="0.3">
      <c r="A907" t="s">
        <v>9</v>
      </c>
      <c r="B907" t="s">
        <v>1005</v>
      </c>
      <c r="C907">
        <v>3</v>
      </c>
      <c r="D907">
        <v>5.1200000000000002E-2</v>
      </c>
      <c r="E907">
        <v>8.9452347633195135</v>
      </c>
      <c r="F907">
        <v>881.69587994137873</v>
      </c>
      <c r="G907">
        <v>0.42399999999999999</v>
      </c>
      <c r="H907">
        <v>4.58E-2</v>
      </c>
      <c r="I907">
        <v>235.39879999999999</v>
      </c>
    </row>
    <row r="908" spans="1:9" x14ac:dyDescent="0.3">
      <c r="A908" t="s">
        <v>9</v>
      </c>
      <c r="B908" t="s">
        <v>1006</v>
      </c>
      <c r="C908">
        <v>3</v>
      </c>
      <c r="D908">
        <v>4.5999999999999999E-2</v>
      </c>
      <c r="E908">
        <v>8.6528919744792727</v>
      </c>
      <c r="F908">
        <v>854.44953202146826</v>
      </c>
      <c r="G908">
        <v>0.42399999999999999</v>
      </c>
      <c r="H908">
        <v>4.1300000000000003E-2</v>
      </c>
      <c r="I908">
        <v>235.59780000000001</v>
      </c>
    </row>
    <row r="909" spans="1:9" x14ac:dyDescent="0.3">
      <c r="A909" t="s">
        <v>9</v>
      </c>
      <c r="B909" t="s">
        <v>1007</v>
      </c>
      <c r="C909">
        <v>3</v>
      </c>
      <c r="D909">
        <v>4.19E-2</v>
      </c>
      <c r="E909">
        <v>8.3427457759496644</v>
      </c>
      <c r="F909">
        <v>825.54390631850879</v>
      </c>
      <c r="G909">
        <v>0.42399999999999999</v>
      </c>
      <c r="H909">
        <v>3.6499999999999998E-2</v>
      </c>
      <c r="I909">
        <v>235.79839999999999</v>
      </c>
    </row>
    <row r="910" spans="1:9" x14ac:dyDescent="0.3">
      <c r="A910" t="s">
        <v>9</v>
      </c>
      <c r="B910" t="s">
        <v>1008</v>
      </c>
      <c r="C910">
        <v>3</v>
      </c>
      <c r="D910">
        <v>3.6999999999999998E-2</v>
      </c>
      <c r="E910">
        <v>8.0237230117618665</v>
      </c>
      <c r="F910">
        <v>795.81098469620599</v>
      </c>
      <c r="G910">
        <v>0.42399999999999999</v>
      </c>
      <c r="H910">
        <v>3.15E-2</v>
      </c>
      <c r="I910">
        <v>235.99959999999999</v>
      </c>
    </row>
    <row r="911" spans="1:9" x14ac:dyDescent="0.3">
      <c r="A911" t="s">
        <v>9</v>
      </c>
      <c r="B911" t="s">
        <v>1009</v>
      </c>
      <c r="C911">
        <v>3</v>
      </c>
      <c r="D911">
        <v>3.2000000000000001E-2</v>
      </c>
      <c r="E911">
        <v>7.7095731950471231</v>
      </c>
      <c r="F911">
        <v>766.53222177839189</v>
      </c>
      <c r="G911">
        <v>0.42399999999999999</v>
      </c>
      <c r="H911">
        <v>2.6599999999999999E-2</v>
      </c>
      <c r="I911">
        <v>236.1977</v>
      </c>
    </row>
    <row r="912" spans="1:9" x14ac:dyDescent="0.3">
      <c r="A912" t="s">
        <v>9</v>
      </c>
      <c r="B912" t="s">
        <v>1010</v>
      </c>
      <c r="C912">
        <v>3</v>
      </c>
      <c r="D912">
        <v>2.6700000000000002E-2</v>
      </c>
      <c r="E912">
        <v>7.3969329459344912</v>
      </c>
      <c r="F912">
        <v>737.39415056109465</v>
      </c>
      <c r="G912">
        <v>0.42399999999999999</v>
      </c>
      <c r="H912">
        <v>2.18E-2</v>
      </c>
      <c r="I912">
        <v>236.3998</v>
      </c>
    </row>
    <row r="913" spans="1:9" x14ac:dyDescent="0.3">
      <c r="A913" t="s">
        <v>9</v>
      </c>
      <c r="B913" t="s">
        <v>1011</v>
      </c>
      <c r="C913">
        <v>3</v>
      </c>
      <c r="D913">
        <v>2.1499999999999998E-2</v>
      </c>
      <c r="E913">
        <v>7.1057116891886487</v>
      </c>
      <c r="F913">
        <v>710.25232943238211</v>
      </c>
      <c r="G913">
        <v>0.42399999999999999</v>
      </c>
      <c r="H913">
        <v>1.72E-2</v>
      </c>
      <c r="I913">
        <v>236.59790000000001</v>
      </c>
    </row>
    <row r="914" spans="1:9" x14ac:dyDescent="0.3">
      <c r="A914" t="s">
        <v>9</v>
      </c>
      <c r="B914" t="s">
        <v>1012</v>
      </c>
      <c r="C914">
        <v>3</v>
      </c>
      <c r="D914">
        <v>1.67E-2</v>
      </c>
      <c r="E914">
        <v>6.8325160401031564</v>
      </c>
      <c r="F914">
        <v>684.7904949376142</v>
      </c>
      <c r="G914">
        <v>0.42399999999999999</v>
      </c>
      <c r="H914">
        <v>1.2999999999999999E-2</v>
      </c>
      <c r="I914">
        <v>236.79910000000001</v>
      </c>
    </row>
    <row r="915" spans="1:9" x14ac:dyDescent="0.3">
      <c r="A915" t="s">
        <v>9</v>
      </c>
      <c r="B915" t="s">
        <v>1013</v>
      </c>
      <c r="C915">
        <v>3</v>
      </c>
      <c r="D915">
        <v>1.17E-2</v>
      </c>
      <c r="E915">
        <v>6.5907001778280403</v>
      </c>
      <c r="F915">
        <v>662.25325657357337</v>
      </c>
      <c r="G915">
        <v>0.42399999999999999</v>
      </c>
      <c r="H915">
        <v>9.1999999999999998E-3</v>
      </c>
      <c r="I915">
        <v>236.99889999999999</v>
      </c>
    </row>
    <row r="916" spans="1:9" x14ac:dyDescent="0.3">
      <c r="A916" t="s">
        <v>9</v>
      </c>
      <c r="B916" t="s">
        <v>1014</v>
      </c>
      <c r="C916">
        <v>3</v>
      </c>
      <c r="D916">
        <v>7.4000000000000003E-3</v>
      </c>
      <c r="E916">
        <v>6.3829559821252317</v>
      </c>
      <c r="F916">
        <v>642.89149753407162</v>
      </c>
      <c r="G916">
        <v>0.42399999999999999</v>
      </c>
      <c r="H916">
        <v>6.0000000000000001E-3</v>
      </c>
      <c r="I916">
        <v>237.2</v>
      </c>
    </row>
    <row r="917" spans="1:9" x14ac:dyDescent="0.3">
      <c r="A917" t="s">
        <v>9</v>
      </c>
      <c r="B917" t="s">
        <v>1015</v>
      </c>
      <c r="C917">
        <v>3</v>
      </c>
      <c r="D917">
        <v>3.8E-3</v>
      </c>
      <c r="E917">
        <v>6.2176879696058096</v>
      </c>
      <c r="F917">
        <v>627.48851876726155</v>
      </c>
      <c r="G917">
        <v>0.42399999999999999</v>
      </c>
      <c r="H917">
        <v>3.3999999999999998E-3</v>
      </c>
      <c r="I917">
        <v>237.39859999999999</v>
      </c>
    </row>
    <row r="918" spans="1:9" x14ac:dyDescent="0.3">
      <c r="A918" t="s">
        <v>9</v>
      </c>
      <c r="B918" t="s">
        <v>1016</v>
      </c>
      <c r="C918">
        <v>3</v>
      </c>
      <c r="D918">
        <v>1.1000000000000001E-3</v>
      </c>
      <c r="E918">
        <v>6.0959416060514808</v>
      </c>
      <c r="F918">
        <v>616.14175768399798</v>
      </c>
      <c r="G918">
        <v>0.42399999999999999</v>
      </c>
      <c r="H918">
        <v>1.6000000000000001E-3</v>
      </c>
      <c r="I918">
        <v>237.59800000000001</v>
      </c>
    </row>
    <row r="919" spans="1:9" x14ac:dyDescent="0.3">
      <c r="A919" t="s">
        <v>9</v>
      </c>
      <c r="B919" t="s">
        <v>1017</v>
      </c>
      <c r="C919">
        <v>3</v>
      </c>
      <c r="D919">
        <v>-1.2999999999999999E-3</v>
      </c>
      <c r="E919">
        <v>6.0212868505708741</v>
      </c>
      <c r="F919">
        <v>609.18393447320545</v>
      </c>
      <c r="G919">
        <v>0.42399999999999999</v>
      </c>
      <c r="H919">
        <v>4.0000000000000002E-4</v>
      </c>
      <c r="I919">
        <v>237.79759999999999</v>
      </c>
    </row>
    <row r="920" spans="1:9" x14ac:dyDescent="0.3">
      <c r="A920" t="s">
        <v>9</v>
      </c>
      <c r="B920" t="s">
        <v>1018</v>
      </c>
      <c r="C920">
        <v>3</v>
      </c>
      <c r="D920">
        <v>-3.0000000000000001E-3</v>
      </c>
      <c r="E920">
        <v>5.9957334838115024</v>
      </c>
      <c r="F920">
        <v>606.80236069123202</v>
      </c>
      <c r="G920">
        <v>0.42399999999999999</v>
      </c>
      <c r="H920">
        <v>0</v>
      </c>
      <c r="I920">
        <v>237.99969999999999</v>
      </c>
    </row>
    <row r="921" spans="1:9" x14ac:dyDescent="0.3">
      <c r="A921" t="s">
        <v>9</v>
      </c>
      <c r="B921" t="s">
        <v>1019</v>
      </c>
      <c r="C921">
        <v>3</v>
      </c>
      <c r="D921">
        <v>-3.0999999999999999E-3</v>
      </c>
      <c r="E921">
        <v>6.0201323496497974</v>
      </c>
      <c r="F921">
        <v>711.31055998176578</v>
      </c>
      <c r="G921">
        <v>0.42399999999999999</v>
      </c>
      <c r="H921">
        <v>4.0000000000000002E-4</v>
      </c>
      <c r="I921">
        <v>238.1977</v>
      </c>
    </row>
    <row r="922" spans="1:9" x14ac:dyDescent="0.3">
      <c r="A922" t="s">
        <v>9</v>
      </c>
      <c r="B922" t="s">
        <v>1020</v>
      </c>
      <c r="C922">
        <v>3</v>
      </c>
      <c r="D922">
        <v>-8.0000000000000004E-4</v>
      </c>
      <c r="E922">
        <v>6.0937393322201334</v>
      </c>
      <c r="F922">
        <v>718.29586262769067</v>
      </c>
      <c r="G922">
        <v>0.42399999999999999</v>
      </c>
      <c r="H922">
        <v>1.5E-3</v>
      </c>
      <c r="I922">
        <v>238.39750000000001</v>
      </c>
    </row>
    <row r="923" spans="1:9" x14ac:dyDescent="0.3">
      <c r="A923" t="s">
        <v>9</v>
      </c>
      <c r="B923" t="s">
        <v>1021</v>
      </c>
      <c r="C923">
        <v>3</v>
      </c>
      <c r="D923">
        <v>2.3E-3</v>
      </c>
      <c r="E923">
        <v>6.2160229445181638</v>
      </c>
      <c r="F923">
        <v>729.90057743477382</v>
      </c>
      <c r="G923">
        <v>0.42399999999999999</v>
      </c>
      <c r="H923">
        <v>3.3999999999999998E-3</v>
      </c>
      <c r="I923">
        <v>238.59899999999999</v>
      </c>
    </row>
    <row r="924" spans="1:9" x14ac:dyDescent="0.3">
      <c r="A924" t="s">
        <v>9</v>
      </c>
      <c r="B924" t="s">
        <v>1022</v>
      </c>
      <c r="C924">
        <v>3</v>
      </c>
      <c r="D924">
        <v>4.4000000000000003E-3</v>
      </c>
      <c r="E924">
        <v>6.3814384672964222</v>
      </c>
      <c r="F924">
        <v>745.59851054643048</v>
      </c>
      <c r="G924">
        <v>0.42399999999999999</v>
      </c>
      <c r="H924">
        <v>6.0000000000000001E-3</v>
      </c>
      <c r="I924">
        <v>238.79839999999999</v>
      </c>
    </row>
    <row r="925" spans="1:9" x14ac:dyDescent="0.3">
      <c r="A925" t="s">
        <v>9</v>
      </c>
      <c r="B925" t="s">
        <v>1023</v>
      </c>
      <c r="C925">
        <v>3</v>
      </c>
      <c r="D925">
        <v>6.0000000000000001E-3</v>
      </c>
      <c r="E925">
        <v>6.5885669962124878</v>
      </c>
      <c r="F925">
        <v>765.25500794056518</v>
      </c>
      <c r="G925">
        <v>0.42399999999999999</v>
      </c>
      <c r="H925">
        <v>9.1999999999999998E-3</v>
      </c>
      <c r="I925">
        <v>238.9991</v>
      </c>
    </row>
    <row r="926" spans="1:9" x14ac:dyDescent="0.3">
      <c r="A926" t="s">
        <v>9</v>
      </c>
      <c r="B926" t="s">
        <v>1024</v>
      </c>
      <c r="C926">
        <v>3</v>
      </c>
      <c r="D926">
        <v>9.9000000000000008E-3</v>
      </c>
      <c r="E926">
        <v>6.8299502211973886</v>
      </c>
      <c r="F926">
        <v>788.16227599163233</v>
      </c>
      <c r="G926">
        <v>0.42399999999999999</v>
      </c>
      <c r="H926">
        <v>1.2999999999999999E-2</v>
      </c>
      <c r="I926">
        <v>239.19880000000001</v>
      </c>
    </row>
    <row r="927" spans="1:9" x14ac:dyDescent="0.3">
      <c r="A927" t="s">
        <v>9</v>
      </c>
      <c r="B927" t="s">
        <v>1025</v>
      </c>
      <c r="C927">
        <v>3</v>
      </c>
      <c r="D927">
        <v>1.43E-2</v>
      </c>
      <c r="E927">
        <v>7.1000192853299202</v>
      </c>
      <c r="F927">
        <v>813.79183017780952</v>
      </c>
      <c r="G927">
        <v>0.42399999999999999</v>
      </c>
      <c r="H927">
        <v>1.72E-2</v>
      </c>
      <c r="I927">
        <v>239.3981</v>
      </c>
    </row>
    <row r="928" spans="1:9" x14ac:dyDescent="0.3">
      <c r="A928" t="s">
        <v>9</v>
      </c>
      <c r="B928" t="s">
        <v>1026</v>
      </c>
      <c r="C928">
        <v>3</v>
      </c>
      <c r="D928">
        <v>1.8599999999999998E-2</v>
      </c>
      <c r="E928">
        <v>7.3942994134134814</v>
      </c>
      <c r="F928">
        <v>841.71901433293942</v>
      </c>
      <c r="G928">
        <v>0.42399999999999999</v>
      </c>
      <c r="H928">
        <v>2.1700000000000001E-2</v>
      </c>
      <c r="I928">
        <v>239.5985</v>
      </c>
    </row>
    <row r="929" spans="1:9" x14ac:dyDescent="0.3">
      <c r="A929" t="s">
        <v>9</v>
      </c>
      <c r="B929" t="s">
        <v>1027</v>
      </c>
      <c r="C929">
        <v>3</v>
      </c>
      <c r="D929">
        <v>2.1899999999999999E-2</v>
      </c>
      <c r="E929">
        <v>7.7033240798486933</v>
      </c>
      <c r="F929">
        <v>871.04545517764109</v>
      </c>
      <c r="G929">
        <v>0.42399999999999999</v>
      </c>
      <c r="H929">
        <v>2.6499999999999999E-2</v>
      </c>
      <c r="I929">
        <v>239.79830000000001</v>
      </c>
    </row>
    <row r="930" spans="1:9" x14ac:dyDescent="0.3">
      <c r="A930" t="s">
        <v>9</v>
      </c>
      <c r="B930" t="s">
        <v>1028</v>
      </c>
      <c r="C930">
        <v>3</v>
      </c>
      <c r="D930">
        <v>2.76E-2</v>
      </c>
      <c r="E930">
        <v>8.0198402238602196</v>
      </c>
      <c r="F930">
        <v>901.08283724433488</v>
      </c>
      <c r="G930">
        <v>0.42399999999999999</v>
      </c>
      <c r="H930">
        <v>3.1399999999999997E-2</v>
      </c>
      <c r="I930">
        <v>239.99799999999999</v>
      </c>
    </row>
    <row r="931" spans="1:9" x14ac:dyDescent="0.3">
      <c r="A931" t="s">
        <v>9</v>
      </c>
      <c r="B931" t="s">
        <v>1029</v>
      </c>
      <c r="C931">
        <v>3</v>
      </c>
      <c r="D931">
        <v>3.27E-2</v>
      </c>
      <c r="E931">
        <v>8.3386359244280381</v>
      </c>
      <c r="F931">
        <v>931.33654922822086</v>
      </c>
      <c r="G931">
        <v>0.42399999999999999</v>
      </c>
      <c r="H931">
        <v>3.6400000000000002E-2</v>
      </c>
      <c r="I931">
        <v>240.19900000000001</v>
      </c>
    </row>
    <row r="932" spans="1:9" x14ac:dyDescent="0.3">
      <c r="A932" t="s">
        <v>9</v>
      </c>
      <c r="B932" t="s">
        <v>1030</v>
      </c>
      <c r="C932">
        <v>3</v>
      </c>
      <c r="D932">
        <v>3.8300000000000001E-2</v>
      </c>
      <c r="E932">
        <v>8.6476111234317568</v>
      </c>
      <c r="F932">
        <v>960.65829561367377</v>
      </c>
      <c r="G932">
        <v>0.42399999999999999</v>
      </c>
      <c r="H932">
        <v>4.1200000000000001E-2</v>
      </c>
      <c r="I932">
        <v>240.39869999999999</v>
      </c>
    </row>
    <row r="933" spans="1:9" x14ac:dyDescent="0.3">
      <c r="A933" t="s">
        <v>9</v>
      </c>
      <c r="B933" t="s">
        <v>1031</v>
      </c>
      <c r="C933">
        <v>3</v>
      </c>
      <c r="D933">
        <v>4.2500000000000003E-2</v>
      </c>
      <c r="E933">
        <v>8.9427403072657405</v>
      </c>
      <c r="F933">
        <v>988.66605515951881</v>
      </c>
      <c r="G933">
        <v>0.42399999999999999</v>
      </c>
      <c r="H933">
        <v>4.58E-2</v>
      </c>
      <c r="I933">
        <v>240.59950000000001</v>
      </c>
    </row>
    <row r="934" spans="1:9" x14ac:dyDescent="0.3">
      <c r="A934" t="s">
        <v>9</v>
      </c>
      <c r="B934" t="s">
        <v>1032</v>
      </c>
      <c r="C934">
        <v>3</v>
      </c>
      <c r="D934">
        <v>4.7699999999999999E-2</v>
      </c>
      <c r="E934">
        <v>9.2135728728204516</v>
      </c>
      <c r="F934">
        <v>1014.368065630661</v>
      </c>
      <c r="G934">
        <v>0.42399999999999999</v>
      </c>
      <c r="H934">
        <v>0.05</v>
      </c>
      <c r="I934">
        <v>240.79910000000001</v>
      </c>
    </row>
    <row r="935" spans="1:9" x14ac:dyDescent="0.3">
      <c r="A935" t="s">
        <v>9</v>
      </c>
      <c r="B935" t="s">
        <v>1033</v>
      </c>
      <c r="C935">
        <v>3</v>
      </c>
      <c r="D935">
        <v>5.2699999999999997E-2</v>
      </c>
      <c r="E935">
        <v>9.4538438915382059</v>
      </c>
      <c r="F935">
        <v>1037.1697853069761</v>
      </c>
      <c r="G935">
        <v>0.42399999999999999</v>
      </c>
      <c r="H935">
        <v>5.3699999999999998E-2</v>
      </c>
      <c r="I935">
        <v>240.9975</v>
      </c>
    </row>
    <row r="936" spans="1:9" x14ac:dyDescent="0.3">
      <c r="A936" t="s">
        <v>9</v>
      </c>
      <c r="B936" t="s">
        <v>1034</v>
      </c>
      <c r="C936">
        <v>3</v>
      </c>
      <c r="D936">
        <v>5.5800000000000002E-2</v>
      </c>
      <c r="E936">
        <v>9.6622647773756292</v>
      </c>
      <c r="F936">
        <v>1056.9489273729471</v>
      </c>
      <c r="G936">
        <v>0.42399999999999999</v>
      </c>
      <c r="H936">
        <v>5.7000000000000002E-2</v>
      </c>
      <c r="I936">
        <v>241.19890000000001</v>
      </c>
    </row>
    <row r="937" spans="1:9" x14ac:dyDescent="0.3">
      <c r="A937" t="s">
        <v>9</v>
      </c>
      <c r="B937" t="s">
        <v>1035</v>
      </c>
      <c r="C937">
        <v>3</v>
      </c>
      <c r="D937">
        <v>5.8799999999999998E-2</v>
      </c>
      <c r="E937">
        <v>9.8278326760617212</v>
      </c>
      <c r="F937">
        <v>1072.661320958257</v>
      </c>
      <c r="G937">
        <v>0.42399999999999999</v>
      </c>
      <c r="H937">
        <v>5.9499999999999997E-2</v>
      </c>
      <c r="I937">
        <v>241.39769999999999</v>
      </c>
    </row>
    <row r="938" spans="1:9" x14ac:dyDescent="0.3">
      <c r="A938" t="s">
        <v>9</v>
      </c>
      <c r="B938" t="s">
        <v>1036</v>
      </c>
      <c r="C938">
        <v>3</v>
      </c>
      <c r="D938">
        <v>6.2100000000000002E-2</v>
      </c>
      <c r="E938">
        <v>9.950036694451537</v>
      </c>
      <c r="F938">
        <v>1084.258482303451</v>
      </c>
      <c r="G938">
        <v>0.42399999999999999</v>
      </c>
      <c r="H938">
        <v>6.1400000000000003E-2</v>
      </c>
      <c r="I938">
        <v>241.5976</v>
      </c>
    </row>
    <row r="939" spans="1:9" x14ac:dyDescent="0.3">
      <c r="A939" t="s">
        <v>9</v>
      </c>
      <c r="B939" t="s">
        <v>1037</v>
      </c>
      <c r="C939">
        <v>3</v>
      </c>
      <c r="D939">
        <v>6.4500000000000002E-2</v>
      </c>
      <c r="E939">
        <v>10.025071489556669</v>
      </c>
      <c r="F939">
        <v>1091.3792843589281</v>
      </c>
      <c r="G939">
        <v>0.42399999999999999</v>
      </c>
      <c r="H939">
        <v>6.2600000000000003E-2</v>
      </c>
      <c r="I939">
        <v>241.79839999999999</v>
      </c>
    </row>
    <row r="940" spans="1:9" x14ac:dyDescent="0.3">
      <c r="A940" t="s">
        <v>9</v>
      </c>
      <c r="B940" t="s">
        <v>1038</v>
      </c>
      <c r="C940">
        <v>3</v>
      </c>
      <c r="D940">
        <v>6.6000000000000003E-2</v>
      </c>
      <c r="E940">
        <v>10.050438550615841</v>
      </c>
      <c r="F940">
        <v>1093.7866184534439</v>
      </c>
      <c r="G940">
        <v>0.42399999999999999</v>
      </c>
      <c r="H940">
        <v>6.3E-2</v>
      </c>
      <c r="I940">
        <v>241.99809999999999</v>
      </c>
    </row>
    <row r="941" spans="1:9" x14ac:dyDescent="0.3">
      <c r="A941" t="s">
        <v>9</v>
      </c>
      <c r="B941" t="s">
        <v>1039</v>
      </c>
      <c r="C941">
        <v>3</v>
      </c>
      <c r="D941">
        <v>6.6000000000000003E-2</v>
      </c>
      <c r="E941">
        <v>10.02601055981358</v>
      </c>
      <c r="F941">
        <v>982.42418417462579</v>
      </c>
      <c r="G941">
        <v>0.42399999999999999</v>
      </c>
      <c r="H941">
        <v>6.2600000000000003E-2</v>
      </c>
      <c r="I941">
        <v>242.1979</v>
      </c>
    </row>
    <row r="942" spans="1:9" x14ac:dyDescent="0.3">
      <c r="A942" t="s">
        <v>9</v>
      </c>
      <c r="B942" t="s">
        <v>1040</v>
      </c>
      <c r="C942">
        <v>3</v>
      </c>
      <c r="D942">
        <v>6.3899999999999998E-2</v>
      </c>
      <c r="E942">
        <v>9.952353554316824</v>
      </c>
      <c r="F942">
        <v>975.55935126232805</v>
      </c>
      <c r="G942">
        <v>0.42399999999999999</v>
      </c>
      <c r="H942">
        <v>6.1499999999999999E-2</v>
      </c>
      <c r="I942">
        <v>242.39769999999999</v>
      </c>
    </row>
    <row r="943" spans="1:9" x14ac:dyDescent="0.3">
      <c r="A943" t="s">
        <v>9</v>
      </c>
      <c r="B943" t="s">
        <v>1041</v>
      </c>
      <c r="C943">
        <v>3</v>
      </c>
      <c r="D943">
        <v>6.1899999999999997E-2</v>
      </c>
      <c r="E943">
        <v>9.8309839947304347</v>
      </c>
      <c r="F943">
        <v>964.24770830887655</v>
      </c>
      <c r="G943">
        <v>0.42399999999999999</v>
      </c>
      <c r="H943">
        <v>5.96E-2</v>
      </c>
      <c r="I943">
        <v>242.59790000000001</v>
      </c>
    </row>
    <row r="944" spans="1:9" x14ac:dyDescent="0.3">
      <c r="A944" t="s">
        <v>9</v>
      </c>
      <c r="B944" t="s">
        <v>1042</v>
      </c>
      <c r="C944">
        <v>3</v>
      </c>
      <c r="D944">
        <v>6.0699999999999997E-2</v>
      </c>
      <c r="E944">
        <v>9.6653605465515948</v>
      </c>
      <c r="F944">
        <v>948.81160293860864</v>
      </c>
      <c r="G944">
        <v>0.42399999999999999</v>
      </c>
      <c r="H944">
        <v>5.7000000000000002E-2</v>
      </c>
      <c r="I944">
        <v>242.79769999999999</v>
      </c>
    </row>
    <row r="945" spans="1:9" x14ac:dyDescent="0.3">
      <c r="A945" t="s">
        <v>9</v>
      </c>
      <c r="B945" t="s">
        <v>1043</v>
      </c>
      <c r="C945">
        <v>3</v>
      </c>
      <c r="D945">
        <v>5.8900000000000001E-2</v>
      </c>
      <c r="E945">
        <v>9.4582939330190499</v>
      </c>
      <c r="F945">
        <v>929.51299455737546</v>
      </c>
      <c r="G945">
        <v>0.42399999999999999</v>
      </c>
      <c r="H945">
        <v>5.3800000000000001E-2</v>
      </c>
      <c r="I945">
        <v>242.99850000000001</v>
      </c>
    </row>
    <row r="946" spans="1:9" x14ac:dyDescent="0.3">
      <c r="A946" t="s">
        <v>9</v>
      </c>
      <c r="B946" t="s">
        <v>1044</v>
      </c>
      <c r="C946">
        <v>3</v>
      </c>
      <c r="D946">
        <v>5.5800000000000002E-2</v>
      </c>
      <c r="E946">
        <v>9.2155094011222722</v>
      </c>
      <c r="F946">
        <v>906.88547618459575</v>
      </c>
      <c r="G946">
        <v>0.42399999999999999</v>
      </c>
      <c r="H946">
        <v>0.05</v>
      </c>
      <c r="I946">
        <v>243.1994</v>
      </c>
    </row>
    <row r="947" spans="1:9" x14ac:dyDescent="0.3">
      <c r="A947" t="s">
        <v>9</v>
      </c>
      <c r="B947" t="s">
        <v>1045</v>
      </c>
      <c r="C947">
        <v>3</v>
      </c>
      <c r="D947">
        <v>5.1200000000000002E-2</v>
      </c>
      <c r="E947">
        <v>8.9451200150972756</v>
      </c>
      <c r="F947">
        <v>881.68518540706611</v>
      </c>
      <c r="G947">
        <v>0.42399999999999999</v>
      </c>
      <c r="H947">
        <v>4.58E-2</v>
      </c>
      <c r="I947">
        <v>243.39879999999999</v>
      </c>
    </row>
    <row r="948" spans="1:9" x14ac:dyDescent="0.3">
      <c r="A948" t="s">
        <v>9</v>
      </c>
      <c r="B948" t="s">
        <v>1046</v>
      </c>
      <c r="C948">
        <v>3</v>
      </c>
      <c r="D948">
        <v>4.65E-2</v>
      </c>
      <c r="E948">
        <v>8.6530342947125103</v>
      </c>
      <c r="F948">
        <v>854.46279626720593</v>
      </c>
      <c r="G948">
        <v>0.42399999999999999</v>
      </c>
      <c r="H948">
        <v>4.1300000000000003E-2</v>
      </c>
      <c r="I948">
        <v>243.5977</v>
      </c>
    </row>
    <row r="949" spans="1:9" x14ac:dyDescent="0.3">
      <c r="A949" t="s">
        <v>9</v>
      </c>
      <c r="B949" t="s">
        <v>1047</v>
      </c>
      <c r="C949">
        <v>3</v>
      </c>
      <c r="D949">
        <v>4.1599999999999998E-2</v>
      </c>
      <c r="E949">
        <v>8.3400522337576586</v>
      </c>
      <c r="F949">
        <v>825.29286818621381</v>
      </c>
      <c r="G949">
        <v>0.42399999999999999</v>
      </c>
      <c r="H949">
        <v>3.6400000000000002E-2</v>
      </c>
      <c r="I949">
        <v>243.80009999999999</v>
      </c>
    </row>
    <row r="950" spans="1:9" x14ac:dyDescent="0.3">
      <c r="A950" t="s">
        <v>9</v>
      </c>
      <c r="B950" t="s">
        <v>1048</v>
      </c>
      <c r="C950">
        <v>3</v>
      </c>
      <c r="D950">
        <v>3.6799999999999999E-2</v>
      </c>
      <c r="E950">
        <v>8.024460157585299</v>
      </c>
      <c r="F950">
        <v>795.87968668694987</v>
      </c>
      <c r="G950">
        <v>0.42399999999999999</v>
      </c>
      <c r="H950">
        <v>3.15E-2</v>
      </c>
      <c r="I950">
        <v>243.9991</v>
      </c>
    </row>
    <row r="951" spans="1:9" x14ac:dyDescent="0.3">
      <c r="A951" t="s">
        <v>9</v>
      </c>
      <c r="B951" t="s">
        <v>1049</v>
      </c>
      <c r="C951">
        <v>3</v>
      </c>
      <c r="D951">
        <v>3.1899999999999998E-2</v>
      </c>
      <c r="E951">
        <v>7.7093542408421412</v>
      </c>
      <c r="F951">
        <v>766.51181524648757</v>
      </c>
      <c r="G951">
        <v>0.42399999999999999</v>
      </c>
      <c r="H951">
        <v>2.6599999999999999E-2</v>
      </c>
      <c r="I951">
        <v>244.1978</v>
      </c>
    </row>
    <row r="952" spans="1:9" x14ac:dyDescent="0.3">
      <c r="A952" t="s">
        <v>9</v>
      </c>
      <c r="B952" t="s">
        <v>1050</v>
      </c>
      <c r="C952">
        <v>3</v>
      </c>
      <c r="D952">
        <v>2.6800000000000001E-2</v>
      </c>
      <c r="E952">
        <v>7.3999885735062101</v>
      </c>
      <c r="F952">
        <v>737.67893505077882</v>
      </c>
      <c r="G952">
        <v>0.42399999999999999</v>
      </c>
      <c r="H952">
        <v>2.18E-2</v>
      </c>
      <c r="I952">
        <v>244.39779999999999</v>
      </c>
    </row>
    <row r="953" spans="1:9" x14ac:dyDescent="0.3">
      <c r="A953" t="s">
        <v>9</v>
      </c>
      <c r="B953" t="s">
        <v>1051</v>
      </c>
      <c r="C953">
        <v>3</v>
      </c>
      <c r="D953">
        <v>2.1399999999999999E-2</v>
      </c>
      <c r="E953">
        <v>7.1036113507038392</v>
      </c>
      <c r="F953">
        <v>710.05657788559779</v>
      </c>
      <c r="G953">
        <v>0.42399999999999999</v>
      </c>
      <c r="H953">
        <v>1.72E-2</v>
      </c>
      <c r="I953">
        <v>244.5993</v>
      </c>
    </row>
    <row r="954" spans="1:9" x14ac:dyDescent="0.3">
      <c r="A954" t="s">
        <v>9</v>
      </c>
      <c r="B954" t="s">
        <v>1052</v>
      </c>
      <c r="C954">
        <v>3</v>
      </c>
      <c r="D954">
        <v>1.67E-2</v>
      </c>
      <c r="E954">
        <v>6.8323862894631686</v>
      </c>
      <c r="F954">
        <v>684.77840217796734</v>
      </c>
      <c r="G954">
        <v>0.42399999999999999</v>
      </c>
      <c r="H954">
        <v>1.2999999999999999E-2</v>
      </c>
      <c r="I954">
        <v>244.79929999999999</v>
      </c>
    </row>
    <row r="955" spans="1:9" x14ac:dyDescent="0.3">
      <c r="A955" t="s">
        <v>9</v>
      </c>
      <c r="B955" t="s">
        <v>1053</v>
      </c>
      <c r="C955">
        <v>3</v>
      </c>
      <c r="D955">
        <v>1.18E-2</v>
      </c>
      <c r="E955">
        <v>6.5922957052291453</v>
      </c>
      <c r="F955">
        <v>662.40195972735637</v>
      </c>
      <c r="G955">
        <v>0.42399999999999999</v>
      </c>
      <c r="H955">
        <v>9.2999999999999992E-3</v>
      </c>
      <c r="I955">
        <v>244.9975</v>
      </c>
    </row>
    <row r="956" spans="1:9" x14ac:dyDescent="0.3">
      <c r="A956" t="s">
        <v>9</v>
      </c>
      <c r="B956" t="s">
        <v>1054</v>
      </c>
      <c r="C956">
        <v>3</v>
      </c>
      <c r="D956">
        <v>6.1000000000000004E-3</v>
      </c>
      <c r="E956">
        <v>6.3830801778159456</v>
      </c>
      <c r="F956">
        <v>642.90307257244626</v>
      </c>
      <c r="G956">
        <v>0.42399999999999999</v>
      </c>
      <c r="H956">
        <v>6.0000000000000001E-3</v>
      </c>
      <c r="I956">
        <v>245.19980000000001</v>
      </c>
    </row>
    <row r="957" spans="1:9" x14ac:dyDescent="0.3">
      <c r="A957" t="s">
        <v>9</v>
      </c>
      <c r="B957" t="s">
        <v>1055</v>
      </c>
      <c r="C957">
        <v>3</v>
      </c>
      <c r="D957">
        <v>3.5999999999999999E-3</v>
      </c>
      <c r="E957">
        <v>6.2179531069292118</v>
      </c>
      <c r="F957">
        <v>627.51322956580259</v>
      </c>
      <c r="G957">
        <v>0.42399999999999999</v>
      </c>
      <c r="H957">
        <v>3.5000000000000001E-3</v>
      </c>
      <c r="I957">
        <v>245.39830000000001</v>
      </c>
    </row>
    <row r="958" spans="1:9" x14ac:dyDescent="0.3">
      <c r="A958" t="s">
        <v>9</v>
      </c>
      <c r="B958" t="s">
        <v>1056</v>
      </c>
      <c r="C958">
        <v>3</v>
      </c>
      <c r="D958">
        <v>1.6000000000000001E-3</v>
      </c>
      <c r="E958">
        <v>6.09567119760833</v>
      </c>
      <c r="F958">
        <v>616.11655561709642</v>
      </c>
      <c r="G958">
        <v>0.42399999999999999</v>
      </c>
      <c r="H958">
        <v>1.6000000000000001E-3</v>
      </c>
      <c r="I958">
        <v>245.5985</v>
      </c>
    </row>
    <row r="959" spans="1:9" x14ac:dyDescent="0.3">
      <c r="A959" t="s">
        <v>9</v>
      </c>
      <c r="B959" t="s">
        <v>1057</v>
      </c>
      <c r="C959">
        <v>3</v>
      </c>
      <c r="D959">
        <v>-6.9999999999999999E-4</v>
      </c>
      <c r="E959">
        <v>6.0207164870310237</v>
      </c>
      <c r="F959">
        <v>609.13077659129146</v>
      </c>
      <c r="G959">
        <v>0.42399999999999999</v>
      </c>
      <c r="H959">
        <v>4.0000000000000002E-4</v>
      </c>
      <c r="I959">
        <v>245.79990000000001</v>
      </c>
    </row>
    <row r="960" spans="1:9" x14ac:dyDescent="0.3">
      <c r="A960" t="s">
        <v>9</v>
      </c>
      <c r="B960" t="s">
        <v>1058</v>
      </c>
      <c r="C960">
        <v>3</v>
      </c>
      <c r="D960">
        <v>-2.8E-3</v>
      </c>
      <c r="E960">
        <v>5.9957349338880324</v>
      </c>
      <c r="F960">
        <v>606.80249583836462</v>
      </c>
      <c r="G960">
        <v>0.42399999999999999</v>
      </c>
      <c r="H960">
        <v>0</v>
      </c>
      <c r="I960">
        <v>245.99850000000001</v>
      </c>
    </row>
    <row r="961" spans="1:9" x14ac:dyDescent="0.3">
      <c r="A961" t="s">
        <v>9</v>
      </c>
      <c r="B961" t="s">
        <v>1059</v>
      </c>
      <c r="C961">
        <v>3</v>
      </c>
      <c r="D961">
        <v>-3.0999999999999999E-3</v>
      </c>
      <c r="E961">
        <v>6.0202193515086178</v>
      </c>
      <c r="F961">
        <v>711.31881645816782</v>
      </c>
      <c r="G961">
        <v>0.42399999999999999</v>
      </c>
      <c r="H961">
        <v>4.0000000000000002E-4</v>
      </c>
      <c r="I961">
        <v>246.19810000000001</v>
      </c>
    </row>
    <row r="962" spans="1:9" x14ac:dyDescent="0.3">
      <c r="A962" t="s">
        <v>9</v>
      </c>
      <c r="B962" t="s">
        <v>1060</v>
      </c>
      <c r="C962">
        <v>3</v>
      </c>
      <c r="D962">
        <v>-2.2000000000000001E-3</v>
      </c>
      <c r="E962">
        <v>6.093959624478587</v>
      </c>
      <c r="F962">
        <v>718.3167683630179</v>
      </c>
      <c r="G962">
        <v>0.42399999999999999</v>
      </c>
      <c r="H962">
        <v>1.5E-3</v>
      </c>
      <c r="I962">
        <v>246.398</v>
      </c>
    </row>
    <row r="963" spans="1:9" x14ac:dyDescent="0.3">
      <c r="A963" t="s">
        <v>9</v>
      </c>
      <c r="B963" t="s">
        <v>1061</v>
      </c>
      <c r="C963">
        <v>3</v>
      </c>
      <c r="D963">
        <v>1.9E-3</v>
      </c>
      <c r="E963">
        <v>6.2158429965993296</v>
      </c>
      <c r="F963">
        <v>729.88350037727639</v>
      </c>
      <c r="G963">
        <v>0.42399999999999999</v>
      </c>
      <c r="H963">
        <v>3.3999999999999998E-3</v>
      </c>
      <c r="I963">
        <v>246.59880000000001</v>
      </c>
    </row>
    <row r="964" spans="1:9" x14ac:dyDescent="0.3">
      <c r="A964" t="s">
        <v>9</v>
      </c>
      <c r="B964" t="s">
        <v>1062</v>
      </c>
      <c r="C964">
        <v>3</v>
      </c>
      <c r="D964">
        <v>3.8999999999999998E-3</v>
      </c>
      <c r="E964">
        <v>6.3812782252560361</v>
      </c>
      <c r="F964">
        <v>745.5833035767979</v>
      </c>
      <c r="G964">
        <v>0.42399999999999999</v>
      </c>
      <c r="H964">
        <v>6.0000000000000001E-3</v>
      </c>
      <c r="I964">
        <v>246.79820000000001</v>
      </c>
    </row>
    <row r="965" spans="1:9" x14ac:dyDescent="0.3">
      <c r="A965" t="s">
        <v>9</v>
      </c>
      <c r="B965" t="s">
        <v>1063</v>
      </c>
      <c r="C965">
        <v>3</v>
      </c>
      <c r="D965">
        <v>6.7999999999999996E-3</v>
      </c>
      <c r="E965">
        <v>6.5869978244101297</v>
      </c>
      <c r="F965">
        <v>765.10609353652137</v>
      </c>
      <c r="G965">
        <v>0.42399999999999999</v>
      </c>
      <c r="H965">
        <v>9.1999999999999998E-3</v>
      </c>
      <c r="I965">
        <v>246.99770000000001</v>
      </c>
    </row>
    <row r="966" spans="1:9" x14ac:dyDescent="0.3">
      <c r="A966" t="s">
        <v>9</v>
      </c>
      <c r="B966" t="s">
        <v>1064</v>
      </c>
      <c r="C966">
        <v>3</v>
      </c>
      <c r="D966">
        <v>1.01E-2</v>
      </c>
      <c r="E966">
        <v>6.8281795304323021</v>
      </c>
      <c r="F966">
        <v>787.99423743802549</v>
      </c>
      <c r="G966">
        <v>0.42399999999999999</v>
      </c>
      <c r="H966">
        <v>1.29E-2</v>
      </c>
      <c r="I966">
        <v>247.19749999999999</v>
      </c>
    </row>
    <row r="967" spans="1:9" x14ac:dyDescent="0.3">
      <c r="A967" t="s">
        <v>9</v>
      </c>
      <c r="B967" t="s">
        <v>1065</v>
      </c>
      <c r="C967">
        <v>3</v>
      </c>
      <c r="D967">
        <v>1.41E-2</v>
      </c>
      <c r="E967">
        <v>7.1035785075730926</v>
      </c>
      <c r="F967">
        <v>814.12960036868651</v>
      </c>
      <c r="G967">
        <v>0.42399999999999999</v>
      </c>
      <c r="H967">
        <v>1.72E-2</v>
      </c>
      <c r="I967">
        <v>247.4006</v>
      </c>
    </row>
    <row r="968" spans="1:9" x14ac:dyDescent="0.3">
      <c r="A968" t="s">
        <v>9</v>
      </c>
      <c r="B968" t="s">
        <v>1066</v>
      </c>
      <c r="C968">
        <v>3</v>
      </c>
      <c r="D968">
        <v>1.83E-2</v>
      </c>
      <c r="E968">
        <v>7.3970987834712254</v>
      </c>
      <c r="F968">
        <v>841.98467455141929</v>
      </c>
      <c r="G968">
        <v>0.42399999999999999</v>
      </c>
      <c r="H968">
        <v>2.18E-2</v>
      </c>
      <c r="I968">
        <v>247.6003</v>
      </c>
    </row>
    <row r="969" spans="1:9" x14ac:dyDescent="0.3">
      <c r="A969" t="s">
        <v>9</v>
      </c>
      <c r="B969" t="s">
        <v>1067</v>
      </c>
      <c r="C969">
        <v>3</v>
      </c>
      <c r="D969">
        <v>2.3099999999999999E-2</v>
      </c>
      <c r="E969">
        <v>7.7055594400932392</v>
      </c>
      <c r="F969">
        <v>871.25759086484845</v>
      </c>
      <c r="G969">
        <v>0.42399999999999999</v>
      </c>
      <c r="H969">
        <v>2.6599999999999999E-2</v>
      </c>
      <c r="I969">
        <v>247.7997</v>
      </c>
    </row>
    <row r="970" spans="1:9" x14ac:dyDescent="0.3">
      <c r="A970" t="s">
        <v>9</v>
      </c>
      <c r="B970" t="s">
        <v>1068</v>
      </c>
      <c r="C970">
        <v>3</v>
      </c>
      <c r="D970">
        <v>2.76E-2</v>
      </c>
      <c r="E970">
        <v>8.0202165007161863</v>
      </c>
      <c r="F970">
        <v>901.11854591796612</v>
      </c>
      <c r="G970">
        <v>0.42399999999999999</v>
      </c>
      <c r="H970">
        <v>3.15E-2</v>
      </c>
      <c r="I970">
        <v>247.9982</v>
      </c>
    </row>
    <row r="971" spans="1:9" x14ac:dyDescent="0.3">
      <c r="A971" t="s">
        <v>9</v>
      </c>
      <c r="B971" t="s">
        <v>1069</v>
      </c>
      <c r="C971">
        <v>3</v>
      </c>
      <c r="D971">
        <v>3.2599999999999997E-2</v>
      </c>
      <c r="E971">
        <v>8.3394355127469666</v>
      </c>
      <c r="F971">
        <v>931.41243015968723</v>
      </c>
      <c r="G971">
        <v>0.42399999999999999</v>
      </c>
      <c r="H971">
        <v>3.6400000000000002E-2</v>
      </c>
      <c r="I971">
        <v>248.1995</v>
      </c>
    </row>
    <row r="972" spans="1:9" x14ac:dyDescent="0.3">
      <c r="A972" t="s">
        <v>9</v>
      </c>
      <c r="B972" t="s">
        <v>1070</v>
      </c>
      <c r="C972">
        <v>3</v>
      </c>
      <c r="D972">
        <v>3.7699999999999997E-2</v>
      </c>
      <c r="E972">
        <v>8.6458205645999211</v>
      </c>
      <c r="F972">
        <v>960.48837158053254</v>
      </c>
      <c r="G972">
        <v>0.42399999999999999</v>
      </c>
      <c r="H972">
        <v>4.1200000000000001E-2</v>
      </c>
      <c r="I972">
        <v>248.39750000000001</v>
      </c>
    </row>
    <row r="973" spans="1:9" x14ac:dyDescent="0.3">
      <c r="A973" t="s">
        <v>9</v>
      </c>
      <c r="B973" t="s">
        <v>1071</v>
      </c>
      <c r="C973">
        <v>3</v>
      </c>
      <c r="D973">
        <v>4.2900000000000001E-2</v>
      </c>
      <c r="E973">
        <v>8.9429653435319718</v>
      </c>
      <c r="F973">
        <v>988.68741110118413</v>
      </c>
      <c r="G973">
        <v>0.42399999999999999</v>
      </c>
      <c r="H973">
        <v>4.58E-2</v>
      </c>
      <c r="I973">
        <v>248.59960000000001</v>
      </c>
    </row>
    <row r="974" spans="1:9" x14ac:dyDescent="0.3">
      <c r="A974" t="s">
        <v>9</v>
      </c>
      <c r="B974" t="s">
        <v>1072</v>
      </c>
      <c r="C974">
        <v>3</v>
      </c>
      <c r="D974">
        <v>4.7800000000000002E-2</v>
      </c>
      <c r="E974">
        <v>9.2137772300784313</v>
      </c>
      <c r="F974">
        <v>1014.387459134443</v>
      </c>
      <c r="G974">
        <v>0.42399999999999999</v>
      </c>
      <c r="H974">
        <v>0.05</v>
      </c>
      <c r="I974">
        <v>248.79929999999999</v>
      </c>
    </row>
    <row r="975" spans="1:9" x14ac:dyDescent="0.3">
      <c r="A975" t="s">
        <v>9</v>
      </c>
      <c r="B975" t="s">
        <v>1073</v>
      </c>
      <c r="C975">
        <v>3</v>
      </c>
      <c r="D975">
        <v>5.2699999999999997E-2</v>
      </c>
      <c r="E975">
        <v>9.4560378937662541</v>
      </c>
      <c r="F975">
        <v>1037.377996118418</v>
      </c>
      <c r="G975">
        <v>0.42399999999999999</v>
      </c>
      <c r="H975">
        <v>5.3800000000000001E-2</v>
      </c>
      <c r="I975">
        <v>248.99950000000001</v>
      </c>
    </row>
    <row r="976" spans="1:9" x14ac:dyDescent="0.3">
      <c r="A976" t="s">
        <v>9</v>
      </c>
      <c r="B976" t="s">
        <v>1074</v>
      </c>
      <c r="C976">
        <v>3</v>
      </c>
      <c r="D976">
        <v>5.5800000000000002E-2</v>
      </c>
      <c r="E976">
        <v>9.6636320247445013</v>
      </c>
      <c r="F976">
        <v>1057.0786791482531</v>
      </c>
      <c r="G976">
        <v>0.42399999999999999</v>
      </c>
      <c r="H976">
        <v>5.7000000000000002E-2</v>
      </c>
      <c r="I976">
        <v>249.2004</v>
      </c>
    </row>
    <row r="977" spans="1:9" x14ac:dyDescent="0.3">
      <c r="A977" t="s">
        <v>9</v>
      </c>
      <c r="B977" t="s">
        <v>1075</v>
      </c>
      <c r="C977">
        <v>3</v>
      </c>
      <c r="D977">
        <v>5.8999999999999997E-2</v>
      </c>
      <c r="E977">
        <v>9.8286237494948985</v>
      </c>
      <c r="F977">
        <v>1072.736393827066</v>
      </c>
      <c r="G977">
        <v>0.42399999999999999</v>
      </c>
      <c r="H977">
        <v>5.96E-2</v>
      </c>
      <c r="I977">
        <v>249.39879999999999</v>
      </c>
    </row>
    <row r="978" spans="1:9" x14ac:dyDescent="0.3">
      <c r="A978" t="s">
        <v>9</v>
      </c>
      <c r="B978" t="s">
        <v>1076</v>
      </c>
      <c r="C978">
        <v>3</v>
      </c>
      <c r="D978">
        <v>6.1899999999999997E-2</v>
      </c>
      <c r="E978">
        <v>9.9509015635612048</v>
      </c>
      <c r="F978">
        <v>1084.340558381959</v>
      </c>
      <c r="G978">
        <v>0.42399999999999999</v>
      </c>
      <c r="H978">
        <v>6.1499999999999999E-2</v>
      </c>
      <c r="I978">
        <v>249.5994</v>
      </c>
    </row>
    <row r="979" spans="1:9" x14ac:dyDescent="0.3">
      <c r="A979" t="s">
        <v>9</v>
      </c>
      <c r="B979" t="s">
        <v>1077</v>
      </c>
      <c r="C979">
        <v>3</v>
      </c>
      <c r="D979">
        <v>6.4600000000000005E-2</v>
      </c>
      <c r="E979">
        <v>10.02489632619268</v>
      </c>
      <c r="F979">
        <v>1091.362661355686</v>
      </c>
      <c r="G979">
        <v>0.42399999999999999</v>
      </c>
      <c r="H979">
        <v>6.2600000000000003E-2</v>
      </c>
      <c r="I979">
        <v>249.79769999999999</v>
      </c>
    </row>
    <row r="980" spans="1:9" x14ac:dyDescent="0.3">
      <c r="A980" t="s">
        <v>9</v>
      </c>
      <c r="B980" t="s">
        <v>1078</v>
      </c>
      <c r="C980">
        <v>3</v>
      </c>
      <c r="D980">
        <v>6.6199999999999995E-2</v>
      </c>
      <c r="E980">
        <v>10.05044098344035</v>
      </c>
      <c r="F980">
        <v>1093.7868493284891</v>
      </c>
      <c r="G980">
        <v>0.42399999999999999</v>
      </c>
      <c r="H980">
        <v>6.3E-2</v>
      </c>
      <c r="I980">
        <v>249.99959999999999</v>
      </c>
    </row>
    <row r="981" spans="1:9" x14ac:dyDescent="0.3">
      <c r="A981" t="s">
        <v>9</v>
      </c>
      <c r="B981" t="s">
        <v>1079</v>
      </c>
      <c r="C981">
        <v>3</v>
      </c>
      <c r="D981">
        <v>6.6199999999999995E-2</v>
      </c>
      <c r="E981">
        <v>10.02603853729533</v>
      </c>
      <c r="F981">
        <v>982.42679167592473</v>
      </c>
      <c r="G981">
        <v>0.42399999999999999</v>
      </c>
      <c r="H981">
        <v>6.2600000000000003E-2</v>
      </c>
      <c r="I981">
        <v>250.1977</v>
      </c>
    </row>
    <row r="982" spans="1:9" x14ac:dyDescent="0.3">
      <c r="A982" t="s">
        <v>9</v>
      </c>
      <c r="B982" t="s">
        <v>1080</v>
      </c>
      <c r="C982">
        <v>3</v>
      </c>
      <c r="D982">
        <v>6.4299999999999996E-2</v>
      </c>
      <c r="E982">
        <v>9.9520190409481035</v>
      </c>
      <c r="F982">
        <v>975.52817461636323</v>
      </c>
      <c r="G982">
        <v>0.42399999999999999</v>
      </c>
      <c r="H982">
        <v>6.1499999999999999E-2</v>
      </c>
      <c r="I982">
        <v>250.39840000000001</v>
      </c>
    </row>
    <row r="983" spans="1:9" x14ac:dyDescent="0.3">
      <c r="A983" t="s">
        <v>9</v>
      </c>
      <c r="B983" t="s">
        <v>1081</v>
      </c>
      <c r="C983">
        <v>3</v>
      </c>
      <c r="D983">
        <v>6.2700000000000006E-2</v>
      </c>
      <c r="E983">
        <v>9.8297902888425437</v>
      </c>
      <c r="F983">
        <v>964.13645492012506</v>
      </c>
      <c r="G983">
        <v>0.42399999999999999</v>
      </c>
      <c r="H983">
        <v>5.96E-2</v>
      </c>
      <c r="I983">
        <v>250.59950000000001</v>
      </c>
    </row>
    <row r="984" spans="1:9" x14ac:dyDescent="0.3">
      <c r="A984" t="s">
        <v>9</v>
      </c>
      <c r="B984" t="s">
        <v>1082</v>
      </c>
      <c r="C984">
        <v>3</v>
      </c>
      <c r="D984">
        <v>6.0900000000000003E-2</v>
      </c>
      <c r="E984">
        <v>9.6635780971347582</v>
      </c>
      <c r="F984">
        <v>948.64547865295947</v>
      </c>
      <c r="G984">
        <v>0.42399999999999999</v>
      </c>
      <c r="H984">
        <v>5.7000000000000002E-2</v>
      </c>
      <c r="I984">
        <v>250.7997</v>
      </c>
    </row>
    <row r="985" spans="1:9" x14ac:dyDescent="0.3">
      <c r="A985" t="s">
        <v>9</v>
      </c>
      <c r="B985" t="s">
        <v>1083</v>
      </c>
      <c r="C985">
        <v>3</v>
      </c>
      <c r="D985">
        <v>5.8599999999999999E-2</v>
      </c>
      <c r="E985">
        <v>9.4593384256709534</v>
      </c>
      <c r="F985">
        <v>929.61034127253288</v>
      </c>
      <c r="G985">
        <v>0.42399999999999999</v>
      </c>
      <c r="H985">
        <v>5.3800000000000001E-2</v>
      </c>
      <c r="I985">
        <v>250.99760000000001</v>
      </c>
    </row>
    <row r="986" spans="1:9" x14ac:dyDescent="0.3">
      <c r="A986" t="s">
        <v>9</v>
      </c>
      <c r="B986" t="s">
        <v>1084</v>
      </c>
      <c r="C986">
        <v>3</v>
      </c>
      <c r="D986">
        <v>5.5800000000000002E-2</v>
      </c>
      <c r="E986">
        <v>9.2151546142160541</v>
      </c>
      <c r="F986">
        <v>906.85241004493628</v>
      </c>
      <c r="G986">
        <v>0.42399999999999999</v>
      </c>
      <c r="H986">
        <v>0.05</v>
      </c>
      <c r="I986">
        <v>251.19970000000001</v>
      </c>
    </row>
    <row r="987" spans="1:9" x14ac:dyDescent="0.3">
      <c r="A987" t="s">
        <v>9</v>
      </c>
      <c r="B987" t="s">
        <v>1085</v>
      </c>
      <c r="C987">
        <v>3</v>
      </c>
      <c r="D987">
        <v>5.1299999999999998E-2</v>
      </c>
      <c r="E987">
        <v>8.9455011576022372</v>
      </c>
      <c r="F987">
        <v>881.72070788852852</v>
      </c>
      <c r="G987">
        <v>0.42399999999999999</v>
      </c>
      <c r="H987">
        <v>4.58E-2</v>
      </c>
      <c r="I987">
        <v>251.39859999999999</v>
      </c>
    </row>
    <row r="988" spans="1:9" x14ac:dyDescent="0.3">
      <c r="A988" t="s">
        <v>9</v>
      </c>
      <c r="B988" t="s">
        <v>1086</v>
      </c>
      <c r="C988">
        <v>3</v>
      </c>
      <c r="D988">
        <v>4.6300000000000001E-2</v>
      </c>
      <c r="E988">
        <v>8.6521767240763392</v>
      </c>
      <c r="F988">
        <v>854.3828706839148</v>
      </c>
      <c r="G988">
        <v>0.42399999999999999</v>
      </c>
      <c r="H988">
        <v>4.1300000000000003E-2</v>
      </c>
      <c r="I988">
        <v>251.59829999999999</v>
      </c>
    </row>
    <row r="989" spans="1:9" x14ac:dyDescent="0.3">
      <c r="A989" t="s">
        <v>9</v>
      </c>
      <c r="B989" t="s">
        <v>1087</v>
      </c>
      <c r="C989">
        <v>3</v>
      </c>
      <c r="D989">
        <v>4.1799999999999997E-2</v>
      </c>
      <c r="E989">
        <v>8.3414831400342795</v>
      </c>
      <c r="F989">
        <v>825.42622865119483</v>
      </c>
      <c r="G989">
        <v>0.42399999999999999</v>
      </c>
      <c r="H989">
        <v>3.6400000000000002E-2</v>
      </c>
      <c r="I989">
        <v>251.79920000000001</v>
      </c>
    </row>
    <row r="990" spans="1:9" x14ac:dyDescent="0.3">
      <c r="A990" t="s">
        <v>9</v>
      </c>
      <c r="B990" t="s">
        <v>1088</v>
      </c>
      <c r="C990">
        <v>3</v>
      </c>
      <c r="D990">
        <v>3.6999999999999998E-2</v>
      </c>
      <c r="E990">
        <v>5.9957334838115024</v>
      </c>
      <c r="F990">
        <v>606.80236069123202</v>
      </c>
      <c r="G990">
        <v>0.42399999999999999</v>
      </c>
      <c r="H990">
        <v>0</v>
      </c>
      <c r="I990">
        <v>251.99760000000001</v>
      </c>
    </row>
    <row r="991" spans="1:9" x14ac:dyDescent="0.3">
      <c r="A991" t="s">
        <v>9</v>
      </c>
      <c r="B991" t="s">
        <v>1089</v>
      </c>
      <c r="C991">
        <v>3</v>
      </c>
      <c r="D991">
        <v>2.58E-2</v>
      </c>
      <c r="E991">
        <v>5.9957334838115024</v>
      </c>
      <c r="F991">
        <v>606.80236069123202</v>
      </c>
      <c r="G991">
        <v>0.42399999999999999</v>
      </c>
      <c r="H991">
        <v>0</v>
      </c>
      <c r="I991">
        <v>252.20240000000001</v>
      </c>
    </row>
    <row r="992" spans="1:9" x14ac:dyDescent="0.3">
      <c r="A992" t="s">
        <v>9</v>
      </c>
      <c r="B992" t="s">
        <v>1090</v>
      </c>
      <c r="C992">
        <v>3</v>
      </c>
      <c r="D992">
        <v>9.5999999999999992E-3</v>
      </c>
      <c r="E992">
        <v>5.9957334838115024</v>
      </c>
      <c r="F992">
        <v>606.80236069123202</v>
      </c>
      <c r="G992">
        <v>0.42399999999999999</v>
      </c>
      <c r="H992">
        <v>0</v>
      </c>
      <c r="I992">
        <v>252.3997</v>
      </c>
    </row>
    <row r="993" spans="1:9" x14ac:dyDescent="0.3">
      <c r="A993" t="s">
        <v>9</v>
      </c>
      <c r="B993" t="s">
        <v>1091</v>
      </c>
      <c r="C993">
        <v>3</v>
      </c>
      <c r="D993">
        <v>1.1000000000000001E-3</v>
      </c>
      <c r="E993">
        <v>5.9957334838115024</v>
      </c>
      <c r="F993">
        <v>606.80236069123202</v>
      </c>
      <c r="G993">
        <v>0.42399999999999999</v>
      </c>
      <c r="H993">
        <v>0</v>
      </c>
      <c r="I993">
        <v>252.5984</v>
      </c>
    </row>
    <row r="994" spans="1:9" x14ac:dyDescent="0.3">
      <c r="A994" t="s">
        <v>9</v>
      </c>
      <c r="B994" t="s">
        <v>1092</v>
      </c>
      <c r="C994">
        <v>3</v>
      </c>
      <c r="D994">
        <v>-3.0999999999999999E-3</v>
      </c>
      <c r="E994">
        <v>5.9957334838115024</v>
      </c>
      <c r="F994">
        <v>606.80236069123202</v>
      </c>
      <c r="G994">
        <v>0.42399999999999999</v>
      </c>
      <c r="H994">
        <v>0</v>
      </c>
      <c r="I994">
        <v>252.79949999999999</v>
      </c>
    </row>
    <row r="995" spans="1:9" x14ac:dyDescent="0.3">
      <c r="A995" t="s">
        <v>9</v>
      </c>
      <c r="B995" t="s">
        <v>1093</v>
      </c>
      <c r="C995">
        <v>3</v>
      </c>
      <c r="D995">
        <v>-3.0999999999999999E-3</v>
      </c>
      <c r="E995">
        <v>5.9957334838115024</v>
      </c>
      <c r="F995">
        <v>606.80236069123202</v>
      </c>
      <c r="G995">
        <v>0.42399999999999999</v>
      </c>
      <c r="H995">
        <v>0</v>
      </c>
      <c r="I995">
        <v>252.99959999999999</v>
      </c>
    </row>
    <row r="996" spans="1:9" x14ac:dyDescent="0.3">
      <c r="A996" t="s">
        <v>9</v>
      </c>
      <c r="B996" t="s">
        <v>1094</v>
      </c>
      <c r="C996">
        <v>3</v>
      </c>
      <c r="D996">
        <v>-3.0999999999999999E-3</v>
      </c>
      <c r="E996">
        <v>5.9957334838115024</v>
      </c>
      <c r="F996">
        <v>606.80236069123202</v>
      </c>
      <c r="G996">
        <v>0.42399999999999999</v>
      </c>
      <c r="H996">
        <v>0</v>
      </c>
      <c r="I996">
        <v>253.19919999999999</v>
      </c>
    </row>
    <row r="997" spans="1:9" x14ac:dyDescent="0.3">
      <c r="A997" t="s">
        <v>9</v>
      </c>
      <c r="B997" t="s">
        <v>1095</v>
      </c>
      <c r="C997">
        <v>3</v>
      </c>
      <c r="D997">
        <v>-3.0999999999999999E-3</v>
      </c>
      <c r="E997">
        <v>5.9957334838115024</v>
      </c>
      <c r="F997">
        <v>606.80236069123202</v>
      </c>
      <c r="G997">
        <v>0.42399999999999999</v>
      </c>
      <c r="H997">
        <v>0</v>
      </c>
      <c r="I997">
        <v>253.3989</v>
      </c>
    </row>
    <row r="998" spans="1:9" x14ac:dyDescent="0.3">
      <c r="A998" t="s">
        <v>9</v>
      </c>
      <c r="B998" t="s">
        <v>1096</v>
      </c>
      <c r="C998">
        <v>3</v>
      </c>
      <c r="D998">
        <v>-3.0999999999999999E-3</v>
      </c>
      <c r="E998">
        <v>5.9957334838115024</v>
      </c>
      <c r="F998">
        <v>606.80236069123202</v>
      </c>
      <c r="G998">
        <v>0.42399999999999999</v>
      </c>
      <c r="H998">
        <v>0</v>
      </c>
      <c r="I998">
        <v>253.60050000000001</v>
      </c>
    </row>
    <row r="999" spans="1:9" x14ac:dyDescent="0.3">
      <c r="A999" t="s">
        <v>9</v>
      </c>
      <c r="B999" t="s">
        <v>1097</v>
      </c>
      <c r="C999">
        <v>3</v>
      </c>
      <c r="D999">
        <v>-3.0999999999999999E-3</v>
      </c>
      <c r="E999">
        <v>5.9957334838115024</v>
      </c>
      <c r="F999">
        <v>606.80236069123202</v>
      </c>
      <c r="G999">
        <v>0.42399999999999999</v>
      </c>
      <c r="H999">
        <v>0</v>
      </c>
      <c r="I999">
        <v>253.79949999999999</v>
      </c>
    </row>
    <row r="1000" spans="1:9" x14ac:dyDescent="0.3">
      <c r="A1000" t="s">
        <v>9</v>
      </c>
      <c r="B1000" t="s">
        <v>1098</v>
      </c>
      <c r="C1000">
        <v>3</v>
      </c>
      <c r="D1000">
        <v>-3.0999999999999999E-3</v>
      </c>
      <c r="E1000">
        <v>5.9957334838115024</v>
      </c>
      <c r="F1000">
        <v>606.80236069123202</v>
      </c>
      <c r="G1000">
        <v>0.42399999999999999</v>
      </c>
      <c r="H1000">
        <v>0</v>
      </c>
      <c r="I1000">
        <v>253.99940000000001</v>
      </c>
    </row>
    <row r="1001" spans="1:9" x14ac:dyDescent="0.3">
      <c r="A1001" t="s">
        <v>9</v>
      </c>
      <c r="B1001" t="s">
        <v>1099</v>
      </c>
      <c r="C1001">
        <v>3</v>
      </c>
      <c r="D1001">
        <v>-3.0999999999999999E-3</v>
      </c>
      <c r="E1001">
        <v>5.9957334838115024</v>
      </c>
      <c r="F1001">
        <v>606.80236069123202</v>
      </c>
      <c r="G1001">
        <v>0.42399999999999999</v>
      </c>
      <c r="H1001">
        <v>0</v>
      </c>
      <c r="I1001">
        <v>254.19829999999999</v>
      </c>
    </row>
    <row r="1002" spans="1:9" x14ac:dyDescent="0.3">
      <c r="A1002" t="s">
        <v>9</v>
      </c>
      <c r="B1002" t="s">
        <v>1100</v>
      </c>
      <c r="C1002">
        <v>3</v>
      </c>
      <c r="D1002">
        <v>-3.0999999999999999E-3</v>
      </c>
      <c r="E1002">
        <v>5.9957334838115024</v>
      </c>
      <c r="F1002">
        <v>606.80236069123202</v>
      </c>
      <c r="G1002">
        <v>0.42399999999999999</v>
      </c>
      <c r="H1002">
        <v>0</v>
      </c>
      <c r="I1002">
        <v>254.39879999999999</v>
      </c>
    </row>
    <row r="1003" spans="1:9" x14ac:dyDescent="0.3">
      <c r="A1003" t="s">
        <v>9</v>
      </c>
      <c r="B1003" t="s">
        <v>1101</v>
      </c>
      <c r="C1003">
        <v>3</v>
      </c>
      <c r="D1003">
        <v>-3.0999999999999999E-3</v>
      </c>
      <c r="E1003">
        <v>5.9957334838115024</v>
      </c>
      <c r="F1003">
        <v>606.80236069123202</v>
      </c>
      <c r="G1003">
        <v>0.42399999999999999</v>
      </c>
      <c r="H1003">
        <v>0</v>
      </c>
      <c r="I1003">
        <v>254.60069999999999</v>
      </c>
    </row>
    <row r="1004" spans="1:9" x14ac:dyDescent="0.3">
      <c r="A1004" t="s">
        <v>9</v>
      </c>
      <c r="B1004" t="s">
        <v>1102</v>
      </c>
      <c r="C1004">
        <v>3</v>
      </c>
      <c r="D1004">
        <v>-3.0999999999999999E-3</v>
      </c>
      <c r="E1004">
        <v>5.9957334838115024</v>
      </c>
      <c r="F1004">
        <v>606.80236069123202</v>
      </c>
      <c r="G1004">
        <v>0.42399999999999999</v>
      </c>
      <c r="H1004">
        <v>0</v>
      </c>
      <c r="I1004">
        <v>254.79750000000001</v>
      </c>
    </row>
    <row r="1005" spans="1:9" x14ac:dyDescent="0.3">
      <c r="A1005" t="s">
        <v>9</v>
      </c>
      <c r="B1005" t="s">
        <v>1103</v>
      </c>
      <c r="C1005">
        <v>3</v>
      </c>
      <c r="D1005">
        <v>-3.0999999999999999E-3</v>
      </c>
      <c r="E1005">
        <v>5.9957334838115024</v>
      </c>
      <c r="F1005">
        <v>606.80236069123202</v>
      </c>
      <c r="G1005">
        <v>0.42399999999999999</v>
      </c>
      <c r="H1005">
        <v>0</v>
      </c>
      <c r="I1005">
        <v>254.99809999999999</v>
      </c>
    </row>
    <row r="1006" spans="1:9" x14ac:dyDescent="0.3">
      <c r="A1006" t="s">
        <v>9</v>
      </c>
      <c r="B1006" t="s">
        <v>1104</v>
      </c>
      <c r="C1006">
        <v>3</v>
      </c>
      <c r="D1006">
        <v>-3.0999999999999999E-3</v>
      </c>
      <c r="E1006">
        <v>5.9957334838115024</v>
      </c>
      <c r="F1006">
        <v>606.80236069123202</v>
      </c>
      <c r="G1006">
        <v>0.42399999999999999</v>
      </c>
      <c r="H1006">
        <v>0</v>
      </c>
      <c r="I1006">
        <v>255.1995</v>
      </c>
    </row>
    <row r="1007" spans="1:9" x14ac:dyDescent="0.3">
      <c r="A1007" t="s">
        <v>9</v>
      </c>
      <c r="B1007" t="s">
        <v>1105</v>
      </c>
      <c r="C1007">
        <v>3</v>
      </c>
      <c r="D1007">
        <v>-3.0999999999999999E-3</v>
      </c>
      <c r="E1007">
        <v>5.9957334838115024</v>
      </c>
      <c r="F1007">
        <v>606.80236069123202</v>
      </c>
      <c r="G1007">
        <v>0.42399999999999999</v>
      </c>
      <c r="H1007">
        <v>0</v>
      </c>
      <c r="I1007">
        <v>255.39859999999999</v>
      </c>
    </row>
    <row r="1008" spans="1:9" x14ac:dyDescent="0.3">
      <c r="A1008" t="s">
        <v>9</v>
      </c>
      <c r="B1008" t="s">
        <v>1106</v>
      </c>
      <c r="C1008">
        <v>3</v>
      </c>
      <c r="D1008">
        <v>-3.0999999999999999E-3</v>
      </c>
      <c r="E1008">
        <v>5.9957334838115024</v>
      </c>
      <c r="F1008">
        <v>606.80236069123202</v>
      </c>
      <c r="G1008">
        <v>0.42399999999999999</v>
      </c>
      <c r="H1008">
        <v>0</v>
      </c>
      <c r="I1008">
        <v>255.5992</v>
      </c>
    </row>
    <row r="1009" spans="1:9" x14ac:dyDescent="0.3">
      <c r="A1009" t="s">
        <v>9</v>
      </c>
      <c r="B1009" t="s">
        <v>1107</v>
      </c>
      <c r="C1009">
        <v>3</v>
      </c>
      <c r="D1009">
        <v>-3.0999999999999999E-3</v>
      </c>
      <c r="E1009">
        <v>5.9957334838115024</v>
      </c>
      <c r="F1009">
        <v>606.80236069123202</v>
      </c>
      <c r="G1009">
        <v>0.42399999999999999</v>
      </c>
      <c r="H1009">
        <v>0</v>
      </c>
      <c r="I1009">
        <v>255.79990000000001</v>
      </c>
    </row>
    <row r="1010" spans="1:9" x14ac:dyDescent="0.3">
      <c r="A1010" t="s">
        <v>9</v>
      </c>
      <c r="B1010" t="s">
        <v>1108</v>
      </c>
      <c r="C1010">
        <v>3</v>
      </c>
      <c r="D1010">
        <v>-3.0999999999999999E-3</v>
      </c>
      <c r="E1010">
        <v>5.9957334838115024</v>
      </c>
      <c r="F1010">
        <v>606.80236069123202</v>
      </c>
      <c r="G1010">
        <v>0.42399999999999999</v>
      </c>
      <c r="H1010">
        <v>0</v>
      </c>
      <c r="I1010">
        <v>255.99969999999999</v>
      </c>
    </row>
    <row r="1011" spans="1:9" x14ac:dyDescent="0.3">
      <c r="A1011" t="s">
        <v>9</v>
      </c>
      <c r="B1011" t="s">
        <v>1109</v>
      </c>
      <c r="C1011">
        <v>3</v>
      </c>
      <c r="D1011">
        <v>-3.0999999999999999E-3</v>
      </c>
      <c r="E1011">
        <v>5.9957334838115024</v>
      </c>
      <c r="F1011">
        <v>606.80236069123202</v>
      </c>
      <c r="G1011">
        <v>0.42399999999999999</v>
      </c>
      <c r="H1011">
        <v>0</v>
      </c>
      <c r="I1011">
        <v>256.1977</v>
      </c>
    </row>
    <row r="1012" spans="1:9" x14ac:dyDescent="0.3">
      <c r="A1012" t="s">
        <v>9</v>
      </c>
      <c r="B1012" t="s">
        <v>1110</v>
      </c>
      <c r="C1012">
        <v>3</v>
      </c>
      <c r="D1012">
        <v>-3.0999999999999999E-3</v>
      </c>
      <c r="E1012">
        <v>5.9957334838115024</v>
      </c>
      <c r="F1012">
        <v>606.80236069123202</v>
      </c>
      <c r="G1012">
        <v>0.42399999999999999</v>
      </c>
      <c r="H1012">
        <v>0</v>
      </c>
      <c r="I1012">
        <v>256.39929999999998</v>
      </c>
    </row>
    <row r="1013" spans="1:9" x14ac:dyDescent="0.3">
      <c r="A1013" t="s">
        <v>9</v>
      </c>
      <c r="B1013" t="s">
        <v>1111</v>
      </c>
      <c r="C1013">
        <v>3</v>
      </c>
      <c r="D1013">
        <v>-3.0999999999999999E-3</v>
      </c>
      <c r="E1013">
        <v>5.9957334838115024</v>
      </c>
      <c r="F1013">
        <v>606.80236069123202</v>
      </c>
      <c r="G1013">
        <v>0.42399999999999999</v>
      </c>
      <c r="H1013">
        <v>0</v>
      </c>
      <c r="I1013">
        <v>256.59809999999999</v>
      </c>
    </row>
    <row r="1014" spans="1:9" x14ac:dyDescent="0.3">
      <c r="A1014" t="s">
        <v>9</v>
      </c>
      <c r="B1014" t="s">
        <v>1112</v>
      </c>
      <c r="C1014">
        <v>3</v>
      </c>
      <c r="D1014">
        <v>-3.0999999999999999E-3</v>
      </c>
      <c r="E1014">
        <v>5.9957334838115024</v>
      </c>
      <c r="F1014">
        <v>606.80236069123202</v>
      </c>
      <c r="G1014">
        <v>0.42399999999999999</v>
      </c>
      <c r="H1014">
        <v>0</v>
      </c>
      <c r="I1014">
        <v>256.79930000000002</v>
      </c>
    </row>
    <row r="1015" spans="1:9" x14ac:dyDescent="0.3">
      <c r="A1015" t="s">
        <v>9</v>
      </c>
      <c r="B1015" t="s">
        <v>1113</v>
      </c>
      <c r="C1015">
        <v>3</v>
      </c>
      <c r="D1015">
        <v>-3.0999999999999999E-3</v>
      </c>
      <c r="E1015">
        <v>5.9957334838115024</v>
      </c>
      <c r="F1015">
        <v>606.80236069123202</v>
      </c>
      <c r="G1015">
        <v>0.42399999999999999</v>
      </c>
      <c r="H1015">
        <v>0</v>
      </c>
      <c r="I1015">
        <v>257.00139999999999</v>
      </c>
    </row>
    <row r="1016" spans="1:9" x14ac:dyDescent="0.3">
      <c r="A1016" t="s">
        <v>9</v>
      </c>
      <c r="B1016" t="s">
        <v>1114</v>
      </c>
      <c r="C1016">
        <v>3</v>
      </c>
      <c r="D1016">
        <v>-3.0999999999999999E-3</v>
      </c>
      <c r="E1016">
        <v>5.9957334838115024</v>
      </c>
      <c r="F1016">
        <v>606.80236069123202</v>
      </c>
      <c r="G1016">
        <v>0.42399999999999999</v>
      </c>
      <c r="H1016">
        <v>0</v>
      </c>
      <c r="I1016">
        <v>257.19940000000003</v>
      </c>
    </row>
    <row r="1017" spans="1:9" x14ac:dyDescent="0.3">
      <c r="A1017" t="s">
        <v>9</v>
      </c>
      <c r="B1017" t="s">
        <v>1115</v>
      </c>
      <c r="C1017">
        <v>3</v>
      </c>
      <c r="D1017">
        <v>-3.0999999999999999E-3</v>
      </c>
      <c r="E1017">
        <v>5.9957334838115024</v>
      </c>
      <c r="F1017">
        <v>606.80236069123202</v>
      </c>
      <c r="G1017">
        <v>0.42399999999999999</v>
      </c>
      <c r="H1017">
        <v>0</v>
      </c>
      <c r="I1017">
        <v>257.39800000000002</v>
      </c>
    </row>
    <row r="1018" spans="1:9" x14ac:dyDescent="0.3">
      <c r="A1018" t="s">
        <v>9</v>
      </c>
      <c r="B1018" t="s">
        <v>1116</v>
      </c>
      <c r="C1018">
        <v>3</v>
      </c>
      <c r="D1018">
        <v>-3.0999999999999999E-3</v>
      </c>
      <c r="E1018">
        <v>5.9957334838115024</v>
      </c>
      <c r="F1018">
        <v>606.80236069123202</v>
      </c>
      <c r="G1018">
        <v>0.42399999999999999</v>
      </c>
      <c r="H1018">
        <v>0</v>
      </c>
      <c r="I1018">
        <v>257.59809999999999</v>
      </c>
    </row>
    <row r="1019" spans="1:9" x14ac:dyDescent="0.3">
      <c r="A1019" t="s">
        <v>9</v>
      </c>
      <c r="B1019" t="s">
        <v>1117</v>
      </c>
      <c r="C1019">
        <v>3</v>
      </c>
      <c r="D1019">
        <v>-3.0999999999999999E-3</v>
      </c>
      <c r="E1019">
        <v>10.024867537769429</v>
      </c>
      <c r="F1019">
        <v>1091.35992933432</v>
      </c>
      <c r="G1019">
        <v>0.42399999999999999</v>
      </c>
      <c r="H1019">
        <v>6.2600000000000003E-2</v>
      </c>
      <c r="I1019">
        <v>257.79750000000001</v>
      </c>
    </row>
    <row r="1020" spans="1:9" x14ac:dyDescent="0.3">
      <c r="A1020" t="s">
        <v>9</v>
      </c>
      <c r="B1020" t="s">
        <v>1118</v>
      </c>
      <c r="C1020">
        <v>3</v>
      </c>
      <c r="D1020">
        <v>3.95E-2</v>
      </c>
      <c r="E1020">
        <v>10.0504389560866</v>
      </c>
      <c r="F1020">
        <v>1093.7866569326179</v>
      </c>
      <c r="G1020">
        <v>0.42399999999999999</v>
      </c>
      <c r="H1020">
        <v>6.3E-2</v>
      </c>
      <c r="I1020">
        <v>257.9982</v>
      </c>
    </row>
    <row r="1021" spans="1:9" x14ac:dyDescent="0.3">
      <c r="A1021" t="s">
        <v>9</v>
      </c>
      <c r="B1021" t="s">
        <v>1119</v>
      </c>
      <c r="C1021">
        <v>3</v>
      </c>
      <c r="D1021">
        <v>6.0100000000000001E-2</v>
      </c>
      <c r="E1021">
        <v>10.025788361842601</v>
      </c>
      <c r="F1021">
        <v>982.40347532373062</v>
      </c>
      <c r="G1021">
        <v>0.42399999999999999</v>
      </c>
      <c r="H1021">
        <v>6.2600000000000003E-2</v>
      </c>
      <c r="I1021">
        <v>258.19880000000001</v>
      </c>
    </row>
    <row r="1022" spans="1:9" x14ac:dyDescent="0.3">
      <c r="A1022" t="s">
        <v>9</v>
      </c>
      <c r="B1022" t="s">
        <v>1120</v>
      </c>
      <c r="C1022">
        <v>3</v>
      </c>
      <c r="D1022">
        <v>6.2100000000000002E-2</v>
      </c>
      <c r="E1022">
        <v>9.9516460078581375</v>
      </c>
      <c r="F1022">
        <v>975.49340793237843</v>
      </c>
      <c r="G1022">
        <v>0.42399999999999999</v>
      </c>
      <c r="H1022">
        <v>6.1499999999999999E-2</v>
      </c>
      <c r="I1022">
        <v>258.39909999999998</v>
      </c>
    </row>
    <row r="1023" spans="1:9" x14ac:dyDescent="0.3">
      <c r="A1023" t="s">
        <v>9</v>
      </c>
      <c r="B1023" t="s">
        <v>1121</v>
      </c>
      <c r="C1023">
        <v>3</v>
      </c>
      <c r="D1023">
        <v>6.13E-2</v>
      </c>
      <c r="E1023">
        <v>9.8309373655941865</v>
      </c>
      <c r="F1023">
        <v>964.24336247337817</v>
      </c>
      <c r="G1023">
        <v>0.42399999999999999</v>
      </c>
      <c r="H1023">
        <v>5.96E-2</v>
      </c>
      <c r="I1023">
        <v>258.59800000000001</v>
      </c>
    </row>
    <row r="1024" spans="1:9" x14ac:dyDescent="0.3">
      <c r="A1024" t="s">
        <v>9</v>
      </c>
      <c r="B1024" t="s">
        <v>1122</v>
      </c>
      <c r="C1024">
        <v>3</v>
      </c>
      <c r="D1024">
        <v>6.0600000000000001E-2</v>
      </c>
      <c r="E1024">
        <v>9.6635930995525054</v>
      </c>
      <c r="F1024">
        <v>948.64687687829348</v>
      </c>
      <c r="G1024">
        <v>0.42399999999999999</v>
      </c>
      <c r="H1024">
        <v>5.7000000000000002E-2</v>
      </c>
      <c r="I1024">
        <v>258.7996</v>
      </c>
    </row>
    <row r="1025" spans="1:9" x14ac:dyDescent="0.3">
      <c r="A1025" t="s">
        <v>9</v>
      </c>
      <c r="B1025" t="s">
        <v>1123</v>
      </c>
      <c r="C1025">
        <v>3</v>
      </c>
      <c r="D1025">
        <v>5.91E-2</v>
      </c>
      <c r="E1025">
        <v>9.4580684912820701</v>
      </c>
      <c r="F1025">
        <v>929.49198338748897</v>
      </c>
      <c r="G1025">
        <v>0.42399999999999999</v>
      </c>
      <c r="H1025">
        <v>5.3800000000000001E-2</v>
      </c>
      <c r="I1025">
        <v>258.99869999999999</v>
      </c>
    </row>
    <row r="1026" spans="1:9" x14ac:dyDescent="0.3">
      <c r="A1026" t="s">
        <v>9</v>
      </c>
      <c r="B1026" t="s">
        <v>1124</v>
      </c>
      <c r="C1026">
        <v>3</v>
      </c>
      <c r="D1026">
        <v>5.57E-2</v>
      </c>
      <c r="E1026">
        <v>9.2169512551091408</v>
      </c>
      <c r="F1026">
        <v>907.01985697617192</v>
      </c>
      <c r="G1026">
        <v>0.42399999999999999</v>
      </c>
      <c r="H1026">
        <v>0.05</v>
      </c>
      <c r="I1026">
        <v>259.19830000000002</v>
      </c>
    </row>
    <row r="1027" spans="1:9" x14ac:dyDescent="0.3">
      <c r="A1027" t="s">
        <v>9</v>
      </c>
      <c r="B1027" t="s">
        <v>1125</v>
      </c>
      <c r="C1027">
        <v>3</v>
      </c>
      <c r="D1027">
        <v>5.0799999999999998E-2</v>
      </c>
      <c r="E1027">
        <v>8.9449176851930403</v>
      </c>
      <c r="F1027">
        <v>881.66632825999136</v>
      </c>
      <c r="G1027">
        <v>0.42399999999999999</v>
      </c>
      <c r="H1027">
        <v>4.58E-2</v>
      </c>
      <c r="I1027">
        <v>259.399</v>
      </c>
    </row>
    <row r="1028" spans="1:9" x14ac:dyDescent="0.3">
      <c r="A1028" t="s">
        <v>9</v>
      </c>
      <c r="B1028" t="s">
        <v>1126</v>
      </c>
      <c r="C1028">
        <v>3</v>
      </c>
      <c r="D1028">
        <v>4.6100000000000002E-2</v>
      </c>
      <c r="E1028">
        <v>8.6526422044972975</v>
      </c>
      <c r="F1028">
        <v>854.42625345914814</v>
      </c>
      <c r="G1028">
        <v>0.42399999999999999</v>
      </c>
      <c r="H1028">
        <v>4.1300000000000003E-2</v>
      </c>
      <c r="I1028">
        <v>259.59800000000001</v>
      </c>
    </row>
    <row r="1029" spans="1:9" x14ac:dyDescent="0.3">
      <c r="A1029" t="s">
        <v>9</v>
      </c>
      <c r="B1029" t="s">
        <v>1127</v>
      </c>
      <c r="C1029">
        <v>3</v>
      </c>
      <c r="D1029">
        <v>4.1300000000000003E-2</v>
      </c>
      <c r="E1029">
        <v>8.3428832305339018</v>
      </c>
      <c r="F1029">
        <v>825.55671708575971</v>
      </c>
      <c r="G1029">
        <v>0.42399999999999999</v>
      </c>
      <c r="H1029">
        <v>3.6499999999999998E-2</v>
      </c>
      <c r="I1029">
        <v>259.79829999999998</v>
      </c>
    </row>
    <row r="1030" spans="1:9" x14ac:dyDescent="0.3">
      <c r="A1030" t="s">
        <v>9</v>
      </c>
      <c r="B1030" t="s">
        <v>1128</v>
      </c>
      <c r="C1030">
        <v>3</v>
      </c>
      <c r="D1030">
        <v>3.6799999999999999E-2</v>
      </c>
      <c r="E1030">
        <v>8.0252540693137249</v>
      </c>
      <c r="F1030">
        <v>795.95367926003917</v>
      </c>
      <c r="G1030">
        <v>0.42399999999999999</v>
      </c>
      <c r="H1030">
        <v>3.15E-2</v>
      </c>
      <c r="I1030">
        <v>259.99860000000001</v>
      </c>
    </row>
    <row r="1031" spans="1:9" x14ac:dyDescent="0.3">
      <c r="A1031" t="s">
        <v>9</v>
      </c>
      <c r="B1031" t="s">
        <v>1129</v>
      </c>
      <c r="C1031">
        <v>3</v>
      </c>
      <c r="D1031">
        <v>3.1800000000000002E-2</v>
      </c>
      <c r="E1031">
        <v>7.7062576607246749</v>
      </c>
      <c r="F1031">
        <v>766.22321397953976</v>
      </c>
      <c r="G1031">
        <v>0.42399999999999999</v>
      </c>
      <c r="H1031">
        <v>2.6599999999999999E-2</v>
      </c>
      <c r="I1031">
        <v>260.19979999999998</v>
      </c>
    </row>
    <row r="1032" spans="1:9" x14ac:dyDescent="0.3">
      <c r="A1032" t="s">
        <v>9</v>
      </c>
      <c r="B1032" t="s">
        <v>1130</v>
      </c>
      <c r="C1032">
        <v>3</v>
      </c>
      <c r="D1032">
        <v>2.6599999999999999E-2</v>
      </c>
      <c r="E1032">
        <v>7.397947839221648</v>
      </c>
      <c r="F1032">
        <v>737.48873861545758</v>
      </c>
      <c r="G1032">
        <v>0.42399999999999999</v>
      </c>
      <c r="H1032">
        <v>2.18E-2</v>
      </c>
      <c r="I1032">
        <v>260.39909999999998</v>
      </c>
    </row>
    <row r="1033" spans="1:9" x14ac:dyDescent="0.3">
      <c r="A1033" t="s">
        <v>9</v>
      </c>
      <c r="B1033" t="s">
        <v>1131</v>
      </c>
      <c r="C1033">
        <v>3</v>
      </c>
      <c r="D1033">
        <v>2.1499999999999998E-2</v>
      </c>
      <c r="E1033">
        <v>7.1045670452615033</v>
      </c>
      <c r="F1033">
        <v>710.14564861837209</v>
      </c>
      <c r="G1033">
        <v>0.42399999999999999</v>
      </c>
      <c r="H1033">
        <v>1.72E-2</v>
      </c>
      <c r="I1033">
        <v>260.59870000000001</v>
      </c>
    </row>
    <row r="1034" spans="1:9" x14ac:dyDescent="0.3">
      <c r="A1034" t="s">
        <v>9</v>
      </c>
      <c r="B1034" t="s">
        <v>1132</v>
      </c>
      <c r="C1034">
        <v>3</v>
      </c>
      <c r="D1034">
        <v>1.6500000000000001E-2</v>
      </c>
      <c r="E1034">
        <v>6.8315270969439981</v>
      </c>
      <c r="F1034">
        <v>684.69832543518066</v>
      </c>
      <c r="G1034">
        <v>0.42399999999999999</v>
      </c>
      <c r="H1034">
        <v>1.2999999999999999E-2</v>
      </c>
      <c r="I1034">
        <v>260.79989999999998</v>
      </c>
    </row>
    <row r="1035" spans="1:9" x14ac:dyDescent="0.3">
      <c r="A1035" t="s">
        <v>9</v>
      </c>
      <c r="B1035" t="s">
        <v>1133</v>
      </c>
      <c r="C1035">
        <v>3</v>
      </c>
      <c r="D1035">
        <v>1.1599999999999999E-2</v>
      </c>
      <c r="E1035">
        <v>6.5877369975873119</v>
      </c>
      <c r="F1035">
        <v>661.97708817513751</v>
      </c>
      <c r="G1035">
        <v>0.42399999999999999</v>
      </c>
      <c r="H1035">
        <v>9.1999999999999998E-3</v>
      </c>
      <c r="I1035">
        <v>261.0016</v>
      </c>
    </row>
    <row r="1036" spans="1:9" x14ac:dyDescent="0.3">
      <c r="A1036" t="s">
        <v>9</v>
      </c>
      <c r="B1036" t="s">
        <v>1134</v>
      </c>
      <c r="C1036">
        <v>3</v>
      </c>
      <c r="D1036">
        <v>7.4000000000000003E-3</v>
      </c>
      <c r="E1036">
        <v>6.3848217152341116</v>
      </c>
      <c r="F1036">
        <v>643.06538385981935</v>
      </c>
      <c r="G1036">
        <v>0.42399999999999999</v>
      </c>
      <c r="H1036">
        <v>6.0000000000000001E-3</v>
      </c>
      <c r="I1036">
        <v>261.19799999999998</v>
      </c>
    </row>
    <row r="1037" spans="1:9" x14ac:dyDescent="0.3">
      <c r="A1037" t="s">
        <v>9</v>
      </c>
      <c r="B1037" t="s">
        <v>1135</v>
      </c>
      <c r="C1037">
        <v>3</v>
      </c>
      <c r="D1037">
        <v>3.5999999999999999E-3</v>
      </c>
      <c r="E1037">
        <v>6.2171183237491894</v>
      </c>
      <c r="F1037">
        <v>627.43542777342452</v>
      </c>
      <c r="G1037">
        <v>0.42399999999999999</v>
      </c>
      <c r="H1037">
        <v>3.3999999999999998E-3</v>
      </c>
      <c r="I1037">
        <v>261.39940000000001</v>
      </c>
    </row>
    <row r="1038" spans="1:9" x14ac:dyDescent="0.3">
      <c r="A1038" t="s">
        <v>9</v>
      </c>
      <c r="B1038" t="s">
        <v>1136</v>
      </c>
      <c r="C1038">
        <v>3</v>
      </c>
      <c r="D1038">
        <v>8.0000000000000004E-4</v>
      </c>
      <c r="E1038">
        <v>6.0956295963093829</v>
      </c>
      <c r="F1038">
        <v>616.11267837603452</v>
      </c>
      <c r="G1038">
        <v>0.42399999999999999</v>
      </c>
      <c r="H1038">
        <v>1.6000000000000001E-3</v>
      </c>
      <c r="I1038">
        <v>261.59859999999998</v>
      </c>
    </row>
    <row r="1039" spans="1:9" x14ac:dyDescent="0.3">
      <c r="A1039" t="s">
        <v>9</v>
      </c>
      <c r="B1039" t="s">
        <v>1137</v>
      </c>
      <c r="C1039">
        <v>3</v>
      </c>
      <c r="D1039">
        <v>-1.4E-3</v>
      </c>
      <c r="E1039">
        <v>6.020986684629384</v>
      </c>
      <c r="F1039">
        <v>609.15595900745859</v>
      </c>
      <c r="G1039">
        <v>0.42399999999999999</v>
      </c>
      <c r="H1039">
        <v>4.0000000000000002E-4</v>
      </c>
      <c r="I1039">
        <v>261.79880000000003</v>
      </c>
    </row>
    <row r="1040" spans="1:9" x14ac:dyDescent="0.3">
      <c r="A1040" t="s">
        <v>9</v>
      </c>
      <c r="B1040" t="s">
        <v>1138</v>
      </c>
      <c r="C1040">
        <v>3</v>
      </c>
      <c r="D1040">
        <v>-2.5000000000000001E-3</v>
      </c>
      <c r="E1040">
        <v>5.9957360214453264</v>
      </c>
      <c r="F1040">
        <v>606.80259719870446</v>
      </c>
      <c r="G1040">
        <v>0.42399999999999999</v>
      </c>
      <c r="H1040">
        <v>0</v>
      </c>
      <c r="I1040">
        <v>261.99799999999999</v>
      </c>
    </row>
    <row r="1041" spans="1:9" x14ac:dyDescent="0.3">
      <c r="A1041" t="s">
        <v>9</v>
      </c>
      <c r="B1041" t="s">
        <v>1139</v>
      </c>
      <c r="C1041">
        <v>3</v>
      </c>
      <c r="D1041">
        <v>-3.0000000000000001E-3</v>
      </c>
      <c r="E1041">
        <v>6.0202449691505997</v>
      </c>
      <c r="F1041">
        <v>711.32124757239194</v>
      </c>
      <c r="G1041">
        <v>0.42399999999999999</v>
      </c>
      <c r="H1041">
        <v>4.0000000000000002E-4</v>
      </c>
      <c r="I1041">
        <v>262.19819999999999</v>
      </c>
    </row>
    <row r="1042" spans="1:9" x14ac:dyDescent="0.3">
      <c r="A1042" t="s">
        <v>9</v>
      </c>
      <c r="B1042" t="s">
        <v>1140</v>
      </c>
      <c r="C1042">
        <v>3</v>
      </c>
      <c r="D1042">
        <v>-1.6999999999999999E-3</v>
      </c>
      <c r="E1042">
        <v>6.0942102459491396</v>
      </c>
      <c r="F1042">
        <v>718.34055234057337</v>
      </c>
      <c r="G1042">
        <v>0.42399999999999999</v>
      </c>
      <c r="H1042">
        <v>1.5E-3</v>
      </c>
      <c r="I1042">
        <v>262.39850000000001</v>
      </c>
    </row>
    <row r="1043" spans="1:9" x14ac:dyDescent="0.3">
      <c r="A1043" t="s">
        <v>9</v>
      </c>
      <c r="B1043" t="s">
        <v>1141</v>
      </c>
      <c r="C1043">
        <v>3</v>
      </c>
      <c r="D1043">
        <v>2.3E-3</v>
      </c>
      <c r="E1043">
        <v>6.2159178059526976</v>
      </c>
      <c r="F1043">
        <v>729.89059978491105</v>
      </c>
      <c r="G1043">
        <v>0.42399999999999999</v>
      </c>
      <c r="H1043">
        <v>3.3999999999999998E-3</v>
      </c>
      <c r="I1043">
        <v>262.59890000000001</v>
      </c>
    </row>
    <row r="1044" spans="1:9" x14ac:dyDescent="0.3">
      <c r="A1044" t="s">
        <v>9</v>
      </c>
      <c r="B1044" t="s">
        <v>1142</v>
      </c>
      <c r="C1044">
        <v>3</v>
      </c>
      <c r="D1044">
        <v>3.8E-3</v>
      </c>
      <c r="E1044">
        <v>6.3820105054304683</v>
      </c>
      <c r="F1044">
        <v>745.65279696535151</v>
      </c>
      <c r="G1044">
        <v>0.42399999999999999</v>
      </c>
      <c r="H1044">
        <v>6.0000000000000001E-3</v>
      </c>
      <c r="I1044">
        <v>262.79899999999998</v>
      </c>
    </row>
    <row r="1045" spans="1:9" x14ac:dyDescent="0.3">
      <c r="A1045" t="s">
        <v>9</v>
      </c>
      <c r="B1045" t="s">
        <v>1143</v>
      </c>
      <c r="C1045">
        <v>3</v>
      </c>
      <c r="D1045">
        <v>6.8999999999999999E-3</v>
      </c>
      <c r="E1045">
        <v>6.5889931459706981</v>
      </c>
      <c r="F1045">
        <v>765.29544955261929</v>
      </c>
      <c r="G1045">
        <v>0.42399999999999999</v>
      </c>
      <c r="H1045">
        <v>9.1999999999999998E-3</v>
      </c>
      <c r="I1045">
        <v>262.99950000000001</v>
      </c>
    </row>
    <row r="1046" spans="1:9" x14ac:dyDescent="0.3">
      <c r="A1046" t="s">
        <v>9</v>
      </c>
      <c r="B1046" t="s">
        <v>1144</v>
      </c>
      <c r="C1046">
        <v>3</v>
      </c>
      <c r="D1046">
        <v>1.03E-2</v>
      </c>
      <c r="E1046">
        <v>6.8285878394775157</v>
      </c>
      <c r="F1046">
        <v>788.03298596641628</v>
      </c>
      <c r="G1046">
        <v>0.42399999999999999</v>
      </c>
      <c r="H1046">
        <v>1.29E-2</v>
      </c>
      <c r="I1046">
        <v>263.19779999999997</v>
      </c>
    </row>
    <row r="1047" spans="1:9" x14ac:dyDescent="0.3">
      <c r="A1047" t="s">
        <v>9</v>
      </c>
      <c r="B1047" t="s">
        <v>1145</v>
      </c>
      <c r="C1047">
        <v>3</v>
      </c>
      <c r="D1047">
        <v>1.41E-2</v>
      </c>
      <c r="E1047">
        <v>7.1012725954180551</v>
      </c>
      <c r="F1047">
        <v>813.91076930517352</v>
      </c>
      <c r="G1047">
        <v>0.42399999999999999</v>
      </c>
      <c r="H1047">
        <v>1.72E-2</v>
      </c>
      <c r="I1047">
        <v>263.399</v>
      </c>
    </row>
    <row r="1048" spans="1:9" x14ac:dyDescent="0.3">
      <c r="A1048" t="s">
        <v>9</v>
      </c>
      <c r="B1048" t="s">
        <v>1146</v>
      </c>
      <c r="C1048">
        <v>3</v>
      </c>
      <c r="D1048">
        <v>1.8200000000000001E-2</v>
      </c>
      <c r="E1048">
        <v>7.3965793754405231</v>
      </c>
      <c r="F1048">
        <v>841.93538272930573</v>
      </c>
      <c r="G1048">
        <v>0.42399999999999999</v>
      </c>
      <c r="H1048">
        <v>2.18E-2</v>
      </c>
      <c r="I1048">
        <v>263.60000000000002</v>
      </c>
    </row>
    <row r="1049" spans="1:9" x14ac:dyDescent="0.3">
      <c r="A1049" t="s">
        <v>9</v>
      </c>
      <c r="B1049" t="s">
        <v>1147</v>
      </c>
      <c r="C1049">
        <v>3</v>
      </c>
      <c r="D1049">
        <v>2.29E-2</v>
      </c>
      <c r="E1049">
        <v>7.7059669381969513</v>
      </c>
      <c r="F1049">
        <v>871.29626243489076</v>
      </c>
      <c r="G1049">
        <v>0.42399999999999999</v>
      </c>
      <c r="H1049">
        <v>2.6599999999999999E-2</v>
      </c>
      <c r="I1049">
        <v>263.8</v>
      </c>
    </row>
    <row r="1050" spans="1:9" x14ac:dyDescent="0.3">
      <c r="A1050" t="s">
        <v>9</v>
      </c>
      <c r="B1050" t="s">
        <v>1148</v>
      </c>
      <c r="C1050">
        <v>3</v>
      </c>
      <c r="D1050">
        <v>2.7799999999999998E-2</v>
      </c>
      <c r="E1050">
        <v>8.0244958390112942</v>
      </c>
      <c r="F1050">
        <v>901.52465512217191</v>
      </c>
      <c r="G1050">
        <v>0.42399999999999999</v>
      </c>
      <c r="H1050">
        <v>3.15E-2</v>
      </c>
      <c r="I1050">
        <v>264.0009</v>
      </c>
    </row>
    <row r="1051" spans="1:9" x14ac:dyDescent="0.3">
      <c r="A1051" t="s">
        <v>9</v>
      </c>
      <c r="B1051" t="s">
        <v>1149</v>
      </c>
      <c r="C1051">
        <v>3</v>
      </c>
      <c r="D1051">
        <v>3.2800000000000003E-2</v>
      </c>
      <c r="E1051">
        <v>8.3377649732571175</v>
      </c>
      <c r="F1051">
        <v>931.2538959621005</v>
      </c>
      <c r="G1051">
        <v>0.42399999999999999</v>
      </c>
      <c r="H1051">
        <v>3.6400000000000002E-2</v>
      </c>
      <c r="I1051">
        <v>264.19839999999999</v>
      </c>
    </row>
    <row r="1052" spans="1:9" x14ac:dyDescent="0.3">
      <c r="A1052" t="s">
        <v>9</v>
      </c>
      <c r="B1052" t="s">
        <v>1150</v>
      </c>
      <c r="C1052">
        <v>3</v>
      </c>
      <c r="D1052">
        <v>3.7999999999999999E-2</v>
      </c>
      <c r="E1052">
        <v>8.6479200921432273</v>
      </c>
      <c r="F1052">
        <v>960.68761674439236</v>
      </c>
      <c r="G1052">
        <v>0.42399999999999999</v>
      </c>
      <c r="H1052">
        <v>4.1200000000000001E-2</v>
      </c>
      <c r="I1052">
        <v>264.39890000000003</v>
      </c>
    </row>
    <row r="1053" spans="1:9" x14ac:dyDescent="0.3">
      <c r="A1053" t="s">
        <v>9</v>
      </c>
      <c r="B1053" t="s">
        <v>1151</v>
      </c>
      <c r="C1053">
        <v>3</v>
      </c>
      <c r="D1053">
        <v>4.2900000000000001E-2</v>
      </c>
      <c r="E1053">
        <v>8.941210060655381</v>
      </c>
      <c r="F1053">
        <v>988.52083475619577</v>
      </c>
      <c r="G1053">
        <v>0.42399999999999999</v>
      </c>
      <c r="H1053">
        <v>4.58E-2</v>
      </c>
      <c r="I1053">
        <v>264.59840000000003</v>
      </c>
    </row>
    <row r="1054" spans="1:9" x14ac:dyDescent="0.3">
      <c r="A1054" t="s">
        <v>9</v>
      </c>
      <c r="B1054" t="s">
        <v>1152</v>
      </c>
      <c r="C1054">
        <v>3</v>
      </c>
      <c r="D1054">
        <v>4.7899999999999998E-2</v>
      </c>
      <c r="E1054">
        <v>9.2132351156857322</v>
      </c>
      <c r="F1054">
        <v>1014.336012478576</v>
      </c>
      <c r="G1054">
        <v>0.42399999999999999</v>
      </c>
      <c r="H1054">
        <v>0.05</v>
      </c>
      <c r="I1054">
        <v>264.79880000000003</v>
      </c>
    </row>
    <row r="1055" spans="1:9" x14ac:dyDescent="0.3">
      <c r="A1055" t="s">
        <v>9</v>
      </c>
      <c r="B1055" t="s">
        <v>1153</v>
      </c>
      <c r="C1055">
        <v>3</v>
      </c>
      <c r="D1055">
        <v>5.2299999999999999E-2</v>
      </c>
      <c r="E1055">
        <v>9.4567888255951864</v>
      </c>
      <c r="F1055">
        <v>1037.449259548983</v>
      </c>
      <c r="G1055">
        <v>0.42399999999999999</v>
      </c>
      <c r="H1055">
        <v>5.3800000000000001E-2</v>
      </c>
      <c r="I1055">
        <v>265.00009999999997</v>
      </c>
    </row>
    <row r="1056" spans="1:9" x14ac:dyDescent="0.3">
      <c r="A1056" t="s">
        <v>9</v>
      </c>
      <c r="B1056" t="s">
        <v>1154</v>
      </c>
      <c r="C1056">
        <v>3</v>
      </c>
      <c r="D1056">
        <v>5.6099999999999997E-2</v>
      </c>
      <c r="E1056">
        <v>9.6632926457267843</v>
      </c>
      <c r="F1056">
        <v>1057.0464720794721</v>
      </c>
      <c r="G1056">
        <v>0.42399999999999999</v>
      </c>
      <c r="H1056">
        <v>5.7000000000000002E-2</v>
      </c>
      <c r="I1056">
        <v>265.2</v>
      </c>
    </row>
    <row r="1057" spans="1:9" x14ac:dyDescent="0.3">
      <c r="A1057" t="s">
        <v>9</v>
      </c>
      <c r="B1057" t="s">
        <v>1155</v>
      </c>
      <c r="C1057">
        <v>3</v>
      </c>
      <c r="D1057">
        <v>5.8900000000000001E-2</v>
      </c>
      <c r="E1057">
        <v>9.8295137577910676</v>
      </c>
      <c r="F1057">
        <v>1072.820855614372</v>
      </c>
      <c r="G1057">
        <v>0.42399999999999999</v>
      </c>
      <c r="H1057">
        <v>5.96E-2</v>
      </c>
      <c r="I1057">
        <v>265.40010000000001</v>
      </c>
    </row>
    <row r="1058" spans="1:9" x14ac:dyDescent="0.3">
      <c r="A1058" t="s">
        <v>9</v>
      </c>
      <c r="B1058" t="s">
        <v>1156</v>
      </c>
      <c r="C1058">
        <v>3</v>
      </c>
      <c r="D1058">
        <v>6.1400000000000003E-2</v>
      </c>
      <c r="E1058">
        <v>9.9508954814999573</v>
      </c>
      <c r="F1058">
        <v>1084.3399811943459</v>
      </c>
      <c r="G1058">
        <v>0.42399999999999999</v>
      </c>
      <c r="H1058">
        <v>6.1499999999999999E-2</v>
      </c>
      <c r="I1058">
        <v>265.59930000000003</v>
      </c>
    </row>
    <row r="1059" spans="1:9" x14ac:dyDescent="0.3">
      <c r="A1059" t="s">
        <v>9</v>
      </c>
      <c r="B1059" t="s">
        <v>1157</v>
      </c>
      <c r="C1059">
        <v>3</v>
      </c>
      <c r="D1059">
        <v>6.4699999999999994E-2</v>
      </c>
      <c r="E1059">
        <v>10.02512257887116</v>
      </c>
      <c r="F1059">
        <v>1091.384132734873</v>
      </c>
      <c r="G1059">
        <v>0.42399999999999999</v>
      </c>
      <c r="H1059">
        <v>6.2600000000000003E-2</v>
      </c>
      <c r="I1059">
        <v>265.79860000000002</v>
      </c>
    </row>
    <row r="1060" spans="1:9" x14ac:dyDescent="0.3">
      <c r="A1060" t="s">
        <v>9</v>
      </c>
      <c r="B1060" t="s">
        <v>1158</v>
      </c>
      <c r="C1060">
        <v>3</v>
      </c>
      <c r="D1060">
        <v>6.6100000000000006E-2</v>
      </c>
      <c r="E1060">
        <v>10.05044098344035</v>
      </c>
      <c r="F1060">
        <v>1093.7868493284891</v>
      </c>
      <c r="G1060">
        <v>0.42399999999999999</v>
      </c>
      <c r="H1060">
        <v>6.3E-2</v>
      </c>
      <c r="I1060">
        <v>266</v>
      </c>
    </row>
    <row r="1061" spans="1:9" x14ac:dyDescent="0.3">
      <c r="A1061" t="s">
        <v>9</v>
      </c>
      <c r="B1061" t="s">
        <v>1159</v>
      </c>
      <c r="C1061">
        <v>3</v>
      </c>
      <c r="D1061">
        <v>6.6199999999999995E-2</v>
      </c>
      <c r="E1061">
        <v>10.025565758400869</v>
      </c>
      <c r="F1061">
        <v>982.38272868296144</v>
      </c>
      <c r="G1061">
        <v>0.42399999999999999</v>
      </c>
      <c r="H1061">
        <v>6.2600000000000003E-2</v>
      </c>
      <c r="I1061">
        <v>266.19959999999998</v>
      </c>
    </row>
    <row r="1062" spans="1:9" x14ac:dyDescent="0.3">
      <c r="A1062" t="s">
        <v>9</v>
      </c>
      <c r="B1062" t="s">
        <v>1160</v>
      </c>
      <c r="C1062">
        <v>3</v>
      </c>
      <c r="D1062">
        <v>6.4000000000000001E-2</v>
      </c>
      <c r="E1062">
        <v>9.9517108831781318</v>
      </c>
      <c r="F1062">
        <v>975.49945431220192</v>
      </c>
      <c r="G1062">
        <v>0.42399999999999999</v>
      </c>
      <c r="H1062">
        <v>6.1499999999999999E-2</v>
      </c>
      <c r="I1062">
        <v>266.399</v>
      </c>
    </row>
    <row r="1063" spans="1:9" x14ac:dyDescent="0.3">
      <c r="A1063" t="s">
        <v>9</v>
      </c>
      <c r="B1063" t="s">
        <v>1161</v>
      </c>
      <c r="C1063">
        <v>3</v>
      </c>
      <c r="D1063">
        <v>6.2600000000000003E-2</v>
      </c>
      <c r="E1063">
        <v>9.8300522229470193</v>
      </c>
      <c r="F1063">
        <v>964.16086717866222</v>
      </c>
      <c r="G1063">
        <v>0.42399999999999999</v>
      </c>
      <c r="H1063">
        <v>5.96E-2</v>
      </c>
      <c r="I1063">
        <v>266.5992</v>
      </c>
    </row>
    <row r="1064" spans="1:9" x14ac:dyDescent="0.3">
      <c r="A1064" t="s">
        <v>9</v>
      </c>
      <c r="B1064" t="s">
        <v>1162</v>
      </c>
      <c r="C1064">
        <v>3</v>
      </c>
      <c r="D1064">
        <v>6.0999999999999999E-2</v>
      </c>
      <c r="E1064">
        <v>9.6641352139452064</v>
      </c>
      <c r="F1064">
        <v>948.69740193969324</v>
      </c>
      <c r="G1064">
        <v>0.42399999999999999</v>
      </c>
      <c r="H1064">
        <v>5.7000000000000002E-2</v>
      </c>
      <c r="I1064">
        <v>266.79899999999998</v>
      </c>
    </row>
    <row r="1065" spans="1:9" x14ac:dyDescent="0.3">
      <c r="A1065" t="s">
        <v>9</v>
      </c>
      <c r="B1065" t="s">
        <v>1163</v>
      </c>
      <c r="C1065">
        <v>3</v>
      </c>
      <c r="D1065">
        <v>5.8700000000000002E-2</v>
      </c>
      <c r="E1065">
        <v>9.45708076453516</v>
      </c>
      <c r="F1065">
        <v>929.39992725467698</v>
      </c>
      <c r="G1065">
        <v>0.42399999999999999</v>
      </c>
      <c r="H1065">
        <v>5.3800000000000001E-2</v>
      </c>
      <c r="I1065">
        <v>266.99959999999999</v>
      </c>
    </row>
    <row r="1066" spans="1:9" x14ac:dyDescent="0.3">
      <c r="A1066" t="s">
        <v>9</v>
      </c>
      <c r="B1066" t="s">
        <v>1164</v>
      </c>
      <c r="C1066">
        <v>3</v>
      </c>
      <c r="D1066">
        <v>5.5800000000000002E-2</v>
      </c>
      <c r="E1066">
        <v>9.2170222124903844</v>
      </c>
      <c r="F1066">
        <v>907.02647020410382</v>
      </c>
      <c r="G1066">
        <v>0.42399999999999999</v>
      </c>
      <c r="H1066">
        <v>5.0099999999999999E-2</v>
      </c>
      <c r="I1066">
        <v>267.19819999999999</v>
      </c>
    </row>
    <row r="1067" spans="1:9" x14ac:dyDescent="0.3">
      <c r="A1067" t="s">
        <v>9</v>
      </c>
      <c r="B1067" t="s">
        <v>1165</v>
      </c>
      <c r="C1067">
        <v>3</v>
      </c>
      <c r="D1067">
        <v>5.0999999999999997E-2</v>
      </c>
      <c r="E1067">
        <v>8.9422395508895391</v>
      </c>
      <c r="F1067">
        <v>881.41672614290508</v>
      </c>
      <c r="G1067">
        <v>0.42399999999999999</v>
      </c>
      <c r="H1067">
        <v>4.58E-2</v>
      </c>
      <c r="I1067">
        <v>267.40089999999998</v>
      </c>
    </row>
    <row r="1068" spans="1:9" x14ac:dyDescent="0.3">
      <c r="A1068" t="s">
        <v>9</v>
      </c>
      <c r="B1068" t="s">
        <v>1166</v>
      </c>
      <c r="C1068">
        <v>3</v>
      </c>
      <c r="D1068">
        <v>4.6399999999999997E-2</v>
      </c>
      <c r="E1068">
        <v>8.6514606627319033</v>
      </c>
      <c r="F1068">
        <v>854.31613376661346</v>
      </c>
      <c r="G1068">
        <v>0.42399999999999999</v>
      </c>
      <c r="H1068">
        <v>4.1300000000000003E-2</v>
      </c>
      <c r="I1068">
        <v>267.59879999999998</v>
      </c>
    </row>
    <row r="1069" spans="1:9" x14ac:dyDescent="0.3">
      <c r="A1069" t="s">
        <v>9</v>
      </c>
      <c r="B1069" t="s">
        <v>1167</v>
      </c>
      <c r="C1069">
        <v>3</v>
      </c>
      <c r="D1069">
        <v>4.1599999999999998E-2</v>
      </c>
      <c r="E1069">
        <v>8.3415034135717789</v>
      </c>
      <c r="F1069">
        <v>825.42811814488982</v>
      </c>
      <c r="G1069">
        <v>0.42399999999999999</v>
      </c>
      <c r="H1069">
        <v>3.6400000000000002E-2</v>
      </c>
      <c r="I1069">
        <v>267.79919999999998</v>
      </c>
    </row>
    <row r="1070" spans="1:9" x14ac:dyDescent="0.3">
      <c r="A1070" t="s">
        <v>9</v>
      </c>
      <c r="B1070" t="s">
        <v>1168</v>
      </c>
      <c r="C1070">
        <v>3</v>
      </c>
      <c r="D1070">
        <v>3.6900000000000002E-2</v>
      </c>
      <c r="E1070">
        <v>8.024568418275539</v>
      </c>
      <c r="F1070">
        <v>795.88977658328031</v>
      </c>
      <c r="G1070">
        <v>0.42399999999999999</v>
      </c>
      <c r="H1070">
        <v>3.15E-2</v>
      </c>
      <c r="I1070">
        <v>267.9991</v>
      </c>
    </row>
    <row r="1071" spans="1:9" x14ac:dyDescent="0.3">
      <c r="A1071" t="s">
        <v>9</v>
      </c>
      <c r="B1071" t="s">
        <v>1169</v>
      </c>
      <c r="C1071">
        <v>3</v>
      </c>
      <c r="D1071">
        <v>3.1800000000000002E-2</v>
      </c>
      <c r="E1071">
        <v>7.7085441102837162</v>
      </c>
      <c r="F1071">
        <v>766.43631107844237</v>
      </c>
      <c r="G1071">
        <v>0.42399999999999999</v>
      </c>
      <c r="H1071">
        <v>2.6599999999999999E-2</v>
      </c>
      <c r="I1071">
        <v>268.19830000000002</v>
      </c>
    </row>
    <row r="1072" spans="1:9" x14ac:dyDescent="0.3">
      <c r="A1072" t="s">
        <v>9</v>
      </c>
      <c r="B1072" t="s">
        <v>1170</v>
      </c>
      <c r="C1072">
        <v>3</v>
      </c>
      <c r="D1072">
        <v>2.6599999999999999E-2</v>
      </c>
      <c r="E1072">
        <v>7.3977661883256634</v>
      </c>
      <c r="F1072">
        <v>737.47180875195181</v>
      </c>
      <c r="G1072">
        <v>0.42399999999999999</v>
      </c>
      <c r="H1072">
        <v>2.18E-2</v>
      </c>
      <c r="I1072">
        <v>268.39920000000001</v>
      </c>
    </row>
    <row r="1073" spans="1:9" x14ac:dyDescent="0.3">
      <c r="A1073" t="s">
        <v>9</v>
      </c>
      <c r="B1073" t="s">
        <v>1171</v>
      </c>
      <c r="C1073">
        <v>3</v>
      </c>
      <c r="D1073">
        <v>2.1100000000000001E-2</v>
      </c>
      <c r="E1073">
        <v>7.1046177291052466</v>
      </c>
      <c r="F1073">
        <v>710.15037235260911</v>
      </c>
      <c r="G1073">
        <v>0.42399999999999999</v>
      </c>
      <c r="H1073">
        <v>1.72E-2</v>
      </c>
      <c r="I1073">
        <v>268.59859999999998</v>
      </c>
    </row>
    <row r="1074" spans="1:9" x14ac:dyDescent="0.3">
      <c r="A1074" t="s">
        <v>9</v>
      </c>
      <c r="B1074" t="s">
        <v>1172</v>
      </c>
      <c r="C1074">
        <v>3</v>
      </c>
      <c r="D1074">
        <v>1.67E-2</v>
      </c>
      <c r="E1074">
        <v>6.8309724129580482</v>
      </c>
      <c r="F1074">
        <v>684.6466288876901</v>
      </c>
      <c r="G1074">
        <v>0.42399999999999999</v>
      </c>
      <c r="H1074">
        <v>1.2999999999999999E-2</v>
      </c>
      <c r="I1074">
        <v>268.80040000000002</v>
      </c>
    </row>
    <row r="1075" spans="1:9" x14ac:dyDescent="0.3">
      <c r="A1075" t="s">
        <v>9</v>
      </c>
      <c r="B1075" t="s">
        <v>1173</v>
      </c>
      <c r="C1075">
        <v>3</v>
      </c>
      <c r="D1075">
        <v>1.18E-2</v>
      </c>
      <c r="E1075">
        <v>6.588454275343997</v>
      </c>
      <c r="F1075">
        <v>662.04393846206051</v>
      </c>
      <c r="G1075">
        <v>0.42399999999999999</v>
      </c>
      <c r="H1075">
        <v>9.1999999999999998E-3</v>
      </c>
      <c r="I1075">
        <v>269.0009</v>
      </c>
    </row>
    <row r="1076" spans="1:9" x14ac:dyDescent="0.3">
      <c r="A1076" t="s">
        <v>9</v>
      </c>
      <c r="B1076" t="s">
        <v>1174</v>
      </c>
      <c r="C1076">
        <v>3</v>
      </c>
      <c r="D1076">
        <v>7.1000000000000004E-3</v>
      </c>
      <c r="E1076">
        <v>6.3828163785460204</v>
      </c>
      <c r="F1076">
        <v>642.87848648048907</v>
      </c>
      <c r="G1076">
        <v>0.42399999999999999</v>
      </c>
      <c r="H1076">
        <v>6.0000000000000001E-3</v>
      </c>
      <c r="I1076">
        <v>269.20010000000002</v>
      </c>
    </row>
    <row r="1077" spans="1:9" x14ac:dyDescent="0.3">
      <c r="A1077" t="s">
        <v>9</v>
      </c>
      <c r="B1077" t="s">
        <v>1175</v>
      </c>
      <c r="C1077">
        <v>3</v>
      </c>
      <c r="D1077">
        <v>3.7000000000000002E-3</v>
      </c>
      <c r="E1077">
        <v>6.2176222427972414</v>
      </c>
      <c r="F1077">
        <v>627.48239302870297</v>
      </c>
      <c r="G1077">
        <v>0.42399999999999999</v>
      </c>
      <c r="H1077">
        <v>3.3999999999999998E-3</v>
      </c>
      <c r="I1077">
        <v>269.39870000000002</v>
      </c>
    </row>
    <row r="1078" spans="1:9" x14ac:dyDescent="0.3">
      <c r="A1078" t="s">
        <v>9</v>
      </c>
      <c r="B1078" t="s">
        <v>1176</v>
      </c>
      <c r="C1078">
        <v>3</v>
      </c>
      <c r="D1078">
        <v>1E-3</v>
      </c>
      <c r="E1078">
        <v>6.0954747064828982</v>
      </c>
      <c r="F1078">
        <v>616.09824264420615</v>
      </c>
      <c r="G1078">
        <v>0.42399999999999999</v>
      </c>
      <c r="H1078">
        <v>1.5E-3</v>
      </c>
      <c r="I1078">
        <v>269.59890000000001</v>
      </c>
    </row>
    <row r="1079" spans="1:9" x14ac:dyDescent="0.3">
      <c r="A1079" t="s">
        <v>9</v>
      </c>
      <c r="B1079" t="s">
        <v>1177</v>
      </c>
      <c r="C1079">
        <v>3</v>
      </c>
      <c r="D1079">
        <v>-1.6999999999999999E-3</v>
      </c>
      <c r="E1079">
        <v>6.0209323069471061</v>
      </c>
      <c r="F1079">
        <v>609.15089100747036</v>
      </c>
      <c r="G1079">
        <v>0.42399999999999999</v>
      </c>
      <c r="H1079">
        <v>4.0000000000000002E-4</v>
      </c>
      <c r="I1079">
        <v>269.79899999999998</v>
      </c>
    </row>
    <row r="1080" spans="1:9" x14ac:dyDescent="0.3">
      <c r="A1080" t="s">
        <v>9</v>
      </c>
      <c r="B1080" t="s">
        <v>1178</v>
      </c>
      <c r="C1080">
        <v>3</v>
      </c>
      <c r="D1080">
        <v>-2.8E-3</v>
      </c>
      <c r="E1080">
        <v>5.9957340880099554</v>
      </c>
      <c r="F1080">
        <v>606.80241700252782</v>
      </c>
      <c r="G1080">
        <v>0.42399999999999999</v>
      </c>
      <c r="H1080">
        <v>0</v>
      </c>
      <c r="I1080">
        <v>269.9991</v>
      </c>
    </row>
    <row r="1081" spans="1:9" x14ac:dyDescent="0.3">
      <c r="A1081" t="s">
        <v>9</v>
      </c>
      <c r="B1081" t="s">
        <v>1179</v>
      </c>
      <c r="C1081">
        <v>3</v>
      </c>
      <c r="D1081">
        <v>-3.0999999999999999E-3</v>
      </c>
      <c r="E1081">
        <v>6.0207663964256364</v>
      </c>
      <c r="F1081">
        <v>711.37073102079296</v>
      </c>
      <c r="G1081">
        <v>0.42399999999999999</v>
      </c>
      <c r="H1081">
        <v>4.0000000000000002E-4</v>
      </c>
      <c r="I1081">
        <v>270.20030000000003</v>
      </c>
    </row>
    <row r="1082" spans="1:9" x14ac:dyDescent="0.3">
      <c r="A1082" t="s">
        <v>9</v>
      </c>
      <c r="B1082" t="s">
        <v>1180</v>
      </c>
      <c r="C1082">
        <v>3</v>
      </c>
      <c r="D1082">
        <v>1E-3</v>
      </c>
      <c r="E1082">
        <v>6.3818864313809813</v>
      </c>
      <c r="F1082">
        <v>745.64102233805511</v>
      </c>
      <c r="G1082">
        <v>0.42399999999999999</v>
      </c>
      <c r="H1082">
        <v>6.0000000000000001E-3</v>
      </c>
      <c r="I1082">
        <v>270.7989</v>
      </c>
    </row>
    <row r="1083" spans="1:9" x14ac:dyDescent="0.3">
      <c r="A1083" t="s">
        <v>9</v>
      </c>
      <c r="B1083" t="s">
        <v>1181</v>
      </c>
      <c r="C1083">
        <v>3</v>
      </c>
      <c r="D1083">
        <v>1.1000000000000001E-3</v>
      </c>
      <c r="E1083">
        <v>6.5894124027261602</v>
      </c>
      <c r="F1083">
        <v>765.33523701871263</v>
      </c>
      <c r="G1083">
        <v>0.42399999999999999</v>
      </c>
      <c r="H1083">
        <v>9.1999999999999998E-3</v>
      </c>
      <c r="I1083">
        <v>270.99990000000003</v>
      </c>
    </row>
    <row r="1084" spans="1:9" x14ac:dyDescent="0.3">
      <c r="A1084" t="s">
        <v>9</v>
      </c>
      <c r="B1084" t="s">
        <v>1182</v>
      </c>
      <c r="C1084">
        <v>3</v>
      </c>
      <c r="D1084">
        <v>8.6999999999999994E-3</v>
      </c>
      <c r="E1084">
        <v>6.8295670513386746</v>
      </c>
      <c r="F1084">
        <v>788.12591317204033</v>
      </c>
      <c r="G1084">
        <v>0.42399999999999999</v>
      </c>
      <c r="H1084">
        <v>1.2999999999999999E-2</v>
      </c>
      <c r="I1084">
        <v>271.19850000000002</v>
      </c>
    </row>
    <row r="1085" spans="1:9" x14ac:dyDescent="0.3">
      <c r="A1085" t="s">
        <v>9</v>
      </c>
      <c r="B1085" t="s">
        <v>1183</v>
      </c>
      <c r="C1085">
        <v>3</v>
      </c>
      <c r="D1085">
        <v>1.3899999999999999E-2</v>
      </c>
      <c r="E1085">
        <v>7.1006988543068594</v>
      </c>
      <c r="F1085">
        <v>813.85632127372094</v>
      </c>
      <c r="G1085">
        <v>0.42399999999999999</v>
      </c>
      <c r="H1085">
        <v>1.72E-2</v>
      </c>
      <c r="I1085">
        <v>271.39859999999999</v>
      </c>
    </row>
    <row r="1086" spans="1:9" x14ac:dyDescent="0.3">
      <c r="A1086" t="s">
        <v>9</v>
      </c>
      <c r="B1086" t="s">
        <v>1184</v>
      </c>
      <c r="C1086">
        <v>3</v>
      </c>
      <c r="D1086">
        <v>1.8499999999999999E-2</v>
      </c>
      <c r="E1086">
        <v>7.3973489589239518</v>
      </c>
      <c r="F1086">
        <v>842.00841620188305</v>
      </c>
      <c r="G1086">
        <v>0.42399999999999999</v>
      </c>
      <c r="H1086">
        <v>2.18E-2</v>
      </c>
      <c r="I1086">
        <v>271.60050000000001</v>
      </c>
    </row>
    <row r="1087" spans="1:9" x14ac:dyDescent="0.3">
      <c r="A1087" t="s">
        <v>9</v>
      </c>
      <c r="B1087" t="s">
        <v>1185</v>
      </c>
      <c r="C1087">
        <v>3</v>
      </c>
      <c r="D1087">
        <v>2.23E-2</v>
      </c>
      <c r="E1087">
        <v>7.7044443955308406</v>
      </c>
      <c r="F1087">
        <v>871.15177313587685</v>
      </c>
      <c r="G1087">
        <v>0.42399999999999999</v>
      </c>
      <c r="H1087">
        <v>2.6499999999999999E-2</v>
      </c>
      <c r="I1087">
        <v>271.79899999999998</v>
      </c>
    </row>
    <row r="1088" spans="1:9" x14ac:dyDescent="0.3">
      <c r="A1088" t="s">
        <v>9</v>
      </c>
      <c r="B1088" t="s">
        <v>1186</v>
      </c>
      <c r="C1088">
        <v>3</v>
      </c>
      <c r="D1088">
        <v>2.7799999999999998E-2</v>
      </c>
      <c r="E1088">
        <v>8.0240680673700844</v>
      </c>
      <c r="F1088">
        <v>901.48405959342108</v>
      </c>
      <c r="G1088">
        <v>0.42399999999999999</v>
      </c>
      <c r="H1088">
        <v>3.15E-2</v>
      </c>
      <c r="I1088">
        <v>272.00060000000002</v>
      </c>
    </row>
    <row r="1089" spans="1:9" x14ac:dyDescent="0.3">
      <c r="A1089" t="s">
        <v>9</v>
      </c>
      <c r="B1089" t="s">
        <v>1187</v>
      </c>
      <c r="C1089">
        <v>3</v>
      </c>
      <c r="D1089">
        <v>3.2800000000000003E-2</v>
      </c>
      <c r="E1089">
        <v>8.3399399183599208</v>
      </c>
      <c r="F1089">
        <v>931.46029825235655</v>
      </c>
      <c r="G1089">
        <v>0.42399999999999999</v>
      </c>
      <c r="H1089">
        <v>3.6400000000000002E-2</v>
      </c>
      <c r="I1089">
        <v>272.19979999999998</v>
      </c>
    </row>
    <row r="1090" spans="1:9" x14ac:dyDescent="0.3">
      <c r="A1090" t="s">
        <v>9</v>
      </c>
      <c r="B1090" t="s">
        <v>1188</v>
      </c>
      <c r="C1090">
        <v>3</v>
      </c>
      <c r="D1090">
        <v>3.7900000000000003E-2</v>
      </c>
      <c r="E1090">
        <v>8.6514261977181555</v>
      </c>
      <c r="F1090">
        <v>961.02034616345304</v>
      </c>
      <c r="G1090">
        <v>0.42399999999999999</v>
      </c>
      <c r="H1090">
        <v>4.1300000000000003E-2</v>
      </c>
      <c r="I1090">
        <v>272.40120000000002</v>
      </c>
    </row>
    <row r="1091" spans="1:9" x14ac:dyDescent="0.3">
      <c r="A1091" t="s">
        <v>9</v>
      </c>
      <c r="B1091" t="s">
        <v>1189</v>
      </c>
      <c r="C1091">
        <v>3</v>
      </c>
      <c r="D1091">
        <v>4.2900000000000001E-2</v>
      </c>
      <c r="E1091">
        <v>8.942951557526472</v>
      </c>
      <c r="F1091">
        <v>988.68610280926225</v>
      </c>
      <c r="G1091">
        <v>0.42399999999999999</v>
      </c>
      <c r="H1091">
        <v>4.58E-2</v>
      </c>
      <c r="I1091">
        <v>272.59960000000001</v>
      </c>
    </row>
    <row r="1092" spans="1:9" x14ac:dyDescent="0.3">
      <c r="A1092" t="s">
        <v>9</v>
      </c>
      <c r="B1092" t="s">
        <v>1190</v>
      </c>
      <c r="C1092">
        <v>3</v>
      </c>
      <c r="D1092">
        <v>4.8099999999999997E-2</v>
      </c>
      <c r="E1092">
        <v>9.2137151930536874</v>
      </c>
      <c r="F1092">
        <v>1014.381571820795</v>
      </c>
      <c r="G1092">
        <v>0.42399999999999999</v>
      </c>
      <c r="H1092">
        <v>0.05</v>
      </c>
      <c r="I1092">
        <v>272.79919999999998</v>
      </c>
    </row>
    <row r="1093" spans="1:9" x14ac:dyDescent="0.3">
      <c r="A1093" t="s">
        <v>9</v>
      </c>
      <c r="B1093" t="s">
        <v>1191</v>
      </c>
      <c r="C1093">
        <v>3</v>
      </c>
      <c r="D1093">
        <v>5.1999999999999998E-2</v>
      </c>
      <c r="E1093">
        <v>9.4561802139994935</v>
      </c>
      <c r="F1093">
        <v>1037.3915023085519</v>
      </c>
      <c r="G1093">
        <v>0.42399999999999999</v>
      </c>
      <c r="H1093">
        <v>5.3800000000000001E-2</v>
      </c>
      <c r="I1093">
        <v>272.99959999999999</v>
      </c>
    </row>
    <row r="1094" spans="1:9" x14ac:dyDescent="0.3">
      <c r="A1094" t="s">
        <v>9</v>
      </c>
      <c r="B1094" t="s">
        <v>1192</v>
      </c>
      <c r="C1094">
        <v>3</v>
      </c>
      <c r="D1094">
        <v>5.5899999999999998E-2</v>
      </c>
      <c r="E1094">
        <v>9.662477244048608</v>
      </c>
      <c r="F1094">
        <v>1056.969090460213</v>
      </c>
      <c r="G1094">
        <v>0.42399999999999999</v>
      </c>
      <c r="H1094">
        <v>5.7000000000000002E-2</v>
      </c>
      <c r="I1094">
        <v>273.19920000000002</v>
      </c>
    </row>
    <row r="1095" spans="1:9" x14ac:dyDescent="0.3">
      <c r="A1095" t="s">
        <v>9</v>
      </c>
      <c r="B1095" t="s">
        <v>1193</v>
      </c>
      <c r="C1095">
        <v>3</v>
      </c>
      <c r="D1095">
        <v>5.8799999999999998E-2</v>
      </c>
      <c r="E1095">
        <v>9.8292773683438384</v>
      </c>
      <c r="F1095">
        <v>1072.79842225583</v>
      </c>
      <c r="G1095">
        <v>0.42399999999999999</v>
      </c>
      <c r="H1095">
        <v>5.96E-2</v>
      </c>
      <c r="I1095">
        <v>273.3997</v>
      </c>
    </row>
    <row r="1096" spans="1:9" x14ac:dyDescent="0.3">
      <c r="A1096" t="s">
        <v>9</v>
      </c>
      <c r="B1096" t="s">
        <v>1194</v>
      </c>
      <c r="C1096">
        <v>3</v>
      </c>
      <c r="D1096">
        <v>6.1699999999999998E-2</v>
      </c>
      <c r="E1096">
        <v>9.9510118516051964</v>
      </c>
      <c r="F1096">
        <v>1084.3510247173331</v>
      </c>
      <c r="G1096">
        <v>0.42399999999999999</v>
      </c>
      <c r="H1096">
        <v>6.1499999999999999E-2</v>
      </c>
      <c r="I1096">
        <v>273.59960000000001</v>
      </c>
    </row>
    <row r="1097" spans="1:9" x14ac:dyDescent="0.3">
      <c r="A1097" t="s">
        <v>9</v>
      </c>
      <c r="B1097" t="s">
        <v>1195</v>
      </c>
      <c r="C1097">
        <v>3</v>
      </c>
      <c r="D1097">
        <v>6.4199999999999993E-2</v>
      </c>
      <c r="E1097">
        <v>10.025059730904919</v>
      </c>
      <c r="F1097">
        <v>1091.3781684628771</v>
      </c>
      <c r="G1097">
        <v>0.42399999999999999</v>
      </c>
      <c r="H1097">
        <v>6.2600000000000003E-2</v>
      </c>
      <c r="I1097">
        <v>273.79829999999998</v>
      </c>
    </row>
    <row r="1098" spans="1:9" x14ac:dyDescent="0.3">
      <c r="A1098" t="s">
        <v>9</v>
      </c>
      <c r="B1098" t="s">
        <v>1196</v>
      </c>
      <c r="C1098">
        <v>3</v>
      </c>
      <c r="D1098">
        <v>6.6199999999999995E-2</v>
      </c>
      <c r="E1098">
        <v>10.05044057796959</v>
      </c>
      <c r="F1098">
        <v>1093.786810849314</v>
      </c>
      <c r="G1098">
        <v>0.42399999999999999</v>
      </c>
      <c r="H1098">
        <v>6.3E-2</v>
      </c>
      <c r="I1098">
        <v>274.00069999999999</v>
      </c>
    </row>
    <row r="1099" spans="1:9" x14ac:dyDescent="0.3">
      <c r="A1099" t="s">
        <v>9</v>
      </c>
      <c r="B1099" t="s">
        <v>1197</v>
      </c>
      <c r="C1099">
        <v>3</v>
      </c>
      <c r="D1099">
        <v>6.6299999999999998E-2</v>
      </c>
      <c r="E1099">
        <v>10.025468445420881</v>
      </c>
      <c r="F1099">
        <v>982.37365911322615</v>
      </c>
      <c r="G1099">
        <v>0.42399999999999999</v>
      </c>
      <c r="H1099">
        <v>6.2600000000000003E-2</v>
      </c>
      <c r="I1099">
        <v>274.2</v>
      </c>
    </row>
    <row r="1100" spans="1:9" x14ac:dyDescent="0.3">
      <c r="A1100" t="s">
        <v>9</v>
      </c>
      <c r="B1100" t="s">
        <v>1198</v>
      </c>
      <c r="C1100">
        <v>3</v>
      </c>
      <c r="D1100">
        <v>6.4100000000000004E-2</v>
      </c>
      <c r="E1100">
        <v>9.9518617182971187</v>
      </c>
      <c r="F1100">
        <v>975.51351214529154</v>
      </c>
      <c r="G1100">
        <v>0.42399999999999999</v>
      </c>
      <c r="H1100">
        <v>6.1499999999999999E-2</v>
      </c>
      <c r="I1100">
        <v>274.39870000000002</v>
      </c>
    </row>
    <row r="1101" spans="1:9" x14ac:dyDescent="0.3">
      <c r="A1101" t="s">
        <v>9</v>
      </c>
      <c r="B1101" t="s">
        <v>1199</v>
      </c>
      <c r="C1101">
        <v>3</v>
      </c>
      <c r="D1101">
        <v>6.2600000000000003E-2</v>
      </c>
      <c r="E1101">
        <v>9.8290811205008595</v>
      </c>
      <c r="F1101">
        <v>964.07036043068013</v>
      </c>
      <c r="G1101">
        <v>0.42399999999999999</v>
      </c>
      <c r="H1101">
        <v>5.96E-2</v>
      </c>
      <c r="I1101">
        <v>274.60050000000001</v>
      </c>
    </row>
    <row r="1102" spans="1:9" x14ac:dyDescent="0.3">
      <c r="A1102" t="s">
        <v>9</v>
      </c>
      <c r="B1102" t="s">
        <v>1200</v>
      </c>
      <c r="C1102">
        <v>3</v>
      </c>
      <c r="D1102">
        <v>6.0900000000000003E-2</v>
      </c>
      <c r="E1102">
        <v>9.6632054695155425</v>
      </c>
      <c r="F1102">
        <v>948.61074975884856</v>
      </c>
      <c r="G1102">
        <v>0.42399999999999999</v>
      </c>
      <c r="H1102">
        <v>5.7000000000000002E-2</v>
      </c>
      <c r="I1102">
        <v>274.8</v>
      </c>
    </row>
    <row r="1103" spans="1:9" x14ac:dyDescent="0.3">
      <c r="A1103" t="s">
        <v>9</v>
      </c>
      <c r="B1103" t="s">
        <v>1201</v>
      </c>
      <c r="C1103">
        <v>3</v>
      </c>
      <c r="D1103">
        <v>5.8900000000000001E-2</v>
      </c>
      <c r="E1103">
        <v>9.4576236898693598</v>
      </c>
      <c r="F1103">
        <v>929.45052789582439</v>
      </c>
      <c r="G1103">
        <v>0.42399999999999999</v>
      </c>
      <c r="H1103">
        <v>5.3800000000000001E-2</v>
      </c>
      <c r="I1103">
        <v>274.9991</v>
      </c>
    </row>
    <row r="1104" spans="1:9" x14ac:dyDescent="0.3">
      <c r="A1104" t="s">
        <v>9</v>
      </c>
      <c r="B1104" t="s">
        <v>1202</v>
      </c>
      <c r="C1104">
        <v>3</v>
      </c>
      <c r="D1104">
        <v>5.6000000000000001E-2</v>
      </c>
      <c r="E1104">
        <v>9.2148667299835836</v>
      </c>
      <c r="F1104">
        <v>906.82557923447007</v>
      </c>
      <c r="G1104">
        <v>0.42399999999999999</v>
      </c>
      <c r="H1104">
        <v>0.05</v>
      </c>
      <c r="I1104">
        <v>275.19990000000001</v>
      </c>
    </row>
    <row r="1105" spans="1:9" x14ac:dyDescent="0.3">
      <c r="A1105" t="s">
        <v>9</v>
      </c>
      <c r="B1105" t="s">
        <v>1203</v>
      </c>
      <c r="C1105">
        <v>3</v>
      </c>
      <c r="D1105">
        <v>5.11E-2</v>
      </c>
      <c r="E1105">
        <v>8.9443573246165951</v>
      </c>
      <c r="F1105">
        <v>881.61410265426673</v>
      </c>
      <c r="G1105">
        <v>0.42399999999999999</v>
      </c>
      <c r="H1105">
        <v>4.58E-2</v>
      </c>
      <c r="I1105">
        <v>275.39940000000001</v>
      </c>
    </row>
    <row r="1106" spans="1:9" x14ac:dyDescent="0.3">
      <c r="A1106" t="s">
        <v>9</v>
      </c>
      <c r="B1106" t="s">
        <v>1204</v>
      </c>
      <c r="C1106">
        <v>4</v>
      </c>
      <c r="D1106">
        <v>4.6899999999999997E-2</v>
      </c>
      <c r="E1106">
        <v>8.6479841565217228</v>
      </c>
      <c r="F1106">
        <v>853.99212338782456</v>
      </c>
      <c r="G1106">
        <v>0.42399999999999999</v>
      </c>
      <c r="H1106">
        <v>4.1200000000000001E-2</v>
      </c>
      <c r="I1106">
        <v>275.601</v>
      </c>
    </row>
    <row r="1107" spans="1:9" x14ac:dyDescent="0.3">
      <c r="A1107" t="s">
        <v>9</v>
      </c>
      <c r="B1107" t="s">
        <v>1205</v>
      </c>
      <c r="C1107">
        <v>4</v>
      </c>
      <c r="D1107">
        <v>4.1500000000000002E-2</v>
      </c>
      <c r="E1107">
        <v>8.3405817785571106</v>
      </c>
      <c r="F1107">
        <v>825.34222176152275</v>
      </c>
      <c r="G1107">
        <v>0.42399999999999999</v>
      </c>
      <c r="H1107">
        <v>3.6400000000000002E-2</v>
      </c>
      <c r="I1107">
        <v>275.7998</v>
      </c>
    </row>
    <row r="1108" spans="1:9" x14ac:dyDescent="0.3">
      <c r="A1108" t="s">
        <v>9</v>
      </c>
      <c r="B1108" t="s">
        <v>1206</v>
      </c>
      <c r="C1108">
        <v>4</v>
      </c>
      <c r="D1108">
        <v>3.7100000000000001E-2</v>
      </c>
      <c r="E1108">
        <v>8.0170153091452292</v>
      </c>
      <c r="F1108">
        <v>795.18582681233534</v>
      </c>
      <c r="G1108">
        <v>0.42399999999999999</v>
      </c>
      <c r="H1108">
        <v>3.1399999999999997E-2</v>
      </c>
      <c r="I1108">
        <v>276.00380000000001</v>
      </c>
    </row>
    <row r="1109" spans="1:9" x14ac:dyDescent="0.3">
      <c r="A1109" t="s">
        <v>9</v>
      </c>
      <c r="B1109" t="s">
        <v>1207</v>
      </c>
      <c r="C1109">
        <v>4</v>
      </c>
      <c r="D1109">
        <v>3.1699999999999999E-2</v>
      </c>
      <c r="E1109">
        <v>7.7049029829490507</v>
      </c>
      <c r="F1109">
        <v>766.09695801085149</v>
      </c>
      <c r="G1109">
        <v>0.42399999999999999</v>
      </c>
      <c r="H1109">
        <v>2.6599999999999999E-2</v>
      </c>
      <c r="I1109">
        <v>276.20069999999998</v>
      </c>
    </row>
    <row r="1110" spans="1:9" x14ac:dyDescent="0.3">
      <c r="A1110" t="s">
        <v>9</v>
      </c>
      <c r="B1110" t="s">
        <v>1208</v>
      </c>
      <c r="C1110">
        <v>4</v>
      </c>
      <c r="D1110">
        <v>2.6599999999999999E-2</v>
      </c>
      <c r="E1110">
        <v>7.3957607299963488</v>
      </c>
      <c r="F1110">
        <v>737.28490003565969</v>
      </c>
      <c r="G1110">
        <v>0.42399999999999999</v>
      </c>
      <c r="H1110">
        <v>2.18E-2</v>
      </c>
      <c r="I1110">
        <v>276.40050000000002</v>
      </c>
    </row>
    <row r="1111" spans="1:9" x14ac:dyDescent="0.3">
      <c r="A1111" t="s">
        <v>9</v>
      </c>
      <c r="B1111" t="s">
        <v>1209</v>
      </c>
      <c r="C1111">
        <v>4</v>
      </c>
      <c r="D1111">
        <v>2.1399999999999999E-2</v>
      </c>
      <c r="E1111">
        <v>7.1007268317886041</v>
      </c>
      <c r="F1111">
        <v>709.78774072269789</v>
      </c>
      <c r="G1111">
        <v>0.42399999999999999</v>
      </c>
      <c r="H1111">
        <v>1.72E-2</v>
      </c>
      <c r="I1111">
        <v>276.60140000000001</v>
      </c>
    </row>
    <row r="1112" spans="1:9" x14ac:dyDescent="0.3">
      <c r="A1112" t="s">
        <v>9</v>
      </c>
      <c r="B1112" t="s">
        <v>1210</v>
      </c>
      <c r="C1112">
        <v>4</v>
      </c>
      <c r="D1112">
        <v>1.6500000000000001E-2</v>
      </c>
      <c r="E1112">
        <v>6.8281925054963013</v>
      </c>
      <c r="F1112">
        <v>684.38754151225532</v>
      </c>
      <c r="G1112">
        <v>0.42399999999999999</v>
      </c>
      <c r="H1112">
        <v>1.29E-2</v>
      </c>
      <c r="I1112">
        <v>276.80250000000001</v>
      </c>
    </row>
    <row r="1113" spans="1:9" x14ac:dyDescent="0.3">
      <c r="A1113" t="s">
        <v>9</v>
      </c>
      <c r="B1113" t="s">
        <v>1211</v>
      </c>
      <c r="C1113">
        <v>4</v>
      </c>
      <c r="D1113">
        <v>1.15E-2</v>
      </c>
      <c r="E1113">
        <v>6.590113056182096</v>
      </c>
      <c r="F1113">
        <v>662.19853683617134</v>
      </c>
      <c r="G1113">
        <v>0.42399999999999999</v>
      </c>
      <c r="H1113">
        <v>9.1999999999999998E-3</v>
      </c>
      <c r="I1113">
        <v>276.99950000000001</v>
      </c>
    </row>
    <row r="1114" spans="1:9" x14ac:dyDescent="0.3">
      <c r="A1114" t="s">
        <v>9</v>
      </c>
      <c r="B1114" t="s">
        <v>1212</v>
      </c>
      <c r="C1114">
        <v>4</v>
      </c>
      <c r="D1114">
        <v>7.7000000000000002E-3</v>
      </c>
      <c r="E1114">
        <v>6.3817050237674477</v>
      </c>
      <c r="F1114">
        <v>642.77490821512617</v>
      </c>
      <c r="G1114">
        <v>0.42399999999999999</v>
      </c>
      <c r="H1114">
        <v>6.0000000000000001E-3</v>
      </c>
      <c r="I1114">
        <v>277.2013</v>
      </c>
    </row>
    <row r="1115" spans="1:9" x14ac:dyDescent="0.3">
      <c r="A1115" t="s">
        <v>9</v>
      </c>
      <c r="B1115" t="s">
        <v>1213</v>
      </c>
      <c r="C1115">
        <v>4</v>
      </c>
      <c r="D1115">
        <v>3.7000000000000002E-3</v>
      </c>
      <c r="E1115">
        <v>6.2156259886539491</v>
      </c>
      <c r="F1115">
        <v>627.29634214254804</v>
      </c>
      <c r="G1115">
        <v>0.42399999999999999</v>
      </c>
      <c r="H1115">
        <v>3.3999999999999998E-3</v>
      </c>
      <c r="I1115">
        <v>277.4015</v>
      </c>
    </row>
    <row r="1116" spans="1:9" x14ac:dyDescent="0.3">
      <c r="A1116" t="s">
        <v>9</v>
      </c>
      <c r="B1116" t="s">
        <v>1214</v>
      </c>
      <c r="C1116">
        <v>4</v>
      </c>
      <c r="D1116">
        <v>8.0000000000000004E-4</v>
      </c>
      <c r="E1116">
        <v>6.095415588847553</v>
      </c>
      <c r="F1116">
        <v>616.09273288059194</v>
      </c>
      <c r="G1116">
        <v>0.42399999999999999</v>
      </c>
      <c r="H1116">
        <v>1.5E-3</v>
      </c>
      <c r="I1116">
        <v>277.59910000000002</v>
      </c>
    </row>
    <row r="1117" spans="1:9" x14ac:dyDescent="0.3">
      <c r="A1117" t="s">
        <v>9</v>
      </c>
      <c r="B1117" t="s">
        <v>1215</v>
      </c>
      <c r="C1117">
        <v>4</v>
      </c>
      <c r="D1117">
        <v>-1.4E-3</v>
      </c>
      <c r="E1117">
        <v>6.020106849594332</v>
      </c>
      <c r="F1117">
        <v>609.07395838219179</v>
      </c>
      <c r="G1117">
        <v>0.42399999999999999</v>
      </c>
      <c r="H1117">
        <v>4.0000000000000002E-4</v>
      </c>
      <c r="I1117">
        <v>277.80239999999998</v>
      </c>
    </row>
    <row r="1118" spans="1:9" x14ac:dyDescent="0.3">
      <c r="A1118" t="s">
        <v>9</v>
      </c>
      <c r="B1118" t="s">
        <v>1216</v>
      </c>
      <c r="C1118">
        <v>4</v>
      </c>
      <c r="D1118">
        <v>-2.5000000000000001E-3</v>
      </c>
      <c r="E1118">
        <v>5.9957334838115024</v>
      </c>
      <c r="F1118">
        <v>606.80236069123202</v>
      </c>
      <c r="G1118">
        <v>0.42399999999999999</v>
      </c>
      <c r="H1118">
        <v>0</v>
      </c>
      <c r="I1118">
        <v>278.00020000000001</v>
      </c>
    </row>
    <row r="1119" spans="1:9" x14ac:dyDescent="0.3">
      <c r="A1119" t="s">
        <v>9</v>
      </c>
      <c r="B1119" t="s">
        <v>1217</v>
      </c>
      <c r="C1119">
        <v>4</v>
      </c>
      <c r="D1119">
        <v>-3.0000000000000001E-3</v>
      </c>
      <c r="E1119">
        <v>6.0210636591965567</v>
      </c>
      <c r="F1119">
        <v>711.39894125775322</v>
      </c>
      <c r="G1119">
        <v>0.42399999999999999</v>
      </c>
      <c r="H1119">
        <v>4.0000000000000002E-4</v>
      </c>
      <c r="I1119">
        <v>278.20150000000001</v>
      </c>
    </row>
    <row r="1120" spans="1:9" x14ac:dyDescent="0.3">
      <c r="A1120" t="s">
        <v>9</v>
      </c>
      <c r="B1120" t="s">
        <v>1218</v>
      </c>
      <c r="C1120">
        <v>4</v>
      </c>
      <c r="D1120">
        <v>-1E-3</v>
      </c>
      <c r="E1120">
        <v>6.0955511782663407</v>
      </c>
      <c r="F1120">
        <v>718.46780681747578</v>
      </c>
      <c r="G1120">
        <v>0.42399999999999999</v>
      </c>
      <c r="H1120">
        <v>1.6000000000000001E-3</v>
      </c>
      <c r="I1120">
        <v>278.40120000000002</v>
      </c>
    </row>
    <row r="1121" spans="1:9" x14ac:dyDescent="0.3">
      <c r="A1121" t="s">
        <v>9</v>
      </c>
      <c r="B1121" t="s">
        <v>1219</v>
      </c>
      <c r="C1121">
        <v>4</v>
      </c>
      <c r="D1121">
        <v>2.2000000000000001E-3</v>
      </c>
      <c r="E1121">
        <v>6.2173689452197394</v>
      </c>
      <c r="F1121">
        <v>730.02831290135327</v>
      </c>
      <c r="G1121">
        <v>0.42399999999999999</v>
      </c>
      <c r="H1121">
        <v>3.3999999999999998E-3</v>
      </c>
      <c r="I1121">
        <v>278.60090000000002</v>
      </c>
    </row>
    <row r="1122" spans="1:9" x14ac:dyDescent="0.3">
      <c r="A1122" t="s">
        <v>9</v>
      </c>
      <c r="B1122" t="s">
        <v>1220</v>
      </c>
      <c r="C1122">
        <v>4</v>
      </c>
      <c r="D1122">
        <v>4.5999999999999999E-3</v>
      </c>
      <c r="E1122">
        <v>6.3821983194818506</v>
      </c>
      <c r="F1122">
        <v>745.67062051882772</v>
      </c>
      <c r="G1122">
        <v>0.42399999999999999</v>
      </c>
      <c r="H1122">
        <v>6.0000000000000001E-3</v>
      </c>
      <c r="I1122">
        <v>278.79919999999998</v>
      </c>
    </row>
    <row r="1123" spans="1:9" x14ac:dyDescent="0.3">
      <c r="A1123" t="s">
        <v>9</v>
      </c>
      <c r="B1123" t="s">
        <v>1221</v>
      </c>
      <c r="C1123">
        <v>4</v>
      </c>
      <c r="D1123">
        <v>7.0000000000000001E-3</v>
      </c>
      <c r="E1123">
        <v>6.5900287182661028</v>
      </c>
      <c r="F1123">
        <v>765.3937253634532</v>
      </c>
      <c r="G1123">
        <v>0.42399999999999999</v>
      </c>
      <c r="H1123">
        <v>9.1999999999999998E-3</v>
      </c>
      <c r="I1123">
        <v>279.00040000000001</v>
      </c>
    </row>
    <row r="1124" spans="1:9" x14ac:dyDescent="0.3">
      <c r="A1124" t="s">
        <v>9</v>
      </c>
      <c r="B1124" t="s">
        <v>1222</v>
      </c>
      <c r="C1124">
        <v>4</v>
      </c>
      <c r="D1124">
        <v>1.03E-2</v>
      </c>
      <c r="E1124">
        <v>6.834101836206262</v>
      </c>
      <c r="F1124">
        <v>788.55626425597427</v>
      </c>
      <c r="G1124">
        <v>0.42399999999999999</v>
      </c>
      <c r="H1124">
        <v>1.2999999999999999E-2</v>
      </c>
      <c r="I1124">
        <v>279.20209999999997</v>
      </c>
    </row>
    <row r="1125" spans="1:9" x14ac:dyDescent="0.3">
      <c r="A1125" t="s">
        <v>9</v>
      </c>
      <c r="B1125" t="s">
        <v>1223</v>
      </c>
      <c r="C1125">
        <v>4</v>
      </c>
      <c r="D1125">
        <v>1.4E-2</v>
      </c>
      <c r="E1125">
        <v>7.1015296638735297</v>
      </c>
      <c r="F1125">
        <v>813.93516510159805</v>
      </c>
      <c r="G1125">
        <v>0.42399999999999999</v>
      </c>
      <c r="H1125">
        <v>1.72E-2</v>
      </c>
      <c r="I1125">
        <v>279.39920000000001</v>
      </c>
    </row>
    <row r="1126" spans="1:9" x14ac:dyDescent="0.3">
      <c r="A1126" t="s">
        <v>9</v>
      </c>
      <c r="B1126" t="s">
        <v>1224</v>
      </c>
      <c r="C1126">
        <v>4</v>
      </c>
      <c r="D1126">
        <v>1.84E-2</v>
      </c>
      <c r="E1126">
        <v>7.3994436208182606</v>
      </c>
      <c r="F1126">
        <v>842.20719961565294</v>
      </c>
      <c r="G1126">
        <v>0.42399999999999999</v>
      </c>
      <c r="H1126">
        <v>2.18E-2</v>
      </c>
      <c r="I1126">
        <v>279.6019</v>
      </c>
    </row>
    <row r="1127" spans="1:9" x14ac:dyDescent="0.3">
      <c r="A1127" t="s">
        <v>9</v>
      </c>
      <c r="B1127" t="s">
        <v>1225</v>
      </c>
      <c r="C1127">
        <v>4</v>
      </c>
      <c r="D1127">
        <v>2.2800000000000001E-2</v>
      </c>
      <c r="E1127">
        <v>7.7078410240032822</v>
      </c>
      <c r="F1127">
        <v>871.47411317791148</v>
      </c>
      <c r="G1127">
        <v>0.42399999999999999</v>
      </c>
      <c r="H1127">
        <v>2.6599999999999999E-2</v>
      </c>
      <c r="I1127">
        <v>279.80119999999999</v>
      </c>
    </row>
    <row r="1128" spans="1:9" x14ac:dyDescent="0.3">
      <c r="A1128" t="s">
        <v>9</v>
      </c>
      <c r="B1128" t="s">
        <v>1226</v>
      </c>
      <c r="C1128">
        <v>4</v>
      </c>
      <c r="D1128">
        <v>2.81E-2</v>
      </c>
      <c r="E1128">
        <v>8.0226193203804677</v>
      </c>
      <c r="F1128">
        <v>901.34657350410646</v>
      </c>
      <c r="G1128">
        <v>0.42399999999999999</v>
      </c>
      <c r="H1128">
        <v>3.15E-2</v>
      </c>
      <c r="I1128">
        <v>279.99970000000002</v>
      </c>
    </row>
    <row r="1129" spans="1:9" x14ac:dyDescent="0.3">
      <c r="A1129" t="s">
        <v>9</v>
      </c>
      <c r="B1129" t="s">
        <v>1227</v>
      </c>
      <c r="C1129">
        <v>4</v>
      </c>
      <c r="D1129">
        <v>3.27E-2</v>
      </c>
      <c r="E1129">
        <v>8.3416254602675153</v>
      </c>
      <c r="F1129">
        <v>931.6202561793873</v>
      </c>
      <c r="G1129">
        <v>0.42399999999999999</v>
      </c>
      <c r="H1129">
        <v>3.6400000000000002E-2</v>
      </c>
      <c r="I1129">
        <v>280.20089999999999</v>
      </c>
    </row>
    <row r="1130" spans="1:9" x14ac:dyDescent="0.3">
      <c r="A1130" t="s">
        <v>9</v>
      </c>
      <c r="B1130" t="s">
        <v>1228</v>
      </c>
      <c r="C1130">
        <v>4</v>
      </c>
      <c r="D1130">
        <v>3.7699999999999997E-2</v>
      </c>
      <c r="E1130">
        <v>8.6507251387914721</v>
      </c>
      <c r="F1130">
        <v>960.95381567131074</v>
      </c>
      <c r="G1130">
        <v>0.42399999999999999</v>
      </c>
      <c r="H1130">
        <v>4.1300000000000003E-2</v>
      </c>
      <c r="I1130">
        <v>280.4008</v>
      </c>
    </row>
    <row r="1131" spans="1:9" x14ac:dyDescent="0.3">
      <c r="A1131" t="s">
        <v>9</v>
      </c>
      <c r="B1131" t="s">
        <v>1229</v>
      </c>
      <c r="C1131">
        <v>4</v>
      </c>
      <c r="D1131">
        <v>4.2900000000000001E-2</v>
      </c>
      <c r="E1131">
        <v>8.9419914027905616</v>
      </c>
      <c r="F1131">
        <v>988.59498412482435</v>
      </c>
      <c r="G1131">
        <v>0.42399999999999999</v>
      </c>
      <c r="H1131">
        <v>4.58E-2</v>
      </c>
      <c r="I1131">
        <v>280.59890000000001</v>
      </c>
    </row>
    <row r="1132" spans="1:9" x14ac:dyDescent="0.3">
      <c r="A1132" t="s">
        <v>9</v>
      </c>
      <c r="B1132" t="s">
        <v>1230</v>
      </c>
      <c r="C1132">
        <v>4</v>
      </c>
      <c r="D1132">
        <v>4.7800000000000002E-2</v>
      </c>
      <c r="E1132">
        <v>9.2139446894981649</v>
      </c>
      <c r="F1132">
        <v>1014.403351033376</v>
      </c>
      <c r="G1132">
        <v>0.42399999999999999</v>
      </c>
      <c r="H1132">
        <v>0.05</v>
      </c>
      <c r="I1132">
        <v>280.79939999999999</v>
      </c>
    </row>
    <row r="1133" spans="1:9" x14ac:dyDescent="0.3">
      <c r="A1133" t="s">
        <v>9</v>
      </c>
      <c r="B1133" t="s">
        <v>1231</v>
      </c>
      <c r="C1133">
        <v>4</v>
      </c>
      <c r="D1133">
        <v>5.2400000000000002E-2</v>
      </c>
      <c r="E1133">
        <v>9.4599206816678993</v>
      </c>
      <c r="F1133">
        <v>1037.746472690284</v>
      </c>
      <c r="G1133">
        <v>0.42399999999999999</v>
      </c>
      <c r="H1133">
        <v>5.3800000000000001E-2</v>
      </c>
      <c r="I1133">
        <v>281.00290000000001</v>
      </c>
    </row>
    <row r="1134" spans="1:9" x14ac:dyDescent="0.3">
      <c r="A1134" t="s">
        <v>9</v>
      </c>
      <c r="B1134" t="s">
        <v>1232</v>
      </c>
      <c r="C1134">
        <v>4</v>
      </c>
      <c r="D1134">
        <v>5.62E-2</v>
      </c>
      <c r="E1134">
        <v>9.6648614120583911</v>
      </c>
      <c r="F1134">
        <v>1057.195348004341</v>
      </c>
      <c r="G1134">
        <v>0.42399999999999999</v>
      </c>
      <c r="H1134">
        <v>5.7000000000000002E-2</v>
      </c>
      <c r="I1134">
        <v>281.20170000000002</v>
      </c>
    </row>
    <row r="1135" spans="1:9" x14ac:dyDescent="0.3">
      <c r="A1135" t="s">
        <v>9</v>
      </c>
      <c r="B1135" t="s">
        <v>1233</v>
      </c>
      <c r="C1135">
        <v>4</v>
      </c>
      <c r="D1135">
        <v>5.8799999999999998E-2</v>
      </c>
      <c r="E1135">
        <v>9.830262256795498</v>
      </c>
      <c r="F1135">
        <v>1072.891888169893</v>
      </c>
      <c r="G1135">
        <v>0.42399999999999999</v>
      </c>
      <c r="H1135">
        <v>5.96E-2</v>
      </c>
      <c r="I1135">
        <v>281.40109999999999</v>
      </c>
    </row>
    <row r="1136" spans="1:9" x14ac:dyDescent="0.3">
      <c r="A1136" t="s">
        <v>9</v>
      </c>
      <c r="B1136" t="s">
        <v>1234</v>
      </c>
      <c r="C1136">
        <v>4</v>
      </c>
      <c r="D1136">
        <v>6.1699999999999998E-2</v>
      </c>
      <c r="E1136">
        <v>9.9510232047861944</v>
      </c>
      <c r="F1136">
        <v>1084.3521021342101</v>
      </c>
      <c r="G1136">
        <v>0.42399999999999999</v>
      </c>
      <c r="H1136">
        <v>6.1499999999999999E-2</v>
      </c>
      <c r="I1136">
        <v>281.59960000000001</v>
      </c>
    </row>
    <row r="1137" spans="1:9" x14ac:dyDescent="0.3">
      <c r="A1137" t="s">
        <v>9</v>
      </c>
      <c r="B1137" t="s">
        <v>1235</v>
      </c>
      <c r="C1137">
        <v>4</v>
      </c>
      <c r="D1137">
        <v>6.4500000000000002E-2</v>
      </c>
      <c r="E1137">
        <v>10.02579201107935</v>
      </c>
      <c r="F1137">
        <v>1091.44766185143</v>
      </c>
      <c r="G1137">
        <v>0.42399999999999999</v>
      </c>
      <c r="H1137">
        <v>6.2600000000000003E-2</v>
      </c>
      <c r="I1137">
        <v>281.80119999999999</v>
      </c>
    </row>
    <row r="1138" spans="1:9" x14ac:dyDescent="0.3">
      <c r="A1138" t="s">
        <v>9</v>
      </c>
      <c r="B1138" t="s">
        <v>1236</v>
      </c>
      <c r="C1138">
        <v>4</v>
      </c>
      <c r="D1138">
        <v>6.6199999999999995E-2</v>
      </c>
      <c r="E1138">
        <v>10.05044057796959</v>
      </c>
      <c r="F1138">
        <v>1093.786810849314</v>
      </c>
      <c r="G1138">
        <v>0.42399999999999999</v>
      </c>
      <c r="H1138">
        <v>6.3E-2</v>
      </c>
      <c r="I1138">
        <v>281.9991</v>
      </c>
    </row>
    <row r="1139" spans="1:9" x14ac:dyDescent="0.3">
      <c r="A1139" t="s">
        <v>9</v>
      </c>
      <c r="B1139" t="s">
        <v>1237</v>
      </c>
      <c r="C1139">
        <v>4</v>
      </c>
      <c r="D1139">
        <v>6.6199999999999995E-2</v>
      </c>
      <c r="E1139">
        <v>10.02558805929212</v>
      </c>
      <c r="F1139">
        <v>982.38480712602563</v>
      </c>
      <c r="G1139">
        <v>0.42399999999999999</v>
      </c>
      <c r="H1139">
        <v>6.2600000000000003E-2</v>
      </c>
      <c r="I1139">
        <v>282.19959999999998</v>
      </c>
    </row>
    <row r="1140" spans="1:9" x14ac:dyDescent="0.3">
      <c r="A1140" t="s">
        <v>9</v>
      </c>
      <c r="B1140" t="s">
        <v>1238</v>
      </c>
      <c r="C1140">
        <v>4</v>
      </c>
      <c r="D1140">
        <v>6.4000000000000001E-2</v>
      </c>
      <c r="E1140">
        <v>9.950473791919995</v>
      </c>
      <c r="F1140">
        <v>975.38415740694359</v>
      </c>
      <c r="G1140">
        <v>0.42399999999999999</v>
      </c>
      <c r="H1140">
        <v>6.1400000000000003E-2</v>
      </c>
      <c r="I1140">
        <v>282.4015</v>
      </c>
    </row>
    <row r="1141" spans="1:9" x14ac:dyDescent="0.3">
      <c r="A1141" t="s">
        <v>9</v>
      </c>
      <c r="B1141" t="s">
        <v>1239</v>
      </c>
      <c r="C1141">
        <v>4</v>
      </c>
      <c r="D1141">
        <v>6.25E-2</v>
      </c>
      <c r="E1141">
        <v>9.8289100118443731</v>
      </c>
      <c r="F1141">
        <v>964.05441310389563</v>
      </c>
      <c r="G1141">
        <v>0.42399999999999999</v>
      </c>
      <c r="H1141">
        <v>5.96E-2</v>
      </c>
      <c r="I1141">
        <v>282.60079999999999</v>
      </c>
    </row>
    <row r="1142" spans="1:9" x14ac:dyDescent="0.3">
      <c r="A1142" t="s">
        <v>9</v>
      </c>
      <c r="B1142" t="s">
        <v>1240</v>
      </c>
      <c r="C1142">
        <v>4</v>
      </c>
      <c r="D1142">
        <v>6.0699999999999997E-2</v>
      </c>
      <c r="E1142">
        <v>9.661909990469411</v>
      </c>
      <c r="F1142">
        <v>948.49001111174914</v>
      </c>
      <c r="G1142">
        <v>0.42399999999999999</v>
      </c>
      <c r="H1142">
        <v>5.7000000000000002E-2</v>
      </c>
      <c r="I1142">
        <v>282.8014</v>
      </c>
    </row>
    <row r="1143" spans="1:9" x14ac:dyDescent="0.3">
      <c r="A1143" t="s">
        <v>9</v>
      </c>
      <c r="B1143" t="s">
        <v>1241</v>
      </c>
      <c r="C1143">
        <v>4</v>
      </c>
      <c r="D1143">
        <v>5.8999999999999997E-2</v>
      </c>
      <c r="E1143">
        <v>9.4551916763110828</v>
      </c>
      <c r="F1143">
        <v>929.22386423219291</v>
      </c>
      <c r="G1143">
        <v>0.42399999999999999</v>
      </c>
      <c r="H1143">
        <v>5.3800000000000001E-2</v>
      </c>
      <c r="I1143">
        <v>283.00130000000001</v>
      </c>
    </row>
    <row r="1144" spans="1:9" x14ac:dyDescent="0.3">
      <c r="A1144" t="s">
        <v>9</v>
      </c>
      <c r="B1144" t="s">
        <v>1242</v>
      </c>
      <c r="C1144">
        <v>4</v>
      </c>
      <c r="D1144">
        <v>5.5899999999999998E-2</v>
      </c>
      <c r="E1144">
        <v>9.2136859991596882</v>
      </c>
      <c r="F1144">
        <v>906.71553512168293</v>
      </c>
      <c r="G1144">
        <v>0.42399999999999999</v>
      </c>
      <c r="H1144">
        <v>0.05</v>
      </c>
      <c r="I1144">
        <v>283.20080000000002</v>
      </c>
    </row>
    <row r="1145" spans="1:9" x14ac:dyDescent="0.3">
      <c r="A1145" t="s">
        <v>9</v>
      </c>
      <c r="B1145" t="s">
        <v>1243</v>
      </c>
      <c r="C1145">
        <v>4</v>
      </c>
      <c r="D1145">
        <v>5.1299999999999998E-2</v>
      </c>
      <c r="E1145">
        <v>8.9438289962293922</v>
      </c>
      <c r="F1145">
        <v>881.56486244857933</v>
      </c>
      <c r="G1145">
        <v>0.42399999999999999</v>
      </c>
      <c r="H1145">
        <v>4.58E-2</v>
      </c>
      <c r="I1145">
        <v>283.3997</v>
      </c>
    </row>
    <row r="1146" spans="1:9" x14ac:dyDescent="0.3">
      <c r="A1146" t="s">
        <v>9</v>
      </c>
      <c r="B1146" t="s">
        <v>1244</v>
      </c>
      <c r="C1146">
        <v>4</v>
      </c>
      <c r="D1146">
        <v>4.5999999999999999E-2</v>
      </c>
      <c r="E1146">
        <v>8.649833103141555</v>
      </c>
      <c r="F1146">
        <v>854.164445212793</v>
      </c>
      <c r="G1146">
        <v>0.42399999999999999</v>
      </c>
      <c r="H1146">
        <v>4.1200000000000001E-2</v>
      </c>
      <c r="I1146">
        <v>283.59980000000002</v>
      </c>
    </row>
    <row r="1147" spans="1:9" x14ac:dyDescent="0.3">
      <c r="A1147" t="s">
        <v>9</v>
      </c>
      <c r="B1147" t="s">
        <v>1245</v>
      </c>
      <c r="C1147">
        <v>4</v>
      </c>
      <c r="D1147">
        <v>4.19E-2</v>
      </c>
      <c r="E1147">
        <v>8.3403324140458839</v>
      </c>
      <c r="F1147">
        <v>825.31898098907641</v>
      </c>
      <c r="G1147">
        <v>0.42399999999999999</v>
      </c>
      <c r="H1147">
        <v>3.6400000000000002E-2</v>
      </c>
      <c r="I1147">
        <v>283.79989999999998</v>
      </c>
    </row>
    <row r="1148" spans="1:9" x14ac:dyDescent="0.3">
      <c r="A1148" t="s">
        <v>9</v>
      </c>
      <c r="B1148" t="s">
        <v>1246</v>
      </c>
      <c r="C1148">
        <v>4</v>
      </c>
      <c r="D1148">
        <v>3.6999999999999998E-2</v>
      </c>
      <c r="E1148">
        <v>8.0200725585999493</v>
      </c>
      <c r="F1148">
        <v>795.47076246151528</v>
      </c>
      <c r="G1148">
        <v>0.42399999999999999</v>
      </c>
      <c r="H1148">
        <v>3.15E-2</v>
      </c>
      <c r="I1148">
        <v>284.00189999999998</v>
      </c>
    </row>
    <row r="1149" spans="1:9" x14ac:dyDescent="0.3">
      <c r="A1149" t="s">
        <v>9</v>
      </c>
      <c r="B1149" t="s">
        <v>1247</v>
      </c>
      <c r="C1149">
        <v>4</v>
      </c>
      <c r="D1149">
        <v>3.1699999999999999E-2</v>
      </c>
      <c r="E1149">
        <v>7.7034011192911871</v>
      </c>
      <c r="F1149">
        <v>765.95698431793869</v>
      </c>
      <c r="G1149">
        <v>0.42399999999999999</v>
      </c>
      <c r="H1149">
        <v>2.6499999999999999E-2</v>
      </c>
      <c r="I1149">
        <v>284.20159999999998</v>
      </c>
    </row>
    <row r="1150" spans="1:9" x14ac:dyDescent="0.3">
      <c r="A1150" t="s">
        <v>9</v>
      </c>
      <c r="B1150" t="s">
        <v>1248</v>
      </c>
      <c r="C1150">
        <v>4</v>
      </c>
      <c r="D1150">
        <v>2.6599999999999999E-2</v>
      </c>
      <c r="E1150">
        <v>7.3957558643473478</v>
      </c>
      <c r="F1150">
        <v>737.28444655717283</v>
      </c>
      <c r="G1150">
        <v>0.42399999999999999</v>
      </c>
      <c r="H1150">
        <v>2.18E-2</v>
      </c>
      <c r="I1150">
        <v>284.40050000000002</v>
      </c>
    </row>
    <row r="1151" spans="1:9" x14ac:dyDescent="0.3">
      <c r="A1151" t="s">
        <v>9</v>
      </c>
      <c r="B1151" t="s">
        <v>1249</v>
      </c>
      <c r="C1151">
        <v>4</v>
      </c>
      <c r="D1151">
        <v>2.1499999999999998E-2</v>
      </c>
      <c r="E1151">
        <v>7.1021548997699737</v>
      </c>
      <c r="F1151">
        <v>709.9208366585616</v>
      </c>
      <c r="G1151">
        <v>0.42399999999999999</v>
      </c>
      <c r="H1151">
        <v>1.72E-2</v>
      </c>
      <c r="I1151">
        <v>284.60039999999998</v>
      </c>
    </row>
    <row r="1152" spans="1:9" x14ac:dyDescent="0.3">
      <c r="A1152" t="s">
        <v>9</v>
      </c>
      <c r="B1152" t="s">
        <v>1250</v>
      </c>
      <c r="C1152">
        <v>4</v>
      </c>
      <c r="D1152">
        <v>1.66E-2</v>
      </c>
      <c r="E1152">
        <v>6.8304886863533421</v>
      </c>
      <c r="F1152">
        <v>684.60154556813154</v>
      </c>
      <c r="G1152">
        <v>0.42399999999999999</v>
      </c>
      <c r="H1152">
        <v>1.2999999999999999E-2</v>
      </c>
      <c r="I1152">
        <v>284.80070000000001</v>
      </c>
    </row>
    <row r="1153" spans="1:9" x14ac:dyDescent="0.3">
      <c r="A1153" t="s">
        <v>9</v>
      </c>
      <c r="B1153" t="s">
        <v>1251</v>
      </c>
      <c r="C1153">
        <v>4</v>
      </c>
      <c r="D1153">
        <v>1.21E-2</v>
      </c>
      <c r="E1153">
        <v>6.590459328202563</v>
      </c>
      <c r="F1153">
        <v>662.23080938847886</v>
      </c>
      <c r="G1153">
        <v>0.42399999999999999</v>
      </c>
      <c r="H1153">
        <v>9.1999999999999998E-3</v>
      </c>
      <c r="I1153">
        <v>284.99919999999997</v>
      </c>
    </row>
    <row r="1154" spans="1:9" x14ac:dyDescent="0.3">
      <c r="A1154" t="s">
        <v>9</v>
      </c>
      <c r="B1154" t="s">
        <v>1252</v>
      </c>
      <c r="C1154">
        <v>4</v>
      </c>
      <c r="D1154">
        <v>7.4000000000000003E-3</v>
      </c>
      <c r="E1154">
        <v>6.3821016147079863</v>
      </c>
      <c r="F1154">
        <v>642.81187049078437</v>
      </c>
      <c r="G1154">
        <v>0.42399999999999999</v>
      </c>
      <c r="H1154">
        <v>6.0000000000000001E-3</v>
      </c>
      <c r="I1154">
        <v>285.20089999999999</v>
      </c>
    </row>
    <row r="1155" spans="1:9" x14ac:dyDescent="0.3">
      <c r="A1155" t="s">
        <v>9</v>
      </c>
      <c r="B1155" t="s">
        <v>1253</v>
      </c>
      <c r="C1155">
        <v>4</v>
      </c>
      <c r="D1155">
        <v>3.7000000000000002E-3</v>
      </c>
      <c r="E1155">
        <v>6.2162826079864386</v>
      </c>
      <c r="F1155">
        <v>627.35753906433615</v>
      </c>
      <c r="G1155">
        <v>0.42399999999999999</v>
      </c>
      <c r="H1155">
        <v>3.3999999999999998E-3</v>
      </c>
      <c r="I1155">
        <v>285.4006</v>
      </c>
    </row>
    <row r="1156" spans="1:9" x14ac:dyDescent="0.3">
      <c r="A1156" t="s">
        <v>9</v>
      </c>
      <c r="B1156" t="s">
        <v>1254</v>
      </c>
      <c r="C1156">
        <v>4</v>
      </c>
      <c r="D1156">
        <v>8.9999999999999998E-4</v>
      </c>
      <c r="E1156">
        <v>6.0951649673770021</v>
      </c>
      <c r="F1156">
        <v>616.06937495953662</v>
      </c>
      <c r="G1156">
        <v>0.42399999999999999</v>
      </c>
      <c r="H1156">
        <v>1.5E-3</v>
      </c>
      <c r="I1156">
        <v>285.59960000000001</v>
      </c>
    </row>
    <row r="1157" spans="1:9" x14ac:dyDescent="0.3">
      <c r="A1157" t="s">
        <v>9</v>
      </c>
      <c r="B1157" t="s">
        <v>1255</v>
      </c>
      <c r="C1157">
        <v>4</v>
      </c>
      <c r="D1157">
        <v>-1.5E-3</v>
      </c>
      <c r="E1157">
        <v>6.0201969979061722</v>
      </c>
      <c r="F1157">
        <v>609.08236020485526</v>
      </c>
      <c r="G1157">
        <v>0.42399999999999999</v>
      </c>
      <c r="H1157">
        <v>4.0000000000000002E-4</v>
      </c>
      <c r="I1157">
        <v>285.80200000000002</v>
      </c>
    </row>
    <row r="1158" spans="1:9" x14ac:dyDescent="0.3">
      <c r="A1158" t="s">
        <v>9</v>
      </c>
      <c r="B1158" t="s">
        <v>1256</v>
      </c>
      <c r="C1158">
        <v>4</v>
      </c>
      <c r="D1158">
        <v>-2.7000000000000001E-3</v>
      </c>
      <c r="E1158">
        <v>5.9957336046511944</v>
      </c>
      <c r="F1158">
        <v>606.80237195349127</v>
      </c>
      <c r="G1158">
        <v>0.42399999999999999</v>
      </c>
      <c r="H1158">
        <v>0</v>
      </c>
      <c r="I1158">
        <v>285.99959999999999</v>
      </c>
    </row>
    <row r="1159" spans="1:9" x14ac:dyDescent="0.3">
      <c r="A1159" t="s">
        <v>9</v>
      </c>
      <c r="B1159" t="s">
        <v>1257</v>
      </c>
      <c r="C1159">
        <v>4</v>
      </c>
      <c r="D1159">
        <v>-3.0000000000000001E-3</v>
      </c>
      <c r="E1159">
        <v>6.0209963510520632</v>
      </c>
      <c r="F1159">
        <v>711.3925537148408</v>
      </c>
      <c r="G1159">
        <v>0.42399999999999999</v>
      </c>
      <c r="H1159">
        <v>4.0000000000000002E-4</v>
      </c>
      <c r="I1159">
        <v>286.20119999999997</v>
      </c>
    </row>
    <row r="1160" spans="1:9" x14ac:dyDescent="0.3">
      <c r="A1160" t="s">
        <v>9</v>
      </c>
      <c r="B1160" t="s">
        <v>1258</v>
      </c>
      <c r="C1160">
        <v>4</v>
      </c>
      <c r="D1160">
        <v>-1E-3</v>
      </c>
      <c r="E1160">
        <v>6.0957158804849758</v>
      </c>
      <c r="F1160">
        <v>718.48343705802426</v>
      </c>
      <c r="G1160">
        <v>0.42399999999999999</v>
      </c>
      <c r="H1160">
        <v>1.6000000000000001E-3</v>
      </c>
      <c r="I1160">
        <v>286.4015</v>
      </c>
    </row>
    <row r="1161" spans="1:9" x14ac:dyDescent="0.3">
      <c r="A1161" t="s">
        <v>9</v>
      </c>
      <c r="B1161" t="s">
        <v>1259</v>
      </c>
      <c r="C1161">
        <v>4</v>
      </c>
      <c r="D1161">
        <v>2.3E-3</v>
      </c>
      <c r="E1161">
        <v>6.2175963737633948</v>
      </c>
      <c r="F1161">
        <v>730.0498958701462</v>
      </c>
      <c r="G1161">
        <v>0.42399999999999999</v>
      </c>
      <c r="H1161">
        <v>3.3999999999999998E-3</v>
      </c>
      <c r="I1161">
        <v>286.60120000000001</v>
      </c>
    </row>
    <row r="1162" spans="1:9" x14ac:dyDescent="0.3">
      <c r="A1162" t="s">
        <v>9</v>
      </c>
      <c r="B1162" t="s">
        <v>1260</v>
      </c>
      <c r="C1162">
        <v>4</v>
      </c>
      <c r="D1162">
        <v>4.0000000000000001E-3</v>
      </c>
      <c r="E1162">
        <v>6.3864995937445341</v>
      </c>
      <c r="F1162">
        <v>746.07881144635633</v>
      </c>
      <c r="G1162">
        <v>0.42399999999999999</v>
      </c>
      <c r="H1162">
        <v>6.1000000000000004E-3</v>
      </c>
      <c r="I1162">
        <v>286.80380000000002</v>
      </c>
    </row>
    <row r="1163" spans="1:9" x14ac:dyDescent="0.3">
      <c r="A1163" t="s">
        <v>9</v>
      </c>
      <c r="B1163" t="s">
        <v>1261</v>
      </c>
      <c r="C1163">
        <v>4</v>
      </c>
      <c r="D1163">
        <v>7.0000000000000001E-3</v>
      </c>
      <c r="E1163">
        <v>6.5926606289041114</v>
      </c>
      <c r="F1163">
        <v>765.6434936830002</v>
      </c>
      <c r="G1163">
        <v>0.42399999999999999</v>
      </c>
      <c r="H1163">
        <v>9.2999999999999992E-3</v>
      </c>
      <c r="I1163">
        <v>287.00279999999998</v>
      </c>
    </row>
    <row r="1164" spans="1:9" x14ac:dyDescent="0.3">
      <c r="A1164" t="s">
        <v>9</v>
      </c>
      <c r="B1164" t="s">
        <v>1262</v>
      </c>
      <c r="C1164">
        <v>4</v>
      </c>
      <c r="D1164">
        <v>1.04E-2</v>
      </c>
      <c r="E1164">
        <v>6.8313766672957614</v>
      </c>
      <c r="F1164">
        <v>788.2976457263677</v>
      </c>
      <c r="G1164">
        <v>0.42399999999999999</v>
      </c>
      <c r="H1164">
        <v>1.2999999999999999E-2</v>
      </c>
      <c r="I1164">
        <v>287.2</v>
      </c>
    </row>
    <row r="1165" spans="1:9" x14ac:dyDescent="0.3">
      <c r="A1165" t="s">
        <v>9</v>
      </c>
      <c r="B1165" t="s">
        <v>1263</v>
      </c>
      <c r="C1165">
        <v>4</v>
      </c>
      <c r="D1165">
        <v>1.3899999999999999E-2</v>
      </c>
      <c r="E1165">
        <v>7.1034637593508538</v>
      </c>
      <c r="F1165">
        <v>814.11871076239606</v>
      </c>
      <c r="G1165">
        <v>0.42399999999999999</v>
      </c>
      <c r="H1165">
        <v>1.72E-2</v>
      </c>
      <c r="I1165">
        <v>287.40050000000002</v>
      </c>
    </row>
    <row r="1166" spans="1:9" x14ac:dyDescent="0.3">
      <c r="A1166" t="s">
        <v>9</v>
      </c>
      <c r="B1166" t="s">
        <v>1264</v>
      </c>
      <c r="C1166">
        <v>4</v>
      </c>
      <c r="D1166">
        <v>1.8200000000000001E-2</v>
      </c>
      <c r="E1166">
        <v>7.399036528185297</v>
      </c>
      <c r="F1166">
        <v>842.16856652478475</v>
      </c>
      <c r="G1166">
        <v>0.42399999999999999</v>
      </c>
      <c r="H1166">
        <v>2.18E-2</v>
      </c>
      <c r="I1166">
        <v>287.60160000000002</v>
      </c>
    </row>
    <row r="1167" spans="1:9" x14ac:dyDescent="0.3">
      <c r="A1167" t="s">
        <v>9</v>
      </c>
      <c r="B1167" t="s">
        <v>1265</v>
      </c>
      <c r="C1167">
        <v>4</v>
      </c>
      <c r="D1167">
        <v>2.3199999999999998E-2</v>
      </c>
      <c r="E1167">
        <v>7.7057074369169758</v>
      </c>
      <c r="F1167">
        <v>871.27163576342105</v>
      </c>
      <c r="G1167">
        <v>0.42399999999999999</v>
      </c>
      <c r="H1167">
        <v>2.6599999999999999E-2</v>
      </c>
      <c r="I1167">
        <v>287.7998</v>
      </c>
    </row>
    <row r="1168" spans="1:9" x14ac:dyDescent="0.3">
      <c r="A1168" t="s">
        <v>9</v>
      </c>
      <c r="B1168" t="s">
        <v>1266</v>
      </c>
      <c r="C1168">
        <v>4</v>
      </c>
      <c r="D1168">
        <v>2.75E-2</v>
      </c>
      <c r="E1168">
        <v>8.0268005347540843</v>
      </c>
      <c r="F1168">
        <v>901.74337074816265</v>
      </c>
      <c r="G1168">
        <v>0.42399999999999999</v>
      </c>
      <c r="H1168">
        <v>3.1600000000000003E-2</v>
      </c>
      <c r="I1168">
        <v>288.00229999999999</v>
      </c>
    </row>
    <row r="1169" spans="1:9" x14ac:dyDescent="0.3">
      <c r="A1169" t="s">
        <v>9</v>
      </c>
      <c r="B1169" t="s">
        <v>1267</v>
      </c>
      <c r="C1169">
        <v>4</v>
      </c>
      <c r="D1169">
        <v>3.27E-2</v>
      </c>
      <c r="E1169">
        <v>5.9957334838115024</v>
      </c>
      <c r="F1169">
        <v>606.80236069123202</v>
      </c>
      <c r="G1169">
        <v>0.42399999999999999</v>
      </c>
      <c r="H1169">
        <v>0</v>
      </c>
      <c r="I1169">
        <v>288.20249999999999</v>
      </c>
    </row>
    <row r="1170" spans="1:9" x14ac:dyDescent="0.3">
      <c r="A1170" t="s">
        <v>9</v>
      </c>
      <c r="B1170" t="s">
        <v>1268</v>
      </c>
      <c r="C1170">
        <v>4</v>
      </c>
      <c r="D1170">
        <v>2.4400000000000002E-2</v>
      </c>
      <c r="E1170">
        <v>5.9957334838115024</v>
      </c>
      <c r="F1170">
        <v>606.80236069123202</v>
      </c>
      <c r="G1170">
        <v>0.42399999999999999</v>
      </c>
      <c r="H1170">
        <v>0</v>
      </c>
      <c r="I1170">
        <v>288.40109999999999</v>
      </c>
    </row>
    <row r="1171" spans="1:9" x14ac:dyDescent="0.3">
      <c r="A1171" t="s">
        <v>9</v>
      </c>
      <c r="B1171" t="s">
        <v>1269</v>
      </c>
      <c r="C1171">
        <v>4</v>
      </c>
      <c r="D1171">
        <v>0.01</v>
      </c>
      <c r="E1171">
        <v>5.9957334838115024</v>
      </c>
      <c r="F1171">
        <v>606.80236069123202</v>
      </c>
      <c r="G1171">
        <v>0.42399999999999999</v>
      </c>
      <c r="H1171">
        <v>0</v>
      </c>
      <c r="I1171">
        <v>288.6035</v>
      </c>
    </row>
    <row r="1172" spans="1:9" x14ac:dyDescent="0.3">
      <c r="A1172" t="s">
        <v>9</v>
      </c>
      <c r="B1172" t="s">
        <v>1270</v>
      </c>
      <c r="C1172">
        <v>4</v>
      </c>
      <c r="D1172">
        <v>2.0000000000000001E-4</v>
      </c>
      <c r="E1172">
        <v>5.9957334838115024</v>
      </c>
      <c r="F1172">
        <v>606.80236069123202</v>
      </c>
      <c r="G1172">
        <v>0.42399999999999999</v>
      </c>
      <c r="H1172">
        <v>0</v>
      </c>
      <c r="I1172">
        <v>288.80220000000003</v>
      </c>
    </row>
    <row r="1173" spans="1:9" x14ac:dyDescent="0.3">
      <c r="A1173" t="s">
        <v>9</v>
      </c>
      <c r="B1173" t="s">
        <v>1271</v>
      </c>
      <c r="C1173">
        <v>4</v>
      </c>
      <c r="D1173">
        <v>-3.0999999999999999E-3</v>
      </c>
      <c r="E1173">
        <v>5.9957334838115024</v>
      </c>
      <c r="F1173">
        <v>606.80236069123202</v>
      </c>
      <c r="G1173">
        <v>0.42399999999999999</v>
      </c>
      <c r="H1173">
        <v>0</v>
      </c>
      <c r="I1173">
        <v>288.99990000000003</v>
      </c>
    </row>
    <row r="1174" spans="1:9" x14ac:dyDescent="0.3">
      <c r="A1174" t="s">
        <v>9</v>
      </c>
      <c r="B1174" t="s">
        <v>1272</v>
      </c>
      <c r="C1174">
        <v>4</v>
      </c>
      <c r="D1174">
        <v>-3.0999999999999999E-3</v>
      </c>
      <c r="E1174">
        <v>5.9957334838115024</v>
      </c>
      <c r="F1174">
        <v>606.80236069123202</v>
      </c>
      <c r="G1174">
        <v>0.42399999999999999</v>
      </c>
      <c r="H1174">
        <v>0</v>
      </c>
      <c r="I1174">
        <v>289.21030000000002</v>
      </c>
    </row>
    <row r="1175" spans="1:9" x14ac:dyDescent="0.3">
      <c r="A1175" t="s">
        <v>9</v>
      </c>
      <c r="B1175" t="s">
        <v>1273</v>
      </c>
      <c r="C1175">
        <v>4</v>
      </c>
      <c r="D1175">
        <v>-3.0999999999999999E-3</v>
      </c>
      <c r="E1175">
        <v>5.9957334838115024</v>
      </c>
      <c r="F1175">
        <v>606.80236069123202</v>
      </c>
      <c r="G1175">
        <v>0.42399999999999999</v>
      </c>
      <c r="H1175">
        <v>0</v>
      </c>
      <c r="I1175">
        <v>289.40109999999999</v>
      </c>
    </row>
    <row r="1176" spans="1:9" x14ac:dyDescent="0.3">
      <c r="A1176" t="s">
        <v>9</v>
      </c>
      <c r="B1176" t="s">
        <v>1274</v>
      </c>
      <c r="C1176">
        <v>4</v>
      </c>
      <c r="D1176">
        <v>-3.0999999999999999E-3</v>
      </c>
      <c r="E1176">
        <v>5.9957334838115024</v>
      </c>
      <c r="F1176">
        <v>606.80236069123202</v>
      </c>
      <c r="G1176">
        <v>0.42399999999999999</v>
      </c>
      <c r="H1176">
        <v>0</v>
      </c>
      <c r="I1176">
        <v>289.60109999999997</v>
      </c>
    </row>
    <row r="1177" spans="1:9" x14ac:dyDescent="0.3">
      <c r="A1177" t="s">
        <v>9</v>
      </c>
      <c r="B1177" t="s">
        <v>1275</v>
      </c>
      <c r="C1177">
        <v>4</v>
      </c>
      <c r="D1177">
        <v>-3.0999999999999999E-3</v>
      </c>
      <c r="E1177">
        <v>5.9957334838115024</v>
      </c>
      <c r="F1177">
        <v>606.80236069123202</v>
      </c>
      <c r="G1177">
        <v>0.42399999999999999</v>
      </c>
      <c r="H1177">
        <v>0</v>
      </c>
      <c r="I1177">
        <v>289.80020000000002</v>
      </c>
    </row>
    <row r="1178" spans="1:9" x14ac:dyDescent="0.3">
      <c r="A1178" t="s">
        <v>9</v>
      </c>
      <c r="B1178" t="s">
        <v>1276</v>
      </c>
      <c r="C1178">
        <v>4</v>
      </c>
      <c r="D1178">
        <v>-3.0999999999999999E-3</v>
      </c>
      <c r="E1178">
        <v>5.9957334838115024</v>
      </c>
      <c r="F1178">
        <v>606.80236069123202</v>
      </c>
      <c r="G1178">
        <v>0.42399999999999999</v>
      </c>
      <c r="H1178">
        <v>0</v>
      </c>
      <c r="I1178">
        <v>290.00110000000001</v>
      </c>
    </row>
    <row r="1179" spans="1:9" x14ac:dyDescent="0.3">
      <c r="A1179" t="s">
        <v>9</v>
      </c>
      <c r="B1179" t="s">
        <v>1277</v>
      </c>
      <c r="C1179">
        <v>4</v>
      </c>
      <c r="D1179">
        <v>-3.0999999999999999E-3</v>
      </c>
      <c r="E1179">
        <v>5.9957334838115024</v>
      </c>
      <c r="F1179">
        <v>606.80236069123202</v>
      </c>
      <c r="G1179">
        <v>0.42399999999999999</v>
      </c>
      <c r="H1179">
        <v>0</v>
      </c>
      <c r="I1179">
        <v>290.20229999999998</v>
      </c>
    </row>
    <row r="1180" spans="1:9" x14ac:dyDescent="0.3">
      <c r="A1180" t="s">
        <v>9</v>
      </c>
      <c r="B1180" t="s">
        <v>1278</v>
      </c>
      <c r="C1180">
        <v>4</v>
      </c>
      <c r="D1180">
        <v>-3.0999999999999999E-3</v>
      </c>
      <c r="E1180">
        <v>5.9957334838115024</v>
      </c>
      <c r="F1180">
        <v>606.80236069123202</v>
      </c>
      <c r="G1180">
        <v>0.42399999999999999</v>
      </c>
      <c r="H1180">
        <v>0</v>
      </c>
      <c r="I1180">
        <v>290.40199999999999</v>
      </c>
    </row>
    <row r="1181" spans="1:9" x14ac:dyDescent="0.3">
      <c r="A1181" t="s">
        <v>9</v>
      </c>
      <c r="B1181" t="s">
        <v>1279</v>
      </c>
      <c r="C1181">
        <v>4</v>
      </c>
      <c r="D1181">
        <v>-3.0999999999999999E-3</v>
      </c>
      <c r="E1181">
        <v>5.9957334838115024</v>
      </c>
      <c r="F1181">
        <v>606.80236069123202</v>
      </c>
      <c r="G1181">
        <v>0.42399999999999999</v>
      </c>
      <c r="H1181">
        <v>0</v>
      </c>
      <c r="I1181">
        <v>290.59969999999998</v>
      </c>
    </row>
    <row r="1182" spans="1:9" x14ac:dyDescent="0.3">
      <c r="A1182" t="s">
        <v>9</v>
      </c>
      <c r="B1182" t="s">
        <v>1280</v>
      </c>
      <c r="C1182">
        <v>4</v>
      </c>
      <c r="D1182">
        <v>-3.0999999999999999E-3</v>
      </c>
      <c r="E1182">
        <v>5.9957334838115024</v>
      </c>
      <c r="F1182">
        <v>606.80236069123202</v>
      </c>
      <c r="G1182">
        <v>0.42399999999999999</v>
      </c>
      <c r="H1182">
        <v>0</v>
      </c>
      <c r="I1182">
        <v>290.80239999999998</v>
      </c>
    </row>
    <row r="1183" spans="1:9" x14ac:dyDescent="0.3">
      <c r="A1183" t="s">
        <v>9</v>
      </c>
      <c r="B1183" t="s">
        <v>1281</v>
      </c>
      <c r="C1183">
        <v>4</v>
      </c>
      <c r="D1183">
        <v>-3.0999999999999999E-3</v>
      </c>
      <c r="E1183">
        <v>5.9957334838115024</v>
      </c>
      <c r="F1183">
        <v>606.80236069123202</v>
      </c>
      <c r="G1183">
        <v>0.42399999999999999</v>
      </c>
      <c r="H1183">
        <v>0</v>
      </c>
      <c r="I1183">
        <v>290.99959999999999</v>
      </c>
    </row>
    <row r="1184" spans="1:9" x14ac:dyDescent="0.3">
      <c r="A1184" t="s">
        <v>9</v>
      </c>
      <c r="B1184" t="s">
        <v>1282</v>
      </c>
      <c r="C1184">
        <v>4</v>
      </c>
      <c r="D1184">
        <v>-3.0999999999999999E-3</v>
      </c>
      <c r="E1184">
        <v>5.9957334838115024</v>
      </c>
      <c r="F1184">
        <v>606.80236069123202</v>
      </c>
      <c r="G1184">
        <v>0.42399999999999999</v>
      </c>
      <c r="H1184">
        <v>0</v>
      </c>
      <c r="I1184">
        <v>291.20170000000002</v>
      </c>
    </row>
    <row r="1185" spans="1:9" x14ac:dyDescent="0.3">
      <c r="A1185" t="s">
        <v>9</v>
      </c>
      <c r="B1185" t="s">
        <v>1283</v>
      </c>
      <c r="C1185">
        <v>4</v>
      </c>
      <c r="D1185">
        <v>-3.0999999999999999E-3</v>
      </c>
      <c r="E1185">
        <v>5.9957334838115024</v>
      </c>
      <c r="F1185">
        <v>606.80236069123202</v>
      </c>
      <c r="G1185">
        <v>0.42399999999999999</v>
      </c>
      <c r="H1185">
        <v>0</v>
      </c>
      <c r="I1185">
        <v>291.4024</v>
      </c>
    </row>
    <row r="1186" spans="1:9" x14ac:dyDescent="0.3">
      <c r="A1186" t="s">
        <v>9</v>
      </c>
      <c r="B1186" t="s">
        <v>1284</v>
      </c>
      <c r="C1186">
        <v>4</v>
      </c>
      <c r="D1186">
        <v>-3.0999999999999999E-3</v>
      </c>
      <c r="E1186">
        <v>5.9957334838115024</v>
      </c>
      <c r="F1186">
        <v>606.80236069123202</v>
      </c>
      <c r="G1186">
        <v>0.42399999999999999</v>
      </c>
      <c r="H1186">
        <v>0</v>
      </c>
      <c r="I1186">
        <v>291.60230000000001</v>
      </c>
    </row>
    <row r="1187" spans="1:9" x14ac:dyDescent="0.3">
      <c r="A1187" t="s">
        <v>9</v>
      </c>
      <c r="B1187" t="s">
        <v>1285</v>
      </c>
      <c r="C1187">
        <v>4</v>
      </c>
      <c r="D1187">
        <v>-3.0999999999999999E-3</v>
      </c>
      <c r="E1187">
        <v>5.9957334838115024</v>
      </c>
      <c r="F1187">
        <v>606.80236069123202</v>
      </c>
      <c r="G1187">
        <v>0.42399999999999999</v>
      </c>
      <c r="H1187">
        <v>0</v>
      </c>
      <c r="I1187">
        <v>291.8023</v>
      </c>
    </row>
    <row r="1188" spans="1:9" x14ac:dyDescent="0.3">
      <c r="A1188" t="s">
        <v>9</v>
      </c>
      <c r="B1188" t="s">
        <v>1286</v>
      </c>
      <c r="C1188">
        <v>4</v>
      </c>
      <c r="D1188">
        <v>-3.0999999999999999E-3</v>
      </c>
      <c r="E1188">
        <v>8.0230369552529286</v>
      </c>
      <c r="F1188">
        <v>901.38620705350297</v>
      </c>
      <c r="G1188">
        <v>0.42399999999999999</v>
      </c>
      <c r="H1188">
        <v>3.15E-2</v>
      </c>
      <c r="I1188">
        <v>292</v>
      </c>
    </row>
    <row r="1189" spans="1:9" x14ac:dyDescent="0.3">
      <c r="A1189" t="s">
        <v>9</v>
      </c>
      <c r="B1189" t="s">
        <v>1287</v>
      </c>
      <c r="C1189">
        <v>4</v>
      </c>
      <c r="D1189">
        <v>2.01E-2</v>
      </c>
      <c r="E1189">
        <v>7.7037623937294049</v>
      </c>
      <c r="F1189">
        <v>765.99065509558056</v>
      </c>
      <c r="G1189">
        <v>0.42399999999999999</v>
      </c>
      <c r="H1189">
        <v>2.6499999999999999E-2</v>
      </c>
      <c r="I1189">
        <v>292.20139999999998</v>
      </c>
    </row>
    <row r="1190" spans="1:9" x14ac:dyDescent="0.3">
      <c r="A1190" t="s">
        <v>9</v>
      </c>
      <c r="B1190" t="s">
        <v>1288</v>
      </c>
      <c r="C1190">
        <v>4</v>
      </c>
      <c r="D1190">
        <v>2.4500000000000001E-2</v>
      </c>
      <c r="E1190">
        <v>7.3930744862778424</v>
      </c>
      <c r="F1190">
        <v>737.03454212109489</v>
      </c>
      <c r="G1190">
        <v>0.42399999999999999</v>
      </c>
      <c r="H1190">
        <v>2.1700000000000001E-2</v>
      </c>
      <c r="I1190">
        <v>292.40230000000003</v>
      </c>
    </row>
    <row r="1191" spans="1:9" x14ac:dyDescent="0.3">
      <c r="A1191" t="s">
        <v>9</v>
      </c>
      <c r="B1191" t="s">
        <v>1289</v>
      </c>
      <c r="C1191">
        <v>4</v>
      </c>
      <c r="D1191">
        <v>2.1100000000000001E-2</v>
      </c>
      <c r="E1191">
        <v>7.0987347539940364</v>
      </c>
      <c r="F1191">
        <v>709.60207907224424</v>
      </c>
      <c r="G1191">
        <v>0.42399999999999999</v>
      </c>
      <c r="H1191">
        <v>1.7100000000000001E-2</v>
      </c>
      <c r="I1191">
        <v>292.6028</v>
      </c>
    </row>
    <row r="1192" spans="1:9" x14ac:dyDescent="0.3">
      <c r="A1192" t="s">
        <v>9</v>
      </c>
      <c r="B1192" t="s">
        <v>1290</v>
      </c>
      <c r="C1192">
        <v>4</v>
      </c>
      <c r="D1192">
        <v>1.6400000000000001E-2</v>
      </c>
      <c r="E1192">
        <v>6.8305093653615891</v>
      </c>
      <c r="F1192">
        <v>684.60347285170008</v>
      </c>
      <c r="G1192">
        <v>0.42399999999999999</v>
      </c>
      <c r="H1192">
        <v>1.2999999999999999E-2</v>
      </c>
      <c r="I1192">
        <v>292.80070000000001</v>
      </c>
    </row>
    <row r="1193" spans="1:9" x14ac:dyDescent="0.3">
      <c r="A1193" t="s">
        <v>9</v>
      </c>
      <c r="B1193" t="s">
        <v>1291</v>
      </c>
      <c r="C1193">
        <v>4</v>
      </c>
      <c r="D1193">
        <v>1.1900000000000001E-2</v>
      </c>
      <c r="E1193">
        <v>6.5876786097993181</v>
      </c>
      <c r="F1193">
        <v>661.97164643329643</v>
      </c>
      <c r="G1193">
        <v>0.42399999999999999</v>
      </c>
      <c r="H1193">
        <v>9.1999999999999998E-3</v>
      </c>
      <c r="I1193">
        <v>293.0016</v>
      </c>
    </row>
    <row r="1194" spans="1:9" x14ac:dyDescent="0.3">
      <c r="A1194" t="s">
        <v>9</v>
      </c>
      <c r="B1194" t="s">
        <v>1292</v>
      </c>
      <c r="C1194">
        <v>4</v>
      </c>
      <c r="D1194">
        <v>7.3000000000000001E-3</v>
      </c>
      <c r="E1194">
        <v>6.3818442218759097</v>
      </c>
      <c r="F1194">
        <v>642.78788147883483</v>
      </c>
      <c r="G1194">
        <v>0.42399999999999999</v>
      </c>
      <c r="H1194">
        <v>6.0000000000000001E-3</v>
      </c>
      <c r="I1194">
        <v>293.2011</v>
      </c>
    </row>
    <row r="1195" spans="1:9" x14ac:dyDescent="0.3">
      <c r="A1195" t="s">
        <v>9</v>
      </c>
      <c r="B1195" t="s">
        <v>1293</v>
      </c>
      <c r="C1195">
        <v>4</v>
      </c>
      <c r="D1195">
        <v>3.7000000000000002E-3</v>
      </c>
      <c r="E1195">
        <v>6.2159997110441898</v>
      </c>
      <c r="F1195">
        <v>627.33117306931854</v>
      </c>
      <c r="G1195">
        <v>0.42399999999999999</v>
      </c>
      <c r="H1195">
        <v>3.3999999999999998E-3</v>
      </c>
      <c r="I1195">
        <v>293.40100000000001</v>
      </c>
    </row>
    <row r="1196" spans="1:9" x14ac:dyDescent="0.3">
      <c r="A1196" t="s">
        <v>9</v>
      </c>
      <c r="B1196" t="s">
        <v>1294</v>
      </c>
      <c r="C1196">
        <v>4</v>
      </c>
      <c r="D1196">
        <v>8.0000000000000004E-4</v>
      </c>
      <c r="E1196">
        <v>6.094695026777794</v>
      </c>
      <c r="F1196">
        <v>616.02557649569042</v>
      </c>
      <c r="G1196">
        <v>0.42399999999999999</v>
      </c>
      <c r="H1196">
        <v>1.5E-3</v>
      </c>
      <c r="I1196">
        <v>293.60050000000001</v>
      </c>
    </row>
    <row r="1197" spans="1:9" x14ac:dyDescent="0.3">
      <c r="A1197" t="s">
        <v>9</v>
      </c>
      <c r="B1197" t="s">
        <v>1295</v>
      </c>
      <c r="C1197">
        <v>4</v>
      </c>
      <c r="D1197">
        <v>-1.6999999999999999E-3</v>
      </c>
      <c r="E1197">
        <v>6.0204075021007224</v>
      </c>
      <c r="F1197">
        <v>609.10197919578729</v>
      </c>
      <c r="G1197">
        <v>0.42399999999999999</v>
      </c>
      <c r="H1197">
        <v>4.0000000000000002E-4</v>
      </c>
      <c r="I1197">
        <v>293.80110000000002</v>
      </c>
    </row>
    <row r="1198" spans="1:9" x14ac:dyDescent="0.3">
      <c r="A1198" t="s">
        <v>9</v>
      </c>
      <c r="B1198" t="s">
        <v>1296</v>
      </c>
      <c r="C1198">
        <v>4</v>
      </c>
      <c r="D1198">
        <v>-2.8E-3</v>
      </c>
      <c r="E1198">
        <v>5.9957346922084076</v>
      </c>
      <c r="F1198">
        <v>606.80247331382361</v>
      </c>
      <c r="G1198">
        <v>0.42399999999999999</v>
      </c>
      <c r="H1198">
        <v>0</v>
      </c>
      <c r="I1198">
        <v>294.00130000000001</v>
      </c>
    </row>
    <row r="1199" spans="1:9" x14ac:dyDescent="0.3">
      <c r="A1199" t="s">
        <v>9</v>
      </c>
      <c r="B1199" t="s">
        <v>1297</v>
      </c>
      <c r="C1199">
        <v>4</v>
      </c>
      <c r="D1199">
        <v>-3.0999999999999999E-3</v>
      </c>
      <c r="E1199">
        <v>6.0208901339344028</v>
      </c>
      <c r="F1199">
        <v>711.38247371037482</v>
      </c>
      <c r="G1199">
        <v>0.42399999999999999</v>
      </c>
      <c r="H1199">
        <v>4.0000000000000002E-4</v>
      </c>
      <c r="I1199">
        <v>294.20080000000002</v>
      </c>
    </row>
    <row r="1200" spans="1:9" x14ac:dyDescent="0.3">
      <c r="A1200" t="s">
        <v>9</v>
      </c>
      <c r="B1200" t="s">
        <v>1298</v>
      </c>
      <c r="C1200">
        <v>4</v>
      </c>
      <c r="D1200">
        <v>-8.0000000000000004E-4</v>
      </c>
      <c r="E1200">
        <v>6.0952862031312396</v>
      </c>
      <c r="F1200">
        <v>718.44266067715478</v>
      </c>
      <c r="G1200">
        <v>0.42399999999999999</v>
      </c>
      <c r="H1200">
        <v>1.5E-3</v>
      </c>
      <c r="I1200">
        <v>294.40069999999997</v>
      </c>
    </row>
    <row r="1201" spans="1:9" x14ac:dyDescent="0.3">
      <c r="A1201" t="s">
        <v>9</v>
      </c>
      <c r="B1201" t="s">
        <v>1299</v>
      </c>
      <c r="C1201">
        <v>4</v>
      </c>
      <c r="D1201">
        <v>2.3E-3</v>
      </c>
      <c r="E1201">
        <v>6.2170643150452927</v>
      </c>
      <c r="F1201">
        <v>729.99940349779831</v>
      </c>
      <c r="G1201">
        <v>0.42399999999999999</v>
      </c>
      <c r="H1201">
        <v>3.3999999999999998E-3</v>
      </c>
      <c r="I1201">
        <v>294.60050000000001</v>
      </c>
    </row>
    <row r="1202" spans="1:9" x14ac:dyDescent="0.3">
      <c r="A1202" t="s">
        <v>9</v>
      </c>
      <c r="B1202" t="s">
        <v>1300</v>
      </c>
      <c r="C1202">
        <v>4</v>
      </c>
      <c r="D1202">
        <v>4.4999999999999997E-3</v>
      </c>
      <c r="E1202">
        <v>6.3829859464136547</v>
      </c>
      <c r="F1202">
        <v>745.74536631465583</v>
      </c>
      <c r="G1202">
        <v>0.42399999999999999</v>
      </c>
      <c r="H1202">
        <v>6.0000000000000001E-3</v>
      </c>
      <c r="I1202">
        <v>294.8</v>
      </c>
    </row>
    <row r="1203" spans="1:9" x14ac:dyDescent="0.3">
      <c r="A1203" t="s">
        <v>9</v>
      </c>
      <c r="B1203" t="s">
        <v>1301</v>
      </c>
      <c r="C1203">
        <v>4</v>
      </c>
      <c r="D1203">
        <v>6.7000000000000002E-3</v>
      </c>
      <c r="E1203">
        <v>6.590889938139024</v>
      </c>
      <c r="F1203">
        <v>765.47545512939337</v>
      </c>
      <c r="G1203">
        <v>0.42399999999999999</v>
      </c>
      <c r="H1203">
        <v>9.1999999999999998E-3</v>
      </c>
      <c r="I1203">
        <v>295.00119999999998</v>
      </c>
    </row>
    <row r="1204" spans="1:9" x14ac:dyDescent="0.3">
      <c r="A1204" t="s">
        <v>9</v>
      </c>
      <c r="B1204" t="s">
        <v>1302</v>
      </c>
      <c r="C1204">
        <v>4</v>
      </c>
      <c r="D1204">
        <v>1.04E-2</v>
      </c>
      <c r="E1204">
        <v>6.8317310487312266</v>
      </c>
      <c r="F1204">
        <v>788.33127652459348</v>
      </c>
      <c r="G1204">
        <v>0.42399999999999999</v>
      </c>
      <c r="H1204">
        <v>1.2999999999999999E-2</v>
      </c>
      <c r="I1204">
        <v>295.2002</v>
      </c>
    </row>
    <row r="1205" spans="1:9" x14ac:dyDescent="0.3">
      <c r="A1205" t="s">
        <v>9</v>
      </c>
      <c r="B1205" t="s">
        <v>1303</v>
      </c>
      <c r="C1205">
        <v>4</v>
      </c>
      <c r="D1205">
        <v>1.4E-2</v>
      </c>
      <c r="E1205">
        <v>7.1054538097916717</v>
      </c>
      <c r="F1205">
        <v>814.3075665492297</v>
      </c>
      <c r="G1205">
        <v>0.42399999999999999</v>
      </c>
      <c r="H1205">
        <v>1.72E-2</v>
      </c>
      <c r="I1205">
        <v>295.40190000000001</v>
      </c>
    </row>
    <row r="1206" spans="1:9" x14ac:dyDescent="0.3">
      <c r="A1206" t="s">
        <v>9</v>
      </c>
      <c r="B1206" t="s">
        <v>1304</v>
      </c>
      <c r="C1206">
        <v>4</v>
      </c>
      <c r="D1206">
        <v>1.8599999999999998E-2</v>
      </c>
      <c r="E1206">
        <v>7.3985998361875867</v>
      </c>
      <c r="F1206">
        <v>842.12712445420198</v>
      </c>
      <c r="G1206">
        <v>0.42399999999999999</v>
      </c>
      <c r="H1206">
        <v>2.18E-2</v>
      </c>
      <c r="I1206">
        <v>295.60129999999998</v>
      </c>
    </row>
    <row r="1207" spans="1:9" x14ac:dyDescent="0.3">
      <c r="A1207" t="s">
        <v>9</v>
      </c>
      <c r="B1207" t="s">
        <v>1305</v>
      </c>
      <c r="C1207">
        <v>4</v>
      </c>
      <c r="D1207">
        <v>2.2700000000000001E-2</v>
      </c>
      <c r="E1207">
        <v>7.7089207926104306</v>
      </c>
      <c r="F1207">
        <v>871.57658321872987</v>
      </c>
      <c r="G1207">
        <v>0.42399999999999999</v>
      </c>
      <c r="H1207">
        <v>2.6599999999999999E-2</v>
      </c>
      <c r="I1207">
        <v>295.80189999999999</v>
      </c>
    </row>
    <row r="1208" spans="1:9" x14ac:dyDescent="0.3">
      <c r="A1208" t="s">
        <v>9</v>
      </c>
      <c r="B1208" t="s">
        <v>1306</v>
      </c>
      <c r="C1208">
        <v>4</v>
      </c>
      <c r="D1208">
        <v>2.76E-2</v>
      </c>
      <c r="E1208">
        <v>8.0234026898693962</v>
      </c>
      <c r="F1208">
        <v>901.42091526860577</v>
      </c>
      <c r="G1208">
        <v>0.42399999999999999</v>
      </c>
      <c r="H1208">
        <v>3.15E-2</v>
      </c>
      <c r="I1208">
        <v>296.00020000000001</v>
      </c>
    </row>
    <row r="1209" spans="1:9" x14ac:dyDescent="0.3">
      <c r="A1209" t="s">
        <v>9</v>
      </c>
      <c r="B1209" t="s">
        <v>1307</v>
      </c>
      <c r="C1209">
        <v>4</v>
      </c>
      <c r="D1209">
        <v>3.2800000000000003E-2</v>
      </c>
      <c r="E1209">
        <v>8.3406884173643512</v>
      </c>
      <c r="F1209">
        <v>931.531330807877</v>
      </c>
      <c r="G1209">
        <v>0.42399999999999999</v>
      </c>
      <c r="H1209">
        <v>3.6400000000000002E-2</v>
      </c>
      <c r="I1209">
        <v>296.20030000000003</v>
      </c>
    </row>
    <row r="1210" spans="1:9" x14ac:dyDescent="0.3">
      <c r="A1210" t="s">
        <v>9</v>
      </c>
      <c r="B1210" t="s">
        <v>1308</v>
      </c>
      <c r="C1210">
        <v>4</v>
      </c>
      <c r="D1210">
        <v>3.7900000000000003E-2</v>
      </c>
      <c r="E1210">
        <v>8.6530290235927598</v>
      </c>
      <c r="F1210">
        <v>961.172454338953</v>
      </c>
      <c r="G1210">
        <v>0.42399999999999999</v>
      </c>
      <c r="H1210">
        <v>4.1300000000000003E-2</v>
      </c>
      <c r="I1210">
        <v>296.40230000000003</v>
      </c>
    </row>
    <row r="1211" spans="1:9" x14ac:dyDescent="0.3">
      <c r="A1211" t="s">
        <v>9</v>
      </c>
      <c r="B1211" t="s">
        <v>1309</v>
      </c>
      <c r="C1211">
        <v>4</v>
      </c>
      <c r="D1211">
        <v>4.3099999999999999E-2</v>
      </c>
      <c r="E1211">
        <v>8.9463546735309105</v>
      </c>
      <c r="F1211">
        <v>989.00905851808341</v>
      </c>
      <c r="G1211">
        <v>0.42399999999999999</v>
      </c>
      <c r="H1211">
        <v>4.58E-2</v>
      </c>
      <c r="I1211">
        <v>296.60199999999998</v>
      </c>
    </row>
    <row r="1212" spans="1:9" x14ac:dyDescent="0.3">
      <c r="A1212" t="s">
        <v>9</v>
      </c>
      <c r="B1212" t="s">
        <v>1310</v>
      </c>
      <c r="C1212">
        <v>4</v>
      </c>
      <c r="D1212">
        <v>4.7699999999999999E-2</v>
      </c>
      <c r="E1212">
        <v>9.2161800497427109</v>
      </c>
      <c r="F1212">
        <v>1014.615486720583</v>
      </c>
      <c r="G1212">
        <v>0.42399999999999999</v>
      </c>
      <c r="H1212">
        <v>0.05</v>
      </c>
      <c r="I1212">
        <v>296.80110000000002</v>
      </c>
    </row>
    <row r="1213" spans="1:9" x14ac:dyDescent="0.3">
      <c r="A1213" t="s">
        <v>9</v>
      </c>
      <c r="B1213" t="s">
        <v>1311</v>
      </c>
      <c r="C1213">
        <v>4</v>
      </c>
      <c r="D1213">
        <v>5.2200000000000003E-2</v>
      </c>
      <c r="E1213">
        <v>9.4581589112593125</v>
      </c>
      <c r="F1213">
        <v>1037.5792806785089</v>
      </c>
      <c r="G1213">
        <v>0.42399999999999999</v>
      </c>
      <c r="H1213">
        <v>5.3800000000000001E-2</v>
      </c>
      <c r="I1213">
        <v>297.00130000000001</v>
      </c>
    </row>
    <row r="1214" spans="1:9" x14ac:dyDescent="0.3">
      <c r="A1214" t="s">
        <v>9</v>
      </c>
      <c r="B1214" t="s">
        <v>1312</v>
      </c>
      <c r="C1214">
        <v>4</v>
      </c>
      <c r="D1214">
        <v>5.62E-2</v>
      </c>
      <c r="E1214">
        <v>9.664976160280629</v>
      </c>
      <c r="F1214">
        <v>1057.2062376106319</v>
      </c>
      <c r="G1214">
        <v>0.42399999999999999</v>
      </c>
      <c r="H1214">
        <v>5.7000000000000002E-2</v>
      </c>
      <c r="I1214">
        <v>297.20179999999999</v>
      </c>
    </row>
    <row r="1215" spans="1:9" x14ac:dyDescent="0.3">
      <c r="A1215" t="s">
        <v>9</v>
      </c>
      <c r="B1215" t="s">
        <v>1313</v>
      </c>
      <c r="C1215">
        <v>4</v>
      </c>
      <c r="D1215">
        <v>5.8599999999999999E-2</v>
      </c>
      <c r="E1215">
        <v>9.8300287056435209</v>
      </c>
      <c r="F1215">
        <v>1072.86972416557</v>
      </c>
      <c r="G1215">
        <v>0.42399999999999999</v>
      </c>
      <c r="H1215">
        <v>5.96E-2</v>
      </c>
      <c r="I1215">
        <v>297.4008</v>
      </c>
    </row>
    <row r="1216" spans="1:9" x14ac:dyDescent="0.3">
      <c r="A1216" t="s">
        <v>9</v>
      </c>
      <c r="B1216" t="s">
        <v>1314</v>
      </c>
      <c r="C1216">
        <v>4</v>
      </c>
      <c r="D1216">
        <v>6.1499999999999999E-2</v>
      </c>
      <c r="E1216">
        <v>9.9519521382743612</v>
      </c>
      <c r="F1216">
        <v>1084.4402579222369</v>
      </c>
      <c r="G1216">
        <v>0.42399999999999999</v>
      </c>
      <c r="H1216">
        <v>6.1499999999999999E-2</v>
      </c>
      <c r="I1216">
        <v>297.60149999999999</v>
      </c>
    </row>
    <row r="1217" spans="1:9" x14ac:dyDescent="0.3">
      <c r="A1217" t="s">
        <v>9</v>
      </c>
      <c r="B1217" t="s">
        <v>1315</v>
      </c>
      <c r="C1217">
        <v>4</v>
      </c>
      <c r="D1217">
        <v>6.4799999999999996E-2</v>
      </c>
      <c r="E1217">
        <v>10.02591892342409</v>
      </c>
      <c r="F1217">
        <v>1091.4597058329459</v>
      </c>
      <c r="G1217">
        <v>0.42399999999999999</v>
      </c>
      <c r="H1217">
        <v>6.2600000000000003E-2</v>
      </c>
      <c r="I1217">
        <v>297.80180000000001</v>
      </c>
    </row>
    <row r="1218" spans="1:9" x14ac:dyDescent="0.3">
      <c r="A1218" t="s">
        <v>9</v>
      </c>
      <c r="B1218" t="s">
        <v>1316</v>
      </c>
      <c r="C1218">
        <v>4</v>
      </c>
      <c r="D1218">
        <v>6.5699999999999995E-2</v>
      </c>
      <c r="E1218">
        <v>10.05044098344035</v>
      </c>
      <c r="F1218">
        <v>1093.7868493284891</v>
      </c>
      <c r="G1218">
        <v>0.42399999999999999</v>
      </c>
      <c r="H1218">
        <v>6.3E-2</v>
      </c>
      <c r="I1218">
        <v>297.99979999999999</v>
      </c>
    </row>
    <row r="1219" spans="1:9" x14ac:dyDescent="0.3">
      <c r="A1219" t="s">
        <v>9</v>
      </c>
      <c r="B1219" t="s">
        <v>1317</v>
      </c>
      <c r="C1219">
        <v>4</v>
      </c>
      <c r="D1219">
        <v>6.5799999999999997E-2</v>
      </c>
      <c r="E1219">
        <v>10.025111225690161</v>
      </c>
      <c r="F1219">
        <v>982.34036623432337</v>
      </c>
      <c r="G1219">
        <v>0.42399999999999999</v>
      </c>
      <c r="H1219">
        <v>6.2600000000000003E-2</v>
      </c>
      <c r="I1219">
        <v>298.20150000000001</v>
      </c>
    </row>
    <row r="1220" spans="1:9" x14ac:dyDescent="0.3">
      <c r="A1220" t="s">
        <v>9</v>
      </c>
      <c r="B1220" t="s">
        <v>1318</v>
      </c>
      <c r="C1220">
        <v>4</v>
      </c>
      <c r="D1220">
        <v>6.3799999999999996E-2</v>
      </c>
      <c r="E1220">
        <v>9.9491037062558725</v>
      </c>
      <c r="F1220">
        <v>975.2564654230473</v>
      </c>
      <c r="G1220">
        <v>0.42399999999999999</v>
      </c>
      <c r="H1220">
        <v>6.1400000000000003E-2</v>
      </c>
      <c r="I1220">
        <v>298.40429999999998</v>
      </c>
    </row>
    <row r="1221" spans="1:9" x14ac:dyDescent="0.3">
      <c r="A1221" t="s">
        <v>9</v>
      </c>
      <c r="B1221" t="s">
        <v>1319</v>
      </c>
      <c r="C1221">
        <v>4</v>
      </c>
      <c r="D1221">
        <v>6.2199999999999998E-2</v>
      </c>
      <c r="E1221">
        <v>9.8292846668173404</v>
      </c>
      <c r="F1221">
        <v>964.0893309473762</v>
      </c>
      <c r="G1221">
        <v>0.42399999999999999</v>
      </c>
      <c r="H1221">
        <v>5.96E-2</v>
      </c>
      <c r="I1221">
        <v>298.6003</v>
      </c>
    </row>
    <row r="1222" spans="1:9" x14ac:dyDescent="0.3">
      <c r="A1222" t="s">
        <v>9</v>
      </c>
      <c r="B1222" t="s">
        <v>1320</v>
      </c>
      <c r="C1222">
        <v>4</v>
      </c>
      <c r="D1222">
        <v>6.0499999999999998E-2</v>
      </c>
      <c r="E1222">
        <v>9.6609745694492464</v>
      </c>
      <c r="F1222">
        <v>948.40282987266983</v>
      </c>
      <c r="G1222">
        <v>0.42399999999999999</v>
      </c>
      <c r="H1222">
        <v>5.6899999999999999E-2</v>
      </c>
      <c r="I1222">
        <v>298.80239999999998</v>
      </c>
    </row>
    <row r="1223" spans="1:9" x14ac:dyDescent="0.3">
      <c r="A1223" t="s">
        <v>9</v>
      </c>
      <c r="B1223" t="s">
        <v>1321</v>
      </c>
      <c r="C1223">
        <v>4</v>
      </c>
      <c r="D1223">
        <v>5.8400000000000001E-2</v>
      </c>
      <c r="E1223">
        <v>9.4552938549400736</v>
      </c>
      <c r="F1223">
        <v>929.23338728041483</v>
      </c>
      <c r="G1223">
        <v>0.42399999999999999</v>
      </c>
      <c r="H1223">
        <v>5.3800000000000001E-2</v>
      </c>
      <c r="I1223">
        <v>299.00119999999998</v>
      </c>
    </row>
    <row r="1224" spans="1:9" x14ac:dyDescent="0.3">
      <c r="A1224" t="s">
        <v>9</v>
      </c>
      <c r="B1224" t="s">
        <v>1322</v>
      </c>
      <c r="C1224">
        <v>4</v>
      </c>
      <c r="D1224">
        <v>5.5399999999999998E-2</v>
      </c>
      <c r="E1224">
        <v>9.2122246825768244</v>
      </c>
      <c r="F1224">
        <v>906.57934041616011</v>
      </c>
      <c r="G1224">
        <v>0.42399999999999999</v>
      </c>
      <c r="H1224">
        <v>0.05</v>
      </c>
      <c r="I1224">
        <v>299.20190000000002</v>
      </c>
    </row>
    <row r="1225" spans="1:9" x14ac:dyDescent="0.3">
      <c r="A1225" t="s">
        <v>9</v>
      </c>
      <c r="B1225" t="s">
        <v>1323</v>
      </c>
      <c r="C1225">
        <v>4</v>
      </c>
      <c r="D1225">
        <v>5.0999999999999997E-2</v>
      </c>
      <c r="E1225">
        <v>8.9414492883978607</v>
      </c>
      <c r="F1225">
        <v>881.34307367868064</v>
      </c>
      <c r="G1225">
        <v>0.42399999999999999</v>
      </c>
      <c r="H1225">
        <v>4.58E-2</v>
      </c>
      <c r="I1225">
        <v>299.40140000000002</v>
      </c>
    </row>
    <row r="1226" spans="1:9" x14ac:dyDescent="0.3">
      <c r="A1226" t="s">
        <v>9</v>
      </c>
      <c r="B1226" t="s">
        <v>1324</v>
      </c>
      <c r="C1226">
        <v>4</v>
      </c>
      <c r="D1226">
        <v>4.65E-2</v>
      </c>
      <c r="E1226">
        <v>8.6465568994818529</v>
      </c>
      <c r="F1226">
        <v>853.85910303170874</v>
      </c>
      <c r="G1226">
        <v>0.42399999999999999</v>
      </c>
      <c r="H1226">
        <v>4.1200000000000001E-2</v>
      </c>
      <c r="I1226">
        <v>299.60199999999998</v>
      </c>
    </row>
    <row r="1227" spans="1:9" x14ac:dyDescent="0.3">
      <c r="A1227" t="s">
        <v>9</v>
      </c>
      <c r="B1227" t="s">
        <v>1325</v>
      </c>
      <c r="C1227">
        <v>4</v>
      </c>
      <c r="D1227">
        <v>4.1700000000000001E-2</v>
      </c>
      <c r="E1227">
        <v>8.3393442818282235</v>
      </c>
      <c r="F1227">
        <v>825.22688706639042</v>
      </c>
      <c r="G1227">
        <v>0.42399999999999999</v>
      </c>
      <c r="H1227">
        <v>3.6400000000000002E-2</v>
      </c>
      <c r="I1227">
        <v>299.80059999999997</v>
      </c>
    </row>
    <row r="1228" spans="1:9" x14ac:dyDescent="0.3">
      <c r="A1228" t="s">
        <v>9</v>
      </c>
      <c r="B1228" t="s">
        <v>1326</v>
      </c>
      <c r="C1228">
        <v>4</v>
      </c>
      <c r="D1228">
        <v>3.6900000000000002E-2</v>
      </c>
      <c r="E1228">
        <v>8.022877199777442</v>
      </c>
      <c r="F1228">
        <v>795.73215501925756</v>
      </c>
      <c r="G1228">
        <v>0.42399999999999999</v>
      </c>
      <c r="H1228">
        <v>3.15E-2</v>
      </c>
      <c r="I1228">
        <v>300.00009999999997</v>
      </c>
    </row>
    <row r="1229" spans="1:9" x14ac:dyDescent="0.3">
      <c r="A1229" t="s">
        <v>9</v>
      </c>
      <c r="B1229" t="s">
        <v>1327</v>
      </c>
      <c r="C1229">
        <v>4</v>
      </c>
      <c r="D1229">
        <v>3.1699999999999999E-2</v>
      </c>
      <c r="E1229">
        <v>7.7000004361112504</v>
      </c>
      <c r="F1229">
        <v>765.64004064556843</v>
      </c>
      <c r="G1229">
        <v>0.42399999999999999</v>
      </c>
      <c r="H1229">
        <v>2.6499999999999999E-2</v>
      </c>
      <c r="I1229">
        <v>300.2038</v>
      </c>
    </row>
    <row r="1230" spans="1:9" x14ac:dyDescent="0.3">
      <c r="A1230" t="s">
        <v>9</v>
      </c>
      <c r="B1230" t="s">
        <v>1328</v>
      </c>
      <c r="C1230">
        <v>4</v>
      </c>
      <c r="D1230">
        <v>2.63E-2</v>
      </c>
      <c r="E1230">
        <v>7.3938635323572726</v>
      </c>
      <c r="F1230">
        <v>737.10808121569789</v>
      </c>
      <c r="G1230">
        <v>0.42399999999999999</v>
      </c>
      <c r="H1230">
        <v>2.1700000000000001E-2</v>
      </c>
      <c r="I1230">
        <v>300.40179999999998</v>
      </c>
    </row>
    <row r="1231" spans="1:9" x14ac:dyDescent="0.3">
      <c r="A1231" t="s">
        <v>9</v>
      </c>
      <c r="B1231" t="s">
        <v>1329</v>
      </c>
      <c r="C1231">
        <v>4</v>
      </c>
      <c r="D1231">
        <v>2.1700000000000001E-2</v>
      </c>
      <c r="E1231">
        <v>7.0998862909239326</v>
      </c>
      <c r="F1231">
        <v>709.70940231411055</v>
      </c>
      <c r="G1231">
        <v>0.42399999999999999</v>
      </c>
      <c r="H1231">
        <v>1.72E-2</v>
      </c>
      <c r="I1231">
        <v>300.60199999999998</v>
      </c>
    </row>
    <row r="1232" spans="1:9" x14ac:dyDescent="0.3">
      <c r="A1232" t="s">
        <v>9</v>
      </c>
      <c r="B1232" t="s">
        <v>1330</v>
      </c>
      <c r="C1232">
        <v>4</v>
      </c>
      <c r="D1232">
        <v>1.66E-2</v>
      </c>
      <c r="E1232">
        <v>6.8307802198225653</v>
      </c>
      <c r="F1232">
        <v>684.62871648746307</v>
      </c>
      <c r="G1232">
        <v>0.42399999999999999</v>
      </c>
      <c r="H1232">
        <v>1.2999999999999999E-2</v>
      </c>
      <c r="I1232">
        <v>300.8005</v>
      </c>
    </row>
    <row r="1233" spans="1:9" x14ac:dyDescent="0.3">
      <c r="A1233" t="s">
        <v>9</v>
      </c>
      <c r="B1233" t="s">
        <v>1331</v>
      </c>
      <c r="C1233">
        <v>4</v>
      </c>
      <c r="D1233">
        <v>1.18E-2</v>
      </c>
      <c r="E1233">
        <v>6.5884615738174972</v>
      </c>
      <c r="F1233">
        <v>662.0446186797908</v>
      </c>
      <c r="G1233">
        <v>0.42399999999999999</v>
      </c>
      <c r="H1233">
        <v>9.1999999999999998E-3</v>
      </c>
      <c r="I1233">
        <v>301.0009</v>
      </c>
    </row>
    <row r="1234" spans="1:9" x14ac:dyDescent="0.3">
      <c r="A1234" t="s">
        <v>9</v>
      </c>
      <c r="B1234" t="s">
        <v>1332</v>
      </c>
      <c r="C1234">
        <v>4</v>
      </c>
      <c r="D1234">
        <v>7.3000000000000001E-3</v>
      </c>
      <c r="E1234">
        <v>6.3823134731748414</v>
      </c>
      <c r="F1234">
        <v>642.83161569989522</v>
      </c>
      <c r="G1234">
        <v>0.42399999999999999</v>
      </c>
      <c r="H1234">
        <v>6.0000000000000001E-3</v>
      </c>
      <c r="I1234">
        <v>301.20069999999998</v>
      </c>
    </row>
    <row r="1235" spans="1:9" x14ac:dyDescent="0.3">
      <c r="A1235" t="s">
        <v>9</v>
      </c>
      <c r="B1235" t="s">
        <v>1333</v>
      </c>
      <c r="C1235">
        <v>4</v>
      </c>
      <c r="D1235">
        <v>3.5999999999999999E-3</v>
      </c>
      <c r="E1235">
        <v>6.2166289205539824</v>
      </c>
      <c r="F1235">
        <v>627.38981539563122</v>
      </c>
      <c r="G1235">
        <v>0.42399999999999999</v>
      </c>
      <c r="H1235">
        <v>3.3999999999999998E-3</v>
      </c>
      <c r="I1235">
        <v>301.40010000000001</v>
      </c>
    </row>
    <row r="1236" spans="1:9" x14ac:dyDescent="0.3">
      <c r="A1236" t="s">
        <v>9</v>
      </c>
      <c r="B1236" t="s">
        <v>1334</v>
      </c>
      <c r="C1236">
        <v>4</v>
      </c>
      <c r="D1236">
        <v>1E-3</v>
      </c>
      <c r="E1236">
        <v>6.0945311760477354</v>
      </c>
      <c r="F1236">
        <v>616.01030560764889</v>
      </c>
      <c r="G1236">
        <v>0.42399999999999999</v>
      </c>
      <c r="H1236">
        <v>1.5E-3</v>
      </c>
      <c r="I1236">
        <v>301.60090000000002</v>
      </c>
    </row>
    <row r="1237" spans="1:9" x14ac:dyDescent="0.3">
      <c r="A1237" t="s">
        <v>9</v>
      </c>
      <c r="B1237" t="s">
        <v>1335</v>
      </c>
      <c r="C1237">
        <v>4</v>
      </c>
      <c r="D1237">
        <v>-1.4E-3</v>
      </c>
      <c r="E1237">
        <v>6.0206575194198573</v>
      </c>
      <c r="F1237">
        <v>609.1252808099307</v>
      </c>
      <c r="G1237">
        <v>0.42399999999999999</v>
      </c>
      <c r="H1237">
        <v>4.0000000000000002E-4</v>
      </c>
      <c r="I1237">
        <v>301.80009999999999</v>
      </c>
    </row>
    <row r="1238" spans="1:9" x14ac:dyDescent="0.3">
      <c r="A1238" t="s">
        <v>9</v>
      </c>
      <c r="B1238" t="s">
        <v>1336</v>
      </c>
      <c r="C1238">
        <v>4</v>
      </c>
      <c r="D1238">
        <v>-2.8E-3</v>
      </c>
      <c r="E1238">
        <v>5.9957396466344166</v>
      </c>
      <c r="F1238">
        <v>606.80293506632768</v>
      </c>
      <c r="G1238">
        <v>0.42399999999999999</v>
      </c>
      <c r="H1238">
        <v>0</v>
      </c>
      <c r="I1238">
        <v>302.00310000000002</v>
      </c>
    </row>
    <row r="1239" spans="1:9" x14ac:dyDescent="0.3">
      <c r="A1239" t="s">
        <v>9</v>
      </c>
      <c r="B1239" t="s">
        <v>1337</v>
      </c>
      <c r="C1239">
        <v>4</v>
      </c>
      <c r="D1239">
        <v>-3.0999999999999999E-3</v>
      </c>
      <c r="E1239">
        <v>6.0213007460534751</v>
      </c>
      <c r="F1239">
        <v>711.42144080047478</v>
      </c>
      <c r="G1239">
        <v>0.42399999999999999</v>
      </c>
      <c r="H1239">
        <v>4.0000000000000002E-4</v>
      </c>
      <c r="I1239">
        <v>302.20240000000001</v>
      </c>
    </row>
    <row r="1240" spans="1:9" x14ac:dyDescent="0.3">
      <c r="A1240" t="s">
        <v>9</v>
      </c>
      <c r="B1240" t="s">
        <v>1338</v>
      </c>
      <c r="C1240">
        <v>4</v>
      </c>
      <c r="D1240">
        <v>-1E-3</v>
      </c>
      <c r="E1240">
        <v>6.095786229660094</v>
      </c>
      <c r="F1240">
        <v>718.490113194743</v>
      </c>
      <c r="G1240">
        <v>0.42399999999999999</v>
      </c>
      <c r="H1240">
        <v>1.6000000000000001E-3</v>
      </c>
      <c r="I1240">
        <v>302.40170000000001</v>
      </c>
    </row>
    <row r="1241" spans="1:9" x14ac:dyDescent="0.3">
      <c r="A1241" t="s">
        <v>9</v>
      </c>
      <c r="B1241" t="s">
        <v>1339</v>
      </c>
      <c r="C1241">
        <v>4</v>
      </c>
      <c r="D1241">
        <v>2.3E-3</v>
      </c>
      <c r="E1241">
        <v>6.2176573971112639</v>
      </c>
      <c r="F1241">
        <v>730.05568698585898</v>
      </c>
      <c r="G1241">
        <v>0.42399999999999999</v>
      </c>
      <c r="H1241">
        <v>3.3999999999999998E-3</v>
      </c>
      <c r="I1241">
        <v>302.60129999999998</v>
      </c>
    </row>
    <row r="1242" spans="1:9" x14ac:dyDescent="0.3">
      <c r="A1242" t="s">
        <v>9</v>
      </c>
      <c r="B1242" t="s">
        <v>1340</v>
      </c>
      <c r="C1242">
        <v>4</v>
      </c>
      <c r="D1242">
        <v>4.1000000000000003E-3</v>
      </c>
      <c r="E1242">
        <v>6.3838258790722042</v>
      </c>
      <c r="F1242">
        <v>745.82507592395223</v>
      </c>
      <c r="G1242">
        <v>0.42399999999999999</v>
      </c>
      <c r="H1242">
        <v>6.0000000000000001E-3</v>
      </c>
      <c r="I1242">
        <v>302.80099999999999</v>
      </c>
    </row>
    <row r="1243" spans="1:9" x14ac:dyDescent="0.3">
      <c r="A1243" t="s">
        <v>9</v>
      </c>
      <c r="B1243" t="s">
        <v>1341</v>
      </c>
      <c r="C1243">
        <v>4</v>
      </c>
      <c r="D1243">
        <v>6.8999999999999999E-3</v>
      </c>
      <c r="E1243">
        <v>6.5899958751353562</v>
      </c>
      <c r="F1243">
        <v>765.39060855034529</v>
      </c>
      <c r="G1243">
        <v>0.42399999999999999</v>
      </c>
      <c r="H1243">
        <v>9.1999999999999998E-3</v>
      </c>
      <c r="I1243">
        <v>303.00040000000001</v>
      </c>
    </row>
    <row r="1244" spans="1:9" x14ac:dyDescent="0.3">
      <c r="A1244" t="s">
        <v>9</v>
      </c>
      <c r="B1244" t="s">
        <v>1342</v>
      </c>
      <c r="C1244">
        <v>4</v>
      </c>
      <c r="D1244">
        <v>1.04E-2</v>
      </c>
      <c r="E1244">
        <v>6.8360695857558316</v>
      </c>
      <c r="F1244">
        <v>788.74300368822844</v>
      </c>
      <c r="G1244">
        <v>0.42399999999999999</v>
      </c>
      <c r="H1244">
        <v>1.3100000000000001E-2</v>
      </c>
      <c r="I1244">
        <v>303.20359999999999</v>
      </c>
    </row>
    <row r="1245" spans="1:9" x14ac:dyDescent="0.3">
      <c r="A1245" t="s">
        <v>9</v>
      </c>
      <c r="B1245" t="s">
        <v>1343</v>
      </c>
      <c r="C1245">
        <v>4</v>
      </c>
      <c r="D1245">
        <v>1.4E-2</v>
      </c>
      <c r="E1245">
        <v>7.1029492169691508</v>
      </c>
      <c r="F1245">
        <v>814.06988069037243</v>
      </c>
      <c r="G1245">
        <v>0.42399999999999999</v>
      </c>
      <c r="H1245">
        <v>1.72E-2</v>
      </c>
      <c r="I1245">
        <v>303.40019999999998</v>
      </c>
    </row>
    <row r="1246" spans="1:9" x14ac:dyDescent="0.3">
      <c r="A1246" t="s">
        <v>9</v>
      </c>
      <c r="B1246" t="s">
        <v>1344</v>
      </c>
      <c r="C1246">
        <v>4</v>
      </c>
      <c r="D1246">
        <v>1.8200000000000001E-2</v>
      </c>
      <c r="E1246">
        <v>7.3978099791666594</v>
      </c>
      <c r="F1246">
        <v>842.05216702291602</v>
      </c>
      <c r="G1246">
        <v>0.42399999999999999</v>
      </c>
      <c r="H1246">
        <v>2.18E-2</v>
      </c>
      <c r="I1246">
        <v>303.60079999999999</v>
      </c>
    </row>
    <row r="1247" spans="1:9" x14ac:dyDescent="0.3">
      <c r="A1247" t="s">
        <v>9</v>
      </c>
      <c r="B1247" t="s">
        <v>1345</v>
      </c>
      <c r="C1247">
        <v>4</v>
      </c>
      <c r="D1247">
        <v>2.2700000000000001E-2</v>
      </c>
      <c r="E1247">
        <v>7.7074590705568156</v>
      </c>
      <c r="F1247">
        <v>871.43786579584184</v>
      </c>
      <c r="G1247">
        <v>0.42399999999999999</v>
      </c>
      <c r="H1247">
        <v>2.6599999999999999E-2</v>
      </c>
      <c r="I1247">
        <v>303.80099999999999</v>
      </c>
    </row>
    <row r="1248" spans="1:9" x14ac:dyDescent="0.3">
      <c r="A1248" t="s">
        <v>9</v>
      </c>
      <c r="B1248" t="s">
        <v>1346</v>
      </c>
      <c r="C1248">
        <v>4</v>
      </c>
      <c r="D1248">
        <v>2.7699999999999999E-2</v>
      </c>
      <c r="E1248">
        <v>8.0271204511758043</v>
      </c>
      <c r="F1248">
        <v>901.77373081658391</v>
      </c>
      <c r="G1248">
        <v>0.42399999999999999</v>
      </c>
      <c r="H1248">
        <v>3.1600000000000003E-2</v>
      </c>
      <c r="I1248">
        <v>304.0025</v>
      </c>
    </row>
    <row r="1249" spans="1:9" x14ac:dyDescent="0.3">
      <c r="A1249" t="s">
        <v>9</v>
      </c>
      <c r="B1249" t="s">
        <v>1347</v>
      </c>
      <c r="C1249">
        <v>4</v>
      </c>
      <c r="D1249">
        <v>3.2800000000000003E-2</v>
      </c>
      <c r="E1249">
        <v>8.345306323735679</v>
      </c>
      <c r="F1249">
        <v>931.96957012251596</v>
      </c>
      <c r="G1249">
        <v>0.42399999999999999</v>
      </c>
      <c r="H1249">
        <v>3.6499999999999998E-2</v>
      </c>
      <c r="I1249">
        <v>304.20319999999998</v>
      </c>
    </row>
    <row r="1250" spans="1:9" x14ac:dyDescent="0.3">
      <c r="A1250" t="s">
        <v>9</v>
      </c>
      <c r="B1250" t="s">
        <v>1348</v>
      </c>
      <c r="C1250">
        <v>4</v>
      </c>
      <c r="D1250">
        <v>3.7999999999999999E-2</v>
      </c>
      <c r="E1250">
        <v>8.6511808879144301</v>
      </c>
      <c r="F1250">
        <v>960.99706626307943</v>
      </c>
      <c r="G1250">
        <v>0.42399999999999999</v>
      </c>
      <c r="H1250">
        <v>4.1300000000000003E-2</v>
      </c>
      <c r="I1250">
        <v>304.40109999999999</v>
      </c>
    </row>
    <row r="1251" spans="1:9" x14ac:dyDescent="0.3">
      <c r="A1251" t="s">
        <v>9</v>
      </c>
      <c r="B1251" t="s">
        <v>1349</v>
      </c>
      <c r="C1251">
        <v>4</v>
      </c>
      <c r="D1251">
        <v>4.2999999999999997E-2</v>
      </c>
      <c r="E1251">
        <v>8.9467171643813792</v>
      </c>
      <c r="F1251">
        <v>989.04345889979288</v>
      </c>
      <c r="G1251">
        <v>0.42399999999999999</v>
      </c>
      <c r="H1251">
        <v>4.5900000000000003E-2</v>
      </c>
      <c r="I1251">
        <v>304.60230000000001</v>
      </c>
    </row>
    <row r="1252" spans="1:9" x14ac:dyDescent="0.3">
      <c r="A1252" t="s">
        <v>9</v>
      </c>
      <c r="B1252" t="s">
        <v>1350</v>
      </c>
      <c r="C1252">
        <v>4</v>
      </c>
      <c r="D1252">
        <v>4.7800000000000002E-2</v>
      </c>
      <c r="E1252">
        <v>9.2175594612340852</v>
      </c>
      <c r="F1252">
        <v>1014.7463928711149</v>
      </c>
      <c r="G1252">
        <v>0.42399999999999999</v>
      </c>
      <c r="H1252">
        <v>5.0099999999999999E-2</v>
      </c>
      <c r="I1252">
        <v>304.80220000000003</v>
      </c>
    </row>
    <row r="1253" spans="1:9" x14ac:dyDescent="0.3">
      <c r="A1253" t="s">
        <v>9</v>
      </c>
      <c r="B1253" t="s">
        <v>1351</v>
      </c>
      <c r="C1253">
        <v>4</v>
      </c>
      <c r="D1253">
        <v>5.2200000000000003E-2</v>
      </c>
      <c r="E1253">
        <v>9.4578787309710872</v>
      </c>
      <c r="F1253">
        <v>1037.552691569156</v>
      </c>
      <c r="G1253">
        <v>0.42399999999999999</v>
      </c>
      <c r="H1253">
        <v>5.3800000000000001E-2</v>
      </c>
      <c r="I1253">
        <v>305.00110000000001</v>
      </c>
    </row>
    <row r="1254" spans="1:9" x14ac:dyDescent="0.3">
      <c r="A1254" t="s">
        <v>9</v>
      </c>
      <c r="B1254" t="s">
        <v>1352</v>
      </c>
      <c r="C1254">
        <v>4</v>
      </c>
      <c r="D1254">
        <v>5.5899999999999998E-2</v>
      </c>
      <c r="E1254">
        <v>9.6662124405972669</v>
      </c>
      <c r="F1254">
        <v>1057.3235606126809</v>
      </c>
      <c r="G1254">
        <v>0.42399999999999999</v>
      </c>
      <c r="H1254">
        <v>5.7000000000000002E-2</v>
      </c>
      <c r="I1254">
        <v>305.20319999999998</v>
      </c>
    </row>
    <row r="1255" spans="1:9" x14ac:dyDescent="0.3">
      <c r="A1255" t="s">
        <v>9</v>
      </c>
      <c r="B1255" t="s">
        <v>1353</v>
      </c>
      <c r="C1255">
        <v>4</v>
      </c>
      <c r="D1255">
        <v>5.8799999999999998E-2</v>
      </c>
      <c r="E1255">
        <v>9.8310119722121794</v>
      </c>
      <c r="F1255">
        <v>1072.9630361629361</v>
      </c>
      <c r="G1255">
        <v>0.42399999999999999</v>
      </c>
      <c r="H1255">
        <v>5.96E-2</v>
      </c>
      <c r="I1255">
        <v>305.40210000000002</v>
      </c>
    </row>
    <row r="1256" spans="1:9" x14ac:dyDescent="0.3">
      <c r="A1256" t="s">
        <v>9</v>
      </c>
      <c r="B1256" t="s">
        <v>1354</v>
      </c>
      <c r="C1256">
        <v>4</v>
      </c>
      <c r="D1256">
        <v>6.1600000000000002E-2</v>
      </c>
      <c r="E1256">
        <v>9.9514485436029076</v>
      </c>
      <c r="F1256">
        <v>1084.392466787916</v>
      </c>
      <c r="G1256">
        <v>0.42399999999999999</v>
      </c>
      <c r="H1256">
        <v>6.1499999999999999E-2</v>
      </c>
      <c r="I1256">
        <v>305.60050000000001</v>
      </c>
    </row>
    <row r="1257" spans="1:9" x14ac:dyDescent="0.3">
      <c r="A1257" t="s">
        <v>9</v>
      </c>
      <c r="B1257" t="s">
        <v>1355</v>
      </c>
      <c r="C1257">
        <v>4</v>
      </c>
      <c r="D1257">
        <v>6.4699999999999994E-2</v>
      </c>
      <c r="E1257">
        <v>10.02591932889484</v>
      </c>
      <c r="F1257">
        <v>1091.4597443121199</v>
      </c>
      <c r="G1257">
        <v>0.42399999999999999</v>
      </c>
      <c r="H1257">
        <v>6.2600000000000003E-2</v>
      </c>
      <c r="I1257">
        <v>305.80180000000001</v>
      </c>
    </row>
    <row r="1258" spans="1:9" x14ac:dyDescent="0.3">
      <c r="A1258" t="s">
        <v>9</v>
      </c>
      <c r="B1258" t="s">
        <v>1356</v>
      </c>
      <c r="C1258">
        <v>4</v>
      </c>
      <c r="D1258">
        <v>6.6199999999999995E-2</v>
      </c>
      <c r="E1258">
        <v>10.050436117791341</v>
      </c>
      <c r="F1258">
        <v>1093.7863875783989</v>
      </c>
      <c r="G1258">
        <v>0.42399999999999999</v>
      </c>
      <c r="H1258">
        <v>6.3E-2</v>
      </c>
      <c r="I1258">
        <v>306.0027</v>
      </c>
    </row>
    <row r="1259" spans="1:9" x14ac:dyDescent="0.3">
      <c r="A1259" t="s">
        <v>9</v>
      </c>
      <c r="B1259" t="s">
        <v>1357</v>
      </c>
      <c r="C1259">
        <v>4</v>
      </c>
      <c r="D1259">
        <v>6.6400000000000001E-2</v>
      </c>
      <c r="E1259">
        <v>10.025193130781661</v>
      </c>
      <c r="F1259">
        <v>982.34799978885053</v>
      </c>
      <c r="G1259">
        <v>0.42399999999999999</v>
      </c>
      <c r="H1259">
        <v>6.2600000000000003E-2</v>
      </c>
      <c r="I1259">
        <v>306.2011</v>
      </c>
    </row>
    <row r="1260" spans="1:9" x14ac:dyDescent="0.3">
      <c r="A1260" t="s">
        <v>9</v>
      </c>
      <c r="B1260" t="s">
        <v>1358</v>
      </c>
      <c r="C1260">
        <v>4</v>
      </c>
      <c r="D1260">
        <v>6.4199999999999993E-2</v>
      </c>
      <c r="E1260">
        <v>9.9504879833962452</v>
      </c>
      <c r="F1260">
        <v>975.38548005253006</v>
      </c>
      <c r="G1260">
        <v>0.42399999999999999</v>
      </c>
      <c r="H1260">
        <v>6.1400000000000003E-2</v>
      </c>
      <c r="I1260">
        <v>306.4015</v>
      </c>
    </row>
    <row r="1261" spans="1:9" x14ac:dyDescent="0.3">
      <c r="A1261" t="s">
        <v>9</v>
      </c>
      <c r="B1261" t="s">
        <v>1359</v>
      </c>
      <c r="C1261">
        <v>4</v>
      </c>
      <c r="D1261">
        <v>6.2300000000000001E-2</v>
      </c>
      <c r="E1261">
        <v>9.8292258735585953</v>
      </c>
      <c r="F1261">
        <v>964.08385141566112</v>
      </c>
      <c r="G1261">
        <v>0.42399999999999999</v>
      </c>
      <c r="H1261">
        <v>5.96E-2</v>
      </c>
      <c r="I1261">
        <v>306.6003</v>
      </c>
    </row>
    <row r="1262" spans="1:9" x14ac:dyDescent="0.3">
      <c r="A1262" t="s">
        <v>9</v>
      </c>
      <c r="B1262" t="s">
        <v>1360</v>
      </c>
      <c r="C1262">
        <v>4</v>
      </c>
      <c r="D1262">
        <v>6.0699999999999997E-2</v>
      </c>
      <c r="E1262">
        <v>9.6617737522974245</v>
      </c>
      <c r="F1262">
        <v>948.47731371411999</v>
      </c>
      <c r="G1262">
        <v>0.42399999999999999</v>
      </c>
      <c r="H1262">
        <v>5.7000000000000002E-2</v>
      </c>
      <c r="I1262">
        <v>306.80160000000001</v>
      </c>
    </row>
    <row r="1263" spans="1:9" x14ac:dyDescent="0.3">
      <c r="A1263" t="s">
        <v>9</v>
      </c>
      <c r="B1263" t="s">
        <v>1361</v>
      </c>
      <c r="C1263">
        <v>4</v>
      </c>
      <c r="D1263">
        <v>5.8999999999999997E-2</v>
      </c>
      <c r="E1263">
        <v>9.4541950292076731</v>
      </c>
      <c r="F1263">
        <v>929.1309767221552</v>
      </c>
      <c r="G1263">
        <v>0.42399999999999999</v>
      </c>
      <c r="H1263">
        <v>5.3699999999999998E-2</v>
      </c>
      <c r="I1263">
        <v>307.00220000000002</v>
      </c>
    </row>
    <row r="1264" spans="1:9" x14ac:dyDescent="0.3">
      <c r="A1264" t="s">
        <v>9</v>
      </c>
      <c r="B1264" t="s">
        <v>1362</v>
      </c>
      <c r="C1264">
        <v>4</v>
      </c>
      <c r="D1264">
        <v>5.5800000000000002E-2</v>
      </c>
      <c r="E1264">
        <v>9.2135984174776979</v>
      </c>
      <c r="F1264">
        <v>906.70737250892148</v>
      </c>
      <c r="G1264">
        <v>0.42399999999999999</v>
      </c>
      <c r="H1264">
        <v>0.05</v>
      </c>
      <c r="I1264">
        <v>307.20089999999999</v>
      </c>
    </row>
    <row r="1265" spans="1:9" x14ac:dyDescent="0.3">
      <c r="A1265" t="s">
        <v>9</v>
      </c>
      <c r="B1265" t="s">
        <v>1363</v>
      </c>
      <c r="C1265">
        <v>4</v>
      </c>
      <c r="D1265">
        <v>5.1200000000000002E-2</v>
      </c>
      <c r="E1265">
        <v>8.9413617067158686</v>
      </c>
      <c r="F1265">
        <v>881.33491106591896</v>
      </c>
      <c r="G1265">
        <v>0.42399999999999999</v>
      </c>
      <c r="H1265">
        <v>4.58E-2</v>
      </c>
      <c r="I1265">
        <v>307.4015</v>
      </c>
    </row>
    <row r="1266" spans="1:9" x14ac:dyDescent="0.3">
      <c r="A1266" t="s">
        <v>9</v>
      </c>
      <c r="B1266" t="s">
        <v>1364</v>
      </c>
      <c r="C1266">
        <v>4</v>
      </c>
      <c r="D1266">
        <v>4.6399999999999997E-2</v>
      </c>
      <c r="E1266">
        <v>8.6486706185014093</v>
      </c>
      <c r="F1266">
        <v>854.05610164433142</v>
      </c>
      <c r="G1266">
        <v>0.42399999999999999</v>
      </c>
      <c r="H1266">
        <v>4.1200000000000001E-2</v>
      </c>
      <c r="I1266">
        <v>307.60059999999999</v>
      </c>
    </row>
    <row r="1267" spans="1:9" x14ac:dyDescent="0.3">
      <c r="A1267" t="s">
        <v>9</v>
      </c>
      <c r="B1267" t="s">
        <v>1365</v>
      </c>
      <c r="C1267">
        <v>4</v>
      </c>
      <c r="D1267">
        <v>4.1700000000000001E-2</v>
      </c>
      <c r="E1267">
        <v>8.3387583765945266</v>
      </c>
      <c r="F1267">
        <v>825.17228069860994</v>
      </c>
      <c r="G1267">
        <v>0.42399999999999999</v>
      </c>
      <c r="H1267">
        <v>3.6400000000000002E-2</v>
      </c>
      <c r="I1267">
        <v>307.80090000000001</v>
      </c>
    </row>
    <row r="1268" spans="1:9" x14ac:dyDescent="0.3">
      <c r="A1268" t="s">
        <v>9</v>
      </c>
      <c r="B1268" t="s">
        <v>1366</v>
      </c>
      <c r="C1268">
        <v>4</v>
      </c>
      <c r="D1268">
        <v>3.6900000000000002E-2</v>
      </c>
      <c r="E1268">
        <v>8.0175821572536776</v>
      </c>
      <c r="F1268">
        <v>795.23865705604283</v>
      </c>
      <c r="G1268">
        <v>0.42399999999999999</v>
      </c>
      <c r="H1268">
        <v>3.1399999999999997E-2</v>
      </c>
      <c r="I1268">
        <v>308.0034</v>
      </c>
    </row>
    <row r="1269" spans="1:9" x14ac:dyDescent="0.3">
      <c r="A1269" t="s">
        <v>9</v>
      </c>
      <c r="B1269" t="s">
        <v>1367</v>
      </c>
      <c r="C1269">
        <v>4</v>
      </c>
      <c r="D1269">
        <v>3.1699999999999999E-2</v>
      </c>
      <c r="E1269">
        <v>7.7037826672669034</v>
      </c>
      <c r="F1269">
        <v>765.99254458927544</v>
      </c>
      <c r="G1269">
        <v>0.42399999999999999</v>
      </c>
      <c r="H1269">
        <v>2.6499999999999999E-2</v>
      </c>
      <c r="I1269">
        <v>308.20139999999998</v>
      </c>
    </row>
    <row r="1270" spans="1:9" x14ac:dyDescent="0.3">
      <c r="A1270" t="s">
        <v>9</v>
      </c>
      <c r="B1270" t="s">
        <v>1368</v>
      </c>
      <c r="C1270">
        <v>4</v>
      </c>
      <c r="D1270">
        <v>2.64E-2</v>
      </c>
      <c r="E1270">
        <v>7.3947409710601901</v>
      </c>
      <c r="F1270">
        <v>737.18985850280978</v>
      </c>
      <c r="G1270">
        <v>0.42399999999999999</v>
      </c>
      <c r="H1270">
        <v>2.1700000000000001E-2</v>
      </c>
      <c r="I1270">
        <v>308.40120000000002</v>
      </c>
    </row>
    <row r="1271" spans="1:9" x14ac:dyDescent="0.3">
      <c r="A1271" t="s">
        <v>9</v>
      </c>
      <c r="B1271" t="s">
        <v>1369</v>
      </c>
      <c r="C1271">
        <v>4</v>
      </c>
      <c r="D1271">
        <v>2.1499999999999998E-2</v>
      </c>
      <c r="E1271">
        <v>7.1016172455555227</v>
      </c>
      <c r="F1271">
        <v>709.87072728577471</v>
      </c>
      <c r="G1271">
        <v>0.42399999999999999</v>
      </c>
      <c r="H1271">
        <v>1.72E-2</v>
      </c>
      <c r="I1271">
        <v>308.60070000000002</v>
      </c>
    </row>
    <row r="1272" spans="1:9" x14ac:dyDescent="0.3">
      <c r="A1272" t="s">
        <v>9</v>
      </c>
      <c r="B1272" t="s">
        <v>1370</v>
      </c>
      <c r="C1272">
        <v>4</v>
      </c>
      <c r="D1272">
        <v>1.66E-2</v>
      </c>
      <c r="E1272">
        <v>6.8291753665942112</v>
      </c>
      <c r="F1272">
        <v>684.47914416658045</v>
      </c>
      <c r="G1272">
        <v>0.42399999999999999</v>
      </c>
      <c r="H1272">
        <v>1.29E-2</v>
      </c>
      <c r="I1272">
        <v>308.80180000000001</v>
      </c>
    </row>
    <row r="1273" spans="1:9" x14ac:dyDescent="0.3">
      <c r="A1273" t="s">
        <v>9</v>
      </c>
      <c r="B1273" t="s">
        <v>1371</v>
      </c>
      <c r="C1273">
        <v>4</v>
      </c>
      <c r="D1273">
        <v>1.12E-2</v>
      </c>
      <c r="E1273">
        <v>6.5857064000714987</v>
      </c>
      <c r="F1273">
        <v>661.78783648666365</v>
      </c>
      <c r="G1273">
        <v>0.42399999999999999</v>
      </c>
      <c r="H1273">
        <v>9.1999999999999998E-3</v>
      </c>
      <c r="I1273">
        <v>309.0034</v>
      </c>
    </row>
    <row r="1274" spans="1:9" x14ac:dyDescent="0.3">
      <c r="A1274" t="s">
        <v>9</v>
      </c>
      <c r="B1274" t="s">
        <v>1372</v>
      </c>
      <c r="C1274">
        <v>4</v>
      </c>
      <c r="D1274">
        <v>8.0000000000000002E-3</v>
      </c>
      <c r="E1274">
        <v>6.3824194226818074</v>
      </c>
      <c r="F1274">
        <v>642.84149019394442</v>
      </c>
      <c r="G1274">
        <v>0.42399999999999999</v>
      </c>
      <c r="H1274">
        <v>6.0000000000000001E-3</v>
      </c>
      <c r="I1274">
        <v>309.20049999999998</v>
      </c>
    </row>
    <row r="1275" spans="1:9" x14ac:dyDescent="0.3">
      <c r="A1275" t="s">
        <v>9</v>
      </c>
      <c r="B1275" t="s">
        <v>1373</v>
      </c>
      <c r="C1275">
        <v>4</v>
      </c>
      <c r="D1275">
        <v>3.5999999999999999E-3</v>
      </c>
      <c r="E1275">
        <v>6.2142734193262239</v>
      </c>
      <c r="F1275">
        <v>627.17028268120407</v>
      </c>
      <c r="G1275">
        <v>0.42399999999999999</v>
      </c>
      <c r="H1275">
        <v>3.3999999999999998E-3</v>
      </c>
      <c r="I1275">
        <v>309.40339999999998</v>
      </c>
    </row>
    <row r="1276" spans="1:9" x14ac:dyDescent="0.3">
      <c r="A1276" t="s">
        <v>9</v>
      </c>
      <c r="B1276" t="s">
        <v>1374</v>
      </c>
      <c r="C1276">
        <v>4</v>
      </c>
      <c r="D1276">
        <v>1E-3</v>
      </c>
      <c r="E1276">
        <v>6.0931985558809068</v>
      </c>
      <c r="F1276">
        <v>615.88610540810055</v>
      </c>
      <c r="G1276">
        <v>0.42399999999999999</v>
      </c>
      <c r="H1276">
        <v>1.5E-3</v>
      </c>
      <c r="I1276">
        <v>309.60359999999997</v>
      </c>
    </row>
    <row r="1277" spans="1:9" x14ac:dyDescent="0.3">
      <c r="A1277" t="s">
        <v>9</v>
      </c>
      <c r="B1277" t="s">
        <v>1375</v>
      </c>
      <c r="C1277">
        <v>4</v>
      </c>
      <c r="D1277">
        <v>-1.1999999999999999E-3</v>
      </c>
      <c r="E1277">
        <v>6.0197510976677302</v>
      </c>
      <c r="F1277">
        <v>609.04080230263253</v>
      </c>
      <c r="G1277">
        <v>0.42399999999999999</v>
      </c>
      <c r="H1277">
        <v>4.0000000000000002E-4</v>
      </c>
      <c r="I1277">
        <v>309.80380000000002</v>
      </c>
    </row>
    <row r="1278" spans="1:9" x14ac:dyDescent="0.3">
      <c r="A1278" t="s">
        <v>9</v>
      </c>
      <c r="B1278" t="s">
        <v>1376</v>
      </c>
      <c r="C1278">
        <v>4</v>
      </c>
      <c r="D1278">
        <v>-2.2000000000000001E-3</v>
      </c>
      <c r="E1278">
        <v>5.9957412175537979</v>
      </c>
      <c r="F1278">
        <v>606.80308147601397</v>
      </c>
      <c r="G1278">
        <v>0.42399999999999999</v>
      </c>
      <c r="H1278">
        <v>0</v>
      </c>
      <c r="I1278">
        <v>310.00349999999997</v>
      </c>
    </row>
    <row r="1279" spans="1:9" x14ac:dyDescent="0.3">
      <c r="A1279" t="s">
        <v>9</v>
      </c>
      <c r="B1279" t="s">
        <v>1377</v>
      </c>
      <c r="C1279">
        <v>4</v>
      </c>
      <c r="D1279">
        <v>-2.8999999999999998E-3</v>
      </c>
      <c r="E1279">
        <v>6.0213014718461171</v>
      </c>
      <c r="F1279">
        <v>711.42150967819657</v>
      </c>
      <c r="G1279">
        <v>0.42399999999999999</v>
      </c>
      <c r="H1279">
        <v>4.0000000000000002E-4</v>
      </c>
      <c r="I1279">
        <v>310.20240000000001</v>
      </c>
    </row>
    <row r="1280" spans="1:9" x14ac:dyDescent="0.3">
      <c r="A1280" t="s">
        <v>9</v>
      </c>
      <c r="B1280" t="s">
        <v>1378</v>
      </c>
      <c r="C1280">
        <v>4</v>
      </c>
      <c r="D1280">
        <v>-1.2999999999999999E-3</v>
      </c>
      <c r="E1280">
        <v>6.0959127365340837</v>
      </c>
      <c r="F1280">
        <v>718.5021186970846</v>
      </c>
      <c r="G1280">
        <v>0.42399999999999999</v>
      </c>
      <c r="H1280">
        <v>1.6000000000000001E-3</v>
      </c>
      <c r="I1280">
        <v>310.40190000000001</v>
      </c>
    </row>
    <row r="1281" spans="1:9" x14ac:dyDescent="0.3">
      <c r="A1281" t="s">
        <v>9</v>
      </c>
      <c r="B1281" t="s">
        <v>1379</v>
      </c>
      <c r="C1281">
        <v>4</v>
      </c>
      <c r="D1281">
        <v>2.2000000000000001E-3</v>
      </c>
      <c r="E1281">
        <v>6.2173502124710929</v>
      </c>
      <c r="F1281">
        <v>730.02653516350676</v>
      </c>
      <c r="G1281">
        <v>0.42399999999999999</v>
      </c>
      <c r="H1281">
        <v>3.3999999999999998E-3</v>
      </c>
      <c r="I1281">
        <v>310.60090000000002</v>
      </c>
    </row>
    <row r="1282" spans="1:9" x14ac:dyDescent="0.3">
      <c r="A1282" t="s">
        <v>9</v>
      </c>
      <c r="B1282" t="s">
        <v>1380</v>
      </c>
      <c r="C1282">
        <v>4</v>
      </c>
      <c r="D1282">
        <v>3.8999999999999998E-3</v>
      </c>
      <c r="E1282">
        <v>6.3835195459206062</v>
      </c>
      <c r="F1282">
        <v>745.79600490786561</v>
      </c>
      <c r="G1282">
        <v>0.42399999999999999</v>
      </c>
      <c r="H1282">
        <v>6.0000000000000001E-3</v>
      </c>
      <c r="I1282">
        <v>310.80059999999997</v>
      </c>
    </row>
    <row r="1283" spans="1:9" x14ac:dyDescent="0.3">
      <c r="A1283" t="s">
        <v>9</v>
      </c>
      <c r="B1283" t="s">
        <v>1381</v>
      </c>
      <c r="C1283">
        <v>4</v>
      </c>
      <c r="D1283">
        <v>7.1999999999999998E-3</v>
      </c>
      <c r="E1283">
        <v>6.5922551581541491</v>
      </c>
      <c r="F1283">
        <v>765.60501450882873</v>
      </c>
      <c r="G1283">
        <v>0.42399999999999999</v>
      </c>
      <c r="H1283">
        <v>9.2999999999999992E-3</v>
      </c>
      <c r="I1283">
        <v>311.00240000000002</v>
      </c>
    </row>
    <row r="1284" spans="1:9" x14ac:dyDescent="0.3">
      <c r="A1284" t="s">
        <v>9</v>
      </c>
      <c r="B1284" t="s">
        <v>1382</v>
      </c>
      <c r="C1284">
        <v>4</v>
      </c>
      <c r="D1284">
        <v>1.0500000000000001E-2</v>
      </c>
      <c r="E1284">
        <v>6.8359236162858448</v>
      </c>
      <c r="F1284">
        <v>788.72915118552669</v>
      </c>
      <c r="G1284">
        <v>0.42399999999999999</v>
      </c>
      <c r="H1284">
        <v>1.3100000000000001E-2</v>
      </c>
      <c r="I1284">
        <v>311.20350000000002</v>
      </c>
    </row>
    <row r="1285" spans="1:9" x14ac:dyDescent="0.3">
      <c r="A1285" t="s">
        <v>9</v>
      </c>
      <c r="B1285" t="s">
        <v>1383</v>
      </c>
      <c r="C1285">
        <v>4</v>
      </c>
      <c r="D1285">
        <v>1.38E-2</v>
      </c>
      <c r="E1285">
        <v>7.1048014073549819</v>
      </c>
      <c r="F1285">
        <v>814.24565355798779</v>
      </c>
      <c r="G1285">
        <v>0.42399999999999999</v>
      </c>
      <c r="H1285">
        <v>1.72E-2</v>
      </c>
      <c r="I1285">
        <v>311.4015</v>
      </c>
    </row>
    <row r="1286" spans="1:9" x14ac:dyDescent="0.3">
      <c r="A1286" t="s">
        <v>9</v>
      </c>
      <c r="B1286" t="s">
        <v>1384</v>
      </c>
      <c r="C1286">
        <v>4</v>
      </c>
      <c r="D1286">
        <v>1.84E-2</v>
      </c>
      <c r="E1286">
        <v>7.3977856509216622</v>
      </c>
      <c r="F1286">
        <v>842.04985827246583</v>
      </c>
      <c r="G1286">
        <v>0.42399999999999999</v>
      </c>
      <c r="H1286">
        <v>2.18E-2</v>
      </c>
      <c r="I1286">
        <v>311.60079999999999</v>
      </c>
    </row>
    <row r="1287" spans="1:9" x14ac:dyDescent="0.3">
      <c r="A1287" t="s">
        <v>9</v>
      </c>
      <c r="B1287" t="s">
        <v>1385</v>
      </c>
      <c r="C1287">
        <v>4</v>
      </c>
      <c r="D1287">
        <v>2.2800000000000001E-2</v>
      </c>
      <c r="E1287">
        <v>7.7075255677598102</v>
      </c>
      <c r="F1287">
        <v>871.44417638040602</v>
      </c>
      <c r="G1287">
        <v>0.42399999999999999</v>
      </c>
      <c r="H1287">
        <v>2.6599999999999999E-2</v>
      </c>
      <c r="I1287">
        <v>311.80099999999999</v>
      </c>
    </row>
    <row r="1288" spans="1:9" x14ac:dyDescent="0.3">
      <c r="A1288" t="s">
        <v>9</v>
      </c>
      <c r="B1288" t="s">
        <v>1386</v>
      </c>
      <c r="C1288">
        <v>4</v>
      </c>
      <c r="D1288">
        <v>2.7699999999999999E-2</v>
      </c>
      <c r="E1288">
        <v>8.0246507288377824</v>
      </c>
      <c r="F1288">
        <v>901.53935416670561</v>
      </c>
      <c r="G1288">
        <v>0.42399999999999999</v>
      </c>
      <c r="H1288">
        <v>3.15E-2</v>
      </c>
      <c r="I1288">
        <v>312.00099999999998</v>
      </c>
    </row>
    <row r="1289" spans="1:9" x14ac:dyDescent="0.3">
      <c r="A1289" t="s">
        <v>9</v>
      </c>
      <c r="B1289" t="s">
        <v>1387</v>
      </c>
      <c r="C1289">
        <v>4</v>
      </c>
      <c r="D1289">
        <v>3.27E-2</v>
      </c>
      <c r="E1289">
        <v>8.3428986384223993</v>
      </c>
      <c r="F1289">
        <v>931.74108078628569</v>
      </c>
      <c r="G1289">
        <v>0.42399999999999999</v>
      </c>
      <c r="H1289">
        <v>3.6499999999999998E-2</v>
      </c>
      <c r="I1289">
        <v>312.20170000000002</v>
      </c>
    </row>
    <row r="1290" spans="1:9" x14ac:dyDescent="0.3">
      <c r="A1290" t="s">
        <v>9</v>
      </c>
      <c r="B1290" t="s">
        <v>1388</v>
      </c>
      <c r="C1290">
        <v>4</v>
      </c>
      <c r="D1290">
        <v>3.8399999999999997E-2</v>
      </c>
      <c r="E1290">
        <v>8.6527151892322891</v>
      </c>
      <c r="F1290">
        <v>961.14267145814426</v>
      </c>
      <c r="G1290">
        <v>0.42399999999999999</v>
      </c>
      <c r="H1290">
        <v>4.1300000000000003E-2</v>
      </c>
      <c r="I1290">
        <v>312.40210000000002</v>
      </c>
    </row>
    <row r="1291" spans="1:9" x14ac:dyDescent="0.3">
      <c r="A1291" t="s">
        <v>9</v>
      </c>
      <c r="B1291" t="s">
        <v>1389</v>
      </c>
      <c r="C1291">
        <v>4</v>
      </c>
      <c r="D1291">
        <v>4.2500000000000003E-2</v>
      </c>
      <c r="E1291">
        <v>8.9465841699753881</v>
      </c>
      <c r="F1291">
        <v>989.03083773066442</v>
      </c>
      <c r="G1291">
        <v>0.42399999999999999</v>
      </c>
      <c r="H1291">
        <v>4.58E-2</v>
      </c>
      <c r="I1291">
        <v>312.60219999999998</v>
      </c>
    </row>
    <row r="1292" spans="1:9" x14ac:dyDescent="0.3">
      <c r="A1292" t="s">
        <v>9</v>
      </c>
      <c r="B1292" t="s">
        <v>1390</v>
      </c>
      <c r="C1292">
        <v>4</v>
      </c>
      <c r="D1292">
        <v>4.7500000000000001E-2</v>
      </c>
      <c r="E1292">
        <v>9.2157133529095052</v>
      </c>
      <c r="F1292">
        <v>1014.571197191112</v>
      </c>
      <c r="G1292">
        <v>0.42399999999999999</v>
      </c>
      <c r="H1292">
        <v>0.05</v>
      </c>
      <c r="I1292">
        <v>312.80079999999998</v>
      </c>
    </row>
    <row r="1293" spans="1:9" x14ac:dyDescent="0.3">
      <c r="A1293" t="s">
        <v>9</v>
      </c>
      <c r="B1293" t="s">
        <v>1391</v>
      </c>
      <c r="C1293">
        <v>4</v>
      </c>
      <c r="D1293">
        <v>5.2299999999999999E-2</v>
      </c>
      <c r="E1293">
        <v>9.4583413730967933</v>
      </c>
      <c r="F1293">
        <v>1037.5965963068861</v>
      </c>
      <c r="G1293">
        <v>0.42399999999999999</v>
      </c>
      <c r="H1293">
        <v>5.3800000000000001E-2</v>
      </c>
      <c r="I1293">
        <v>313.00150000000002</v>
      </c>
    </row>
    <row r="1294" spans="1:9" x14ac:dyDescent="0.3">
      <c r="A1294" t="s">
        <v>9</v>
      </c>
      <c r="B1294" t="s">
        <v>1392</v>
      </c>
      <c r="C1294">
        <v>4</v>
      </c>
      <c r="D1294">
        <v>5.5800000000000002E-2</v>
      </c>
      <c r="E1294">
        <v>9.6643468696766863</v>
      </c>
      <c r="F1294">
        <v>1057.1465179323179</v>
      </c>
      <c r="G1294">
        <v>0.42399999999999999</v>
      </c>
      <c r="H1294">
        <v>5.7000000000000002E-2</v>
      </c>
      <c r="I1294">
        <v>313.20119999999997</v>
      </c>
    </row>
    <row r="1295" spans="1:9" x14ac:dyDescent="0.3">
      <c r="A1295" t="s">
        <v>9</v>
      </c>
      <c r="B1295" t="s">
        <v>1393</v>
      </c>
      <c r="C1295">
        <v>4</v>
      </c>
      <c r="D1295">
        <v>5.8999999999999997E-2</v>
      </c>
      <c r="E1295">
        <v>9.8308603261516954</v>
      </c>
      <c r="F1295">
        <v>1072.948644951796</v>
      </c>
      <c r="G1295">
        <v>0.42399999999999999</v>
      </c>
      <c r="H1295">
        <v>5.96E-2</v>
      </c>
      <c r="I1295">
        <v>313.40190000000001</v>
      </c>
    </row>
    <row r="1296" spans="1:9" x14ac:dyDescent="0.3">
      <c r="A1296" t="s">
        <v>9</v>
      </c>
      <c r="B1296" t="s">
        <v>1394</v>
      </c>
      <c r="C1296">
        <v>4</v>
      </c>
      <c r="D1296">
        <v>6.1800000000000001E-2</v>
      </c>
      <c r="E1296">
        <v>9.9518982106646146</v>
      </c>
      <c r="F1296">
        <v>1084.4351401920719</v>
      </c>
      <c r="G1296">
        <v>0.42399999999999999</v>
      </c>
      <c r="H1296">
        <v>6.1499999999999999E-2</v>
      </c>
      <c r="I1296">
        <v>313.60140000000001</v>
      </c>
    </row>
    <row r="1297" spans="1:9" x14ac:dyDescent="0.3">
      <c r="A1297" t="s">
        <v>9</v>
      </c>
      <c r="B1297" t="s">
        <v>1395</v>
      </c>
      <c r="C1297">
        <v>4</v>
      </c>
      <c r="D1297">
        <v>6.4899999999999999E-2</v>
      </c>
      <c r="E1297">
        <v>10.02632601605705</v>
      </c>
      <c r="F1297">
        <v>1091.498338923815</v>
      </c>
      <c r="G1297">
        <v>0.42399999999999999</v>
      </c>
      <c r="H1297">
        <v>6.2600000000000003E-2</v>
      </c>
      <c r="I1297">
        <v>313.80340000000001</v>
      </c>
    </row>
    <row r="1298" spans="1:9" x14ac:dyDescent="0.3">
      <c r="A1298" t="s">
        <v>9</v>
      </c>
      <c r="B1298" t="s">
        <v>1396</v>
      </c>
      <c r="C1298">
        <v>4</v>
      </c>
      <c r="D1298">
        <v>6.6100000000000006E-2</v>
      </c>
      <c r="E1298">
        <v>10.050436117791341</v>
      </c>
      <c r="F1298">
        <v>1093.7863875783989</v>
      </c>
      <c r="G1298">
        <v>0.42399999999999999</v>
      </c>
      <c r="H1298">
        <v>6.3E-2</v>
      </c>
      <c r="I1298">
        <v>314.00279999999998</v>
      </c>
    </row>
    <row r="1299" spans="1:9" x14ac:dyDescent="0.3">
      <c r="A1299" t="s">
        <v>9</v>
      </c>
      <c r="B1299" t="s">
        <v>1397</v>
      </c>
      <c r="C1299">
        <v>4</v>
      </c>
      <c r="D1299">
        <v>6.6000000000000003E-2</v>
      </c>
      <c r="E1299">
        <v>10.02526043892615</v>
      </c>
      <c r="F1299">
        <v>982.35427290791699</v>
      </c>
      <c r="G1299">
        <v>0.42399999999999999</v>
      </c>
      <c r="H1299">
        <v>6.2600000000000003E-2</v>
      </c>
      <c r="I1299">
        <v>314.20089999999999</v>
      </c>
    </row>
    <row r="1300" spans="1:9" x14ac:dyDescent="0.3">
      <c r="A1300" t="s">
        <v>9</v>
      </c>
      <c r="B1300" t="s">
        <v>1398</v>
      </c>
      <c r="C1300">
        <v>4</v>
      </c>
      <c r="D1300">
        <v>6.3799999999999996E-2</v>
      </c>
      <c r="E1300">
        <v>9.9501311691362773</v>
      </c>
      <c r="F1300">
        <v>975.35222496350104</v>
      </c>
      <c r="G1300">
        <v>0.42399999999999999</v>
      </c>
      <c r="H1300">
        <v>6.1400000000000003E-2</v>
      </c>
      <c r="I1300">
        <v>314.40219999999999</v>
      </c>
    </row>
    <row r="1301" spans="1:9" x14ac:dyDescent="0.3">
      <c r="A1301" t="s">
        <v>9</v>
      </c>
      <c r="B1301" t="s">
        <v>1399</v>
      </c>
      <c r="C1301">
        <v>4</v>
      </c>
      <c r="D1301">
        <v>6.2E-2</v>
      </c>
      <c r="E1301">
        <v>9.8269134738715547</v>
      </c>
      <c r="F1301">
        <v>963.86833576482888</v>
      </c>
      <c r="G1301">
        <v>0.42399999999999999</v>
      </c>
      <c r="H1301">
        <v>5.9499999999999997E-2</v>
      </c>
      <c r="I1301">
        <v>314.6035</v>
      </c>
    </row>
    <row r="1302" spans="1:9" x14ac:dyDescent="0.3">
      <c r="A1302" t="s">
        <v>9</v>
      </c>
      <c r="B1302" t="s">
        <v>1400</v>
      </c>
      <c r="C1302">
        <v>4</v>
      </c>
      <c r="D1302">
        <v>6.0900000000000003E-2</v>
      </c>
      <c r="E1302">
        <v>9.660530984448787</v>
      </c>
      <c r="F1302">
        <v>948.36148775062702</v>
      </c>
      <c r="G1302">
        <v>0.42399999999999999</v>
      </c>
      <c r="H1302">
        <v>5.6899999999999999E-2</v>
      </c>
      <c r="I1302">
        <v>314.80290000000002</v>
      </c>
    </row>
    <row r="1303" spans="1:9" x14ac:dyDescent="0.3">
      <c r="A1303" t="s">
        <v>9</v>
      </c>
      <c r="B1303" t="s">
        <v>1401</v>
      </c>
      <c r="C1303">
        <v>4</v>
      </c>
      <c r="D1303">
        <v>5.8900000000000001E-2</v>
      </c>
      <c r="E1303">
        <v>9.4529855099605342</v>
      </c>
      <c r="F1303">
        <v>929.0182495283218</v>
      </c>
      <c r="G1303">
        <v>0.42399999999999999</v>
      </c>
      <c r="H1303">
        <v>5.3699999999999998E-2</v>
      </c>
      <c r="I1303">
        <v>315.00319999999999</v>
      </c>
    </row>
    <row r="1304" spans="1:9" x14ac:dyDescent="0.3">
      <c r="A1304" t="s">
        <v>9</v>
      </c>
      <c r="B1304" t="s">
        <v>1402</v>
      </c>
      <c r="C1304">
        <v>4</v>
      </c>
      <c r="D1304">
        <v>5.5599999999999997E-2</v>
      </c>
      <c r="E1304">
        <v>9.2097095475148052</v>
      </c>
      <c r="F1304">
        <v>906.34492982837992</v>
      </c>
      <c r="G1304">
        <v>0.42399999999999999</v>
      </c>
      <c r="H1304">
        <v>4.99E-2</v>
      </c>
      <c r="I1304">
        <v>315.20389999999998</v>
      </c>
    </row>
    <row r="1305" spans="1:9" x14ac:dyDescent="0.3">
      <c r="A1305" t="s">
        <v>9</v>
      </c>
      <c r="B1305" t="s">
        <v>1403</v>
      </c>
      <c r="C1305">
        <v>4</v>
      </c>
      <c r="D1305">
        <v>5.11E-2</v>
      </c>
      <c r="E1305">
        <v>8.9400054070572423</v>
      </c>
      <c r="F1305">
        <v>881.20850393773503</v>
      </c>
      <c r="G1305">
        <v>0.42399999999999999</v>
      </c>
      <c r="H1305">
        <v>4.5699999999999998E-2</v>
      </c>
      <c r="I1305">
        <v>315.4024</v>
      </c>
    </row>
    <row r="1306" spans="1:9" x14ac:dyDescent="0.3">
      <c r="A1306" t="s">
        <v>9</v>
      </c>
      <c r="B1306" t="s">
        <v>1404</v>
      </c>
      <c r="C1306">
        <v>4</v>
      </c>
      <c r="D1306">
        <v>4.6300000000000001E-2</v>
      </c>
      <c r="E1306">
        <v>8.6474298780065251</v>
      </c>
      <c r="F1306">
        <v>853.94046463020811</v>
      </c>
      <c r="G1306">
        <v>0.42399999999999999</v>
      </c>
      <c r="H1306">
        <v>4.1200000000000001E-2</v>
      </c>
      <c r="I1306">
        <v>315.60140000000001</v>
      </c>
    </row>
    <row r="1307" spans="1:9" x14ac:dyDescent="0.3">
      <c r="A1307" t="s">
        <v>9</v>
      </c>
      <c r="B1307" t="s">
        <v>1405</v>
      </c>
      <c r="C1307">
        <v>4</v>
      </c>
      <c r="D1307">
        <v>4.1599999999999998E-2</v>
      </c>
      <c r="E1307">
        <v>8.3364001587127436</v>
      </c>
      <c r="F1307">
        <v>824.95249479202778</v>
      </c>
      <c r="G1307">
        <v>0.42399999999999999</v>
      </c>
      <c r="H1307">
        <v>3.6400000000000002E-2</v>
      </c>
      <c r="I1307">
        <v>315.80239999999998</v>
      </c>
    </row>
    <row r="1308" spans="1:9" x14ac:dyDescent="0.3">
      <c r="A1308" t="s">
        <v>9</v>
      </c>
      <c r="B1308" t="s">
        <v>1406</v>
      </c>
      <c r="C1308">
        <v>4</v>
      </c>
      <c r="D1308">
        <v>3.6499999999999998E-2</v>
      </c>
      <c r="E1308">
        <v>8.0199278055422134</v>
      </c>
      <c r="F1308">
        <v>795.45727147653429</v>
      </c>
      <c r="G1308">
        <v>0.42399999999999999</v>
      </c>
      <c r="H1308">
        <v>3.15E-2</v>
      </c>
      <c r="I1308">
        <v>316.00200000000001</v>
      </c>
    </row>
    <row r="1309" spans="1:9" x14ac:dyDescent="0.3">
      <c r="A1309" t="s">
        <v>9</v>
      </c>
      <c r="B1309" t="s">
        <v>1407</v>
      </c>
      <c r="C1309">
        <v>4</v>
      </c>
      <c r="D1309">
        <v>3.1800000000000002E-2</v>
      </c>
      <c r="E1309">
        <v>7.7023420296922849</v>
      </c>
      <c r="F1309">
        <v>765.85827716732092</v>
      </c>
      <c r="G1309">
        <v>0.42399999999999999</v>
      </c>
      <c r="H1309">
        <v>2.6499999999999999E-2</v>
      </c>
      <c r="I1309">
        <v>316.20229999999998</v>
      </c>
    </row>
    <row r="1310" spans="1:9" x14ac:dyDescent="0.3">
      <c r="A1310" t="s">
        <v>9</v>
      </c>
      <c r="B1310" t="s">
        <v>1408</v>
      </c>
      <c r="C1310">
        <v>4</v>
      </c>
      <c r="D1310">
        <v>2.64E-2</v>
      </c>
      <c r="E1310">
        <v>7.3922951714964142</v>
      </c>
      <c r="F1310">
        <v>736.96190998346583</v>
      </c>
      <c r="G1310">
        <v>0.42399999999999999</v>
      </c>
      <c r="H1310">
        <v>2.1700000000000001E-2</v>
      </c>
      <c r="I1310">
        <v>316.40280000000001</v>
      </c>
    </row>
    <row r="1311" spans="1:9" x14ac:dyDescent="0.3">
      <c r="A1311" t="s">
        <v>9</v>
      </c>
      <c r="B1311" t="s">
        <v>1409</v>
      </c>
      <c r="C1311">
        <v>4</v>
      </c>
      <c r="D1311">
        <v>2.1499999999999998E-2</v>
      </c>
      <c r="E1311">
        <v>7.0986106799445494</v>
      </c>
      <c r="F1311">
        <v>709.59051537083201</v>
      </c>
      <c r="G1311">
        <v>0.42399999999999999</v>
      </c>
      <c r="H1311">
        <v>1.7100000000000001E-2</v>
      </c>
      <c r="I1311">
        <v>316.60289999999998</v>
      </c>
    </row>
    <row r="1312" spans="1:9" x14ac:dyDescent="0.3">
      <c r="A1312" t="s">
        <v>9</v>
      </c>
      <c r="B1312" t="s">
        <v>1410</v>
      </c>
      <c r="C1312">
        <v>4</v>
      </c>
      <c r="D1312">
        <v>1.6799999999999999E-2</v>
      </c>
      <c r="E1312">
        <v>6.8282212939195492</v>
      </c>
      <c r="F1312">
        <v>684.39022459330204</v>
      </c>
      <c r="G1312">
        <v>0.42399999999999999</v>
      </c>
      <c r="H1312">
        <v>1.29E-2</v>
      </c>
      <c r="I1312">
        <v>316.80250000000001</v>
      </c>
    </row>
    <row r="1313" spans="1:9" x14ac:dyDescent="0.3">
      <c r="A1313" t="s">
        <v>9</v>
      </c>
      <c r="B1313" t="s">
        <v>1411</v>
      </c>
      <c r="C1313">
        <v>4</v>
      </c>
      <c r="D1313">
        <v>1.18E-2</v>
      </c>
      <c r="E1313">
        <v>6.584743407040337</v>
      </c>
      <c r="F1313">
        <v>661.6980855361594</v>
      </c>
      <c r="G1313">
        <v>0.42399999999999999</v>
      </c>
      <c r="H1313">
        <v>9.1999999999999998E-3</v>
      </c>
      <c r="I1313">
        <v>317.00420000000003</v>
      </c>
    </row>
    <row r="1314" spans="1:9" x14ac:dyDescent="0.3">
      <c r="A1314" t="s">
        <v>9</v>
      </c>
      <c r="B1314" t="s">
        <v>1412</v>
      </c>
      <c r="C1314">
        <v>4</v>
      </c>
      <c r="D1314">
        <v>7.3000000000000001E-3</v>
      </c>
      <c r="E1314">
        <v>6.3818169336944379</v>
      </c>
      <c r="F1314">
        <v>642.78533822032159</v>
      </c>
      <c r="G1314">
        <v>0.42399999999999999</v>
      </c>
      <c r="H1314">
        <v>6.0000000000000001E-3</v>
      </c>
      <c r="I1314">
        <v>317.20119999999997</v>
      </c>
    </row>
    <row r="1315" spans="1:9" x14ac:dyDescent="0.3">
      <c r="A1315" t="s">
        <v>9</v>
      </c>
      <c r="B1315" t="s">
        <v>1413</v>
      </c>
      <c r="C1315">
        <v>4</v>
      </c>
      <c r="D1315">
        <v>3.5999999999999999E-3</v>
      </c>
      <c r="E1315">
        <v>6.2149842095509076</v>
      </c>
      <c r="F1315">
        <v>627.23652833014467</v>
      </c>
      <c r="G1315">
        <v>0.42399999999999999</v>
      </c>
      <c r="H1315">
        <v>3.3999999999999998E-3</v>
      </c>
      <c r="I1315">
        <v>317.4024</v>
      </c>
    </row>
    <row r="1316" spans="1:9" x14ac:dyDescent="0.3">
      <c r="A1316" t="s">
        <v>9</v>
      </c>
      <c r="B1316" t="s">
        <v>1414</v>
      </c>
      <c r="C1316">
        <v>4</v>
      </c>
      <c r="D1316">
        <v>8.9999999999999998E-4</v>
      </c>
      <c r="E1316">
        <v>6.0943849632952984</v>
      </c>
      <c r="F1316">
        <v>615.99667857912186</v>
      </c>
      <c r="G1316">
        <v>0.42399999999999999</v>
      </c>
      <c r="H1316">
        <v>1.5E-3</v>
      </c>
      <c r="I1316">
        <v>317.60120000000001</v>
      </c>
    </row>
    <row r="1317" spans="1:9" x14ac:dyDescent="0.3">
      <c r="A1317" t="s">
        <v>9</v>
      </c>
      <c r="B1317" t="s">
        <v>1415</v>
      </c>
      <c r="C1317">
        <v>4</v>
      </c>
      <c r="D1317">
        <v>-1.1000000000000001E-3</v>
      </c>
      <c r="E1317">
        <v>6.0197312823121791</v>
      </c>
      <c r="F1317">
        <v>609.03895551149515</v>
      </c>
      <c r="G1317">
        <v>0.42399999999999999</v>
      </c>
      <c r="H1317">
        <v>4.0000000000000002E-4</v>
      </c>
      <c r="I1317">
        <v>317.8039</v>
      </c>
    </row>
    <row r="1318" spans="1:9" x14ac:dyDescent="0.3">
      <c r="A1318" t="s">
        <v>9</v>
      </c>
      <c r="B1318" t="s">
        <v>1416</v>
      </c>
      <c r="C1318">
        <v>4</v>
      </c>
      <c r="D1318">
        <v>-2.7000000000000001E-3</v>
      </c>
      <c r="E1318">
        <v>5.9957397674768647</v>
      </c>
      <c r="F1318">
        <v>606.80294632884386</v>
      </c>
      <c r="G1318">
        <v>0.42399999999999999</v>
      </c>
      <c r="H1318">
        <v>0</v>
      </c>
      <c r="I1318">
        <v>318.00319999999999</v>
      </c>
    </row>
    <row r="1319" spans="1:9" x14ac:dyDescent="0.3">
      <c r="A1319" t="s">
        <v>9</v>
      </c>
      <c r="B1319" t="s">
        <v>1417</v>
      </c>
      <c r="C1319">
        <v>4</v>
      </c>
      <c r="D1319">
        <v>-3.0999999999999999E-3</v>
      </c>
      <c r="E1319">
        <v>6.0213562144520703</v>
      </c>
      <c r="F1319">
        <v>711.42670475150146</v>
      </c>
      <c r="G1319">
        <v>0.42399999999999999</v>
      </c>
      <c r="H1319">
        <v>4.0000000000000002E-4</v>
      </c>
      <c r="I1319">
        <v>318.20260000000002</v>
      </c>
    </row>
    <row r="1320" spans="1:9" x14ac:dyDescent="0.3">
      <c r="A1320" t="s">
        <v>9</v>
      </c>
      <c r="B1320" t="s">
        <v>1418</v>
      </c>
      <c r="C1320">
        <v>4</v>
      </c>
      <c r="D1320">
        <v>-5.0000000000000001E-4</v>
      </c>
      <c r="E1320">
        <v>6.0955208490542434</v>
      </c>
      <c r="F1320">
        <v>718.46492857524777</v>
      </c>
      <c r="G1320">
        <v>0.42399999999999999</v>
      </c>
      <c r="H1320">
        <v>1.6000000000000001E-3</v>
      </c>
      <c r="I1320">
        <v>318.40109999999999</v>
      </c>
    </row>
    <row r="1321" spans="1:9" x14ac:dyDescent="0.3">
      <c r="A1321" t="s">
        <v>9</v>
      </c>
      <c r="B1321" t="s">
        <v>1419</v>
      </c>
      <c r="C1321">
        <v>4</v>
      </c>
      <c r="D1321">
        <v>2.0999999999999999E-3</v>
      </c>
      <c r="E1321">
        <v>6.2188597800732044</v>
      </c>
      <c r="F1321">
        <v>730.16979312894705</v>
      </c>
      <c r="G1321">
        <v>0.42399999999999999</v>
      </c>
      <c r="H1321">
        <v>3.5000000000000001E-3</v>
      </c>
      <c r="I1321">
        <v>318.60300000000001</v>
      </c>
    </row>
    <row r="1322" spans="1:9" x14ac:dyDescent="0.3">
      <c r="A1322" t="s">
        <v>9</v>
      </c>
      <c r="B1322" t="s">
        <v>1420</v>
      </c>
      <c r="C1322">
        <v>4</v>
      </c>
      <c r="D1322">
        <v>3.8999999999999998E-3</v>
      </c>
      <c r="E1322">
        <v>6.3842690180548374</v>
      </c>
      <c r="F1322">
        <v>745.86712981340406</v>
      </c>
      <c r="G1322">
        <v>0.42399999999999999</v>
      </c>
      <c r="H1322">
        <v>6.0000000000000001E-3</v>
      </c>
      <c r="I1322">
        <v>318.8014</v>
      </c>
    </row>
    <row r="1323" spans="1:9" x14ac:dyDescent="0.3">
      <c r="A1323" t="s">
        <v>9</v>
      </c>
      <c r="B1323" t="s">
        <v>1421</v>
      </c>
      <c r="C1323">
        <v>4</v>
      </c>
      <c r="D1323">
        <v>7.1999999999999998E-3</v>
      </c>
      <c r="E1323">
        <v>6.5921274348679111</v>
      </c>
      <c r="F1323">
        <v>765.59289356896477</v>
      </c>
      <c r="G1323">
        <v>0.42399999999999999</v>
      </c>
      <c r="H1323">
        <v>9.2999999999999992E-3</v>
      </c>
      <c r="I1323">
        <v>319.00229999999999</v>
      </c>
    </row>
    <row r="1324" spans="1:9" x14ac:dyDescent="0.3">
      <c r="A1324" t="s">
        <v>9</v>
      </c>
      <c r="B1324" t="s">
        <v>1422</v>
      </c>
      <c r="C1324">
        <v>4</v>
      </c>
      <c r="D1324">
        <v>1.0200000000000001E-2</v>
      </c>
      <c r="E1324">
        <v>6.8350502322904241</v>
      </c>
      <c r="F1324">
        <v>788.64626704436125</v>
      </c>
      <c r="G1324">
        <v>0.42399999999999999</v>
      </c>
      <c r="H1324">
        <v>1.2999999999999999E-2</v>
      </c>
      <c r="I1324">
        <v>319.20280000000002</v>
      </c>
    </row>
    <row r="1325" spans="1:9" x14ac:dyDescent="0.3">
      <c r="A1325" t="s">
        <v>9</v>
      </c>
      <c r="B1325" t="s">
        <v>1423</v>
      </c>
      <c r="C1325">
        <v>4</v>
      </c>
      <c r="D1325">
        <v>1.41E-2</v>
      </c>
      <c r="E1325">
        <v>7.1059922749476243</v>
      </c>
      <c r="F1325">
        <v>814.35866689252964</v>
      </c>
      <c r="G1325">
        <v>0.42399999999999999</v>
      </c>
      <c r="H1325">
        <v>1.7299999999999999E-2</v>
      </c>
      <c r="I1325">
        <v>319.40230000000003</v>
      </c>
    </row>
    <row r="1326" spans="1:9" x14ac:dyDescent="0.3">
      <c r="A1326" t="s">
        <v>9</v>
      </c>
      <c r="B1326" t="s">
        <v>1424</v>
      </c>
      <c r="C1326">
        <v>4</v>
      </c>
      <c r="D1326">
        <v>1.8200000000000001E-2</v>
      </c>
      <c r="E1326">
        <v>7.3987620244875716</v>
      </c>
      <c r="F1326">
        <v>842.14251612387068</v>
      </c>
      <c r="G1326">
        <v>0.42399999999999999</v>
      </c>
      <c r="H1326">
        <v>2.18E-2</v>
      </c>
      <c r="I1326">
        <v>319.60140000000001</v>
      </c>
    </row>
    <row r="1327" spans="1:9" x14ac:dyDescent="0.3">
      <c r="A1327" t="s">
        <v>9</v>
      </c>
      <c r="B1327" t="s">
        <v>1425</v>
      </c>
      <c r="C1327">
        <v>4</v>
      </c>
      <c r="D1327">
        <v>2.2700000000000001E-2</v>
      </c>
      <c r="E1327">
        <v>7.7090890629716657</v>
      </c>
      <c r="F1327">
        <v>871.59255207601109</v>
      </c>
      <c r="G1327">
        <v>0.42399999999999999</v>
      </c>
      <c r="H1327">
        <v>2.6599999999999999E-2</v>
      </c>
      <c r="I1327">
        <v>319.80200000000002</v>
      </c>
    </row>
    <row r="1328" spans="1:9" x14ac:dyDescent="0.3">
      <c r="A1328" t="s">
        <v>9</v>
      </c>
      <c r="B1328" t="s">
        <v>1426</v>
      </c>
      <c r="C1328">
        <v>4</v>
      </c>
      <c r="D1328">
        <v>2.7699999999999999E-2</v>
      </c>
      <c r="E1328">
        <v>8.0267595822083369</v>
      </c>
      <c r="F1328">
        <v>901.73948435157126</v>
      </c>
      <c r="G1328">
        <v>0.42399999999999999</v>
      </c>
      <c r="H1328">
        <v>3.1600000000000003E-2</v>
      </c>
      <c r="I1328">
        <v>320.00229999999999</v>
      </c>
    </row>
    <row r="1329" spans="1:9" x14ac:dyDescent="0.3">
      <c r="A1329" t="s">
        <v>9</v>
      </c>
      <c r="B1329" t="s">
        <v>1427</v>
      </c>
      <c r="C1329">
        <v>4</v>
      </c>
      <c r="D1329">
        <v>3.2599999999999997E-2</v>
      </c>
      <c r="E1329">
        <v>8.343148002933626</v>
      </c>
      <c r="F1329">
        <v>931.76474547840121</v>
      </c>
      <c r="G1329">
        <v>0.42399999999999999</v>
      </c>
      <c r="H1329">
        <v>3.6499999999999998E-2</v>
      </c>
      <c r="I1329">
        <v>320.20179999999999</v>
      </c>
    </row>
    <row r="1330" spans="1:9" x14ac:dyDescent="0.3">
      <c r="A1330" t="s">
        <v>9</v>
      </c>
      <c r="B1330" t="s">
        <v>1428</v>
      </c>
      <c r="C1330">
        <v>4</v>
      </c>
      <c r="D1330">
        <v>3.78E-2</v>
      </c>
      <c r="E1330">
        <v>8.6532787935747386</v>
      </c>
      <c r="F1330">
        <v>961.19615751024276</v>
      </c>
      <c r="G1330">
        <v>0.42399999999999999</v>
      </c>
      <c r="H1330">
        <v>4.1300000000000003E-2</v>
      </c>
      <c r="I1330">
        <v>320.4024</v>
      </c>
    </row>
    <row r="1331" spans="1:9" x14ac:dyDescent="0.3">
      <c r="A1331" t="s">
        <v>9</v>
      </c>
      <c r="B1331" t="s">
        <v>1429</v>
      </c>
      <c r="C1331">
        <v>4</v>
      </c>
      <c r="D1331">
        <v>4.2799999999999998E-2</v>
      </c>
      <c r="E1331">
        <v>8.9454869661259906</v>
      </c>
      <c r="F1331">
        <v>988.9267130853566</v>
      </c>
      <c r="G1331">
        <v>0.42399999999999999</v>
      </c>
      <c r="H1331">
        <v>4.58E-2</v>
      </c>
      <c r="I1331">
        <v>320.60140000000001</v>
      </c>
    </row>
    <row r="1332" spans="1:9" x14ac:dyDescent="0.3">
      <c r="A1332" t="s">
        <v>9</v>
      </c>
      <c r="B1332" t="s">
        <v>1430</v>
      </c>
      <c r="C1332">
        <v>4</v>
      </c>
      <c r="D1332">
        <v>4.7600000000000003E-2</v>
      </c>
      <c r="E1332">
        <v>9.2199659301351158</v>
      </c>
      <c r="F1332">
        <v>1014.974766769823</v>
      </c>
      <c r="G1332">
        <v>0.42399999999999999</v>
      </c>
      <c r="H1332">
        <v>5.0099999999999999E-2</v>
      </c>
      <c r="I1332">
        <v>320.80399999999997</v>
      </c>
    </row>
    <row r="1333" spans="1:9" x14ac:dyDescent="0.3">
      <c r="A1333" t="s">
        <v>9</v>
      </c>
      <c r="B1333" t="s">
        <v>1431</v>
      </c>
      <c r="C1333">
        <v>4</v>
      </c>
      <c r="D1333">
        <v>5.2200000000000003E-2</v>
      </c>
      <c r="E1333">
        <v>9.461705563909236</v>
      </c>
      <c r="F1333">
        <v>1037.915858014986</v>
      </c>
      <c r="G1333">
        <v>0.42399999999999999</v>
      </c>
      <c r="H1333">
        <v>5.3900000000000003E-2</v>
      </c>
      <c r="I1333">
        <v>321.00450000000001</v>
      </c>
    </row>
    <row r="1334" spans="1:9" x14ac:dyDescent="0.3">
      <c r="A1334" t="s">
        <v>9</v>
      </c>
      <c r="B1334" t="s">
        <v>1432</v>
      </c>
      <c r="C1334">
        <v>4</v>
      </c>
      <c r="D1334">
        <v>5.6000000000000001E-2</v>
      </c>
      <c r="E1334">
        <v>9.6660372772332828</v>
      </c>
      <c r="F1334">
        <v>1057.306937609439</v>
      </c>
      <c r="G1334">
        <v>0.42399999999999999</v>
      </c>
      <c r="H1334">
        <v>5.7000000000000002E-2</v>
      </c>
      <c r="I1334">
        <v>321.20299999999997</v>
      </c>
    </row>
    <row r="1335" spans="1:9" x14ac:dyDescent="0.3">
      <c r="A1335" t="s">
        <v>9</v>
      </c>
      <c r="B1335" t="s">
        <v>1433</v>
      </c>
      <c r="C1335">
        <v>4</v>
      </c>
      <c r="D1335">
        <v>5.8999999999999997E-2</v>
      </c>
      <c r="E1335">
        <v>9.8311003648356721</v>
      </c>
      <c r="F1335">
        <v>1072.971424622905</v>
      </c>
      <c r="G1335">
        <v>0.42399999999999999</v>
      </c>
      <c r="H1335">
        <v>5.96E-2</v>
      </c>
      <c r="I1335">
        <v>321.40230000000003</v>
      </c>
    </row>
    <row r="1336" spans="1:9" x14ac:dyDescent="0.3">
      <c r="A1336" t="s">
        <v>9</v>
      </c>
      <c r="B1336" t="s">
        <v>1434</v>
      </c>
      <c r="C1336">
        <v>4</v>
      </c>
      <c r="D1336">
        <v>6.1699999999999998E-2</v>
      </c>
      <c r="E1336">
        <v>9.9523284151303244</v>
      </c>
      <c r="F1336">
        <v>1084.4759665958679</v>
      </c>
      <c r="G1336">
        <v>0.42399999999999999</v>
      </c>
      <c r="H1336">
        <v>6.1499999999999999E-2</v>
      </c>
      <c r="I1336">
        <v>321.60230000000001</v>
      </c>
    </row>
    <row r="1337" spans="1:9" x14ac:dyDescent="0.3">
      <c r="A1337" t="s">
        <v>9</v>
      </c>
      <c r="B1337" t="s">
        <v>1435</v>
      </c>
      <c r="C1337">
        <v>4</v>
      </c>
      <c r="D1337">
        <v>6.4899999999999999E-2</v>
      </c>
      <c r="E1337">
        <v>10.026112738442571</v>
      </c>
      <c r="F1337">
        <v>1091.4780988781999</v>
      </c>
      <c r="G1337">
        <v>0.42399999999999999</v>
      </c>
      <c r="H1337">
        <v>6.2600000000000003E-2</v>
      </c>
      <c r="I1337">
        <v>321.80259999999998</v>
      </c>
    </row>
    <row r="1338" spans="1:9" x14ac:dyDescent="0.3">
      <c r="A1338" t="s">
        <v>9</v>
      </c>
      <c r="B1338" t="s">
        <v>1436</v>
      </c>
      <c r="C1338">
        <v>4</v>
      </c>
      <c r="D1338">
        <v>6.6699999999999995E-2</v>
      </c>
      <c r="E1338">
        <v>10.05043936155734</v>
      </c>
      <c r="F1338">
        <v>1093.7866954117919</v>
      </c>
      <c r="G1338">
        <v>0.42399999999999999</v>
      </c>
      <c r="H1338">
        <v>6.3E-2</v>
      </c>
      <c r="I1338">
        <v>322.00139999999999</v>
      </c>
    </row>
    <row r="1339" spans="1:9" x14ac:dyDescent="0.3">
      <c r="A1339" t="s">
        <v>9</v>
      </c>
      <c r="B1339" t="s">
        <v>1437</v>
      </c>
      <c r="C1339">
        <v>4</v>
      </c>
      <c r="D1339">
        <v>6.6799999999999998E-2</v>
      </c>
      <c r="E1339">
        <v>10.02426825200099</v>
      </c>
      <c r="F1339">
        <v>982.26180108649226</v>
      </c>
      <c r="G1339">
        <v>0.42399999999999999</v>
      </c>
      <c r="H1339">
        <v>6.2600000000000003E-2</v>
      </c>
      <c r="I1339">
        <v>322.20479999999998</v>
      </c>
    </row>
    <row r="1340" spans="1:9" x14ac:dyDescent="0.3">
      <c r="A1340" t="s">
        <v>9</v>
      </c>
      <c r="B1340" t="s">
        <v>1438</v>
      </c>
      <c r="C1340">
        <v>4</v>
      </c>
      <c r="D1340">
        <v>6.4600000000000005E-2</v>
      </c>
      <c r="E1340">
        <v>9.9492821133858538</v>
      </c>
      <c r="F1340">
        <v>975.27309296756164</v>
      </c>
      <c r="G1340">
        <v>0.42399999999999999</v>
      </c>
      <c r="H1340">
        <v>6.1400000000000003E-2</v>
      </c>
      <c r="I1340">
        <v>322.40390000000002</v>
      </c>
    </row>
    <row r="1341" spans="1:9" x14ac:dyDescent="0.3">
      <c r="A1341" t="s">
        <v>9</v>
      </c>
      <c r="B1341" t="s">
        <v>1439</v>
      </c>
      <c r="C1341">
        <v>4</v>
      </c>
      <c r="D1341">
        <v>6.2199999999999998E-2</v>
      </c>
      <c r="E1341">
        <v>5.9957334838115024</v>
      </c>
      <c r="F1341">
        <v>606.80236069123202</v>
      </c>
      <c r="G1341">
        <v>0.42399999999999999</v>
      </c>
      <c r="H1341">
        <v>0</v>
      </c>
      <c r="I1341">
        <v>322.60129999999998</v>
      </c>
    </row>
    <row r="1342" spans="1:9" x14ac:dyDescent="0.3">
      <c r="A1342" t="s">
        <v>9</v>
      </c>
      <c r="B1342" t="s">
        <v>1440</v>
      </c>
      <c r="C1342">
        <v>4</v>
      </c>
      <c r="D1342">
        <v>5.0799999999999998E-2</v>
      </c>
      <c r="E1342">
        <v>5.9957334838115024</v>
      </c>
      <c r="F1342">
        <v>606.80236069123202</v>
      </c>
      <c r="G1342">
        <v>0.42399999999999999</v>
      </c>
      <c r="H1342">
        <v>0</v>
      </c>
      <c r="I1342">
        <v>322.8032</v>
      </c>
    </row>
    <row r="1343" spans="1:9" x14ac:dyDescent="0.3">
      <c r="A1343" t="s">
        <v>9</v>
      </c>
      <c r="B1343" t="s">
        <v>1441</v>
      </c>
      <c r="C1343">
        <v>4</v>
      </c>
      <c r="D1343">
        <v>3.6600000000000001E-2</v>
      </c>
      <c r="E1343">
        <v>5.9957334838115024</v>
      </c>
      <c r="F1343">
        <v>606.80236069123202</v>
      </c>
      <c r="G1343">
        <v>0.42399999999999999</v>
      </c>
      <c r="H1343">
        <v>0</v>
      </c>
      <c r="I1343">
        <v>323.00200000000001</v>
      </c>
    </row>
    <row r="1344" spans="1:9" x14ac:dyDescent="0.3">
      <c r="A1344" t="s">
        <v>9</v>
      </c>
      <c r="B1344" t="s">
        <v>1442</v>
      </c>
      <c r="C1344">
        <v>4</v>
      </c>
      <c r="D1344">
        <v>2.23E-2</v>
      </c>
      <c r="E1344">
        <v>5.9957334838115024</v>
      </c>
      <c r="F1344">
        <v>606.80236069123202</v>
      </c>
      <c r="G1344">
        <v>0.42399999999999999</v>
      </c>
      <c r="H1344">
        <v>0</v>
      </c>
      <c r="I1344">
        <v>323.20280000000002</v>
      </c>
    </row>
    <row r="1345" spans="1:9" x14ac:dyDescent="0.3">
      <c r="A1345" t="s">
        <v>9</v>
      </c>
      <c r="B1345" t="s">
        <v>1443</v>
      </c>
      <c r="C1345">
        <v>4</v>
      </c>
      <c r="D1345">
        <v>8.3000000000000001E-3</v>
      </c>
      <c r="E1345">
        <v>5.9957334838115024</v>
      </c>
      <c r="F1345">
        <v>606.80236069123202</v>
      </c>
      <c r="G1345">
        <v>0.42399999999999999</v>
      </c>
      <c r="H1345">
        <v>0</v>
      </c>
      <c r="I1345">
        <v>323.40179999999998</v>
      </c>
    </row>
    <row r="1346" spans="1:9" x14ac:dyDescent="0.3">
      <c r="A1346" t="s">
        <v>9</v>
      </c>
      <c r="B1346" t="s">
        <v>1444</v>
      </c>
      <c r="C1346">
        <v>4</v>
      </c>
      <c r="D1346">
        <v>-5.9999999999999995E-4</v>
      </c>
      <c r="E1346">
        <v>5.9957334838115024</v>
      </c>
      <c r="F1346">
        <v>606.80236069123202</v>
      </c>
      <c r="G1346">
        <v>0.42399999999999999</v>
      </c>
      <c r="H1346">
        <v>0</v>
      </c>
      <c r="I1346">
        <v>323.60329999999999</v>
      </c>
    </row>
    <row r="1347" spans="1:9" x14ac:dyDescent="0.3">
      <c r="A1347" t="s">
        <v>9</v>
      </c>
      <c r="B1347" t="s">
        <v>1445</v>
      </c>
      <c r="C1347">
        <v>4</v>
      </c>
      <c r="D1347">
        <v>-3.0999999999999999E-3</v>
      </c>
      <c r="E1347">
        <v>5.9957334838115024</v>
      </c>
      <c r="F1347">
        <v>606.80236069123202</v>
      </c>
      <c r="G1347">
        <v>0.42399999999999999</v>
      </c>
      <c r="H1347">
        <v>0</v>
      </c>
      <c r="I1347">
        <v>323.80450000000002</v>
      </c>
    </row>
    <row r="1348" spans="1:9" x14ac:dyDescent="0.3">
      <c r="A1348" t="s">
        <v>9</v>
      </c>
      <c r="B1348" t="s">
        <v>1446</v>
      </c>
      <c r="C1348">
        <v>4</v>
      </c>
      <c r="D1348">
        <v>-3.0999999999999999E-3</v>
      </c>
      <c r="E1348">
        <v>5.9957334838115024</v>
      </c>
      <c r="F1348">
        <v>606.80236069123202</v>
      </c>
      <c r="G1348">
        <v>0.42399999999999999</v>
      </c>
      <c r="H1348">
        <v>0</v>
      </c>
      <c r="I1348">
        <v>324.0018</v>
      </c>
    </row>
    <row r="1349" spans="1:9" x14ac:dyDescent="0.3">
      <c r="A1349" t="s">
        <v>9</v>
      </c>
      <c r="B1349" t="s">
        <v>1447</v>
      </c>
      <c r="C1349">
        <v>4</v>
      </c>
      <c r="D1349">
        <v>-3.0999999999999999E-3</v>
      </c>
      <c r="E1349">
        <v>5.9957334838115024</v>
      </c>
      <c r="F1349">
        <v>606.80236069123202</v>
      </c>
      <c r="G1349">
        <v>0.42399999999999999</v>
      </c>
      <c r="H1349">
        <v>0</v>
      </c>
      <c r="I1349">
        <v>324.20229999999998</v>
      </c>
    </row>
    <row r="1350" spans="1:9" x14ac:dyDescent="0.3">
      <c r="A1350" t="s">
        <v>9</v>
      </c>
      <c r="B1350" t="s">
        <v>1448</v>
      </c>
      <c r="C1350">
        <v>4</v>
      </c>
      <c r="D1350">
        <v>-3.0999999999999999E-3</v>
      </c>
      <c r="E1350">
        <v>5.9957334838115024</v>
      </c>
      <c r="F1350">
        <v>606.80236069123202</v>
      </c>
      <c r="G1350">
        <v>0.42399999999999999</v>
      </c>
      <c r="H1350">
        <v>0</v>
      </c>
      <c r="I1350">
        <v>324.40359999999998</v>
      </c>
    </row>
    <row r="1351" spans="1:9" x14ac:dyDescent="0.3">
      <c r="A1351" t="s">
        <v>9</v>
      </c>
      <c r="B1351" t="s">
        <v>1449</v>
      </c>
      <c r="C1351">
        <v>4</v>
      </c>
      <c r="D1351">
        <v>-3.0999999999999999E-3</v>
      </c>
      <c r="E1351">
        <v>5.9957334838115024</v>
      </c>
      <c r="F1351">
        <v>606.80236069123202</v>
      </c>
      <c r="G1351">
        <v>0.42399999999999999</v>
      </c>
      <c r="H1351">
        <v>0</v>
      </c>
      <c r="I1351">
        <v>324.60149999999999</v>
      </c>
    </row>
    <row r="1352" spans="1:9" x14ac:dyDescent="0.3">
      <c r="A1352" t="s">
        <v>9</v>
      </c>
      <c r="B1352" t="s">
        <v>1450</v>
      </c>
      <c r="C1352">
        <v>4</v>
      </c>
      <c r="D1352">
        <v>-3.0999999999999999E-3</v>
      </c>
      <c r="E1352">
        <v>5.9957334838115024</v>
      </c>
      <c r="F1352">
        <v>606.80236069123202</v>
      </c>
      <c r="G1352">
        <v>0.42399999999999999</v>
      </c>
      <c r="H1352">
        <v>0</v>
      </c>
      <c r="I1352">
        <v>324.80290000000002</v>
      </c>
    </row>
    <row r="1353" spans="1:9" x14ac:dyDescent="0.3">
      <c r="A1353" t="s">
        <v>9</v>
      </c>
      <c r="B1353" t="s">
        <v>1451</v>
      </c>
      <c r="C1353">
        <v>4</v>
      </c>
      <c r="D1353">
        <v>-3.0999999999999999E-3</v>
      </c>
      <c r="E1353">
        <v>5.9957334838115024</v>
      </c>
      <c r="F1353">
        <v>606.80236069123202</v>
      </c>
      <c r="G1353">
        <v>0.42399999999999999</v>
      </c>
      <c r="H1353">
        <v>0</v>
      </c>
      <c r="I1353">
        <v>325.00229999999999</v>
      </c>
    </row>
    <row r="1354" spans="1:9" x14ac:dyDescent="0.3">
      <c r="A1354" t="s">
        <v>9</v>
      </c>
      <c r="B1354" t="s">
        <v>1452</v>
      </c>
      <c r="C1354">
        <v>4</v>
      </c>
      <c r="D1354">
        <v>-3.0999999999999999E-3</v>
      </c>
      <c r="E1354">
        <v>5.9957334838115024</v>
      </c>
      <c r="F1354">
        <v>606.80236069123202</v>
      </c>
      <c r="G1354">
        <v>0.42399999999999999</v>
      </c>
      <c r="H1354">
        <v>0</v>
      </c>
      <c r="I1354">
        <v>325.20429999999999</v>
      </c>
    </row>
    <row r="1355" spans="1:9" x14ac:dyDescent="0.3">
      <c r="A1355" t="s">
        <v>9</v>
      </c>
      <c r="B1355" t="s">
        <v>1453</v>
      </c>
      <c r="C1355">
        <v>4</v>
      </c>
      <c r="D1355">
        <v>-3.0999999999999999E-3</v>
      </c>
      <c r="E1355">
        <v>5.9957334838115024</v>
      </c>
      <c r="F1355">
        <v>606.80236069123202</v>
      </c>
      <c r="G1355">
        <v>0.42399999999999999</v>
      </c>
      <c r="H1355">
        <v>0</v>
      </c>
      <c r="I1355">
        <v>325.40219999999999</v>
      </c>
    </row>
    <row r="1356" spans="1:9" x14ac:dyDescent="0.3">
      <c r="A1356" t="s">
        <v>9</v>
      </c>
      <c r="B1356" t="s">
        <v>1454</v>
      </c>
      <c r="C1356">
        <v>4</v>
      </c>
      <c r="D1356">
        <v>-3.0999999999999999E-3</v>
      </c>
      <c r="E1356">
        <v>5.9957334838115024</v>
      </c>
      <c r="F1356">
        <v>606.80236069123202</v>
      </c>
      <c r="G1356">
        <v>0.42399999999999999</v>
      </c>
      <c r="H1356">
        <v>0</v>
      </c>
      <c r="I1356">
        <v>325.60449999999997</v>
      </c>
    </row>
    <row r="1357" spans="1:9" x14ac:dyDescent="0.3">
      <c r="A1357" t="s">
        <v>9</v>
      </c>
      <c r="B1357" t="s">
        <v>1455</v>
      </c>
      <c r="C1357">
        <v>4</v>
      </c>
      <c r="D1357">
        <v>-3.0999999999999999E-3</v>
      </c>
      <c r="E1357">
        <v>5.9957334838115024</v>
      </c>
      <c r="F1357">
        <v>606.80236069123202</v>
      </c>
      <c r="G1357">
        <v>0.42399999999999999</v>
      </c>
      <c r="H1357">
        <v>0</v>
      </c>
      <c r="I1357">
        <v>325.80500000000001</v>
      </c>
    </row>
    <row r="1358" spans="1:9" x14ac:dyDescent="0.3">
      <c r="A1358" t="s">
        <v>9</v>
      </c>
      <c r="B1358" t="s">
        <v>1456</v>
      </c>
      <c r="C1358">
        <v>4</v>
      </c>
      <c r="D1358">
        <v>-3.0999999999999999E-3</v>
      </c>
      <c r="E1358">
        <v>5.9957334838115024</v>
      </c>
      <c r="F1358">
        <v>606.80236069123202</v>
      </c>
      <c r="G1358">
        <v>0.42399999999999999</v>
      </c>
      <c r="H1358">
        <v>0</v>
      </c>
      <c r="I1358">
        <v>326.0043</v>
      </c>
    </row>
    <row r="1359" spans="1:9" x14ac:dyDescent="0.3">
      <c r="A1359" t="s">
        <v>9</v>
      </c>
      <c r="B1359" t="s">
        <v>1457</v>
      </c>
      <c r="C1359">
        <v>4</v>
      </c>
      <c r="D1359">
        <v>-3.0999999999999999E-3</v>
      </c>
      <c r="E1359">
        <v>5.9957334838115024</v>
      </c>
      <c r="F1359">
        <v>606.80236069123202</v>
      </c>
      <c r="G1359">
        <v>0.42399999999999999</v>
      </c>
      <c r="H1359">
        <v>0</v>
      </c>
      <c r="I1359">
        <v>326.20479999999998</v>
      </c>
    </row>
    <row r="1360" spans="1:9" x14ac:dyDescent="0.3">
      <c r="A1360" t="s">
        <v>9</v>
      </c>
      <c r="B1360" t="s">
        <v>1458</v>
      </c>
      <c r="C1360">
        <v>4</v>
      </c>
      <c r="D1360">
        <v>-3.0999999999999999E-3</v>
      </c>
      <c r="E1360">
        <v>5.9957334838115024</v>
      </c>
      <c r="F1360">
        <v>606.80236069123202</v>
      </c>
      <c r="G1360">
        <v>0.42399999999999999</v>
      </c>
      <c r="H1360">
        <v>0</v>
      </c>
      <c r="I1360">
        <v>326.40460000000002</v>
      </c>
    </row>
    <row r="1361" spans="1:9" x14ac:dyDescent="0.3">
      <c r="A1361" t="s">
        <v>9</v>
      </c>
      <c r="B1361" t="s">
        <v>1459</v>
      </c>
      <c r="C1361">
        <v>4</v>
      </c>
      <c r="D1361">
        <v>-3.0999999999999999E-3</v>
      </c>
      <c r="E1361">
        <v>5.9957334838115024</v>
      </c>
      <c r="F1361">
        <v>606.80236069123202</v>
      </c>
      <c r="G1361">
        <v>0.42399999999999999</v>
      </c>
      <c r="H1361">
        <v>0</v>
      </c>
      <c r="I1361">
        <v>326.6028</v>
      </c>
    </row>
    <row r="1362" spans="1:9" x14ac:dyDescent="0.3">
      <c r="A1362" t="s">
        <v>9</v>
      </c>
      <c r="B1362" t="s">
        <v>1460</v>
      </c>
      <c r="C1362">
        <v>4</v>
      </c>
      <c r="D1362">
        <v>-3.0999999999999999E-3</v>
      </c>
      <c r="E1362">
        <v>5.9957334838115024</v>
      </c>
      <c r="F1362">
        <v>606.80236069123202</v>
      </c>
      <c r="G1362">
        <v>0.42399999999999999</v>
      </c>
      <c r="H1362">
        <v>0</v>
      </c>
      <c r="I1362">
        <v>326.80239999999998</v>
      </c>
    </row>
    <row r="1363" spans="1:9" x14ac:dyDescent="0.3">
      <c r="A1363" t="s">
        <v>9</v>
      </c>
      <c r="B1363" t="s">
        <v>1461</v>
      </c>
      <c r="C1363">
        <v>4</v>
      </c>
      <c r="D1363">
        <v>-3.0999999999999999E-3</v>
      </c>
      <c r="E1363">
        <v>5.9957334838115024</v>
      </c>
      <c r="F1363">
        <v>606.80236069123202</v>
      </c>
      <c r="G1363">
        <v>0.42399999999999999</v>
      </c>
      <c r="H1363">
        <v>0</v>
      </c>
      <c r="I1363">
        <v>327.00490000000002</v>
      </c>
    </row>
    <row r="1364" spans="1:9" x14ac:dyDescent="0.3">
      <c r="A1364" t="s">
        <v>9</v>
      </c>
      <c r="B1364" t="s">
        <v>1462</v>
      </c>
      <c r="C1364">
        <v>4</v>
      </c>
      <c r="D1364">
        <v>-3.0999999999999999E-3</v>
      </c>
      <c r="E1364">
        <v>6.8339765457445214</v>
      </c>
      <c r="F1364">
        <v>788.54437419115516</v>
      </c>
      <c r="G1364">
        <v>0.42399999999999999</v>
      </c>
      <c r="H1364">
        <v>1.2999999999999999E-2</v>
      </c>
      <c r="I1364">
        <v>327.202</v>
      </c>
    </row>
    <row r="1365" spans="1:9" x14ac:dyDescent="0.3">
      <c r="A1365" t="s">
        <v>9</v>
      </c>
      <c r="B1365" t="s">
        <v>1463</v>
      </c>
      <c r="C1365">
        <v>4</v>
      </c>
      <c r="D1365">
        <v>8.8999999999999999E-3</v>
      </c>
      <c r="E1365">
        <v>7.1099991368987574</v>
      </c>
      <c r="F1365">
        <v>814.73891809169208</v>
      </c>
      <c r="G1365">
        <v>0.42399999999999999</v>
      </c>
      <c r="H1365">
        <v>1.7299999999999999E-2</v>
      </c>
      <c r="I1365">
        <v>327.40519999999998</v>
      </c>
    </row>
    <row r="1366" spans="1:9" x14ac:dyDescent="0.3">
      <c r="A1366" t="s">
        <v>9</v>
      </c>
      <c r="B1366" t="s">
        <v>1464</v>
      </c>
      <c r="C1366">
        <v>4</v>
      </c>
      <c r="D1366">
        <v>1.6899999999999998E-2</v>
      </c>
      <c r="E1366">
        <v>7.3993848275595164</v>
      </c>
      <c r="F1366">
        <v>842.20162013539812</v>
      </c>
      <c r="G1366">
        <v>0.42399999999999999</v>
      </c>
      <c r="H1366">
        <v>2.18E-2</v>
      </c>
      <c r="I1366">
        <v>327.60180000000003</v>
      </c>
    </row>
    <row r="1367" spans="1:9" x14ac:dyDescent="0.3">
      <c r="A1367" t="s">
        <v>9</v>
      </c>
      <c r="B1367" t="s">
        <v>1465</v>
      </c>
      <c r="C1367">
        <v>4</v>
      </c>
      <c r="D1367">
        <v>2.24E-2</v>
      </c>
      <c r="E1367">
        <v>7.709247196564152</v>
      </c>
      <c r="F1367">
        <v>871.60755895393811</v>
      </c>
      <c r="G1367">
        <v>0.42399999999999999</v>
      </c>
      <c r="H1367">
        <v>2.6599999999999999E-2</v>
      </c>
      <c r="I1367">
        <v>327.8021</v>
      </c>
    </row>
    <row r="1368" spans="1:9" x14ac:dyDescent="0.3">
      <c r="A1368" t="s">
        <v>9</v>
      </c>
      <c r="B1368" t="s">
        <v>1466</v>
      </c>
      <c r="C1368">
        <v>4</v>
      </c>
      <c r="D1368">
        <v>2.7699999999999999E-2</v>
      </c>
      <c r="E1368">
        <v>8.0274144174695277</v>
      </c>
      <c r="F1368">
        <v>901.80162821785825</v>
      </c>
      <c r="G1368">
        <v>0.42399999999999999</v>
      </c>
      <c r="H1368">
        <v>3.1600000000000003E-2</v>
      </c>
      <c r="I1368">
        <v>328.0027</v>
      </c>
    </row>
    <row r="1369" spans="1:9" x14ac:dyDescent="0.3">
      <c r="A1369" t="s">
        <v>9</v>
      </c>
      <c r="B1369" t="s">
        <v>1467</v>
      </c>
      <c r="C1369">
        <v>4</v>
      </c>
      <c r="D1369">
        <v>3.2899999999999999E-2</v>
      </c>
      <c r="E1369">
        <v>8.3473065109452467</v>
      </c>
      <c r="F1369">
        <v>932.15938788870392</v>
      </c>
      <c r="G1369">
        <v>0.42399999999999999</v>
      </c>
      <c r="H1369">
        <v>3.6499999999999998E-2</v>
      </c>
      <c r="I1369">
        <v>328.2045</v>
      </c>
    </row>
    <row r="1370" spans="1:9" x14ac:dyDescent="0.3">
      <c r="A1370" t="s">
        <v>9</v>
      </c>
      <c r="B1370" t="s">
        <v>1468</v>
      </c>
      <c r="C1370">
        <v>4</v>
      </c>
      <c r="D1370">
        <v>3.8199999999999998E-2</v>
      </c>
      <c r="E1370">
        <v>8.6553710226445464</v>
      </c>
      <c r="F1370">
        <v>961.39471004896745</v>
      </c>
      <c r="G1370">
        <v>0.42399999999999999</v>
      </c>
      <c r="H1370">
        <v>4.1300000000000003E-2</v>
      </c>
      <c r="I1370">
        <v>328.40379999999999</v>
      </c>
    </row>
    <row r="1371" spans="1:9" x14ac:dyDescent="0.3">
      <c r="A1371" t="s">
        <v>9</v>
      </c>
      <c r="B1371" t="s">
        <v>1469</v>
      </c>
      <c r="C1371">
        <v>4</v>
      </c>
      <c r="D1371">
        <v>4.3299999999999998E-2</v>
      </c>
      <c r="E1371">
        <v>8.9492910927021416</v>
      </c>
      <c r="F1371">
        <v>989.2877246974333</v>
      </c>
      <c r="G1371">
        <v>0.42399999999999999</v>
      </c>
      <c r="H1371">
        <v>4.5900000000000003E-2</v>
      </c>
      <c r="I1371">
        <v>328.60410000000002</v>
      </c>
    </row>
    <row r="1372" spans="1:9" x14ac:dyDescent="0.3">
      <c r="A1372" t="s">
        <v>9</v>
      </c>
      <c r="B1372" t="s">
        <v>1470</v>
      </c>
      <c r="C1372">
        <v>4</v>
      </c>
      <c r="D1372">
        <v>4.8599999999999997E-2</v>
      </c>
      <c r="E1372">
        <v>9.2213433142727386</v>
      </c>
      <c r="F1372">
        <v>1015.105480524483</v>
      </c>
      <c r="G1372">
        <v>0.42399999999999999</v>
      </c>
      <c r="H1372">
        <v>5.0099999999999999E-2</v>
      </c>
      <c r="I1372">
        <v>328.80509999999998</v>
      </c>
    </row>
    <row r="1373" spans="1:9" x14ac:dyDescent="0.3">
      <c r="A1373" t="s">
        <v>9</v>
      </c>
      <c r="B1373" t="s">
        <v>1471</v>
      </c>
      <c r="C1373">
        <v>4</v>
      </c>
      <c r="D1373">
        <v>5.0900000000000001E-2</v>
      </c>
      <c r="E1373">
        <v>9.4602697919836167</v>
      </c>
      <c r="F1373">
        <v>1037.7796032592451</v>
      </c>
      <c r="G1373">
        <v>0.42399999999999999</v>
      </c>
      <c r="H1373">
        <v>5.3800000000000001E-2</v>
      </c>
      <c r="I1373">
        <v>329.00319999999999</v>
      </c>
    </row>
    <row r="1374" spans="1:9" x14ac:dyDescent="0.3">
      <c r="A1374" t="s">
        <v>9</v>
      </c>
      <c r="B1374" t="s">
        <v>1472</v>
      </c>
      <c r="C1374">
        <v>4</v>
      </c>
      <c r="D1374">
        <v>5.6099999999999997E-2</v>
      </c>
      <c r="E1374">
        <v>9.6656776246780645</v>
      </c>
      <c r="F1374">
        <v>1057.2728065819481</v>
      </c>
      <c r="G1374">
        <v>0.42399999999999999</v>
      </c>
      <c r="H1374">
        <v>5.7000000000000002E-2</v>
      </c>
      <c r="I1374">
        <v>329.20260000000002</v>
      </c>
    </row>
    <row r="1375" spans="1:9" x14ac:dyDescent="0.3">
      <c r="A1375" t="s">
        <v>9</v>
      </c>
      <c r="B1375" t="s">
        <v>1473</v>
      </c>
      <c r="C1375">
        <v>4</v>
      </c>
      <c r="D1375">
        <v>5.8999999999999997E-2</v>
      </c>
      <c r="E1375">
        <v>9.8317884486983598</v>
      </c>
      <c r="F1375">
        <v>1073.0367237814739</v>
      </c>
      <c r="G1375">
        <v>0.42399999999999999</v>
      </c>
      <c r="H1375">
        <v>5.96E-2</v>
      </c>
      <c r="I1375">
        <v>329.40320000000003</v>
      </c>
    </row>
    <row r="1376" spans="1:9" x14ac:dyDescent="0.3">
      <c r="A1376" t="s">
        <v>9</v>
      </c>
      <c r="B1376" t="s">
        <v>1474</v>
      </c>
      <c r="C1376">
        <v>4</v>
      </c>
      <c r="D1376">
        <v>6.2300000000000001E-2</v>
      </c>
      <c r="E1376">
        <v>9.9521204086355954</v>
      </c>
      <c r="F1376">
        <v>1084.4562267795179</v>
      </c>
      <c r="G1376">
        <v>0.42399999999999999</v>
      </c>
      <c r="H1376">
        <v>6.1499999999999999E-2</v>
      </c>
      <c r="I1376">
        <v>329.60180000000003</v>
      </c>
    </row>
    <row r="1377" spans="1:9" x14ac:dyDescent="0.3">
      <c r="A1377" t="s">
        <v>9</v>
      </c>
      <c r="B1377" t="s">
        <v>1475</v>
      </c>
      <c r="C1377">
        <v>4</v>
      </c>
      <c r="D1377">
        <v>6.5199999999999994E-2</v>
      </c>
      <c r="E1377">
        <v>10.02656524379953</v>
      </c>
      <c r="F1377">
        <v>1091.5210416365751</v>
      </c>
      <c r="G1377">
        <v>0.42399999999999999</v>
      </c>
      <c r="H1377">
        <v>6.2600000000000003E-2</v>
      </c>
      <c r="I1377">
        <v>329.80439999999999</v>
      </c>
    </row>
    <row r="1378" spans="1:9" x14ac:dyDescent="0.3">
      <c r="A1378" t="s">
        <v>9</v>
      </c>
      <c r="B1378" t="s">
        <v>1476</v>
      </c>
      <c r="C1378">
        <v>4</v>
      </c>
      <c r="D1378">
        <v>6.59E-2</v>
      </c>
      <c r="E1378">
        <v>10.0504365232621</v>
      </c>
      <c r="F1378">
        <v>1093.786426057573</v>
      </c>
      <c r="G1378">
        <v>0.42399999999999999</v>
      </c>
      <c r="H1378">
        <v>6.3E-2</v>
      </c>
      <c r="I1378">
        <v>330.00259999999997</v>
      </c>
    </row>
    <row r="1379" spans="1:9" x14ac:dyDescent="0.3">
      <c r="A1379" t="s">
        <v>9</v>
      </c>
      <c r="B1379" t="s">
        <v>1477</v>
      </c>
      <c r="C1379">
        <v>4</v>
      </c>
      <c r="D1379">
        <v>6.6100000000000006E-2</v>
      </c>
      <c r="E1379">
        <v>10.02452450951497</v>
      </c>
      <c r="F1379">
        <v>982.28568428679512</v>
      </c>
      <c r="G1379">
        <v>0.42399999999999999</v>
      </c>
      <c r="H1379">
        <v>6.2600000000000003E-2</v>
      </c>
      <c r="I1379">
        <v>330.2038</v>
      </c>
    </row>
    <row r="1380" spans="1:9" x14ac:dyDescent="0.3">
      <c r="A1380" t="s">
        <v>9</v>
      </c>
      <c r="B1380" t="s">
        <v>1478</v>
      </c>
      <c r="C1380">
        <v>4</v>
      </c>
      <c r="D1380">
        <v>6.2700000000000006E-2</v>
      </c>
      <c r="E1380">
        <v>9.6615276315521967</v>
      </c>
      <c r="F1380">
        <v>948.45437526066473</v>
      </c>
      <c r="G1380">
        <v>0.42399999999999999</v>
      </c>
      <c r="H1380">
        <v>5.7000000000000002E-2</v>
      </c>
      <c r="I1380">
        <v>330.80180000000001</v>
      </c>
    </row>
    <row r="1381" spans="1:9" x14ac:dyDescent="0.3">
      <c r="A1381" t="s">
        <v>9</v>
      </c>
      <c r="B1381" t="s">
        <v>1479</v>
      </c>
      <c r="C1381">
        <v>4</v>
      </c>
      <c r="D1381">
        <v>5.8900000000000001E-2</v>
      </c>
      <c r="E1381">
        <v>9.4530005123782832</v>
      </c>
      <c r="F1381">
        <v>929.01964775365605</v>
      </c>
      <c r="G1381">
        <v>0.42399999999999999</v>
      </c>
      <c r="H1381">
        <v>5.3699999999999998E-2</v>
      </c>
      <c r="I1381">
        <v>331.00319999999999</v>
      </c>
    </row>
    <row r="1382" spans="1:9" x14ac:dyDescent="0.3">
      <c r="A1382" t="s">
        <v>9</v>
      </c>
      <c r="B1382" t="s">
        <v>1480</v>
      </c>
      <c r="C1382">
        <v>4</v>
      </c>
      <c r="D1382">
        <v>5.5100000000000003E-2</v>
      </c>
      <c r="E1382">
        <v>9.2090238964766176</v>
      </c>
      <c r="F1382">
        <v>906.28102715162083</v>
      </c>
      <c r="G1382">
        <v>0.42399999999999999</v>
      </c>
      <c r="H1382">
        <v>4.99E-2</v>
      </c>
      <c r="I1382">
        <v>331.20440000000002</v>
      </c>
    </row>
    <row r="1383" spans="1:9" x14ac:dyDescent="0.3">
      <c r="A1383" t="s">
        <v>9</v>
      </c>
      <c r="B1383" t="s">
        <v>1481</v>
      </c>
      <c r="C1383">
        <v>4</v>
      </c>
      <c r="D1383">
        <v>5.0900000000000001E-2</v>
      </c>
      <c r="E1383">
        <v>8.9402997788217142</v>
      </c>
      <c r="F1383">
        <v>881.23593938618376</v>
      </c>
      <c r="G1383">
        <v>0.42399999999999999</v>
      </c>
      <c r="H1383">
        <v>4.58E-2</v>
      </c>
      <c r="I1383">
        <v>331.40230000000003</v>
      </c>
    </row>
    <row r="1384" spans="1:9" x14ac:dyDescent="0.3">
      <c r="A1384" t="s">
        <v>9</v>
      </c>
      <c r="B1384" t="s">
        <v>1482</v>
      </c>
      <c r="C1384">
        <v>4</v>
      </c>
      <c r="D1384">
        <v>4.65E-2</v>
      </c>
      <c r="E1384">
        <v>8.6431213458174181</v>
      </c>
      <c r="F1384">
        <v>853.53890943018337</v>
      </c>
      <c r="G1384">
        <v>0.42399999999999999</v>
      </c>
      <c r="H1384">
        <v>4.1099999999999998E-2</v>
      </c>
      <c r="I1384">
        <v>331.60419999999999</v>
      </c>
    </row>
    <row r="1385" spans="1:9" x14ac:dyDescent="0.3">
      <c r="A1385" t="s">
        <v>9</v>
      </c>
      <c r="B1385" t="s">
        <v>1483</v>
      </c>
      <c r="C1385">
        <v>4</v>
      </c>
      <c r="D1385">
        <v>4.1399999999999999E-2</v>
      </c>
      <c r="E1385">
        <v>8.3330582687915502</v>
      </c>
      <c r="F1385">
        <v>824.64103065137249</v>
      </c>
      <c r="G1385">
        <v>0.42399999999999999</v>
      </c>
      <c r="H1385">
        <v>3.6299999999999999E-2</v>
      </c>
      <c r="I1385">
        <v>331.80450000000002</v>
      </c>
    </row>
    <row r="1386" spans="1:9" x14ac:dyDescent="0.3">
      <c r="A1386" t="s">
        <v>9</v>
      </c>
      <c r="B1386" t="s">
        <v>1484</v>
      </c>
      <c r="C1386">
        <v>4</v>
      </c>
      <c r="D1386">
        <v>3.6900000000000002E-2</v>
      </c>
      <c r="E1386">
        <v>8.0169480010007366</v>
      </c>
      <c r="F1386">
        <v>795.17955369326864</v>
      </c>
      <c r="G1386">
        <v>0.42399999999999999</v>
      </c>
      <c r="H1386">
        <v>3.1399999999999997E-2</v>
      </c>
      <c r="I1386">
        <v>332.00380000000001</v>
      </c>
    </row>
    <row r="1387" spans="1:9" x14ac:dyDescent="0.3">
      <c r="A1387" t="s">
        <v>9</v>
      </c>
      <c r="B1387" t="s">
        <v>1485</v>
      </c>
      <c r="C1387">
        <v>4</v>
      </c>
      <c r="D1387">
        <v>3.1600000000000003E-2</v>
      </c>
      <c r="E1387">
        <v>7.698910936206099</v>
      </c>
      <c r="F1387">
        <v>765.53849925440841</v>
      </c>
      <c r="G1387">
        <v>0.42399999999999999</v>
      </c>
      <c r="H1387">
        <v>2.6499999999999999E-2</v>
      </c>
      <c r="I1387">
        <v>332.2045</v>
      </c>
    </row>
    <row r="1388" spans="1:9" x14ac:dyDescent="0.3">
      <c r="A1388" t="s">
        <v>9</v>
      </c>
      <c r="B1388" t="s">
        <v>1486</v>
      </c>
      <c r="C1388">
        <v>4</v>
      </c>
      <c r="D1388">
        <v>2.6499999999999999E-2</v>
      </c>
      <c r="E1388">
        <v>7.3915503217287339</v>
      </c>
      <c r="F1388">
        <v>736.892489985118</v>
      </c>
      <c r="G1388">
        <v>0.42399999999999999</v>
      </c>
      <c r="H1388">
        <v>2.1700000000000001E-2</v>
      </c>
      <c r="I1388">
        <v>332.4033</v>
      </c>
    </row>
    <row r="1389" spans="1:9" x14ac:dyDescent="0.3">
      <c r="A1389" t="s">
        <v>9</v>
      </c>
      <c r="B1389" t="s">
        <v>1487</v>
      </c>
      <c r="C1389">
        <v>4</v>
      </c>
      <c r="D1389">
        <v>2.0899999999999998E-2</v>
      </c>
      <c r="E1389">
        <v>7.0965922465512321</v>
      </c>
      <c r="F1389">
        <v>709.40239737857485</v>
      </c>
      <c r="G1389">
        <v>0.42399999999999999</v>
      </c>
      <c r="H1389">
        <v>1.7100000000000001E-2</v>
      </c>
      <c r="I1389">
        <v>332.60430000000002</v>
      </c>
    </row>
    <row r="1390" spans="1:9" x14ac:dyDescent="0.3">
      <c r="A1390" t="s">
        <v>9</v>
      </c>
      <c r="B1390" t="s">
        <v>1488</v>
      </c>
      <c r="C1390">
        <v>4</v>
      </c>
      <c r="D1390">
        <v>1.66E-2</v>
      </c>
      <c r="E1390">
        <v>6.82721369910589</v>
      </c>
      <c r="F1390">
        <v>684.29631675666894</v>
      </c>
      <c r="G1390">
        <v>0.42399999999999999</v>
      </c>
      <c r="H1390">
        <v>1.29E-2</v>
      </c>
      <c r="I1390">
        <v>332.80329999999998</v>
      </c>
    </row>
    <row r="1391" spans="1:9" x14ac:dyDescent="0.3">
      <c r="A1391" t="s">
        <v>9</v>
      </c>
      <c r="B1391" t="s">
        <v>1489</v>
      </c>
      <c r="C1391">
        <v>4</v>
      </c>
      <c r="D1391">
        <v>1.23E-2</v>
      </c>
      <c r="E1391">
        <v>6.583929627245162</v>
      </c>
      <c r="F1391">
        <v>661.62224125924911</v>
      </c>
      <c r="G1391">
        <v>0.42399999999999999</v>
      </c>
      <c r="H1391">
        <v>9.1000000000000004E-3</v>
      </c>
      <c r="I1391">
        <v>333.005</v>
      </c>
    </row>
    <row r="1392" spans="1:9" x14ac:dyDescent="0.3">
      <c r="A1392" t="s">
        <v>9</v>
      </c>
      <c r="B1392" t="s">
        <v>1490</v>
      </c>
      <c r="C1392">
        <v>4</v>
      </c>
      <c r="D1392">
        <v>7.6E-3</v>
      </c>
      <c r="E1392">
        <v>6.3790369045914659</v>
      </c>
      <c r="F1392">
        <v>642.52623950792463</v>
      </c>
      <c r="G1392">
        <v>0.42399999999999999</v>
      </c>
      <c r="H1392">
        <v>6.0000000000000001E-3</v>
      </c>
      <c r="I1392">
        <v>333.20420000000001</v>
      </c>
    </row>
    <row r="1393" spans="1:9" x14ac:dyDescent="0.3">
      <c r="A1393" t="s">
        <v>9</v>
      </c>
      <c r="B1393" t="s">
        <v>1491</v>
      </c>
      <c r="C1393">
        <v>4</v>
      </c>
      <c r="D1393">
        <v>3.5000000000000001E-3</v>
      </c>
      <c r="E1393">
        <v>6.2139032650785833</v>
      </c>
      <c r="F1393">
        <v>627.13578430532402</v>
      </c>
      <c r="G1393">
        <v>0.42399999999999999</v>
      </c>
      <c r="H1393">
        <v>3.3999999999999998E-3</v>
      </c>
      <c r="I1393">
        <v>333.40390000000002</v>
      </c>
    </row>
    <row r="1394" spans="1:9" x14ac:dyDescent="0.3">
      <c r="A1394" t="s">
        <v>9</v>
      </c>
      <c r="B1394" t="s">
        <v>1492</v>
      </c>
      <c r="C1394">
        <v>4</v>
      </c>
      <c r="D1394">
        <v>1E-3</v>
      </c>
      <c r="E1394">
        <v>6.0927961667086423</v>
      </c>
      <c r="F1394">
        <v>615.84860273724553</v>
      </c>
      <c r="G1394">
        <v>0.42399999999999999</v>
      </c>
      <c r="H1394">
        <v>1.5E-3</v>
      </c>
      <c r="I1394">
        <v>333.6044</v>
      </c>
    </row>
    <row r="1395" spans="1:9" x14ac:dyDescent="0.3">
      <c r="A1395" t="s">
        <v>9</v>
      </c>
      <c r="B1395" t="s">
        <v>1493</v>
      </c>
      <c r="C1395">
        <v>4</v>
      </c>
      <c r="D1395">
        <v>-1.2999999999999999E-3</v>
      </c>
      <c r="E1395">
        <v>6.0196822203514344</v>
      </c>
      <c r="F1395">
        <v>609.03438293675367</v>
      </c>
      <c r="G1395">
        <v>0.42399999999999999</v>
      </c>
      <c r="H1395">
        <v>4.0000000000000002E-4</v>
      </c>
      <c r="I1395">
        <v>333.80410000000001</v>
      </c>
    </row>
    <row r="1396" spans="1:9" x14ac:dyDescent="0.3">
      <c r="A1396" t="s">
        <v>9</v>
      </c>
      <c r="B1396" t="s">
        <v>1494</v>
      </c>
      <c r="C1396">
        <v>4</v>
      </c>
      <c r="D1396">
        <v>-2.5999999999999999E-3</v>
      </c>
      <c r="E1396">
        <v>5.9957462928190113</v>
      </c>
      <c r="F1396">
        <v>606.80355449073181</v>
      </c>
      <c r="G1396">
        <v>0.42399999999999999</v>
      </c>
      <c r="H1396">
        <v>0</v>
      </c>
      <c r="I1396">
        <v>334.00450000000001</v>
      </c>
    </row>
    <row r="1397" spans="1:9" x14ac:dyDescent="0.3">
      <c r="A1397" t="s">
        <v>9</v>
      </c>
      <c r="B1397" t="s">
        <v>1495</v>
      </c>
      <c r="C1397">
        <v>4</v>
      </c>
      <c r="D1397">
        <v>-3.0999999999999999E-3</v>
      </c>
      <c r="E1397">
        <v>6.0212794791126401</v>
      </c>
      <c r="F1397">
        <v>711.41942256778952</v>
      </c>
      <c r="G1397">
        <v>0.42399999999999999</v>
      </c>
      <c r="H1397">
        <v>4.0000000000000002E-4</v>
      </c>
      <c r="I1397">
        <v>334.20229999999998</v>
      </c>
    </row>
    <row r="1398" spans="1:9" x14ac:dyDescent="0.3">
      <c r="A1398" t="s">
        <v>9</v>
      </c>
      <c r="B1398" t="s">
        <v>1496</v>
      </c>
      <c r="C1398">
        <v>4</v>
      </c>
      <c r="D1398">
        <v>-8.0000000000000004E-4</v>
      </c>
      <c r="E1398">
        <v>6.0966102273181697</v>
      </c>
      <c r="F1398">
        <v>718.56831057249428</v>
      </c>
      <c r="G1398">
        <v>0.42399999999999999</v>
      </c>
      <c r="H1398">
        <v>1.6000000000000001E-3</v>
      </c>
      <c r="I1398">
        <v>334.4033</v>
      </c>
    </row>
    <row r="1399" spans="1:9" x14ac:dyDescent="0.3">
      <c r="A1399" t="s">
        <v>9</v>
      </c>
      <c r="B1399" t="s">
        <v>1497</v>
      </c>
      <c r="C1399">
        <v>4</v>
      </c>
      <c r="D1399">
        <v>2.2000000000000001E-3</v>
      </c>
      <c r="E1399">
        <v>6.2209005143577656</v>
      </c>
      <c r="F1399">
        <v>730.36345881255204</v>
      </c>
      <c r="G1399">
        <v>0.42399999999999999</v>
      </c>
      <c r="H1399">
        <v>3.5000000000000001E-3</v>
      </c>
      <c r="I1399">
        <v>334.60579999999999</v>
      </c>
    </row>
    <row r="1400" spans="1:9" x14ac:dyDescent="0.3">
      <c r="A1400" t="s">
        <v>9</v>
      </c>
      <c r="B1400" t="s">
        <v>1498</v>
      </c>
      <c r="C1400">
        <v>4</v>
      </c>
      <c r="D1400">
        <v>4.0000000000000001E-3</v>
      </c>
      <c r="E1400">
        <v>6.3858244443987706</v>
      </c>
      <c r="F1400">
        <v>746.01473977344335</v>
      </c>
      <c r="G1400">
        <v>0.42399999999999999</v>
      </c>
      <c r="H1400">
        <v>6.1000000000000004E-3</v>
      </c>
      <c r="I1400">
        <v>334.80309999999997</v>
      </c>
    </row>
    <row r="1401" spans="1:9" x14ac:dyDescent="0.3">
      <c r="A1401" t="s">
        <v>9</v>
      </c>
      <c r="B1401" t="s">
        <v>1499</v>
      </c>
      <c r="C1401">
        <v>4</v>
      </c>
      <c r="D1401">
        <v>7.1000000000000004E-3</v>
      </c>
      <c r="E1401">
        <v>6.5926606289041114</v>
      </c>
      <c r="F1401">
        <v>765.6434936830002</v>
      </c>
      <c r="G1401">
        <v>0.42399999999999999</v>
      </c>
      <c r="H1401">
        <v>9.2999999999999992E-3</v>
      </c>
      <c r="I1401">
        <v>335.00279999999998</v>
      </c>
    </row>
    <row r="1402" spans="1:9" x14ac:dyDescent="0.3">
      <c r="A1402" t="s">
        <v>9</v>
      </c>
      <c r="B1402" t="s">
        <v>1500</v>
      </c>
      <c r="C1402">
        <v>4</v>
      </c>
      <c r="D1402">
        <v>1.04E-2</v>
      </c>
      <c r="E1402">
        <v>6.8352087713536598</v>
      </c>
      <c r="F1402">
        <v>788.6613124014624</v>
      </c>
      <c r="G1402">
        <v>0.42399999999999999</v>
      </c>
      <c r="H1402">
        <v>1.2999999999999999E-2</v>
      </c>
      <c r="I1402">
        <v>335.2029</v>
      </c>
    </row>
    <row r="1403" spans="1:9" x14ac:dyDescent="0.3">
      <c r="A1403" t="s">
        <v>9</v>
      </c>
      <c r="B1403" t="s">
        <v>1501</v>
      </c>
      <c r="C1403">
        <v>4</v>
      </c>
      <c r="D1403">
        <v>1.4E-2</v>
      </c>
      <c r="E1403">
        <v>7.1077674258909589</v>
      </c>
      <c r="F1403">
        <v>814.52712871705205</v>
      </c>
      <c r="G1403">
        <v>0.42399999999999999</v>
      </c>
      <c r="H1403">
        <v>1.7299999999999999E-2</v>
      </c>
      <c r="I1403">
        <v>335.40359999999998</v>
      </c>
    </row>
    <row r="1404" spans="1:9" x14ac:dyDescent="0.3">
      <c r="A1404" t="s">
        <v>9</v>
      </c>
      <c r="B1404" t="s">
        <v>1502</v>
      </c>
      <c r="C1404">
        <v>5</v>
      </c>
      <c r="D1404">
        <v>1.8700000000000001E-2</v>
      </c>
      <c r="E1404">
        <v>7.4002432091371873</v>
      </c>
      <c r="F1404">
        <v>842.28308054711908</v>
      </c>
      <c r="G1404">
        <v>0.42399999999999999</v>
      </c>
      <c r="H1404">
        <v>2.18E-2</v>
      </c>
      <c r="I1404">
        <v>335.60239999999999</v>
      </c>
    </row>
    <row r="1405" spans="1:9" x14ac:dyDescent="0.3">
      <c r="A1405" t="s">
        <v>9</v>
      </c>
      <c r="B1405" t="s">
        <v>1503</v>
      </c>
      <c r="C1405">
        <v>5</v>
      </c>
      <c r="D1405">
        <v>2.24E-2</v>
      </c>
      <c r="E1405">
        <v>7.7132564913397861</v>
      </c>
      <c r="F1405">
        <v>871.98804102814574</v>
      </c>
      <c r="G1405">
        <v>0.42399999999999999</v>
      </c>
      <c r="H1405">
        <v>2.6700000000000002E-2</v>
      </c>
      <c r="I1405">
        <v>335.80470000000003</v>
      </c>
    </row>
    <row r="1406" spans="1:9" x14ac:dyDescent="0.3">
      <c r="A1406" t="s">
        <v>9</v>
      </c>
      <c r="B1406" t="s">
        <v>1504</v>
      </c>
      <c r="C1406">
        <v>5</v>
      </c>
      <c r="D1406">
        <v>2.7400000000000001E-2</v>
      </c>
      <c r="E1406">
        <v>8.0271411301840523</v>
      </c>
      <c r="F1406">
        <v>901.77569325446666</v>
      </c>
      <c r="G1406">
        <v>0.42399999999999999</v>
      </c>
      <c r="H1406">
        <v>3.1600000000000003E-2</v>
      </c>
      <c r="I1406">
        <v>336.0025</v>
      </c>
    </row>
    <row r="1407" spans="1:9" x14ac:dyDescent="0.3">
      <c r="A1407" t="s">
        <v>9</v>
      </c>
      <c r="B1407" t="s">
        <v>1505</v>
      </c>
      <c r="C1407">
        <v>5</v>
      </c>
      <c r="D1407">
        <v>3.27E-2</v>
      </c>
      <c r="E1407">
        <v>8.3469148262007824</v>
      </c>
      <c r="F1407">
        <v>932.12221700645432</v>
      </c>
      <c r="G1407">
        <v>0.42399999999999999</v>
      </c>
      <c r="H1407">
        <v>3.6499999999999998E-2</v>
      </c>
      <c r="I1407">
        <v>336.20429999999999</v>
      </c>
    </row>
    <row r="1408" spans="1:9" x14ac:dyDescent="0.3">
      <c r="A1408" t="s">
        <v>9</v>
      </c>
      <c r="B1408" t="s">
        <v>1506</v>
      </c>
      <c r="C1408">
        <v>5</v>
      </c>
      <c r="D1408">
        <v>3.7900000000000003E-2</v>
      </c>
      <c r="E1408">
        <v>8.6552874956700538</v>
      </c>
      <c r="F1408">
        <v>961.3867833390882</v>
      </c>
      <c r="G1408">
        <v>0.42399999999999999</v>
      </c>
      <c r="H1408">
        <v>4.1300000000000003E-2</v>
      </c>
      <c r="I1408">
        <v>336.40379999999999</v>
      </c>
    </row>
    <row r="1409" spans="1:9" x14ac:dyDescent="0.3">
      <c r="A1409" t="s">
        <v>9</v>
      </c>
      <c r="B1409" t="s">
        <v>1507</v>
      </c>
      <c r="C1409">
        <v>5</v>
      </c>
      <c r="D1409">
        <v>4.2999999999999997E-2</v>
      </c>
      <c r="E1409">
        <v>8.9478922186147702</v>
      </c>
      <c r="F1409">
        <v>989.15497154654179</v>
      </c>
      <c r="G1409">
        <v>0.42399999999999999</v>
      </c>
      <c r="H1409">
        <v>4.5900000000000003E-2</v>
      </c>
      <c r="I1409">
        <v>336.60309999999998</v>
      </c>
    </row>
    <row r="1410" spans="1:9" x14ac:dyDescent="0.3">
      <c r="A1410" t="s">
        <v>9</v>
      </c>
      <c r="B1410" t="s">
        <v>1508</v>
      </c>
      <c r="C1410">
        <v>5</v>
      </c>
      <c r="D1410">
        <v>4.7800000000000002E-2</v>
      </c>
      <c r="E1410">
        <v>9.219175262172687</v>
      </c>
      <c r="F1410">
        <v>1014.899732380188</v>
      </c>
      <c r="G1410">
        <v>0.42399999999999999</v>
      </c>
      <c r="H1410">
        <v>5.0099999999999999E-2</v>
      </c>
      <c r="I1410">
        <v>336.80340000000001</v>
      </c>
    </row>
    <row r="1411" spans="1:9" x14ac:dyDescent="0.3">
      <c r="A1411" t="s">
        <v>9</v>
      </c>
      <c r="B1411" t="s">
        <v>1509</v>
      </c>
      <c r="C1411">
        <v>5</v>
      </c>
      <c r="D1411">
        <v>5.2600000000000001E-2</v>
      </c>
      <c r="E1411">
        <v>9.4597280830616679</v>
      </c>
      <c r="F1411">
        <v>1037.728195082552</v>
      </c>
      <c r="G1411">
        <v>0.42399999999999999</v>
      </c>
      <c r="H1411">
        <v>5.3800000000000001E-2</v>
      </c>
      <c r="I1411">
        <v>337.0027</v>
      </c>
    </row>
    <row r="1412" spans="1:9" x14ac:dyDescent="0.3">
      <c r="A1412" t="s">
        <v>9</v>
      </c>
      <c r="B1412" t="s">
        <v>1510</v>
      </c>
      <c r="C1412">
        <v>5</v>
      </c>
      <c r="D1412">
        <v>5.5800000000000002E-2</v>
      </c>
      <c r="E1412">
        <v>9.667075687823937</v>
      </c>
      <c r="F1412">
        <v>1057.4054827744919</v>
      </c>
      <c r="G1412">
        <v>0.42399999999999999</v>
      </c>
      <c r="H1412">
        <v>5.7000000000000002E-2</v>
      </c>
      <c r="I1412">
        <v>337.20409999999998</v>
      </c>
    </row>
    <row r="1413" spans="1:9" x14ac:dyDescent="0.3">
      <c r="A1413" t="s">
        <v>9</v>
      </c>
      <c r="B1413" t="s">
        <v>1511</v>
      </c>
      <c r="C1413">
        <v>5</v>
      </c>
      <c r="D1413">
        <v>5.9200000000000003E-2</v>
      </c>
      <c r="E1413">
        <v>9.831860217021104</v>
      </c>
      <c r="F1413">
        <v>1073.0435345953031</v>
      </c>
      <c r="G1413">
        <v>0.42399999999999999</v>
      </c>
      <c r="H1413">
        <v>5.96E-2</v>
      </c>
      <c r="I1413">
        <v>337.4033</v>
      </c>
    </row>
    <row r="1414" spans="1:9" x14ac:dyDescent="0.3">
      <c r="A1414" t="s">
        <v>9</v>
      </c>
      <c r="B1414" t="s">
        <v>1512</v>
      </c>
      <c r="C1414">
        <v>5</v>
      </c>
      <c r="D1414">
        <v>6.25E-2</v>
      </c>
      <c r="E1414">
        <v>9.9528725568767769</v>
      </c>
      <c r="F1414">
        <v>1084.5276056476059</v>
      </c>
      <c r="G1414">
        <v>0.42399999999999999</v>
      </c>
      <c r="H1414">
        <v>6.1499999999999999E-2</v>
      </c>
      <c r="I1414">
        <v>337.60340000000002</v>
      </c>
    </row>
    <row r="1415" spans="1:9" x14ac:dyDescent="0.3">
      <c r="A1415" t="s">
        <v>9</v>
      </c>
      <c r="B1415" t="s">
        <v>1513</v>
      </c>
      <c r="C1415">
        <v>5</v>
      </c>
      <c r="D1415">
        <v>6.4399999999999999E-2</v>
      </c>
      <c r="E1415">
        <v>10.026352371655801</v>
      </c>
      <c r="F1415">
        <v>1091.5008400701349</v>
      </c>
      <c r="G1415">
        <v>0.42399999999999999</v>
      </c>
      <c r="H1415">
        <v>6.2600000000000003E-2</v>
      </c>
      <c r="I1415">
        <v>337.80349999999999</v>
      </c>
    </row>
    <row r="1416" spans="1:9" x14ac:dyDescent="0.3">
      <c r="A1416" t="s">
        <v>9</v>
      </c>
      <c r="B1416" t="s">
        <v>1514</v>
      </c>
      <c r="C1416">
        <v>5</v>
      </c>
      <c r="D1416">
        <v>6.6100000000000006E-2</v>
      </c>
      <c r="E1416">
        <v>10.05043692873285</v>
      </c>
      <c r="F1416">
        <v>1093.786464536747</v>
      </c>
      <c r="G1416">
        <v>0.42399999999999999</v>
      </c>
      <c r="H1416">
        <v>6.3E-2</v>
      </c>
      <c r="I1416">
        <v>338.00240000000002</v>
      </c>
    </row>
    <row r="1417" spans="1:9" x14ac:dyDescent="0.3">
      <c r="A1417" t="s">
        <v>9</v>
      </c>
      <c r="B1417" t="s">
        <v>1515</v>
      </c>
      <c r="C1417">
        <v>5</v>
      </c>
      <c r="D1417">
        <v>6.6199999999999995E-2</v>
      </c>
      <c r="E1417">
        <v>10.02425162770024</v>
      </c>
      <c r="F1417">
        <v>982.2602517016627</v>
      </c>
      <c r="G1417">
        <v>0.42399999999999999</v>
      </c>
      <c r="H1417">
        <v>6.2600000000000003E-2</v>
      </c>
      <c r="I1417">
        <v>338.20490000000001</v>
      </c>
    </row>
    <row r="1418" spans="1:9" x14ac:dyDescent="0.3">
      <c r="A1418" t="s">
        <v>9</v>
      </c>
      <c r="B1418" t="s">
        <v>1516</v>
      </c>
      <c r="C1418">
        <v>5</v>
      </c>
      <c r="D1418">
        <v>6.4199999999999993E-2</v>
      </c>
      <c r="E1418">
        <v>9.9498473396113027</v>
      </c>
      <c r="F1418">
        <v>975.32577205177347</v>
      </c>
      <c r="G1418">
        <v>0.42399999999999999</v>
      </c>
      <c r="H1418">
        <v>6.1400000000000003E-2</v>
      </c>
      <c r="I1418">
        <v>338.40280000000001</v>
      </c>
    </row>
    <row r="1419" spans="1:9" x14ac:dyDescent="0.3">
      <c r="A1419" t="s">
        <v>9</v>
      </c>
      <c r="B1419" t="s">
        <v>1517</v>
      </c>
      <c r="C1419">
        <v>5</v>
      </c>
      <c r="D1419">
        <v>6.2100000000000002E-2</v>
      </c>
      <c r="E1419">
        <v>9.8265108414168427</v>
      </c>
      <c r="F1419">
        <v>963.83081042004972</v>
      </c>
      <c r="G1419">
        <v>0.42399999999999999</v>
      </c>
      <c r="H1419">
        <v>5.9499999999999997E-2</v>
      </c>
      <c r="I1419">
        <v>338.60410000000002</v>
      </c>
    </row>
    <row r="1420" spans="1:9" x14ac:dyDescent="0.3">
      <c r="A1420" t="s">
        <v>9</v>
      </c>
      <c r="B1420" t="s">
        <v>1518</v>
      </c>
      <c r="C1420">
        <v>5</v>
      </c>
      <c r="D1420">
        <v>6.0499999999999998E-2</v>
      </c>
      <c r="E1420">
        <v>9.6581107295422584</v>
      </c>
      <c r="F1420">
        <v>948.13591999333846</v>
      </c>
      <c r="G1420">
        <v>0.42399999999999999</v>
      </c>
      <c r="H1420">
        <v>5.6899999999999999E-2</v>
      </c>
      <c r="I1420">
        <v>338.80549999999999</v>
      </c>
    </row>
    <row r="1421" spans="1:9" x14ac:dyDescent="0.3">
      <c r="A1421" t="s">
        <v>9</v>
      </c>
      <c r="B1421" t="s">
        <v>1519</v>
      </c>
      <c r="C1421">
        <v>5</v>
      </c>
      <c r="D1421">
        <v>5.8299999999999998E-2</v>
      </c>
      <c r="E1421">
        <v>9.4521409143883606</v>
      </c>
      <c r="F1421">
        <v>928.93953322099526</v>
      </c>
      <c r="G1421">
        <v>0.42399999999999999</v>
      </c>
      <c r="H1421">
        <v>5.3699999999999998E-2</v>
      </c>
      <c r="I1421">
        <v>339.00400000000002</v>
      </c>
    </row>
    <row r="1422" spans="1:9" x14ac:dyDescent="0.3">
      <c r="A1422" t="s">
        <v>9</v>
      </c>
      <c r="B1422" t="s">
        <v>1520</v>
      </c>
      <c r="C1422">
        <v>5</v>
      </c>
      <c r="D1422">
        <v>5.5599999999999997E-2</v>
      </c>
      <c r="E1422">
        <v>9.2113018311499069</v>
      </c>
      <c r="F1422">
        <v>906.49333066317138</v>
      </c>
      <c r="G1422">
        <v>0.42399999999999999</v>
      </c>
      <c r="H1422">
        <v>0.05</v>
      </c>
      <c r="I1422">
        <v>339.20260000000002</v>
      </c>
    </row>
    <row r="1423" spans="1:9" x14ac:dyDescent="0.3">
      <c r="A1423" t="s">
        <v>9</v>
      </c>
      <c r="B1423" t="s">
        <v>1521</v>
      </c>
      <c r="C1423">
        <v>5</v>
      </c>
      <c r="D1423">
        <v>5.0900000000000001E-2</v>
      </c>
      <c r="E1423">
        <v>8.9374521577447243</v>
      </c>
      <c r="F1423">
        <v>880.97054110180829</v>
      </c>
      <c r="G1423">
        <v>0.42399999999999999</v>
      </c>
      <c r="H1423">
        <v>4.5699999999999998E-2</v>
      </c>
      <c r="I1423">
        <v>339.4042</v>
      </c>
    </row>
    <row r="1424" spans="1:9" x14ac:dyDescent="0.3">
      <c r="A1424" t="s">
        <v>9</v>
      </c>
      <c r="B1424" t="s">
        <v>1522</v>
      </c>
      <c r="C1424">
        <v>5</v>
      </c>
      <c r="D1424">
        <v>4.6199999999999998E-2</v>
      </c>
      <c r="E1424">
        <v>8.6437940217916065</v>
      </c>
      <c r="F1424">
        <v>853.60160283097775</v>
      </c>
      <c r="G1424">
        <v>0.42399999999999999</v>
      </c>
      <c r="H1424">
        <v>4.1099999999999998E-2</v>
      </c>
      <c r="I1424">
        <v>339.60379999999998</v>
      </c>
    </row>
    <row r="1425" spans="1:9" x14ac:dyDescent="0.3">
      <c r="A1425" t="s">
        <v>9</v>
      </c>
      <c r="B1425" t="s">
        <v>1523</v>
      </c>
      <c r="C1425">
        <v>5</v>
      </c>
      <c r="D1425">
        <v>4.1599999999999998E-2</v>
      </c>
      <c r="E1425">
        <v>8.333450359006763</v>
      </c>
      <c r="F1425">
        <v>824.67757345943039</v>
      </c>
      <c r="G1425">
        <v>0.42399999999999999</v>
      </c>
      <c r="H1425">
        <v>3.6299999999999999E-2</v>
      </c>
      <c r="I1425">
        <v>339.80430000000001</v>
      </c>
    </row>
    <row r="1426" spans="1:9" x14ac:dyDescent="0.3">
      <c r="A1426" t="s">
        <v>9</v>
      </c>
      <c r="B1426" t="s">
        <v>1524</v>
      </c>
      <c r="C1426">
        <v>5</v>
      </c>
      <c r="D1426">
        <v>3.6499999999999998E-2</v>
      </c>
      <c r="E1426">
        <v>8.0170972142367205</v>
      </c>
      <c r="F1426">
        <v>795.19346036686238</v>
      </c>
      <c r="G1426">
        <v>0.42399999999999999</v>
      </c>
      <c r="H1426">
        <v>3.1399999999999997E-2</v>
      </c>
      <c r="I1426">
        <v>340.00380000000001</v>
      </c>
    </row>
    <row r="1427" spans="1:9" x14ac:dyDescent="0.3">
      <c r="A1427" t="s">
        <v>9</v>
      </c>
      <c r="B1427" t="s">
        <v>1525</v>
      </c>
      <c r="C1427">
        <v>5</v>
      </c>
      <c r="D1427">
        <v>3.1699999999999999E-2</v>
      </c>
      <c r="E1427">
        <v>7.6983258419139009</v>
      </c>
      <c r="F1427">
        <v>765.48396846637559</v>
      </c>
      <c r="G1427">
        <v>0.42399999999999999</v>
      </c>
      <c r="H1427">
        <v>2.6499999999999999E-2</v>
      </c>
      <c r="I1427">
        <v>340.20479999999998</v>
      </c>
    </row>
    <row r="1428" spans="1:9" x14ac:dyDescent="0.3">
      <c r="A1428" t="s">
        <v>9</v>
      </c>
      <c r="B1428" t="s">
        <v>1526</v>
      </c>
      <c r="C1428">
        <v>5</v>
      </c>
      <c r="D1428">
        <v>2.64E-2</v>
      </c>
      <c r="E1428">
        <v>7.3915162621857373</v>
      </c>
      <c r="F1428">
        <v>736.88931563571077</v>
      </c>
      <c r="G1428">
        <v>0.42399999999999999</v>
      </c>
      <c r="H1428">
        <v>2.1700000000000001E-2</v>
      </c>
      <c r="I1428">
        <v>340.40339999999998</v>
      </c>
    </row>
    <row r="1429" spans="1:9" x14ac:dyDescent="0.3">
      <c r="A1429" t="s">
        <v>9</v>
      </c>
      <c r="B1429" t="s">
        <v>1527</v>
      </c>
      <c r="C1429">
        <v>5</v>
      </c>
      <c r="D1429">
        <v>2.1399999999999999E-2</v>
      </c>
      <c r="E1429">
        <v>7.0970552941476894</v>
      </c>
      <c r="F1429">
        <v>709.44555341456464</v>
      </c>
      <c r="G1429">
        <v>0.42399999999999999</v>
      </c>
      <c r="H1429">
        <v>1.7100000000000001E-2</v>
      </c>
      <c r="I1429">
        <v>340.60399999999998</v>
      </c>
    </row>
    <row r="1430" spans="1:9" x14ac:dyDescent="0.3">
      <c r="A1430" t="s">
        <v>9</v>
      </c>
      <c r="B1430" t="s">
        <v>1528</v>
      </c>
      <c r="C1430">
        <v>5</v>
      </c>
      <c r="D1430">
        <v>1.6799999999999999E-2</v>
      </c>
      <c r="E1430">
        <v>6.827534020998363</v>
      </c>
      <c r="F1430">
        <v>684.32617075704741</v>
      </c>
      <c r="G1430">
        <v>0.42399999999999999</v>
      </c>
      <c r="H1430">
        <v>1.29E-2</v>
      </c>
      <c r="I1430">
        <v>340.803</v>
      </c>
    </row>
    <row r="1431" spans="1:9" x14ac:dyDescent="0.3">
      <c r="A1431" t="s">
        <v>9</v>
      </c>
      <c r="B1431" t="s">
        <v>1529</v>
      </c>
      <c r="C1431">
        <v>5</v>
      </c>
      <c r="D1431">
        <v>1.1900000000000001E-2</v>
      </c>
      <c r="E1431">
        <v>6.5854302744907738</v>
      </c>
      <c r="F1431">
        <v>661.76210158254014</v>
      </c>
      <c r="G1431">
        <v>0.42399999999999999</v>
      </c>
      <c r="H1431">
        <v>9.1999999999999998E-3</v>
      </c>
      <c r="I1431">
        <v>341.00360000000001</v>
      </c>
    </row>
    <row r="1432" spans="1:9" x14ac:dyDescent="0.3">
      <c r="A1432" t="s">
        <v>9</v>
      </c>
      <c r="B1432" t="s">
        <v>1530</v>
      </c>
      <c r="C1432">
        <v>5</v>
      </c>
      <c r="D1432">
        <v>7.4999999999999997E-3</v>
      </c>
      <c r="E1432">
        <v>6.3782196377478408</v>
      </c>
      <c r="F1432">
        <v>642.45007023809876</v>
      </c>
      <c r="G1432">
        <v>0.42399999999999999</v>
      </c>
      <c r="H1432">
        <v>5.8999999999999999E-3</v>
      </c>
      <c r="I1432">
        <v>341.20499999999998</v>
      </c>
    </row>
    <row r="1433" spans="1:9" x14ac:dyDescent="0.3">
      <c r="A1433" t="s">
        <v>9</v>
      </c>
      <c r="B1433" t="s">
        <v>1531</v>
      </c>
      <c r="C1433">
        <v>5</v>
      </c>
      <c r="D1433">
        <v>3.8E-3</v>
      </c>
      <c r="E1433">
        <v>6.2133568526959317</v>
      </c>
      <c r="F1433">
        <v>627.0848586712608</v>
      </c>
      <c r="G1433">
        <v>0.42399999999999999</v>
      </c>
      <c r="H1433">
        <v>3.3999999999999998E-3</v>
      </c>
      <c r="I1433">
        <v>341.40460000000002</v>
      </c>
    </row>
    <row r="1434" spans="1:9" x14ac:dyDescent="0.3">
      <c r="A1434" t="s">
        <v>9</v>
      </c>
      <c r="B1434" t="s">
        <v>1532</v>
      </c>
      <c r="C1434">
        <v>5</v>
      </c>
      <c r="D1434">
        <v>1E-3</v>
      </c>
      <c r="E1434">
        <v>6.0931637664905596</v>
      </c>
      <c r="F1434">
        <v>615.8828630369203</v>
      </c>
      <c r="G1434">
        <v>0.42399999999999999</v>
      </c>
      <c r="H1434">
        <v>1.5E-3</v>
      </c>
      <c r="I1434">
        <v>341.60359999999997</v>
      </c>
    </row>
    <row r="1435" spans="1:9" x14ac:dyDescent="0.3">
      <c r="A1435" t="s">
        <v>9</v>
      </c>
      <c r="B1435" t="s">
        <v>1533</v>
      </c>
      <c r="C1435">
        <v>5</v>
      </c>
      <c r="D1435">
        <v>-1.1000000000000001E-3</v>
      </c>
      <c r="E1435">
        <v>6.0199429907548581</v>
      </c>
      <c r="F1435">
        <v>609.05868673835278</v>
      </c>
      <c r="G1435">
        <v>0.42399999999999999</v>
      </c>
      <c r="H1435">
        <v>4.0000000000000002E-4</v>
      </c>
      <c r="I1435">
        <v>341.803</v>
      </c>
    </row>
    <row r="1436" spans="1:9" x14ac:dyDescent="0.3">
      <c r="A1436" t="s">
        <v>9</v>
      </c>
      <c r="B1436" t="s">
        <v>1534</v>
      </c>
      <c r="C1436">
        <v>5</v>
      </c>
      <c r="D1436">
        <v>-2.8E-3</v>
      </c>
      <c r="E1436">
        <v>5.9957517306075134</v>
      </c>
      <c r="F1436">
        <v>606.8040612926203</v>
      </c>
      <c r="G1436">
        <v>0.42399999999999999</v>
      </c>
      <c r="H1436">
        <v>0</v>
      </c>
      <c r="I1436">
        <v>342.00540000000001</v>
      </c>
    </row>
    <row r="1437" spans="1:9" x14ac:dyDescent="0.3">
      <c r="A1437" t="s">
        <v>9</v>
      </c>
      <c r="B1437" t="s">
        <v>1535</v>
      </c>
      <c r="C1437">
        <v>5</v>
      </c>
      <c r="D1437">
        <v>-3.0999999999999999E-3</v>
      </c>
      <c r="E1437">
        <v>6.0213635859103043</v>
      </c>
      <c r="F1437">
        <v>711.42740430288791</v>
      </c>
      <c r="G1437">
        <v>0.42399999999999999</v>
      </c>
      <c r="H1437">
        <v>4.0000000000000002E-4</v>
      </c>
      <c r="I1437">
        <v>342.20269999999999</v>
      </c>
    </row>
    <row r="1438" spans="1:9" x14ac:dyDescent="0.3">
      <c r="A1438" t="s">
        <v>9</v>
      </c>
      <c r="B1438" t="s">
        <v>1536</v>
      </c>
      <c r="C1438">
        <v>5</v>
      </c>
      <c r="D1438">
        <v>-5.9999999999999995E-4</v>
      </c>
      <c r="E1438">
        <v>6.0971425293187211</v>
      </c>
      <c r="F1438">
        <v>718.61882603234665</v>
      </c>
      <c r="G1438">
        <v>0.42399999999999999</v>
      </c>
      <c r="H1438">
        <v>1.6000000000000001E-3</v>
      </c>
      <c r="I1438">
        <v>342.40440000000001</v>
      </c>
    </row>
    <row r="1439" spans="1:9" x14ac:dyDescent="0.3">
      <c r="A1439" t="s">
        <v>9</v>
      </c>
      <c r="B1439" t="s">
        <v>1537</v>
      </c>
      <c r="C1439">
        <v>5</v>
      </c>
      <c r="D1439">
        <v>2.0999999999999999E-3</v>
      </c>
      <c r="E1439">
        <v>6.2192761579863411</v>
      </c>
      <c r="F1439">
        <v>730.20930739290384</v>
      </c>
      <c r="G1439">
        <v>0.42399999999999999</v>
      </c>
      <c r="H1439">
        <v>3.5000000000000001E-3</v>
      </c>
      <c r="I1439">
        <v>342.6035</v>
      </c>
    </row>
    <row r="1440" spans="1:9" x14ac:dyDescent="0.3">
      <c r="A1440" t="s">
        <v>9</v>
      </c>
      <c r="B1440" t="s">
        <v>1538</v>
      </c>
      <c r="C1440">
        <v>5</v>
      </c>
      <c r="D1440">
        <v>4.0000000000000001E-3</v>
      </c>
      <c r="E1440">
        <v>6.3867219539038134</v>
      </c>
      <c r="F1440">
        <v>746.09991342547187</v>
      </c>
      <c r="G1440">
        <v>0.42399999999999999</v>
      </c>
      <c r="H1440">
        <v>6.1000000000000004E-3</v>
      </c>
      <c r="I1440">
        <v>342.80399999999997</v>
      </c>
    </row>
    <row r="1441" spans="1:9" x14ac:dyDescent="0.3">
      <c r="A1441" t="s">
        <v>9</v>
      </c>
      <c r="B1441" t="s">
        <v>1539</v>
      </c>
      <c r="C1441">
        <v>5</v>
      </c>
      <c r="D1441">
        <v>7.1000000000000004E-3</v>
      </c>
      <c r="E1441">
        <v>6.5929493240780852</v>
      </c>
      <c r="F1441">
        <v>765.67089085501027</v>
      </c>
      <c r="G1441">
        <v>0.42399999999999999</v>
      </c>
      <c r="H1441">
        <v>9.2999999999999992E-3</v>
      </c>
      <c r="I1441">
        <v>343.00299999999999</v>
      </c>
    </row>
    <row r="1442" spans="1:9" x14ac:dyDescent="0.3">
      <c r="A1442" t="s">
        <v>9</v>
      </c>
      <c r="B1442" t="s">
        <v>1540</v>
      </c>
      <c r="C1442">
        <v>5</v>
      </c>
      <c r="D1442">
        <v>1.03E-2</v>
      </c>
      <c r="E1442">
        <v>6.8379473207989081</v>
      </c>
      <c r="F1442">
        <v>788.92120074381637</v>
      </c>
      <c r="G1442">
        <v>0.42399999999999999</v>
      </c>
      <c r="H1442">
        <v>1.3100000000000001E-2</v>
      </c>
      <c r="I1442">
        <v>343.20499999999998</v>
      </c>
    </row>
    <row r="1443" spans="1:9" x14ac:dyDescent="0.3">
      <c r="A1443" t="s">
        <v>9</v>
      </c>
      <c r="B1443" t="s">
        <v>1541</v>
      </c>
      <c r="C1443">
        <v>5</v>
      </c>
      <c r="D1443">
        <v>1.4200000000000001E-2</v>
      </c>
      <c r="E1443">
        <v>7.1074685939482372</v>
      </c>
      <c r="F1443">
        <v>814.49876956568778</v>
      </c>
      <c r="G1443">
        <v>0.42399999999999999</v>
      </c>
      <c r="H1443">
        <v>1.7299999999999999E-2</v>
      </c>
      <c r="I1443">
        <v>343.40339999999998</v>
      </c>
    </row>
    <row r="1444" spans="1:9" x14ac:dyDescent="0.3">
      <c r="A1444" t="s">
        <v>9</v>
      </c>
      <c r="B1444" t="s">
        <v>1542</v>
      </c>
      <c r="C1444">
        <v>5</v>
      </c>
      <c r="D1444">
        <v>1.83E-2</v>
      </c>
      <c r="E1444">
        <v>7.4018679304322879</v>
      </c>
      <c r="F1444">
        <v>842.43726659802417</v>
      </c>
      <c r="G1444">
        <v>0.42399999999999999</v>
      </c>
      <c r="H1444">
        <v>2.18E-2</v>
      </c>
      <c r="I1444">
        <v>343.6035</v>
      </c>
    </row>
    <row r="1445" spans="1:9" x14ac:dyDescent="0.3">
      <c r="A1445" t="s">
        <v>9</v>
      </c>
      <c r="B1445" t="s">
        <v>1543</v>
      </c>
      <c r="C1445">
        <v>5</v>
      </c>
      <c r="D1445">
        <v>2.2599999999999999E-2</v>
      </c>
      <c r="E1445">
        <v>7.7153710213008422</v>
      </c>
      <c r="F1445">
        <v>872.18870992144991</v>
      </c>
      <c r="G1445">
        <v>0.42399999999999999</v>
      </c>
      <c r="H1445">
        <v>2.6700000000000002E-2</v>
      </c>
      <c r="I1445">
        <v>343.80599999999998</v>
      </c>
    </row>
    <row r="1446" spans="1:9" x14ac:dyDescent="0.3">
      <c r="A1446" t="s">
        <v>9</v>
      </c>
      <c r="B1446" t="s">
        <v>1544</v>
      </c>
      <c r="C1446">
        <v>5</v>
      </c>
      <c r="D1446">
        <v>2.7799999999999998E-2</v>
      </c>
      <c r="E1446">
        <v>8.0282290082062033</v>
      </c>
      <c r="F1446">
        <v>901.87893287876875</v>
      </c>
      <c r="G1446">
        <v>0.42399999999999999</v>
      </c>
      <c r="H1446">
        <v>3.1600000000000003E-2</v>
      </c>
      <c r="I1446">
        <v>344.00319999999999</v>
      </c>
    </row>
    <row r="1447" spans="1:9" x14ac:dyDescent="0.3">
      <c r="A1447" t="s">
        <v>9</v>
      </c>
      <c r="B1447" t="s">
        <v>1545</v>
      </c>
      <c r="C1447">
        <v>5</v>
      </c>
      <c r="D1447">
        <v>3.2800000000000003E-2</v>
      </c>
      <c r="E1447">
        <v>8.3501869751529831</v>
      </c>
      <c r="F1447">
        <v>932.43274394201819</v>
      </c>
      <c r="G1447">
        <v>0.42399999999999999</v>
      </c>
      <c r="H1447">
        <v>3.6600000000000001E-2</v>
      </c>
      <c r="I1447">
        <v>344.2063</v>
      </c>
    </row>
    <row r="1448" spans="1:9" x14ac:dyDescent="0.3">
      <c r="A1448" t="s">
        <v>9</v>
      </c>
      <c r="B1448" t="s">
        <v>1546</v>
      </c>
      <c r="C1448">
        <v>5</v>
      </c>
      <c r="D1448">
        <v>3.8100000000000002E-2</v>
      </c>
      <c r="E1448">
        <v>8.6564390325999483</v>
      </c>
      <c r="F1448">
        <v>961.49606419373515</v>
      </c>
      <c r="G1448">
        <v>0.42399999999999999</v>
      </c>
      <c r="H1448">
        <v>4.1300000000000003E-2</v>
      </c>
      <c r="I1448">
        <v>344.40449999999998</v>
      </c>
    </row>
    <row r="1449" spans="1:9" x14ac:dyDescent="0.3">
      <c r="A1449" t="s">
        <v>9</v>
      </c>
      <c r="B1449" t="s">
        <v>1547</v>
      </c>
      <c r="C1449">
        <v>5</v>
      </c>
      <c r="D1449">
        <v>4.3099999999999999E-2</v>
      </c>
      <c r="E1449">
        <v>8.9492452745073958</v>
      </c>
      <c r="F1449">
        <v>989.28337655075188</v>
      </c>
      <c r="G1449">
        <v>0.42399999999999999</v>
      </c>
      <c r="H1449">
        <v>4.5900000000000003E-2</v>
      </c>
      <c r="I1449">
        <v>344.60410000000002</v>
      </c>
    </row>
    <row r="1450" spans="1:9" x14ac:dyDescent="0.3">
      <c r="A1450" t="s">
        <v>9</v>
      </c>
      <c r="B1450" t="s">
        <v>1548</v>
      </c>
      <c r="C1450">
        <v>5</v>
      </c>
      <c r="D1450">
        <v>4.7899999999999998E-2</v>
      </c>
      <c r="E1450">
        <v>9.2223492872033983</v>
      </c>
      <c r="F1450">
        <v>1015.200947355603</v>
      </c>
      <c r="G1450">
        <v>0.42399999999999999</v>
      </c>
      <c r="H1450">
        <v>5.0099999999999999E-2</v>
      </c>
      <c r="I1450">
        <v>344.80590000000001</v>
      </c>
    </row>
    <row r="1451" spans="1:9" x14ac:dyDescent="0.3">
      <c r="A1451" t="s">
        <v>9</v>
      </c>
      <c r="B1451" t="s">
        <v>1549</v>
      </c>
      <c r="C1451">
        <v>5</v>
      </c>
      <c r="D1451">
        <v>5.2200000000000003E-2</v>
      </c>
      <c r="E1451">
        <v>9.4635026102730713</v>
      </c>
      <c r="F1451">
        <v>1038.086397714914</v>
      </c>
      <c r="G1451">
        <v>0.42399999999999999</v>
      </c>
      <c r="H1451">
        <v>5.3900000000000003E-2</v>
      </c>
      <c r="I1451">
        <v>345.0061</v>
      </c>
    </row>
    <row r="1452" spans="1:9" x14ac:dyDescent="0.3">
      <c r="A1452" t="s">
        <v>9</v>
      </c>
      <c r="B1452" t="s">
        <v>1550</v>
      </c>
      <c r="C1452">
        <v>5</v>
      </c>
      <c r="D1452">
        <v>5.6000000000000001E-2</v>
      </c>
      <c r="E1452">
        <v>9.6674588576826537</v>
      </c>
      <c r="F1452">
        <v>1057.441845594084</v>
      </c>
      <c r="G1452">
        <v>0.42399999999999999</v>
      </c>
      <c r="H1452">
        <v>5.7000000000000002E-2</v>
      </c>
      <c r="I1452">
        <v>345.2045</v>
      </c>
    </row>
    <row r="1453" spans="1:9" x14ac:dyDescent="0.3">
      <c r="A1453" t="s">
        <v>9</v>
      </c>
      <c r="B1453" t="s">
        <v>1551</v>
      </c>
      <c r="C1453">
        <v>5</v>
      </c>
      <c r="D1453">
        <v>5.9400000000000001E-2</v>
      </c>
      <c r="E1453">
        <v>9.8331046067527392</v>
      </c>
      <c r="F1453">
        <v>1073.161627180835</v>
      </c>
      <c r="G1453">
        <v>0.42399999999999999</v>
      </c>
      <c r="H1453">
        <v>5.96E-2</v>
      </c>
      <c r="I1453">
        <v>345.40499999999997</v>
      </c>
    </row>
    <row r="1454" spans="1:9" x14ac:dyDescent="0.3">
      <c r="A1454" t="s">
        <v>9</v>
      </c>
      <c r="B1454" t="s">
        <v>1552</v>
      </c>
      <c r="C1454">
        <v>5</v>
      </c>
      <c r="D1454">
        <v>6.2100000000000002E-2</v>
      </c>
      <c r="E1454">
        <v>9.9531300308030044</v>
      </c>
      <c r="F1454">
        <v>1084.552039923205</v>
      </c>
      <c r="G1454">
        <v>0.42399999999999999</v>
      </c>
      <c r="H1454">
        <v>6.1499999999999999E-2</v>
      </c>
      <c r="I1454">
        <v>345.60390000000001</v>
      </c>
    </row>
    <row r="1455" spans="1:9" x14ac:dyDescent="0.3">
      <c r="A1455" t="s">
        <v>9</v>
      </c>
      <c r="B1455" t="s">
        <v>1553</v>
      </c>
      <c r="C1455">
        <v>5</v>
      </c>
      <c r="D1455">
        <v>6.4899999999999999E-2</v>
      </c>
      <c r="E1455">
        <v>10.026652014540019</v>
      </c>
      <c r="F1455">
        <v>1091.529276179848</v>
      </c>
      <c r="G1455">
        <v>0.42399999999999999</v>
      </c>
      <c r="H1455">
        <v>6.2600000000000003E-2</v>
      </c>
      <c r="I1455">
        <v>345.80470000000003</v>
      </c>
    </row>
    <row r="1456" spans="1:9" x14ac:dyDescent="0.3">
      <c r="A1456" t="s">
        <v>9</v>
      </c>
      <c r="B1456" t="s">
        <v>1554</v>
      </c>
      <c r="C1456">
        <v>5</v>
      </c>
      <c r="D1456">
        <v>6.54E-2</v>
      </c>
      <c r="E1456">
        <v>10.050417466136849</v>
      </c>
      <c r="F1456">
        <v>1093.784617536387</v>
      </c>
      <c r="G1456">
        <v>0.42399999999999999</v>
      </c>
      <c r="H1456">
        <v>6.3E-2</v>
      </c>
      <c r="I1456">
        <v>346.0061</v>
      </c>
    </row>
    <row r="1457" spans="1:9" x14ac:dyDescent="0.3">
      <c r="A1457" t="s">
        <v>9</v>
      </c>
      <c r="B1457" t="s">
        <v>1555</v>
      </c>
      <c r="C1457">
        <v>5</v>
      </c>
      <c r="D1457">
        <v>6.6600000000000006E-2</v>
      </c>
      <c r="E1457">
        <v>10.02457194959271</v>
      </c>
      <c r="F1457">
        <v>982.29010570204093</v>
      </c>
      <c r="G1457">
        <v>0.42399999999999999</v>
      </c>
      <c r="H1457">
        <v>6.2600000000000003E-2</v>
      </c>
      <c r="I1457">
        <v>346.20359999999999</v>
      </c>
    </row>
    <row r="1458" spans="1:9" x14ac:dyDescent="0.3">
      <c r="A1458" t="s">
        <v>9</v>
      </c>
      <c r="B1458" t="s">
        <v>1556</v>
      </c>
      <c r="C1458">
        <v>5</v>
      </c>
      <c r="D1458">
        <v>6.4699999999999994E-2</v>
      </c>
      <c r="E1458">
        <v>9.9484845524206769</v>
      </c>
      <c r="F1458">
        <v>975.19876028560714</v>
      </c>
      <c r="G1458">
        <v>0.42399999999999999</v>
      </c>
      <c r="H1458">
        <v>6.1400000000000003E-2</v>
      </c>
      <c r="I1458">
        <v>346.40550000000002</v>
      </c>
    </row>
    <row r="1459" spans="1:9" x14ac:dyDescent="0.3">
      <c r="A1459" t="s">
        <v>9</v>
      </c>
      <c r="B1459" t="s">
        <v>1557</v>
      </c>
      <c r="C1459">
        <v>5</v>
      </c>
      <c r="D1459">
        <v>6.2300000000000001E-2</v>
      </c>
      <c r="E1459">
        <v>9.8262399869558692</v>
      </c>
      <c r="F1459">
        <v>963.80556678428707</v>
      </c>
      <c r="G1459">
        <v>0.42399999999999999</v>
      </c>
      <c r="H1459">
        <v>5.9499999999999997E-2</v>
      </c>
      <c r="I1459">
        <v>346.6044</v>
      </c>
    </row>
    <row r="1460" spans="1:9" x14ac:dyDescent="0.3">
      <c r="A1460" t="s">
        <v>9</v>
      </c>
      <c r="B1460" t="s">
        <v>1558</v>
      </c>
      <c r="C1460">
        <v>5</v>
      </c>
      <c r="D1460">
        <v>6.1100000000000002E-2</v>
      </c>
      <c r="E1460">
        <v>9.6590035761336761</v>
      </c>
      <c r="F1460">
        <v>948.21913329565859</v>
      </c>
      <c r="G1460">
        <v>0.42399999999999999</v>
      </c>
      <c r="H1460">
        <v>5.6899999999999999E-2</v>
      </c>
      <c r="I1460">
        <v>346.80450000000002</v>
      </c>
    </row>
    <row r="1461" spans="1:9" x14ac:dyDescent="0.3">
      <c r="A1461" t="s">
        <v>9</v>
      </c>
      <c r="B1461" t="s">
        <v>1559</v>
      </c>
      <c r="C1461">
        <v>5</v>
      </c>
      <c r="D1461">
        <v>5.8599999999999999E-2</v>
      </c>
      <c r="E1461">
        <v>9.4513251072394358</v>
      </c>
      <c r="F1461">
        <v>928.86349999471543</v>
      </c>
      <c r="G1461">
        <v>0.42399999999999999</v>
      </c>
      <c r="H1461">
        <v>5.3699999999999998E-2</v>
      </c>
      <c r="I1461">
        <v>347.00470000000001</v>
      </c>
    </row>
    <row r="1462" spans="1:9" x14ac:dyDescent="0.3">
      <c r="A1462" t="s">
        <v>9</v>
      </c>
      <c r="B1462" t="s">
        <v>1560</v>
      </c>
      <c r="C1462">
        <v>5</v>
      </c>
      <c r="D1462">
        <v>5.5E-2</v>
      </c>
      <c r="E1462">
        <v>9.2067565040428239</v>
      </c>
      <c r="F1462">
        <v>906.06970617679121</v>
      </c>
      <c r="G1462">
        <v>0.42399999999999999</v>
      </c>
      <c r="H1462">
        <v>4.99E-2</v>
      </c>
      <c r="I1462">
        <v>347.20620000000002</v>
      </c>
    </row>
    <row r="1463" spans="1:9" x14ac:dyDescent="0.3">
      <c r="A1463" t="s">
        <v>9</v>
      </c>
      <c r="B1463" t="s">
        <v>1561</v>
      </c>
      <c r="C1463">
        <v>5</v>
      </c>
      <c r="D1463">
        <v>5.0799999999999998E-2</v>
      </c>
      <c r="E1463">
        <v>8.9369230184160227</v>
      </c>
      <c r="F1463">
        <v>880.92122531637335</v>
      </c>
      <c r="G1463">
        <v>0.42399999999999999</v>
      </c>
      <c r="H1463">
        <v>4.5699999999999998E-2</v>
      </c>
      <c r="I1463">
        <v>347.40460000000002</v>
      </c>
    </row>
    <row r="1464" spans="1:9" x14ac:dyDescent="0.3">
      <c r="A1464" t="s">
        <v>9</v>
      </c>
      <c r="B1464" t="s">
        <v>1562</v>
      </c>
      <c r="C1464">
        <v>5</v>
      </c>
      <c r="D1464">
        <v>4.6199999999999998E-2</v>
      </c>
      <c r="E1464">
        <v>8.6415797460260571</v>
      </c>
      <c r="F1464">
        <v>853.39523232962858</v>
      </c>
      <c r="G1464">
        <v>0.42399999999999999</v>
      </c>
      <c r="H1464">
        <v>4.1099999999999998E-2</v>
      </c>
      <c r="I1464">
        <v>347.6053</v>
      </c>
    </row>
    <row r="1465" spans="1:9" x14ac:dyDescent="0.3">
      <c r="A1465" t="s">
        <v>9</v>
      </c>
      <c r="B1465" t="s">
        <v>1563</v>
      </c>
      <c r="C1465">
        <v>5</v>
      </c>
      <c r="D1465">
        <v>4.1300000000000003E-2</v>
      </c>
      <c r="E1465">
        <v>8.3326807755233343</v>
      </c>
      <c r="F1465">
        <v>824.60584827877483</v>
      </c>
      <c r="G1465">
        <v>0.42399999999999999</v>
      </c>
      <c r="H1465">
        <v>3.6299999999999999E-2</v>
      </c>
      <c r="I1465">
        <v>347.8048</v>
      </c>
    </row>
    <row r="1466" spans="1:9" x14ac:dyDescent="0.3">
      <c r="A1466" t="s">
        <v>9</v>
      </c>
      <c r="B1466" t="s">
        <v>1564</v>
      </c>
      <c r="C1466">
        <v>5</v>
      </c>
      <c r="D1466">
        <v>3.6999999999999998E-2</v>
      </c>
      <c r="E1466">
        <v>8.0169374587612356</v>
      </c>
      <c r="F1466">
        <v>795.17857115654715</v>
      </c>
      <c r="G1466">
        <v>0.42399999999999999</v>
      </c>
      <c r="H1466">
        <v>3.1399999999999997E-2</v>
      </c>
      <c r="I1466">
        <v>348.00380000000001</v>
      </c>
    </row>
    <row r="1467" spans="1:9" x14ac:dyDescent="0.3">
      <c r="A1467" t="s">
        <v>9</v>
      </c>
      <c r="B1467" t="s">
        <v>1565</v>
      </c>
      <c r="C1467">
        <v>5</v>
      </c>
      <c r="D1467">
        <v>3.1699999999999999E-2</v>
      </c>
      <c r="E1467">
        <v>7.697618295455217</v>
      </c>
      <c r="F1467">
        <v>765.41802513642619</v>
      </c>
      <c r="G1467">
        <v>0.42399999999999999</v>
      </c>
      <c r="H1467">
        <v>2.64E-2</v>
      </c>
      <c r="I1467">
        <v>348.20530000000002</v>
      </c>
    </row>
    <row r="1468" spans="1:9" x14ac:dyDescent="0.3">
      <c r="A1468" t="s">
        <v>9</v>
      </c>
      <c r="B1468" t="s">
        <v>1566</v>
      </c>
      <c r="C1468">
        <v>5</v>
      </c>
      <c r="D1468">
        <v>2.6100000000000002E-2</v>
      </c>
      <c r="E1468">
        <v>7.3907762780670554</v>
      </c>
      <c r="F1468">
        <v>736.82034911584947</v>
      </c>
      <c r="G1468">
        <v>0.42399999999999999</v>
      </c>
      <c r="H1468">
        <v>2.1700000000000001E-2</v>
      </c>
      <c r="I1468">
        <v>348.40379999999999</v>
      </c>
    </row>
    <row r="1469" spans="1:9" x14ac:dyDescent="0.3">
      <c r="A1469" t="s">
        <v>9</v>
      </c>
      <c r="B1469" t="s">
        <v>1567</v>
      </c>
      <c r="C1469">
        <v>5</v>
      </c>
      <c r="D1469">
        <v>2.1899999999999999E-2</v>
      </c>
      <c r="E1469">
        <v>7.095647499703821</v>
      </c>
      <c r="F1469">
        <v>709.31434697239615</v>
      </c>
      <c r="G1469">
        <v>0.42399999999999999</v>
      </c>
      <c r="H1469">
        <v>1.7100000000000001E-2</v>
      </c>
      <c r="I1469">
        <v>348.60489999999999</v>
      </c>
    </row>
    <row r="1470" spans="1:9" x14ac:dyDescent="0.3">
      <c r="A1470" t="s">
        <v>9</v>
      </c>
      <c r="B1470" t="s">
        <v>1568</v>
      </c>
      <c r="C1470">
        <v>5</v>
      </c>
      <c r="D1470">
        <v>1.67E-2</v>
      </c>
      <c r="E1470">
        <v>6.8272550571223887</v>
      </c>
      <c r="F1470">
        <v>684.30017132380669</v>
      </c>
      <c r="G1470">
        <v>0.42399999999999999</v>
      </c>
      <c r="H1470">
        <v>1.29E-2</v>
      </c>
      <c r="I1470">
        <v>348.8032</v>
      </c>
    </row>
    <row r="1471" spans="1:9" x14ac:dyDescent="0.3">
      <c r="A1471" t="s">
        <v>9</v>
      </c>
      <c r="B1471" t="s">
        <v>1569</v>
      </c>
      <c r="C1471">
        <v>5</v>
      </c>
      <c r="D1471">
        <v>1.18E-2</v>
      </c>
      <c r="E1471">
        <v>6.5851427957290491</v>
      </c>
      <c r="F1471">
        <v>661.73530856194736</v>
      </c>
      <c r="G1471">
        <v>0.42399999999999999</v>
      </c>
      <c r="H1471">
        <v>9.1999999999999998E-3</v>
      </c>
      <c r="I1471">
        <v>349.00389999999999</v>
      </c>
    </row>
    <row r="1472" spans="1:9" x14ac:dyDescent="0.3">
      <c r="A1472" t="s">
        <v>9</v>
      </c>
      <c r="B1472" t="s">
        <v>1570</v>
      </c>
      <c r="C1472">
        <v>5</v>
      </c>
      <c r="D1472">
        <v>7.3000000000000001E-3</v>
      </c>
      <c r="E1472">
        <v>6.3797189063929052</v>
      </c>
      <c r="F1472">
        <v>642.58980207581874</v>
      </c>
      <c r="G1472">
        <v>0.42399999999999999</v>
      </c>
      <c r="H1472">
        <v>6.0000000000000001E-3</v>
      </c>
      <c r="I1472">
        <v>349.20339999999999</v>
      </c>
    </row>
    <row r="1473" spans="1:9" x14ac:dyDescent="0.3">
      <c r="A1473" t="s">
        <v>9</v>
      </c>
      <c r="B1473" t="s">
        <v>1571</v>
      </c>
      <c r="C1473">
        <v>5</v>
      </c>
      <c r="D1473">
        <v>3.5999999999999999E-3</v>
      </c>
      <c r="E1473">
        <v>6.214485237246004</v>
      </c>
      <c r="F1473">
        <v>627.1900241113276</v>
      </c>
      <c r="G1473">
        <v>0.42399999999999999</v>
      </c>
      <c r="H1473">
        <v>3.3999999999999998E-3</v>
      </c>
      <c r="I1473">
        <v>349.40309999999999</v>
      </c>
    </row>
    <row r="1474" spans="1:9" x14ac:dyDescent="0.3">
      <c r="A1474" t="s">
        <v>9</v>
      </c>
      <c r="B1474" t="s">
        <v>1572</v>
      </c>
      <c r="C1474">
        <v>5</v>
      </c>
      <c r="D1474">
        <v>1.1999999999999999E-3</v>
      </c>
      <c r="E1474">
        <v>6.0919813326895182</v>
      </c>
      <c r="F1474">
        <v>615.77266020666309</v>
      </c>
      <c r="G1474">
        <v>0.42399999999999999</v>
      </c>
      <c r="H1474">
        <v>1.5E-3</v>
      </c>
      <c r="I1474">
        <v>349.60610000000003</v>
      </c>
    </row>
    <row r="1475" spans="1:9" x14ac:dyDescent="0.3">
      <c r="A1475" t="s">
        <v>9</v>
      </c>
      <c r="B1475" t="s">
        <v>1573</v>
      </c>
      <c r="C1475">
        <v>5</v>
      </c>
      <c r="D1475">
        <v>-1.1000000000000001E-3</v>
      </c>
      <c r="E1475">
        <v>6.0194914139259152</v>
      </c>
      <c r="F1475">
        <v>609.01659977789529</v>
      </c>
      <c r="G1475">
        <v>0.42399999999999999</v>
      </c>
      <c r="H1475">
        <v>4.0000000000000002E-4</v>
      </c>
      <c r="I1475">
        <v>349.80489999999998</v>
      </c>
    </row>
    <row r="1476" spans="1:9" x14ac:dyDescent="0.3">
      <c r="A1476" t="s">
        <v>9</v>
      </c>
      <c r="B1476" t="s">
        <v>1574</v>
      </c>
      <c r="C1476">
        <v>5</v>
      </c>
      <c r="D1476">
        <v>-2.8999999999999998E-3</v>
      </c>
      <c r="E1476">
        <v>5.9957472595383177</v>
      </c>
      <c r="F1476">
        <v>606.80364458897122</v>
      </c>
      <c r="G1476">
        <v>0.42399999999999999</v>
      </c>
      <c r="H1476">
        <v>0</v>
      </c>
      <c r="I1476">
        <v>350.00470000000001</v>
      </c>
    </row>
    <row r="1477" spans="1:9" x14ac:dyDescent="0.3">
      <c r="A1477" t="s">
        <v>9</v>
      </c>
      <c r="B1477" t="s">
        <v>1575</v>
      </c>
      <c r="C1477">
        <v>5</v>
      </c>
      <c r="D1477">
        <v>-3.0999999999999999E-3</v>
      </c>
      <c r="E1477">
        <v>6.022040649078007</v>
      </c>
      <c r="F1477">
        <v>711.49165759750292</v>
      </c>
      <c r="G1477">
        <v>0.42399999999999999</v>
      </c>
      <c r="H1477">
        <v>4.0000000000000002E-4</v>
      </c>
      <c r="I1477">
        <v>350.20530000000002</v>
      </c>
    </row>
    <row r="1478" spans="1:9" x14ac:dyDescent="0.3">
      <c r="A1478" t="s">
        <v>9</v>
      </c>
      <c r="B1478" t="s">
        <v>1576</v>
      </c>
      <c r="C1478">
        <v>5</v>
      </c>
      <c r="D1478">
        <v>-1E-3</v>
      </c>
      <c r="E1478">
        <v>6.0974051121763964</v>
      </c>
      <c r="F1478">
        <v>718.64374514554004</v>
      </c>
      <c r="G1478">
        <v>0.42399999999999999</v>
      </c>
      <c r="H1478">
        <v>1.6000000000000001E-3</v>
      </c>
      <c r="I1478">
        <v>350.4049</v>
      </c>
    </row>
    <row r="1479" spans="1:9" x14ac:dyDescent="0.3">
      <c r="A1479" t="s">
        <v>9</v>
      </c>
      <c r="B1479" t="s">
        <v>1577</v>
      </c>
      <c r="C1479">
        <v>5</v>
      </c>
      <c r="D1479">
        <v>2E-3</v>
      </c>
      <c r="E1479">
        <v>6.2207635868855036</v>
      </c>
      <c r="F1479">
        <v>730.35046439543441</v>
      </c>
      <c r="G1479">
        <v>0.42399999999999999</v>
      </c>
      <c r="H1479">
        <v>3.5000000000000001E-3</v>
      </c>
      <c r="I1479">
        <v>350.60559999999998</v>
      </c>
    </row>
    <row r="1480" spans="1:9" x14ac:dyDescent="0.3">
      <c r="A1480" t="s">
        <v>9</v>
      </c>
      <c r="B1480" t="s">
        <v>1578</v>
      </c>
      <c r="C1480">
        <v>5</v>
      </c>
      <c r="D1480">
        <v>4.1000000000000003E-3</v>
      </c>
      <c r="E1480">
        <v>6.388095769898837</v>
      </c>
      <c r="F1480">
        <v>746.23028856339965</v>
      </c>
      <c r="G1480">
        <v>0.42399999999999999</v>
      </c>
      <c r="H1480">
        <v>6.1000000000000004E-3</v>
      </c>
      <c r="I1480">
        <v>350.80549999999999</v>
      </c>
    </row>
    <row r="1481" spans="1:9" x14ac:dyDescent="0.3">
      <c r="A1481" t="s">
        <v>9</v>
      </c>
      <c r="B1481" t="s">
        <v>1579</v>
      </c>
      <c r="C1481">
        <v>5</v>
      </c>
      <c r="D1481">
        <v>7.0000000000000001E-3</v>
      </c>
      <c r="E1481">
        <v>6.5963556838485244</v>
      </c>
      <c r="F1481">
        <v>765.99415439722497</v>
      </c>
      <c r="G1481">
        <v>0.42399999999999999</v>
      </c>
      <c r="H1481">
        <v>9.2999999999999992E-3</v>
      </c>
      <c r="I1481">
        <v>351.00599999999997</v>
      </c>
    </row>
    <row r="1482" spans="1:9" x14ac:dyDescent="0.3">
      <c r="A1482" t="s">
        <v>9</v>
      </c>
      <c r="B1482" t="s">
        <v>1580</v>
      </c>
      <c r="C1482">
        <v>5</v>
      </c>
      <c r="D1482">
        <v>1.03E-2</v>
      </c>
      <c r="E1482">
        <v>6.8380267930659029</v>
      </c>
      <c r="F1482">
        <v>788.92874266195417</v>
      </c>
      <c r="G1482">
        <v>0.42399999999999999</v>
      </c>
      <c r="H1482">
        <v>1.3100000000000001E-2</v>
      </c>
      <c r="I1482">
        <v>351.20510000000002</v>
      </c>
    </row>
    <row r="1483" spans="1:9" x14ac:dyDescent="0.3">
      <c r="A1483" t="s">
        <v>9</v>
      </c>
      <c r="B1483" t="s">
        <v>1581</v>
      </c>
      <c r="C1483">
        <v>5</v>
      </c>
      <c r="D1483">
        <v>1.43E-2</v>
      </c>
      <c r="E1483">
        <v>7.1102618819447327</v>
      </c>
      <c r="F1483">
        <v>814.76385259655513</v>
      </c>
      <c r="G1483">
        <v>0.42399999999999999</v>
      </c>
      <c r="H1483">
        <v>1.7299999999999999E-2</v>
      </c>
      <c r="I1483">
        <v>351.40530000000001</v>
      </c>
    </row>
    <row r="1484" spans="1:9" x14ac:dyDescent="0.3">
      <c r="A1484" t="s">
        <v>9</v>
      </c>
      <c r="B1484" t="s">
        <v>1582</v>
      </c>
      <c r="C1484">
        <v>5</v>
      </c>
      <c r="D1484">
        <v>1.8100000000000002E-2</v>
      </c>
      <c r="E1484">
        <v>7.4031978744921663</v>
      </c>
      <c r="F1484">
        <v>842.56347828930666</v>
      </c>
      <c r="G1484">
        <v>0.42399999999999999</v>
      </c>
      <c r="H1484">
        <v>2.1899999999999999E-2</v>
      </c>
      <c r="I1484">
        <v>351.60430000000002</v>
      </c>
    </row>
    <row r="1485" spans="1:9" x14ac:dyDescent="0.3">
      <c r="A1485" t="s">
        <v>9</v>
      </c>
      <c r="B1485" t="s">
        <v>1583</v>
      </c>
      <c r="C1485">
        <v>5</v>
      </c>
      <c r="D1485">
        <v>2.2700000000000001E-2</v>
      </c>
      <c r="E1485">
        <v>7.71406175624921</v>
      </c>
      <c r="F1485">
        <v>872.06446066805006</v>
      </c>
      <c r="G1485">
        <v>0.42399999999999999</v>
      </c>
      <c r="H1485">
        <v>2.6700000000000002E-2</v>
      </c>
      <c r="I1485">
        <v>351.80509999999998</v>
      </c>
    </row>
    <row r="1486" spans="1:9" x14ac:dyDescent="0.3">
      <c r="A1486" t="s">
        <v>9</v>
      </c>
      <c r="B1486" t="s">
        <v>1584</v>
      </c>
      <c r="C1486">
        <v>5</v>
      </c>
      <c r="D1486">
        <v>2.8000000000000001E-2</v>
      </c>
      <c r="E1486">
        <v>8.0324102225798217</v>
      </c>
      <c r="F1486">
        <v>902.27573012282517</v>
      </c>
      <c r="G1486">
        <v>0.42399999999999999</v>
      </c>
      <c r="H1486">
        <v>3.1600000000000003E-2</v>
      </c>
      <c r="I1486">
        <v>352.0059</v>
      </c>
    </row>
    <row r="1487" spans="1:9" x14ac:dyDescent="0.3">
      <c r="A1487" t="s">
        <v>9</v>
      </c>
      <c r="B1487" t="s">
        <v>1585</v>
      </c>
      <c r="C1487">
        <v>5</v>
      </c>
      <c r="D1487">
        <v>3.2599999999999997E-2</v>
      </c>
      <c r="E1487">
        <v>8.3457645056831371</v>
      </c>
      <c r="F1487">
        <v>932.01305158932973</v>
      </c>
      <c r="G1487">
        <v>0.42399999999999999</v>
      </c>
      <c r="H1487">
        <v>3.6499999999999998E-2</v>
      </c>
      <c r="I1487">
        <v>352.20350000000002</v>
      </c>
    </row>
    <row r="1488" spans="1:9" x14ac:dyDescent="0.3">
      <c r="A1488" t="s">
        <v>9</v>
      </c>
      <c r="B1488" t="s">
        <v>1586</v>
      </c>
      <c r="C1488">
        <v>5</v>
      </c>
      <c r="D1488">
        <v>3.7999999999999999E-2</v>
      </c>
      <c r="E1488">
        <v>8.6542981470401443</v>
      </c>
      <c r="F1488">
        <v>961.29289415410972</v>
      </c>
      <c r="G1488">
        <v>0.42399999999999999</v>
      </c>
      <c r="H1488">
        <v>4.1300000000000003E-2</v>
      </c>
      <c r="I1488">
        <v>352.40309999999999</v>
      </c>
    </row>
    <row r="1489" spans="1:9" x14ac:dyDescent="0.3">
      <c r="A1489" t="s">
        <v>9</v>
      </c>
      <c r="B1489" t="s">
        <v>1587</v>
      </c>
      <c r="C1489">
        <v>5</v>
      </c>
      <c r="D1489">
        <v>4.2999999999999997E-2</v>
      </c>
      <c r="E1489">
        <v>8.9503230157607963</v>
      </c>
      <c r="F1489">
        <v>989.38565419569966</v>
      </c>
      <c r="G1489">
        <v>0.42399999999999999</v>
      </c>
      <c r="H1489">
        <v>4.5900000000000003E-2</v>
      </c>
      <c r="I1489">
        <v>352.60480000000001</v>
      </c>
    </row>
    <row r="1490" spans="1:9" x14ac:dyDescent="0.3">
      <c r="A1490" t="s">
        <v>9</v>
      </c>
      <c r="B1490" t="s">
        <v>1588</v>
      </c>
      <c r="C1490">
        <v>5</v>
      </c>
      <c r="D1490">
        <v>4.7699999999999999E-2</v>
      </c>
      <c r="E1490">
        <v>9.2219794978794312</v>
      </c>
      <c r="F1490">
        <v>1015.165854348758</v>
      </c>
      <c r="G1490">
        <v>0.42399999999999999</v>
      </c>
      <c r="H1490">
        <v>5.0099999999999999E-2</v>
      </c>
      <c r="I1490">
        <v>352.80560000000003</v>
      </c>
    </row>
    <row r="1491" spans="1:9" x14ac:dyDescent="0.3">
      <c r="A1491" t="s">
        <v>9</v>
      </c>
      <c r="B1491" t="s">
        <v>1589</v>
      </c>
      <c r="C1491">
        <v>5</v>
      </c>
      <c r="D1491">
        <v>5.3100000000000001E-2</v>
      </c>
      <c r="E1491">
        <v>9.4632232409263484</v>
      </c>
      <c r="F1491">
        <v>1038.05988556391</v>
      </c>
      <c r="G1491">
        <v>0.42399999999999999</v>
      </c>
      <c r="H1491">
        <v>5.3900000000000003E-2</v>
      </c>
      <c r="I1491">
        <v>353.0059</v>
      </c>
    </row>
    <row r="1492" spans="1:9" x14ac:dyDescent="0.3">
      <c r="A1492" t="s">
        <v>9</v>
      </c>
      <c r="B1492" t="s">
        <v>1590</v>
      </c>
      <c r="C1492">
        <v>5</v>
      </c>
      <c r="D1492">
        <v>5.5500000000000001E-2</v>
      </c>
      <c r="E1492">
        <v>9.6694679652487192</v>
      </c>
      <c r="F1492">
        <v>1057.632509902103</v>
      </c>
      <c r="G1492">
        <v>0.42399999999999999</v>
      </c>
      <c r="H1492">
        <v>5.7099999999999998E-2</v>
      </c>
      <c r="I1492">
        <v>353.20670000000001</v>
      </c>
    </row>
    <row r="1493" spans="1:9" x14ac:dyDescent="0.3">
      <c r="A1493" t="s">
        <v>9</v>
      </c>
      <c r="B1493" t="s">
        <v>1591</v>
      </c>
      <c r="C1493">
        <v>5</v>
      </c>
      <c r="D1493">
        <v>5.91E-2</v>
      </c>
      <c r="E1493">
        <v>9.8345675452186043</v>
      </c>
      <c r="F1493">
        <v>1073.300460041246</v>
      </c>
      <c r="G1493">
        <v>0.42399999999999999</v>
      </c>
      <c r="H1493">
        <v>5.96E-2</v>
      </c>
      <c r="I1493">
        <v>353.40710000000001</v>
      </c>
    </row>
    <row r="1494" spans="1:9" x14ac:dyDescent="0.3">
      <c r="A1494" t="s">
        <v>9</v>
      </c>
      <c r="B1494" t="s">
        <v>1592</v>
      </c>
      <c r="C1494">
        <v>5</v>
      </c>
      <c r="D1494">
        <v>6.2E-2</v>
      </c>
      <c r="E1494">
        <v>9.9536705233127023</v>
      </c>
      <c r="F1494">
        <v>1084.603332662376</v>
      </c>
      <c r="G1494">
        <v>0.42399999999999999</v>
      </c>
      <c r="H1494">
        <v>6.1499999999999999E-2</v>
      </c>
      <c r="I1494">
        <v>353.60500000000002</v>
      </c>
    </row>
    <row r="1495" spans="1:9" x14ac:dyDescent="0.3">
      <c r="A1495" t="s">
        <v>9</v>
      </c>
      <c r="B1495" t="s">
        <v>1593</v>
      </c>
      <c r="C1495">
        <v>5</v>
      </c>
      <c r="D1495">
        <v>6.4600000000000005E-2</v>
      </c>
      <c r="E1495">
        <v>10.02651537089729</v>
      </c>
      <c r="F1495">
        <v>1091.516308698152</v>
      </c>
      <c r="G1495">
        <v>0.42399999999999999</v>
      </c>
      <c r="H1495">
        <v>6.2600000000000003E-2</v>
      </c>
      <c r="I1495">
        <v>353.80419999999998</v>
      </c>
    </row>
    <row r="1496" spans="1:9" x14ac:dyDescent="0.3">
      <c r="A1496" t="s">
        <v>9</v>
      </c>
      <c r="B1496" t="s">
        <v>1594</v>
      </c>
      <c r="C1496">
        <v>5</v>
      </c>
      <c r="D1496">
        <v>6.6100000000000006E-2</v>
      </c>
      <c r="E1496">
        <v>10.05043044120085</v>
      </c>
      <c r="F1496">
        <v>1093.7858488699601</v>
      </c>
      <c r="G1496">
        <v>0.42399999999999999</v>
      </c>
      <c r="H1496">
        <v>6.3E-2</v>
      </c>
      <c r="I1496">
        <v>354.00420000000003</v>
      </c>
    </row>
    <row r="1497" spans="1:9" x14ac:dyDescent="0.3">
      <c r="A1497" t="s">
        <v>9</v>
      </c>
      <c r="B1497" t="s">
        <v>1595</v>
      </c>
      <c r="C1497">
        <v>5</v>
      </c>
      <c r="D1497">
        <v>6.6199999999999995E-2</v>
      </c>
      <c r="E1497">
        <v>10.02458614106896</v>
      </c>
      <c r="F1497">
        <v>982.29142834762729</v>
      </c>
      <c r="G1497">
        <v>0.42399999999999999</v>
      </c>
      <c r="H1497">
        <v>6.2600000000000003E-2</v>
      </c>
      <c r="I1497">
        <v>354.20359999999999</v>
      </c>
    </row>
    <row r="1498" spans="1:9" x14ac:dyDescent="0.3">
      <c r="A1498" t="s">
        <v>9</v>
      </c>
      <c r="B1498" t="s">
        <v>1596</v>
      </c>
      <c r="C1498">
        <v>5</v>
      </c>
      <c r="D1498">
        <v>6.4100000000000004E-2</v>
      </c>
      <c r="E1498">
        <v>9.9482599216251977</v>
      </c>
      <c r="F1498">
        <v>975.17782469546842</v>
      </c>
      <c r="G1498">
        <v>0.42399999999999999</v>
      </c>
      <c r="H1498">
        <v>6.1400000000000003E-2</v>
      </c>
      <c r="I1498">
        <v>354.40589999999997</v>
      </c>
    </row>
    <row r="1499" spans="1:9" x14ac:dyDescent="0.3">
      <c r="A1499" t="s">
        <v>9</v>
      </c>
      <c r="B1499" t="s">
        <v>1597</v>
      </c>
      <c r="C1499">
        <v>5</v>
      </c>
      <c r="D1499">
        <v>6.2399999999999997E-2</v>
      </c>
      <c r="E1499">
        <v>9.8253459239521987</v>
      </c>
      <c r="F1499">
        <v>963.72224011234493</v>
      </c>
      <c r="G1499">
        <v>0.42399999999999999</v>
      </c>
      <c r="H1499">
        <v>5.9499999999999997E-2</v>
      </c>
      <c r="I1499">
        <v>354.60570000000001</v>
      </c>
    </row>
    <row r="1500" spans="1:9" x14ac:dyDescent="0.3">
      <c r="A1500" t="s">
        <v>9</v>
      </c>
      <c r="B1500" t="s">
        <v>1598</v>
      </c>
      <c r="C1500">
        <v>5</v>
      </c>
      <c r="D1500">
        <v>6.0699999999999997E-2</v>
      </c>
      <c r="E1500">
        <v>9.6579217801727761</v>
      </c>
      <c r="F1500">
        <v>948.11830991210275</v>
      </c>
      <c r="G1500">
        <v>0.42399999999999999</v>
      </c>
      <c r="H1500">
        <v>5.6899999999999999E-2</v>
      </c>
      <c r="I1500">
        <v>354.8057</v>
      </c>
    </row>
    <row r="1501" spans="1:9" x14ac:dyDescent="0.3">
      <c r="A1501" t="s">
        <v>9</v>
      </c>
      <c r="B1501" t="s">
        <v>1599</v>
      </c>
      <c r="C1501">
        <v>5</v>
      </c>
      <c r="D1501">
        <v>5.8700000000000002E-2</v>
      </c>
      <c r="E1501">
        <v>9.44778250929701</v>
      </c>
      <c r="F1501">
        <v>928.53332986648138</v>
      </c>
      <c r="G1501">
        <v>0.42399999999999999</v>
      </c>
      <c r="H1501">
        <v>5.3600000000000002E-2</v>
      </c>
      <c r="I1501">
        <v>355.00779999999997</v>
      </c>
    </row>
    <row r="1502" spans="1:9" x14ac:dyDescent="0.3">
      <c r="A1502" t="s">
        <v>9</v>
      </c>
      <c r="B1502" t="s">
        <v>1600</v>
      </c>
      <c r="C1502">
        <v>5</v>
      </c>
      <c r="D1502">
        <v>5.5399999999999998E-2</v>
      </c>
      <c r="E1502">
        <v>9.2099394494300331</v>
      </c>
      <c r="F1502">
        <v>906.36635668687916</v>
      </c>
      <c r="G1502">
        <v>0.42399999999999999</v>
      </c>
      <c r="H1502">
        <v>4.99E-2</v>
      </c>
      <c r="I1502">
        <v>355.20370000000003</v>
      </c>
    </row>
    <row r="1503" spans="1:9" x14ac:dyDescent="0.3">
      <c r="A1503" t="s">
        <v>9</v>
      </c>
      <c r="B1503" t="s">
        <v>1601</v>
      </c>
      <c r="C1503">
        <v>5</v>
      </c>
      <c r="D1503">
        <v>5.0700000000000002E-2</v>
      </c>
      <c r="E1503">
        <v>8.9356753849183885</v>
      </c>
      <c r="F1503">
        <v>880.80494587439387</v>
      </c>
      <c r="G1503">
        <v>0.42399999999999999</v>
      </c>
      <c r="H1503">
        <v>4.5699999999999998E-2</v>
      </c>
      <c r="I1503">
        <v>355.40550000000002</v>
      </c>
    </row>
    <row r="1504" spans="1:9" x14ac:dyDescent="0.3">
      <c r="A1504" t="s">
        <v>9</v>
      </c>
      <c r="B1504" t="s">
        <v>1602</v>
      </c>
      <c r="C1504">
        <v>5</v>
      </c>
      <c r="D1504">
        <v>4.6300000000000001E-2</v>
      </c>
      <c r="E1504">
        <v>8.6444906205400436</v>
      </c>
      <c r="F1504">
        <v>853.66652583433211</v>
      </c>
      <c r="G1504">
        <v>0.42399999999999999</v>
      </c>
      <c r="H1504">
        <v>4.1200000000000001E-2</v>
      </c>
      <c r="I1504">
        <v>355.60340000000002</v>
      </c>
    </row>
    <row r="1505" spans="1:9" x14ac:dyDescent="0.3">
      <c r="A1505" t="s">
        <v>9</v>
      </c>
      <c r="B1505" t="s">
        <v>1603</v>
      </c>
      <c r="C1505">
        <v>5</v>
      </c>
      <c r="D1505">
        <v>4.1599999999999998E-2</v>
      </c>
      <c r="E1505">
        <v>8.3331957233757894</v>
      </c>
      <c r="F1505">
        <v>824.65384141862364</v>
      </c>
      <c r="G1505">
        <v>0.42399999999999999</v>
      </c>
      <c r="H1505">
        <v>3.6299999999999999E-2</v>
      </c>
      <c r="I1505">
        <v>355.80450000000002</v>
      </c>
    </row>
    <row r="1506" spans="1:9" x14ac:dyDescent="0.3">
      <c r="A1506" t="s">
        <v>9</v>
      </c>
      <c r="B1506" t="s">
        <v>1604</v>
      </c>
      <c r="C1506">
        <v>5</v>
      </c>
      <c r="D1506">
        <v>3.6799999999999999E-2</v>
      </c>
      <c r="E1506">
        <v>8.0136843669342834</v>
      </c>
      <c r="F1506">
        <v>794.8753829982752</v>
      </c>
      <c r="G1506">
        <v>0.42399999999999999</v>
      </c>
      <c r="H1506">
        <v>3.1399999999999997E-2</v>
      </c>
      <c r="I1506">
        <v>356.0059</v>
      </c>
    </row>
    <row r="1507" spans="1:9" x14ac:dyDescent="0.3">
      <c r="A1507" t="s">
        <v>9</v>
      </c>
      <c r="B1507" t="s">
        <v>1605</v>
      </c>
      <c r="C1507">
        <v>5</v>
      </c>
      <c r="D1507">
        <v>3.1699999999999999E-2</v>
      </c>
      <c r="E1507">
        <v>7.6978879335039432</v>
      </c>
      <c r="F1507">
        <v>765.44315540256753</v>
      </c>
      <c r="G1507">
        <v>0.42399999999999999</v>
      </c>
      <c r="H1507">
        <v>2.64E-2</v>
      </c>
      <c r="I1507">
        <v>356.20510000000002</v>
      </c>
    </row>
    <row r="1508" spans="1:9" x14ac:dyDescent="0.3">
      <c r="A1508" t="s">
        <v>9</v>
      </c>
      <c r="B1508" t="s">
        <v>1606</v>
      </c>
      <c r="C1508">
        <v>5</v>
      </c>
      <c r="D1508">
        <v>2.6700000000000002E-2</v>
      </c>
      <c r="E1508">
        <v>7.3866875110244292</v>
      </c>
      <c r="F1508">
        <v>736.43927602747681</v>
      </c>
      <c r="G1508">
        <v>0.42399999999999999</v>
      </c>
      <c r="H1508">
        <v>2.1600000000000001E-2</v>
      </c>
      <c r="I1508">
        <v>356.40649999999999</v>
      </c>
    </row>
    <row r="1509" spans="1:9" x14ac:dyDescent="0.3">
      <c r="A1509" t="s">
        <v>9</v>
      </c>
      <c r="B1509" t="s">
        <v>1607</v>
      </c>
      <c r="C1509">
        <v>5</v>
      </c>
      <c r="D1509">
        <v>2.1399999999999999E-2</v>
      </c>
      <c r="E1509">
        <v>7.0941853721794548</v>
      </c>
      <c r="F1509">
        <v>709.17807668712521</v>
      </c>
      <c r="G1509">
        <v>0.42399999999999999</v>
      </c>
      <c r="H1509">
        <v>1.7100000000000001E-2</v>
      </c>
      <c r="I1509">
        <v>356.60599999999999</v>
      </c>
    </row>
    <row r="1510" spans="1:9" x14ac:dyDescent="0.3">
      <c r="A1510" t="s">
        <v>9</v>
      </c>
      <c r="B1510" t="s">
        <v>1608</v>
      </c>
      <c r="C1510">
        <v>5</v>
      </c>
      <c r="D1510">
        <v>1.67E-2</v>
      </c>
      <c r="E1510">
        <v>6.8254280059230537</v>
      </c>
      <c r="F1510">
        <v>684.12989015202857</v>
      </c>
      <c r="G1510">
        <v>0.42399999999999999</v>
      </c>
      <c r="H1510">
        <v>1.29E-2</v>
      </c>
      <c r="I1510">
        <v>356.80470000000003</v>
      </c>
    </row>
    <row r="1511" spans="1:9" x14ac:dyDescent="0.3">
      <c r="A1511" t="s">
        <v>9</v>
      </c>
      <c r="B1511" t="s">
        <v>1609</v>
      </c>
      <c r="C1511">
        <v>5</v>
      </c>
      <c r="D1511">
        <v>1.18E-2</v>
      </c>
      <c r="E1511">
        <v>6.5849428986493184</v>
      </c>
      <c r="F1511">
        <v>661.71667815411649</v>
      </c>
      <c r="G1511">
        <v>0.42399999999999999</v>
      </c>
      <c r="H1511">
        <v>9.1999999999999998E-3</v>
      </c>
      <c r="I1511">
        <v>357.00409999999999</v>
      </c>
    </row>
    <row r="1512" spans="1:9" x14ac:dyDescent="0.3">
      <c r="A1512" t="s">
        <v>9</v>
      </c>
      <c r="B1512" t="s">
        <v>1610</v>
      </c>
      <c r="C1512">
        <v>5</v>
      </c>
      <c r="D1512">
        <v>7.3000000000000001E-3</v>
      </c>
      <c r="E1512">
        <v>6.3780689648171549</v>
      </c>
      <c r="F1512">
        <v>642.43602752095887</v>
      </c>
      <c r="G1512">
        <v>0.42399999999999999</v>
      </c>
      <c r="H1512">
        <v>5.8999999999999999E-3</v>
      </c>
      <c r="I1512">
        <v>357.20519999999999</v>
      </c>
    </row>
    <row r="1513" spans="1:9" x14ac:dyDescent="0.3">
      <c r="A1513" t="s">
        <v>9</v>
      </c>
      <c r="B1513" t="s">
        <v>1611</v>
      </c>
      <c r="C1513">
        <v>5</v>
      </c>
      <c r="D1513">
        <v>3.5999999999999999E-3</v>
      </c>
      <c r="E1513">
        <v>6.2120989202412469</v>
      </c>
      <c r="F1513">
        <v>626.9676193664842</v>
      </c>
      <c r="G1513">
        <v>0.42399999999999999</v>
      </c>
      <c r="H1513">
        <v>3.3999999999999998E-3</v>
      </c>
      <c r="I1513">
        <v>357.40640000000002</v>
      </c>
    </row>
    <row r="1514" spans="1:9" x14ac:dyDescent="0.3">
      <c r="A1514" t="s">
        <v>9</v>
      </c>
      <c r="B1514" t="s">
        <v>1612</v>
      </c>
      <c r="C1514">
        <v>5</v>
      </c>
      <c r="D1514">
        <v>8.9999999999999998E-4</v>
      </c>
      <c r="E1514">
        <v>6.0925550738007148</v>
      </c>
      <c r="F1514">
        <v>615.82613287822664</v>
      </c>
      <c r="G1514">
        <v>0.42399999999999999</v>
      </c>
      <c r="H1514">
        <v>1.5E-3</v>
      </c>
      <c r="I1514">
        <v>357.60489999999999</v>
      </c>
    </row>
    <row r="1515" spans="1:9" x14ac:dyDescent="0.3">
      <c r="A1515" t="s">
        <v>9</v>
      </c>
      <c r="B1515" t="s">
        <v>1613</v>
      </c>
      <c r="C1515">
        <v>5</v>
      </c>
      <c r="D1515">
        <v>-1E-3</v>
      </c>
      <c r="E1515">
        <v>6.0193256209909638</v>
      </c>
      <c r="F1515">
        <v>609.00114787635789</v>
      </c>
      <c r="G1515">
        <v>0.42399999999999999</v>
      </c>
      <c r="H1515">
        <v>4.0000000000000002E-4</v>
      </c>
      <c r="I1515">
        <v>357.80549999999999</v>
      </c>
    </row>
    <row r="1516" spans="1:9" x14ac:dyDescent="0.3">
      <c r="A1516" t="s">
        <v>9</v>
      </c>
      <c r="B1516" t="s">
        <v>1614</v>
      </c>
      <c r="C1516">
        <v>5</v>
      </c>
      <c r="D1516">
        <v>-2.5000000000000001E-3</v>
      </c>
      <c r="E1516">
        <v>5.995783028079706</v>
      </c>
      <c r="F1516">
        <v>606.80697821702859</v>
      </c>
      <c r="G1516">
        <v>0.42399999999999999</v>
      </c>
      <c r="H1516">
        <v>0</v>
      </c>
      <c r="I1516">
        <v>358.00889999999998</v>
      </c>
    </row>
    <row r="1517" spans="1:9" x14ac:dyDescent="0.3">
      <c r="A1517" t="s">
        <v>9</v>
      </c>
      <c r="B1517" t="s">
        <v>1615</v>
      </c>
      <c r="C1517">
        <v>5</v>
      </c>
      <c r="D1517">
        <v>-2.5999999999999999E-3</v>
      </c>
      <c r="E1517">
        <v>6.0221657165308331</v>
      </c>
      <c r="F1517">
        <v>711.50352649877607</v>
      </c>
      <c r="G1517">
        <v>0.42399999999999999</v>
      </c>
      <c r="H1517">
        <v>4.0000000000000002E-4</v>
      </c>
      <c r="I1517">
        <v>358.20580000000001</v>
      </c>
    </row>
    <row r="1518" spans="1:9" x14ac:dyDescent="0.3">
      <c r="A1518" t="s">
        <v>9</v>
      </c>
      <c r="B1518" t="s">
        <v>1616</v>
      </c>
      <c r="C1518">
        <v>5</v>
      </c>
      <c r="D1518">
        <v>-5.9999999999999995E-4</v>
      </c>
      <c r="E1518">
        <v>6.0979782450814684</v>
      </c>
      <c r="F1518">
        <v>718.69813545823138</v>
      </c>
      <c r="G1518">
        <v>0.42399999999999999</v>
      </c>
      <c r="H1518">
        <v>1.6000000000000001E-3</v>
      </c>
      <c r="I1518">
        <v>358.40609999999998</v>
      </c>
    </row>
    <row r="1519" spans="1:9" x14ac:dyDescent="0.3">
      <c r="A1519" t="s">
        <v>9</v>
      </c>
      <c r="B1519" t="s">
        <v>1617</v>
      </c>
      <c r="C1519">
        <v>5</v>
      </c>
      <c r="D1519">
        <v>2.0999999999999999E-3</v>
      </c>
      <c r="E1519">
        <v>6.2197896055970183</v>
      </c>
      <c r="F1519">
        <v>730.25803357115706</v>
      </c>
      <c r="G1519">
        <v>0.42399999999999999</v>
      </c>
      <c r="H1519">
        <v>3.5000000000000001E-3</v>
      </c>
      <c r="I1519">
        <v>358.60419999999999</v>
      </c>
    </row>
    <row r="1520" spans="1:9" x14ac:dyDescent="0.3">
      <c r="A1520" t="s">
        <v>9</v>
      </c>
      <c r="B1520" t="s">
        <v>1618</v>
      </c>
      <c r="C1520">
        <v>5</v>
      </c>
      <c r="D1520">
        <v>4.1000000000000003E-3</v>
      </c>
      <c r="E1520">
        <v>6.3874588158977206</v>
      </c>
      <c r="F1520">
        <v>746.1698416286938</v>
      </c>
      <c r="G1520">
        <v>0.42399999999999999</v>
      </c>
      <c r="H1520">
        <v>6.1000000000000004E-3</v>
      </c>
      <c r="I1520">
        <v>358.8048</v>
      </c>
    </row>
    <row r="1521" spans="1:9" x14ac:dyDescent="0.3">
      <c r="A1521" t="s">
        <v>9</v>
      </c>
      <c r="B1521" t="s">
        <v>1619</v>
      </c>
      <c r="C1521">
        <v>5</v>
      </c>
      <c r="D1521">
        <v>7.1000000000000004E-3</v>
      </c>
      <c r="E1521">
        <v>6.5965134119702604</v>
      </c>
      <c r="F1521">
        <v>766.00912279597765</v>
      </c>
      <c r="G1521">
        <v>0.42399999999999999</v>
      </c>
      <c r="H1521">
        <v>9.2999999999999992E-3</v>
      </c>
      <c r="I1521">
        <v>359.00619999999998</v>
      </c>
    </row>
    <row r="1522" spans="1:9" x14ac:dyDescent="0.3">
      <c r="A1522" t="s">
        <v>9</v>
      </c>
      <c r="B1522" t="s">
        <v>1620</v>
      </c>
      <c r="C1522">
        <v>5</v>
      </c>
      <c r="D1522">
        <v>1.04E-2</v>
      </c>
      <c r="E1522">
        <v>6.837253154874972</v>
      </c>
      <c r="F1522">
        <v>788.85532439763483</v>
      </c>
      <c r="G1522">
        <v>0.42399999999999999</v>
      </c>
      <c r="H1522">
        <v>1.3100000000000001E-2</v>
      </c>
      <c r="I1522">
        <v>359.2045</v>
      </c>
    </row>
    <row r="1523" spans="1:9" x14ac:dyDescent="0.3">
      <c r="A1523" t="s">
        <v>9</v>
      </c>
      <c r="B1523" t="s">
        <v>1621</v>
      </c>
      <c r="C1523">
        <v>5</v>
      </c>
      <c r="D1523">
        <v>1.4E-2</v>
      </c>
      <c r="E1523">
        <v>7.1088581422083603</v>
      </c>
      <c r="F1523">
        <v>814.63063769557345</v>
      </c>
      <c r="G1523">
        <v>0.42399999999999999</v>
      </c>
      <c r="H1523">
        <v>1.7299999999999999E-2</v>
      </c>
      <c r="I1523">
        <v>359.40429999999998</v>
      </c>
    </row>
    <row r="1524" spans="1:9" x14ac:dyDescent="0.3">
      <c r="A1524" t="s">
        <v>9</v>
      </c>
      <c r="B1524" t="s">
        <v>1622</v>
      </c>
      <c r="C1524">
        <v>5</v>
      </c>
      <c r="D1524">
        <v>1.8200000000000001E-2</v>
      </c>
      <c r="E1524">
        <v>7.4055301422459534</v>
      </c>
      <c r="F1524">
        <v>842.78481049914103</v>
      </c>
      <c r="G1524">
        <v>0.42399999999999999</v>
      </c>
      <c r="H1524">
        <v>2.1899999999999999E-2</v>
      </c>
      <c r="I1524">
        <v>359.60590000000002</v>
      </c>
    </row>
    <row r="1525" spans="1:9" x14ac:dyDescent="0.3">
      <c r="A1525" t="s">
        <v>9</v>
      </c>
      <c r="B1525" t="s">
        <v>1623</v>
      </c>
      <c r="C1525">
        <v>5</v>
      </c>
      <c r="D1525">
        <v>2.2700000000000001E-2</v>
      </c>
      <c r="E1525">
        <v>7.714219484370946</v>
      </c>
      <c r="F1525">
        <v>872.07942906680285</v>
      </c>
      <c r="G1525">
        <v>0.42399999999999999</v>
      </c>
      <c r="H1525">
        <v>2.6700000000000002E-2</v>
      </c>
      <c r="I1525">
        <v>359.80529999999999</v>
      </c>
    </row>
    <row r="1526" spans="1:9" x14ac:dyDescent="0.3">
      <c r="A1526" t="s">
        <v>9</v>
      </c>
      <c r="B1526" t="s">
        <v>1624</v>
      </c>
      <c r="C1526">
        <v>5</v>
      </c>
      <c r="D1526">
        <v>2.7900000000000001E-2</v>
      </c>
      <c r="E1526">
        <v>5.9957334838115024</v>
      </c>
      <c r="F1526">
        <v>606.80236069123202</v>
      </c>
      <c r="G1526">
        <v>0.42399999999999999</v>
      </c>
      <c r="H1526">
        <v>0</v>
      </c>
      <c r="I1526">
        <v>360.00630000000001</v>
      </c>
    </row>
    <row r="1527" spans="1:9" x14ac:dyDescent="0.3">
      <c r="A1527" t="s">
        <v>9</v>
      </c>
      <c r="B1527" t="s">
        <v>1625</v>
      </c>
      <c r="C1527">
        <v>5</v>
      </c>
      <c r="D1527">
        <v>1.9599999999999999E-2</v>
      </c>
      <c r="E1527">
        <v>5.9957334838115024</v>
      </c>
      <c r="F1527">
        <v>606.80236069123202</v>
      </c>
      <c r="G1527">
        <v>0.42399999999999999</v>
      </c>
      <c r="H1527">
        <v>0</v>
      </c>
      <c r="I1527">
        <v>360.20569999999998</v>
      </c>
    </row>
    <row r="1528" spans="1:9" x14ac:dyDescent="0.3">
      <c r="A1528" t="s">
        <v>9</v>
      </c>
      <c r="B1528" t="s">
        <v>1626</v>
      </c>
      <c r="C1528">
        <v>5</v>
      </c>
      <c r="D1528">
        <v>5.4000000000000003E-3</v>
      </c>
      <c r="E1528">
        <v>5.9957334838115024</v>
      </c>
      <c r="F1528">
        <v>606.80236069123202</v>
      </c>
      <c r="G1528">
        <v>0.42399999999999999</v>
      </c>
      <c r="H1528">
        <v>0</v>
      </c>
      <c r="I1528">
        <v>360.40530000000001</v>
      </c>
    </row>
    <row r="1529" spans="1:9" x14ac:dyDescent="0.3">
      <c r="A1529" t="s">
        <v>9</v>
      </c>
      <c r="B1529" t="s">
        <v>1627</v>
      </c>
      <c r="C1529">
        <v>5</v>
      </c>
      <c r="D1529">
        <v>-1.2999999999999999E-3</v>
      </c>
      <c r="E1529">
        <v>5.9957334838115024</v>
      </c>
      <c r="F1529">
        <v>606.80236069123202</v>
      </c>
      <c r="G1529">
        <v>0.42399999999999999</v>
      </c>
      <c r="H1529">
        <v>0</v>
      </c>
      <c r="I1529">
        <v>360.60500000000002</v>
      </c>
    </row>
    <row r="1530" spans="1:9" x14ac:dyDescent="0.3">
      <c r="A1530" t="s">
        <v>9</v>
      </c>
      <c r="B1530" t="s">
        <v>1628</v>
      </c>
      <c r="C1530">
        <v>5</v>
      </c>
      <c r="D1530">
        <v>-3.0999999999999999E-3</v>
      </c>
      <c r="E1530">
        <v>9.2227069124048651</v>
      </c>
      <c r="F1530">
        <v>1015.234885987222</v>
      </c>
      <c r="G1530">
        <v>0.42399999999999999</v>
      </c>
      <c r="H1530">
        <v>5.0099999999999999E-2</v>
      </c>
      <c r="I1530">
        <v>360.80619999999999</v>
      </c>
    </row>
    <row r="1531" spans="1:9" x14ac:dyDescent="0.3">
      <c r="A1531" t="s">
        <v>9</v>
      </c>
      <c r="B1531" t="s">
        <v>1629</v>
      </c>
      <c r="C1531">
        <v>5</v>
      </c>
      <c r="D1531">
        <v>2.93E-2</v>
      </c>
      <c r="E1531">
        <v>9.4623340435716798</v>
      </c>
      <c r="F1531">
        <v>1037.975500734952</v>
      </c>
      <c r="G1531">
        <v>0.42399999999999999</v>
      </c>
      <c r="H1531">
        <v>5.3900000000000003E-2</v>
      </c>
      <c r="I1531">
        <v>361.00510000000003</v>
      </c>
    </row>
    <row r="1532" spans="1:9" x14ac:dyDescent="0.3">
      <c r="A1532" t="s">
        <v>9</v>
      </c>
      <c r="B1532" t="s">
        <v>1630</v>
      </c>
      <c r="C1532">
        <v>5</v>
      </c>
      <c r="D1532">
        <v>5.0599999999999999E-2</v>
      </c>
      <c r="E1532">
        <v>9.6677540403886244</v>
      </c>
      <c r="F1532">
        <v>1057.469858432881</v>
      </c>
      <c r="G1532">
        <v>0.42399999999999999</v>
      </c>
      <c r="H1532">
        <v>5.7099999999999998E-2</v>
      </c>
      <c r="I1532">
        <v>361.20479999999998</v>
      </c>
    </row>
    <row r="1533" spans="1:9" x14ac:dyDescent="0.3">
      <c r="A1533" t="s">
        <v>9</v>
      </c>
      <c r="B1533" t="s">
        <v>1631</v>
      </c>
      <c r="C1533">
        <v>5</v>
      </c>
      <c r="D1533">
        <v>5.8099999999999999E-2</v>
      </c>
      <c r="E1533">
        <v>9.8323001527848142</v>
      </c>
      <c r="F1533">
        <v>1073.0852844992789</v>
      </c>
      <c r="G1533">
        <v>0.42399999999999999</v>
      </c>
      <c r="H1533">
        <v>5.96E-2</v>
      </c>
      <c r="I1533">
        <v>361.40390000000002</v>
      </c>
    </row>
    <row r="1534" spans="1:9" x14ac:dyDescent="0.3">
      <c r="A1534" t="s">
        <v>9</v>
      </c>
      <c r="B1534" t="s">
        <v>1632</v>
      </c>
      <c r="C1534">
        <v>5</v>
      </c>
      <c r="D1534">
        <v>6.1800000000000001E-2</v>
      </c>
      <c r="E1534">
        <v>9.9537759457076938</v>
      </c>
      <c r="F1534">
        <v>1084.61333724766</v>
      </c>
      <c r="G1534">
        <v>0.42399999999999999</v>
      </c>
      <c r="H1534">
        <v>6.1499999999999999E-2</v>
      </c>
      <c r="I1534">
        <v>361.60520000000002</v>
      </c>
    </row>
    <row r="1535" spans="1:9" x14ac:dyDescent="0.3">
      <c r="A1535" t="s">
        <v>9</v>
      </c>
      <c r="B1535" t="s">
        <v>1633</v>
      </c>
      <c r="C1535">
        <v>5</v>
      </c>
      <c r="D1535">
        <v>6.4600000000000005E-2</v>
      </c>
      <c r="E1535">
        <v>10.026416436034291</v>
      </c>
      <c r="F1535">
        <v>1091.5069197796549</v>
      </c>
      <c r="G1535">
        <v>0.42399999999999999</v>
      </c>
      <c r="H1535">
        <v>6.2600000000000003E-2</v>
      </c>
      <c r="I1535">
        <v>361.80380000000002</v>
      </c>
    </row>
    <row r="1536" spans="1:9" x14ac:dyDescent="0.3">
      <c r="A1536" t="s">
        <v>9</v>
      </c>
      <c r="B1536" t="s">
        <v>1634</v>
      </c>
      <c r="C1536">
        <v>5</v>
      </c>
      <c r="D1536">
        <v>6.5500000000000003E-2</v>
      </c>
      <c r="E1536">
        <v>10.05041827707835</v>
      </c>
      <c r="F1536">
        <v>1093.784694494735</v>
      </c>
      <c r="G1536">
        <v>0.42399999999999999</v>
      </c>
      <c r="H1536">
        <v>6.3E-2</v>
      </c>
      <c r="I1536">
        <v>362.00599999999997</v>
      </c>
    </row>
    <row r="1537" spans="1:9" x14ac:dyDescent="0.3">
      <c r="A1537" t="s">
        <v>9</v>
      </c>
      <c r="B1537" t="s">
        <v>1635</v>
      </c>
      <c r="C1537">
        <v>5</v>
      </c>
      <c r="D1537">
        <v>6.59E-2</v>
      </c>
      <c r="E1537">
        <v>10.024234192457991</v>
      </c>
      <c r="F1537">
        <v>982.25862673708514</v>
      </c>
      <c r="G1537">
        <v>0.42399999999999999</v>
      </c>
      <c r="H1537">
        <v>6.2600000000000003E-2</v>
      </c>
      <c r="I1537">
        <v>362.20490000000001</v>
      </c>
    </row>
    <row r="1538" spans="1:9" x14ac:dyDescent="0.3">
      <c r="A1538" t="s">
        <v>9</v>
      </c>
      <c r="B1538" t="s">
        <v>1636</v>
      </c>
      <c r="C1538">
        <v>5</v>
      </c>
      <c r="D1538">
        <v>6.4500000000000002E-2</v>
      </c>
      <c r="E1538">
        <v>9.9489265155381368</v>
      </c>
      <c r="F1538">
        <v>975.2399512481544</v>
      </c>
      <c r="G1538">
        <v>0.42399999999999999</v>
      </c>
      <c r="H1538">
        <v>6.1400000000000003E-2</v>
      </c>
      <c r="I1538">
        <v>362.40460000000002</v>
      </c>
    </row>
    <row r="1539" spans="1:9" x14ac:dyDescent="0.3">
      <c r="A1539" t="s">
        <v>9</v>
      </c>
      <c r="B1539" t="s">
        <v>1637</v>
      </c>
      <c r="C1539">
        <v>5</v>
      </c>
      <c r="D1539">
        <v>6.2700000000000006E-2</v>
      </c>
      <c r="E1539">
        <v>9.8266308607588329</v>
      </c>
      <c r="F1539">
        <v>963.8419962227232</v>
      </c>
      <c r="G1539">
        <v>0.42399999999999999</v>
      </c>
      <c r="H1539">
        <v>5.9499999999999997E-2</v>
      </c>
      <c r="I1539">
        <v>362.60390000000001</v>
      </c>
    </row>
    <row r="1540" spans="1:9" x14ac:dyDescent="0.3">
      <c r="A1540" t="s">
        <v>9</v>
      </c>
      <c r="B1540" t="s">
        <v>1638</v>
      </c>
      <c r="C1540">
        <v>5</v>
      </c>
      <c r="D1540">
        <v>6.13E-2</v>
      </c>
      <c r="E1540">
        <v>9.6588876114991873</v>
      </c>
      <c r="F1540">
        <v>948.20832539172432</v>
      </c>
      <c r="G1540">
        <v>0.42399999999999999</v>
      </c>
      <c r="H1540">
        <v>5.6899999999999999E-2</v>
      </c>
      <c r="I1540">
        <v>362.80470000000003</v>
      </c>
    </row>
    <row r="1541" spans="1:9" x14ac:dyDescent="0.3">
      <c r="A1541" t="s">
        <v>9</v>
      </c>
      <c r="B1541" t="s">
        <v>1639</v>
      </c>
      <c r="C1541">
        <v>5</v>
      </c>
      <c r="D1541">
        <v>5.8999999999999997E-2</v>
      </c>
      <c r="E1541">
        <v>9.4516251555944102</v>
      </c>
      <c r="F1541">
        <v>928.89146450139901</v>
      </c>
      <c r="G1541">
        <v>0.42399999999999999</v>
      </c>
      <c r="H1541">
        <v>5.3699999999999998E-2</v>
      </c>
      <c r="I1541">
        <v>363.00439999999998</v>
      </c>
    </row>
    <row r="1542" spans="1:9" x14ac:dyDescent="0.3">
      <c r="A1542" t="s">
        <v>9</v>
      </c>
      <c r="B1542" t="s">
        <v>1640</v>
      </c>
      <c r="C1542">
        <v>5</v>
      </c>
      <c r="D1542">
        <v>5.5399999999999998E-2</v>
      </c>
      <c r="E1542">
        <v>9.2071996835725347</v>
      </c>
      <c r="F1542">
        <v>906.11101050896025</v>
      </c>
      <c r="G1542">
        <v>0.42399999999999999</v>
      </c>
      <c r="H1542">
        <v>4.99E-2</v>
      </c>
      <c r="I1542">
        <v>363.20580000000001</v>
      </c>
    </row>
    <row r="1543" spans="1:9" x14ac:dyDescent="0.3">
      <c r="A1543" t="s">
        <v>9</v>
      </c>
      <c r="B1543" t="s">
        <v>1641</v>
      </c>
      <c r="C1543">
        <v>5</v>
      </c>
      <c r="D1543">
        <v>5.0799999999999998E-2</v>
      </c>
      <c r="E1543">
        <v>8.9366927110300463</v>
      </c>
      <c r="F1543">
        <v>880.89976066800034</v>
      </c>
      <c r="G1543">
        <v>0.42399999999999999</v>
      </c>
      <c r="H1543">
        <v>4.5699999999999998E-2</v>
      </c>
      <c r="I1543">
        <v>363.40480000000002</v>
      </c>
    </row>
    <row r="1544" spans="1:9" x14ac:dyDescent="0.3">
      <c r="A1544" t="s">
        <v>9</v>
      </c>
      <c r="B1544" t="s">
        <v>1642</v>
      </c>
      <c r="C1544">
        <v>5</v>
      </c>
      <c r="D1544">
        <v>4.6100000000000002E-2</v>
      </c>
      <c r="E1544">
        <v>8.6413932294810767</v>
      </c>
      <c r="F1544">
        <v>853.37784898763641</v>
      </c>
      <c r="G1544">
        <v>0.42399999999999999</v>
      </c>
      <c r="H1544">
        <v>4.1099999999999998E-2</v>
      </c>
      <c r="I1544">
        <v>363.60539999999997</v>
      </c>
    </row>
    <row r="1545" spans="1:9" x14ac:dyDescent="0.3">
      <c r="A1545" t="s">
        <v>9</v>
      </c>
      <c r="B1545" t="s">
        <v>1643</v>
      </c>
      <c r="C1545">
        <v>5</v>
      </c>
      <c r="D1545">
        <v>4.1000000000000002E-2</v>
      </c>
      <c r="E1545">
        <v>8.330469338053037</v>
      </c>
      <c r="F1545">
        <v>824.39974230654309</v>
      </c>
      <c r="G1545">
        <v>0.42399999999999999</v>
      </c>
      <c r="H1545">
        <v>3.6299999999999999E-2</v>
      </c>
      <c r="I1545">
        <v>363.80619999999999</v>
      </c>
    </row>
    <row r="1546" spans="1:9" x14ac:dyDescent="0.3">
      <c r="A1546" t="s">
        <v>9</v>
      </c>
      <c r="B1546" t="s">
        <v>1644</v>
      </c>
      <c r="C1546">
        <v>5</v>
      </c>
      <c r="D1546">
        <v>3.6900000000000002E-2</v>
      </c>
      <c r="E1546">
        <v>8.0143286599559751</v>
      </c>
      <c r="F1546">
        <v>794.93543110789687</v>
      </c>
      <c r="G1546">
        <v>0.42399999999999999</v>
      </c>
      <c r="H1546">
        <v>3.1399999999999997E-2</v>
      </c>
      <c r="I1546">
        <v>364.00549999999998</v>
      </c>
    </row>
    <row r="1547" spans="1:9" x14ac:dyDescent="0.3">
      <c r="A1547" t="s">
        <v>9</v>
      </c>
      <c r="B1547" t="s">
        <v>1645</v>
      </c>
      <c r="C1547">
        <v>5</v>
      </c>
      <c r="D1547">
        <v>3.2000000000000001E-2</v>
      </c>
      <c r="E1547">
        <v>7.6987686159728623</v>
      </c>
      <c r="F1547">
        <v>765.52523500867085</v>
      </c>
      <c r="G1547">
        <v>0.42399999999999999</v>
      </c>
      <c r="H1547">
        <v>2.6499999999999999E-2</v>
      </c>
      <c r="I1547">
        <v>364.20460000000003</v>
      </c>
    </row>
    <row r="1548" spans="1:9" x14ac:dyDescent="0.3">
      <c r="A1548" t="s">
        <v>9</v>
      </c>
      <c r="B1548" t="s">
        <v>1646</v>
      </c>
      <c r="C1548">
        <v>5</v>
      </c>
      <c r="D1548">
        <v>2.64E-2</v>
      </c>
      <c r="E1548">
        <v>7.3888267747012337</v>
      </c>
      <c r="F1548">
        <v>736.638655402155</v>
      </c>
      <c r="G1548">
        <v>0.42399999999999999</v>
      </c>
      <c r="H1548">
        <v>2.1600000000000001E-2</v>
      </c>
      <c r="I1548">
        <v>364.4051</v>
      </c>
    </row>
    <row r="1549" spans="1:9" x14ac:dyDescent="0.3">
      <c r="A1549" t="s">
        <v>9</v>
      </c>
      <c r="B1549" t="s">
        <v>1647</v>
      </c>
      <c r="C1549">
        <v>5</v>
      </c>
      <c r="D1549">
        <v>2.1299999999999999E-2</v>
      </c>
      <c r="E1549">
        <v>7.0940430519462154</v>
      </c>
      <c r="F1549">
        <v>709.16481244138731</v>
      </c>
      <c r="G1549">
        <v>0.42399999999999999</v>
      </c>
      <c r="H1549">
        <v>1.7100000000000001E-2</v>
      </c>
      <c r="I1549">
        <v>364.60610000000003</v>
      </c>
    </row>
    <row r="1550" spans="1:9" x14ac:dyDescent="0.3">
      <c r="A1550" t="s">
        <v>9</v>
      </c>
      <c r="B1550" t="s">
        <v>1648</v>
      </c>
      <c r="C1550">
        <v>5</v>
      </c>
      <c r="D1550">
        <v>1.6400000000000001E-2</v>
      </c>
      <c r="E1550">
        <v>6.8252491933223203</v>
      </c>
      <c r="F1550">
        <v>684.11322481764023</v>
      </c>
      <c r="G1550">
        <v>0.42399999999999999</v>
      </c>
      <c r="H1550">
        <v>1.29E-2</v>
      </c>
      <c r="I1550">
        <v>364.8048</v>
      </c>
    </row>
    <row r="1551" spans="1:9" x14ac:dyDescent="0.3">
      <c r="A1551" t="s">
        <v>9</v>
      </c>
      <c r="B1551" t="s">
        <v>1649</v>
      </c>
      <c r="C1551">
        <v>5</v>
      </c>
      <c r="D1551">
        <v>1.0999999999999999E-2</v>
      </c>
      <c r="E1551">
        <v>6.5826081980710329</v>
      </c>
      <c r="F1551">
        <v>661.4990840602203</v>
      </c>
      <c r="G1551">
        <v>0.42399999999999999</v>
      </c>
      <c r="H1551">
        <v>9.1000000000000004E-3</v>
      </c>
      <c r="I1551">
        <v>365.00619999999998</v>
      </c>
    </row>
    <row r="1552" spans="1:9" x14ac:dyDescent="0.3">
      <c r="A1552" t="s">
        <v>9</v>
      </c>
      <c r="B1552" t="s">
        <v>1650</v>
      </c>
      <c r="C1552">
        <v>5</v>
      </c>
      <c r="D1552">
        <v>7.7999999999999996E-3</v>
      </c>
      <c r="E1552">
        <v>6.3786990258155214</v>
      </c>
      <c r="F1552">
        <v>642.49474920600665</v>
      </c>
      <c r="G1552">
        <v>0.42399999999999999</v>
      </c>
      <c r="H1552">
        <v>6.0000000000000001E-3</v>
      </c>
      <c r="I1552">
        <v>365.2045</v>
      </c>
    </row>
    <row r="1553" spans="1:9" x14ac:dyDescent="0.3">
      <c r="A1553" t="s">
        <v>9</v>
      </c>
      <c r="B1553" t="s">
        <v>1651</v>
      </c>
      <c r="C1553">
        <v>5</v>
      </c>
      <c r="D1553">
        <v>3.7000000000000002E-3</v>
      </c>
      <c r="E1553">
        <v>6.2125000930012613</v>
      </c>
      <c r="F1553">
        <v>627.00500866771756</v>
      </c>
      <c r="G1553">
        <v>0.42399999999999999</v>
      </c>
      <c r="H1553">
        <v>3.3999999999999998E-3</v>
      </c>
      <c r="I1553">
        <v>365.4058</v>
      </c>
    </row>
    <row r="1554" spans="1:9" x14ac:dyDescent="0.3">
      <c r="A1554" t="s">
        <v>9</v>
      </c>
      <c r="B1554" t="s">
        <v>1652</v>
      </c>
      <c r="C1554">
        <v>5</v>
      </c>
      <c r="D1554">
        <v>8.9999999999999998E-4</v>
      </c>
      <c r="E1554">
        <v>6.0923363628781848</v>
      </c>
      <c r="F1554">
        <v>615.80574902024682</v>
      </c>
      <c r="G1554">
        <v>0.42399999999999999</v>
      </c>
      <c r="H1554">
        <v>1.5E-3</v>
      </c>
      <c r="I1554">
        <v>365.6053</v>
      </c>
    </row>
    <row r="1555" spans="1:9" x14ac:dyDescent="0.3">
      <c r="A1555" t="s">
        <v>9</v>
      </c>
      <c r="B1555" t="s">
        <v>1653</v>
      </c>
      <c r="C1555">
        <v>5</v>
      </c>
      <c r="D1555">
        <v>-1.4E-3</v>
      </c>
      <c r="E1555">
        <v>6.0196886267892822</v>
      </c>
      <c r="F1555">
        <v>609.0349800167611</v>
      </c>
      <c r="G1555">
        <v>0.42399999999999999</v>
      </c>
      <c r="H1555">
        <v>4.0000000000000002E-4</v>
      </c>
      <c r="I1555">
        <v>365.80399999999997</v>
      </c>
    </row>
    <row r="1556" spans="1:9" x14ac:dyDescent="0.3">
      <c r="A1556" t="s">
        <v>9</v>
      </c>
      <c r="B1556" t="s">
        <v>1654</v>
      </c>
      <c r="C1556">
        <v>5</v>
      </c>
      <c r="D1556">
        <v>-2.5999999999999999E-3</v>
      </c>
      <c r="E1556">
        <v>5.9957569267151731</v>
      </c>
      <c r="F1556">
        <v>606.8045455698541</v>
      </c>
      <c r="G1556">
        <v>0.42399999999999999</v>
      </c>
      <c r="H1556">
        <v>0</v>
      </c>
      <c r="I1556">
        <v>366.0061</v>
      </c>
    </row>
    <row r="1557" spans="1:9" x14ac:dyDescent="0.3">
      <c r="A1557" t="s">
        <v>9</v>
      </c>
      <c r="B1557" t="s">
        <v>1655</v>
      </c>
      <c r="C1557">
        <v>5</v>
      </c>
      <c r="D1557">
        <v>-3.0000000000000001E-3</v>
      </c>
      <c r="E1557">
        <v>6.0217647708344408</v>
      </c>
      <c r="F1557">
        <v>711.46547675218847</v>
      </c>
      <c r="G1557">
        <v>0.42399999999999999</v>
      </c>
      <c r="H1557">
        <v>4.0000000000000002E-4</v>
      </c>
      <c r="I1557">
        <v>366.20429999999999</v>
      </c>
    </row>
    <row r="1558" spans="1:9" x14ac:dyDescent="0.3">
      <c r="A1558" t="s">
        <v>9</v>
      </c>
      <c r="B1558" t="s">
        <v>1656</v>
      </c>
      <c r="C1558">
        <v>5</v>
      </c>
      <c r="D1558">
        <v>-8.9999999999999998E-4</v>
      </c>
      <c r="E1558">
        <v>6.0974470378519428</v>
      </c>
      <c r="F1558">
        <v>718.64772389214943</v>
      </c>
      <c r="G1558">
        <v>0.42399999999999999</v>
      </c>
      <c r="H1558">
        <v>1.6000000000000001E-3</v>
      </c>
      <c r="I1558">
        <v>366.40499999999997</v>
      </c>
    </row>
    <row r="1559" spans="1:9" x14ac:dyDescent="0.3">
      <c r="A1559" t="s">
        <v>9</v>
      </c>
      <c r="B1559" t="s">
        <v>1657</v>
      </c>
      <c r="C1559">
        <v>5</v>
      </c>
      <c r="D1559">
        <v>2.0999999999999999E-3</v>
      </c>
      <c r="E1559">
        <v>6.221675814978771</v>
      </c>
      <c r="F1559">
        <v>730.43703484148546</v>
      </c>
      <c r="G1559">
        <v>0.42399999999999999</v>
      </c>
      <c r="H1559">
        <v>3.5000000000000001E-3</v>
      </c>
      <c r="I1559">
        <v>366.60680000000002</v>
      </c>
    </row>
    <row r="1560" spans="1:9" x14ac:dyDescent="0.3">
      <c r="A1560" t="s">
        <v>9</v>
      </c>
      <c r="B1560" t="s">
        <v>1658</v>
      </c>
      <c r="C1560">
        <v>5</v>
      </c>
      <c r="D1560">
        <v>4.4000000000000003E-3</v>
      </c>
      <c r="E1560">
        <v>6.3868589624702263</v>
      </c>
      <c r="F1560">
        <v>746.11291553842455</v>
      </c>
      <c r="G1560">
        <v>0.42399999999999999</v>
      </c>
      <c r="H1560">
        <v>6.1000000000000004E-3</v>
      </c>
      <c r="I1560">
        <v>366.80419999999998</v>
      </c>
    </row>
    <row r="1561" spans="1:9" x14ac:dyDescent="0.3">
      <c r="A1561" t="s">
        <v>9</v>
      </c>
      <c r="B1561" t="s">
        <v>1659</v>
      </c>
      <c r="C1561">
        <v>5</v>
      </c>
      <c r="D1561">
        <v>7.4000000000000003E-3</v>
      </c>
      <c r="E1561">
        <v>6.5960994263345478</v>
      </c>
      <c r="F1561">
        <v>765.96983555914858</v>
      </c>
      <c r="G1561">
        <v>0.42399999999999999</v>
      </c>
      <c r="H1561">
        <v>9.2999999999999992E-3</v>
      </c>
      <c r="I1561">
        <v>367.00580000000002</v>
      </c>
    </row>
    <row r="1562" spans="1:9" x14ac:dyDescent="0.3">
      <c r="A1562" t="s">
        <v>9</v>
      </c>
      <c r="B1562" t="s">
        <v>1660</v>
      </c>
      <c r="C1562">
        <v>5</v>
      </c>
      <c r="D1562">
        <v>1.01E-2</v>
      </c>
      <c r="E1562">
        <v>6.8404458315601806</v>
      </c>
      <c r="F1562">
        <v>789.15830941506113</v>
      </c>
      <c r="G1562">
        <v>0.42399999999999999</v>
      </c>
      <c r="H1562">
        <v>1.3100000000000001E-2</v>
      </c>
      <c r="I1562">
        <v>367.20699999999999</v>
      </c>
    </row>
    <row r="1563" spans="1:9" x14ac:dyDescent="0.3">
      <c r="A1563" t="s">
        <v>9</v>
      </c>
      <c r="B1563" t="s">
        <v>1661</v>
      </c>
      <c r="C1563">
        <v>5</v>
      </c>
      <c r="D1563">
        <v>1.4200000000000001E-2</v>
      </c>
      <c r="E1563">
        <v>7.1110444404921607</v>
      </c>
      <c r="F1563">
        <v>814.83811740270608</v>
      </c>
      <c r="G1563">
        <v>0.42399999999999999</v>
      </c>
      <c r="H1563">
        <v>1.7299999999999999E-2</v>
      </c>
      <c r="I1563">
        <v>367.40589999999997</v>
      </c>
    </row>
    <row r="1564" spans="1:9" x14ac:dyDescent="0.3">
      <c r="A1564" t="s">
        <v>9</v>
      </c>
      <c r="B1564" t="s">
        <v>1662</v>
      </c>
      <c r="C1564">
        <v>5</v>
      </c>
      <c r="D1564">
        <v>1.8800000000000001E-2</v>
      </c>
      <c r="E1564">
        <v>7.403855953519356</v>
      </c>
      <c r="F1564">
        <v>842.62592998898697</v>
      </c>
      <c r="G1564">
        <v>0.42399999999999999</v>
      </c>
      <c r="H1564">
        <v>2.1899999999999999E-2</v>
      </c>
      <c r="I1564">
        <v>367.60480000000001</v>
      </c>
    </row>
    <row r="1565" spans="1:9" x14ac:dyDescent="0.3">
      <c r="A1565" t="s">
        <v>9</v>
      </c>
      <c r="B1565" t="s">
        <v>1663</v>
      </c>
      <c r="C1565">
        <v>5</v>
      </c>
      <c r="D1565">
        <v>2.24E-2</v>
      </c>
      <c r="E1565">
        <v>7.7133992170437731</v>
      </c>
      <c r="F1565">
        <v>872.00158569745406</v>
      </c>
      <c r="G1565">
        <v>0.42399999999999999</v>
      </c>
      <c r="H1565">
        <v>2.6700000000000002E-2</v>
      </c>
      <c r="I1565">
        <v>367.80470000000003</v>
      </c>
    </row>
    <row r="1566" spans="1:9" x14ac:dyDescent="0.3">
      <c r="A1566" t="s">
        <v>9</v>
      </c>
      <c r="B1566" t="s">
        <v>1664</v>
      </c>
      <c r="C1566">
        <v>5</v>
      </c>
      <c r="D1566">
        <v>2.7900000000000001E-2</v>
      </c>
      <c r="E1566">
        <v>8.0298841398075513</v>
      </c>
      <c r="F1566">
        <v>902.03600486773666</v>
      </c>
      <c r="G1566">
        <v>0.42399999999999999</v>
      </c>
      <c r="H1566">
        <v>3.1600000000000003E-2</v>
      </c>
      <c r="I1566">
        <v>368.0043</v>
      </c>
    </row>
    <row r="1567" spans="1:9" x14ac:dyDescent="0.3">
      <c r="A1567" t="s">
        <v>9</v>
      </c>
      <c r="B1567" t="s">
        <v>1665</v>
      </c>
      <c r="C1567">
        <v>5</v>
      </c>
      <c r="D1567">
        <v>3.3000000000000002E-2</v>
      </c>
      <c r="E1567">
        <v>8.3466910063468021</v>
      </c>
      <c r="F1567">
        <v>932.1009765023116</v>
      </c>
      <c r="G1567">
        <v>0.42399999999999999</v>
      </c>
      <c r="H1567">
        <v>3.6499999999999998E-2</v>
      </c>
      <c r="I1567">
        <v>368.20409999999998</v>
      </c>
    </row>
    <row r="1568" spans="1:9" x14ac:dyDescent="0.3">
      <c r="A1568" t="s">
        <v>9</v>
      </c>
      <c r="B1568" t="s">
        <v>1666</v>
      </c>
      <c r="C1568">
        <v>5</v>
      </c>
      <c r="D1568">
        <v>3.78E-2</v>
      </c>
      <c r="E1568">
        <v>8.6573055235926191</v>
      </c>
      <c r="F1568">
        <v>961.57829418893959</v>
      </c>
      <c r="G1568">
        <v>0.42399999999999999</v>
      </c>
      <c r="H1568">
        <v>4.1399999999999999E-2</v>
      </c>
      <c r="I1568">
        <v>368.4051</v>
      </c>
    </row>
    <row r="1569" spans="1:9" x14ac:dyDescent="0.3">
      <c r="A1569" t="s">
        <v>9</v>
      </c>
      <c r="B1569" t="s">
        <v>1667</v>
      </c>
      <c r="C1569">
        <v>5</v>
      </c>
      <c r="D1569">
        <v>4.3499999999999997E-2</v>
      </c>
      <c r="E1569">
        <v>8.9523122552601144</v>
      </c>
      <c r="F1569">
        <v>989.57443302418494</v>
      </c>
      <c r="G1569">
        <v>0.42399999999999999</v>
      </c>
      <c r="H1569">
        <v>4.5900000000000003E-2</v>
      </c>
      <c r="I1569">
        <v>368.6062</v>
      </c>
    </row>
    <row r="1570" spans="1:9" x14ac:dyDescent="0.3">
      <c r="A1570" t="s">
        <v>9</v>
      </c>
      <c r="B1570" t="s">
        <v>1668</v>
      </c>
      <c r="C1570">
        <v>5</v>
      </c>
      <c r="D1570">
        <v>4.7600000000000003E-2</v>
      </c>
      <c r="E1570">
        <v>9.2232847082235612</v>
      </c>
      <c r="F1570">
        <v>1015.289718810416</v>
      </c>
      <c r="G1570">
        <v>0.42399999999999999</v>
      </c>
      <c r="H1570">
        <v>5.0099999999999999E-2</v>
      </c>
      <c r="I1570">
        <v>368.8066</v>
      </c>
    </row>
    <row r="1571" spans="1:9" x14ac:dyDescent="0.3">
      <c r="A1571" t="s">
        <v>9</v>
      </c>
      <c r="B1571" t="s">
        <v>1669</v>
      </c>
      <c r="C1571">
        <v>5</v>
      </c>
      <c r="D1571">
        <v>5.2200000000000003E-2</v>
      </c>
      <c r="E1571">
        <v>9.4644493844742357</v>
      </c>
      <c r="F1571">
        <v>1038.176246586605</v>
      </c>
      <c r="G1571">
        <v>0.42399999999999999</v>
      </c>
      <c r="H1571">
        <v>5.3900000000000003E-2</v>
      </c>
      <c r="I1571">
        <v>369.00700000000001</v>
      </c>
    </row>
    <row r="1572" spans="1:9" x14ac:dyDescent="0.3">
      <c r="A1572" t="s">
        <v>9</v>
      </c>
      <c r="B1572" t="s">
        <v>1670</v>
      </c>
      <c r="C1572">
        <v>5</v>
      </c>
      <c r="D1572">
        <v>5.5800000000000002E-2</v>
      </c>
      <c r="E1572">
        <v>9.6677029510741299</v>
      </c>
      <c r="F1572">
        <v>1057.4650100569349</v>
      </c>
      <c r="G1572">
        <v>0.42399999999999999</v>
      </c>
      <c r="H1572">
        <v>5.7099999999999998E-2</v>
      </c>
      <c r="I1572">
        <v>369.2047</v>
      </c>
    </row>
    <row r="1573" spans="1:9" x14ac:dyDescent="0.3">
      <c r="A1573" t="s">
        <v>9</v>
      </c>
      <c r="B1573" t="s">
        <v>1671</v>
      </c>
      <c r="C1573">
        <v>5</v>
      </c>
      <c r="D1573">
        <v>5.91E-2</v>
      </c>
      <c r="E1573">
        <v>9.8335988755969446</v>
      </c>
      <c r="F1573">
        <v>1073.2085332941499</v>
      </c>
      <c r="G1573">
        <v>0.42399999999999999</v>
      </c>
      <c r="H1573">
        <v>5.96E-2</v>
      </c>
      <c r="I1573">
        <v>369.40570000000002</v>
      </c>
    </row>
    <row r="1574" spans="1:9" x14ac:dyDescent="0.3">
      <c r="A1574" t="s">
        <v>9</v>
      </c>
      <c r="B1574" t="s">
        <v>1672</v>
      </c>
      <c r="C1574">
        <v>5</v>
      </c>
      <c r="D1574">
        <v>6.1800000000000001E-2</v>
      </c>
      <c r="E1574">
        <v>9.9541076207811638</v>
      </c>
      <c r="F1574">
        <v>1084.644813212132</v>
      </c>
      <c r="G1574">
        <v>0.42399999999999999</v>
      </c>
      <c r="H1574">
        <v>6.1499999999999999E-2</v>
      </c>
      <c r="I1574">
        <v>369.60590000000002</v>
      </c>
    </row>
    <row r="1575" spans="1:9" x14ac:dyDescent="0.3">
      <c r="A1575" t="s">
        <v>9</v>
      </c>
      <c r="B1575" t="s">
        <v>1673</v>
      </c>
      <c r="C1575">
        <v>5</v>
      </c>
      <c r="D1575">
        <v>6.4600000000000005E-2</v>
      </c>
      <c r="E1575">
        <v>10.02651699278028</v>
      </c>
      <c r="F1575">
        <v>1091.5164626148489</v>
      </c>
      <c r="G1575">
        <v>0.42399999999999999</v>
      </c>
      <c r="H1575">
        <v>6.2600000000000003E-2</v>
      </c>
      <c r="I1575">
        <v>369.80419999999998</v>
      </c>
    </row>
    <row r="1576" spans="1:9" x14ac:dyDescent="0.3">
      <c r="A1576" t="s">
        <v>9</v>
      </c>
      <c r="B1576" t="s">
        <v>1674</v>
      </c>
      <c r="C1576">
        <v>5</v>
      </c>
      <c r="D1576">
        <v>6.59E-2</v>
      </c>
      <c r="E1576">
        <v>10.050423548198101</v>
      </c>
      <c r="F1576">
        <v>1093.785194723999</v>
      </c>
      <c r="G1576">
        <v>0.42399999999999999</v>
      </c>
      <c r="H1576">
        <v>6.3E-2</v>
      </c>
      <c r="I1576">
        <v>370.00529999999998</v>
      </c>
    </row>
    <row r="1577" spans="1:9" x14ac:dyDescent="0.3">
      <c r="A1577" t="s">
        <v>9</v>
      </c>
      <c r="B1577" t="s">
        <v>1675</v>
      </c>
      <c r="C1577">
        <v>5</v>
      </c>
      <c r="D1577">
        <v>6.6000000000000003E-2</v>
      </c>
      <c r="E1577">
        <v>10.02375046585329</v>
      </c>
      <c r="F1577">
        <v>982.21354341752669</v>
      </c>
      <c r="G1577">
        <v>0.42399999999999999</v>
      </c>
      <c r="H1577">
        <v>6.2600000000000003E-2</v>
      </c>
      <c r="I1577">
        <v>370.20679999999999</v>
      </c>
    </row>
    <row r="1578" spans="1:9" x14ac:dyDescent="0.3">
      <c r="A1578" t="s">
        <v>9</v>
      </c>
      <c r="B1578" t="s">
        <v>1676</v>
      </c>
      <c r="C1578">
        <v>5</v>
      </c>
      <c r="D1578">
        <v>6.3899999999999998E-2</v>
      </c>
      <c r="E1578">
        <v>9.9482177526672029</v>
      </c>
      <c r="F1578">
        <v>975.17389454858335</v>
      </c>
      <c r="G1578">
        <v>0.42399999999999999</v>
      </c>
      <c r="H1578">
        <v>6.1400000000000003E-2</v>
      </c>
      <c r="I1578">
        <v>370.40600000000001</v>
      </c>
    </row>
    <row r="1579" spans="1:9" x14ac:dyDescent="0.3">
      <c r="A1579" t="s">
        <v>9</v>
      </c>
      <c r="B1579" t="s">
        <v>1677</v>
      </c>
      <c r="C1579">
        <v>5</v>
      </c>
      <c r="D1579">
        <v>6.2199999999999998E-2</v>
      </c>
      <c r="E1579">
        <v>9.8263316233453608</v>
      </c>
      <c r="F1579">
        <v>963.81410729578761</v>
      </c>
      <c r="G1579">
        <v>0.42399999999999999</v>
      </c>
      <c r="H1579">
        <v>5.9499999999999997E-2</v>
      </c>
      <c r="I1579">
        <v>370.60430000000002</v>
      </c>
    </row>
    <row r="1580" spans="1:9" x14ac:dyDescent="0.3">
      <c r="A1580" t="s">
        <v>9</v>
      </c>
      <c r="B1580" t="s">
        <v>1678</v>
      </c>
      <c r="C1580">
        <v>5</v>
      </c>
      <c r="D1580">
        <v>6.08E-2</v>
      </c>
      <c r="E1580">
        <v>9.6588300346526914</v>
      </c>
      <c r="F1580">
        <v>948.20295922963089</v>
      </c>
      <c r="G1580">
        <v>0.42399999999999999</v>
      </c>
      <c r="H1580">
        <v>5.6899999999999999E-2</v>
      </c>
      <c r="I1580">
        <v>370.80470000000003</v>
      </c>
    </row>
    <row r="1581" spans="1:9" x14ac:dyDescent="0.3">
      <c r="A1581" t="s">
        <v>9</v>
      </c>
      <c r="B1581" t="s">
        <v>1679</v>
      </c>
      <c r="C1581">
        <v>5</v>
      </c>
      <c r="D1581">
        <v>5.8599999999999999E-2</v>
      </c>
      <c r="E1581">
        <v>9.4517313889309005</v>
      </c>
      <c r="F1581">
        <v>928.90136544835991</v>
      </c>
      <c r="G1581">
        <v>0.42399999999999999</v>
      </c>
      <c r="H1581">
        <v>5.3699999999999998E-2</v>
      </c>
      <c r="I1581">
        <v>371.0043</v>
      </c>
    </row>
    <row r="1582" spans="1:9" x14ac:dyDescent="0.3">
      <c r="A1582" t="s">
        <v>9</v>
      </c>
      <c r="B1582" t="s">
        <v>1680</v>
      </c>
      <c r="C1582">
        <v>5</v>
      </c>
      <c r="D1582">
        <v>5.5300000000000002E-2</v>
      </c>
      <c r="E1582">
        <v>9.2068692249113138</v>
      </c>
      <c r="F1582">
        <v>906.08021176173452</v>
      </c>
      <c r="G1582">
        <v>0.42399999999999999</v>
      </c>
      <c r="H1582">
        <v>4.99E-2</v>
      </c>
      <c r="I1582">
        <v>371.20609999999999</v>
      </c>
    </row>
    <row r="1583" spans="1:9" x14ac:dyDescent="0.3">
      <c r="A1583" t="s">
        <v>9</v>
      </c>
      <c r="B1583" t="s">
        <v>1681</v>
      </c>
      <c r="C1583">
        <v>5</v>
      </c>
      <c r="D1583">
        <v>5.0900000000000001E-2</v>
      </c>
      <c r="E1583">
        <v>8.9363845532600727</v>
      </c>
      <c r="F1583">
        <v>880.8710403638388</v>
      </c>
      <c r="G1583">
        <v>0.42399999999999999</v>
      </c>
      <c r="H1583">
        <v>4.5699999999999998E-2</v>
      </c>
      <c r="I1583">
        <v>371.40499999999997</v>
      </c>
    </row>
    <row r="1584" spans="1:9" x14ac:dyDescent="0.3">
      <c r="A1584" t="s">
        <v>9</v>
      </c>
      <c r="B1584" t="s">
        <v>1682</v>
      </c>
      <c r="C1584">
        <v>5</v>
      </c>
      <c r="D1584">
        <v>4.6199999999999998E-2</v>
      </c>
      <c r="E1584">
        <v>8.6418891202082797</v>
      </c>
      <c r="F1584">
        <v>853.42406600341167</v>
      </c>
      <c r="G1584">
        <v>0.42399999999999999</v>
      </c>
      <c r="H1584">
        <v>4.1099999999999998E-2</v>
      </c>
      <c r="I1584">
        <v>371.60509999999999</v>
      </c>
    </row>
    <row r="1585" spans="1:9" x14ac:dyDescent="0.3">
      <c r="A1585" t="s">
        <v>9</v>
      </c>
      <c r="B1585" t="s">
        <v>1683</v>
      </c>
      <c r="C1585">
        <v>5</v>
      </c>
      <c r="D1585">
        <v>4.1399999999999999E-2</v>
      </c>
      <c r="E1585">
        <v>8.3303724305437967</v>
      </c>
      <c r="F1585">
        <v>824.39071052668191</v>
      </c>
      <c r="G1585">
        <v>0.42399999999999999</v>
      </c>
      <c r="H1585">
        <v>3.6299999999999999E-2</v>
      </c>
      <c r="I1585">
        <v>371.80630000000002</v>
      </c>
    </row>
    <row r="1586" spans="1:9" x14ac:dyDescent="0.3">
      <c r="A1586" t="s">
        <v>9</v>
      </c>
      <c r="B1586" t="s">
        <v>1684</v>
      </c>
      <c r="C1586">
        <v>5</v>
      </c>
      <c r="D1586">
        <v>3.6700000000000003E-2</v>
      </c>
      <c r="E1586">
        <v>8.0120032852049388</v>
      </c>
      <c r="F1586">
        <v>794.71870618110029</v>
      </c>
      <c r="G1586">
        <v>0.42399999999999999</v>
      </c>
      <c r="H1586">
        <v>3.1300000000000001E-2</v>
      </c>
      <c r="I1586">
        <v>372.00700000000001</v>
      </c>
    </row>
    <row r="1587" spans="1:9" x14ac:dyDescent="0.3">
      <c r="A1587" t="s">
        <v>9</v>
      </c>
      <c r="B1587" t="s">
        <v>1685</v>
      </c>
      <c r="C1587">
        <v>5</v>
      </c>
      <c r="D1587">
        <v>3.1600000000000003E-2</v>
      </c>
      <c r="E1587">
        <v>7.6945805085964958</v>
      </c>
      <c r="F1587">
        <v>765.13490340119347</v>
      </c>
      <c r="G1587">
        <v>0.42399999999999999</v>
      </c>
      <c r="H1587">
        <v>2.64E-2</v>
      </c>
      <c r="I1587">
        <v>372.2072</v>
      </c>
    </row>
    <row r="1588" spans="1:9" x14ac:dyDescent="0.3">
      <c r="A1588" t="s">
        <v>9</v>
      </c>
      <c r="B1588" t="s">
        <v>1686</v>
      </c>
      <c r="C1588">
        <v>5</v>
      </c>
      <c r="D1588">
        <v>2.6700000000000002E-2</v>
      </c>
      <c r="E1588">
        <v>7.3877936352303282</v>
      </c>
      <c r="F1588">
        <v>736.54236680346662</v>
      </c>
      <c r="G1588">
        <v>0.42399999999999999</v>
      </c>
      <c r="H1588">
        <v>2.1600000000000001E-2</v>
      </c>
      <c r="I1588">
        <v>372.4058</v>
      </c>
    </row>
    <row r="1589" spans="1:9" x14ac:dyDescent="0.3">
      <c r="A1589" t="s">
        <v>9</v>
      </c>
      <c r="B1589" t="s">
        <v>1687</v>
      </c>
      <c r="C1589">
        <v>5</v>
      </c>
      <c r="D1589">
        <v>2.1299999999999999E-2</v>
      </c>
      <c r="E1589">
        <v>7.094120902330209</v>
      </c>
      <c r="F1589">
        <v>709.1720680971755</v>
      </c>
      <c r="G1589">
        <v>0.42399999999999999</v>
      </c>
      <c r="H1589">
        <v>1.7100000000000001E-2</v>
      </c>
      <c r="I1589">
        <v>372.60599999999999</v>
      </c>
    </row>
    <row r="1590" spans="1:9" x14ac:dyDescent="0.3">
      <c r="A1590" t="s">
        <v>9</v>
      </c>
      <c r="B1590" t="s">
        <v>1688</v>
      </c>
      <c r="C1590">
        <v>5</v>
      </c>
      <c r="D1590">
        <v>1.6299999999999999E-2</v>
      </c>
      <c r="E1590">
        <v>6.8230746536902691</v>
      </c>
      <c r="F1590">
        <v>683.91055772393315</v>
      </c>
      <c r="G1590">
        <v>0.42399999999999999</v>
      </c>
      <c r="H1590">
        <v>1.29E-2</v>
      </c>
      <c r="I1590">
        <v>372.80650000000003</v>
      </c>
    </row>
    <row r="1591" spans="1:9" x14ac:dyDescent="0.3">
      <c r="A1591" t="s">
        <v>9</v>
      </c>
      <c r="B1591" t="s">
        <v>1689</v>
      </c>
      <c r="C1591">
        <v>5</v>
      </c>
      <c r="D1591">
        <v>1.1599999999999999E-2</v>
      </c>
      <c r="E1591">
        <v>6.5819298455063446</v>
      </c>
      <c r="F1591">
        <v>661.43586160119139</v>
      </c>
      <c r="G1591">
        <v>0.42399999999999999</v>
      </c>
      <c r="H1591">
        <v>9.1000000000000004E-3</v>
      </c>
      <c r="I1591">
        <v>373.00670000000002</v>
      </c>
    </row>
    <row r="1592" spans="1:9" x14ac:dyDescent="0.3">
      <c r="A1592" t="s">
        <v>9</v>
      </c>
      <c r="B1592" t="s">
        <v>1690</v>
      </c>
      <c r="C1592">
        <v>5</v>
      </c>
      <c r="D1592">
        <v>7.4000000000000003E-3</v>
      </c>
      <c r="E1592">
        <v>6.3783884757681264</v>
      </c>
      <c r="F1592">
        <v>642.46580594158934</v>
      </c>
      <c r="G1592">
        <v>0.42399999999999999</v>
      </c>
      <c r="H1592">
        <v>5.8999999999999999E-3</v>
      </c>
      <c r="I1592">
        <v>373.20490000000001</v>
      </c>
    </row>
    <row r="1593" spans="1:9" x14ac:dyDescent="0.3">
      <c r="A1593" t="s">
        <v>9</v>
      </c>
      <c r="B1593" t="s">
        <v>1691</v>
      </c>
      <c r="C1593">
        <v>5</v>
      </c>
      <c r="D1593">
        <v>3.5999999999999999E-3</v>
      </c>
      <c r="E1593">
        <v>6.2115662533170219</v>
      </c>
      <c r="F1593">
        <v>626.91797480914647</v>
      </c>
      <c r="G1593">
        <v>0.42399999999999999</v>
      </c>
      <c r="H1593">
        <v>3.3999999999999998E-3</v>
      </c>
      <c r="I1593">
        <v>373.40710000000001</v>
      </c>
    </row>
    <row r="1594" spans="1:9" x14ac:dyDescent="0.3">
      <c r="A1594" t="s">
        <v>9</v>
      </c>
      <c r="B1594" t="s">
        <v>1692</v>
      </c>
      <c r="C1594">
        <v>5</v>
      </c>
      <c r="D1594">
        <v>8.9999999999999998E-4</v>
      </c>
      <c r="E1594">
        <v>6.0924764124752224</v>
      </c>
      <c r="F1594">
        <v>615.8188016426908</v>
      </c>
      <c r="G1594">
        <v>0.42399999999999999</v>
      </c>
      <c r="H1594">
        <v>1.5E-3</v>
      </c>
      <c r="I1594">
        <v>373.60509999999999</v>
      </c>
    </row>
    <row r="1595" spans="1:9" x14ac:dyDescent="0.3">
      <c r="A1595" t="s">
        <v>9</v>
      </c>
      <c r="B1595" t="s">
        <v>1693</v>
      </c>
      <c r="C1595">
        <v>5</v>
      </c>
      <c r="D1595">
        <v>-8.9999999999999998E-4</v>
      </c>
      <c r="E1595">
        <v>6.019578902349636</v>
      </c>
      <c r="F1595">
        <v>609.02475369898605</v>
      </c>
      <c r="G1595">
        <v>0.42399999999999999</v>
      </c>
      <c r="H1595">
        <v>4.0000000000000002E-4</v>
      </c>
      <c r="I1595">
        <v>373.80450000000002</v>
      </c>
    </row>
    <row r="1596" spans="1:9" x14ac:dyDescent="0.3">
      <c r="A1596" t="s">
        <v>9</v>
      </c>
      <c r="B1596" t="s">
        <v>1694</v>
      </c>
      <c r="C1596">
        <v>5</v>
      </c>
      <c r="D1596">
        <v>-2.8E-3</v>
      </c>
      <c r="E1596">
        <v>5.9957493138112703</v>
      </c>
      <c r="F1596">
        <v>606.80383604721044</v>
      </c>
      <c r="G1596">
        <v>0.42399999999999999</v>
      </c>
      <c r="H1596">
        <v>0</v>
      </c>
      <c r="I1596">
        <v>374.005</v>
      </c>
    </row>
    <row r="1597" spans="1:9" x14ac:dyDescent="0.3">
      <c r="A1597" t="s">
        <v>9</v>
      </c>
      <c r="B1597" t="s">
        <v>1695</v>
      </c>
      <c r="C1597">
        <v>5</v>
      </c>
      <c r="D1597">
        <v>-3.0999999999999999E-3</v>
      </c>
      <c r="E1597">
        <v>6.0218992654822019</v>
      </c>
      <c r="F1597">
        <v>711.47824029426101</v>
      </c>
      <c r="G1597">
        <v>0.42399999999999999</v>
      </c>
      <c r="H1597">
        <v>4.0000000000000002E-4</v>
      </c>
      <c r="I1597">
        <v>374.20479999999998</v>
      </c>
    </row>
    <row r="1598" spans="1:9" x14ac:dyDescent="0.3">
      <c r="A1598" t="s">
        <v>9</v>
      </c>
      <c r="B1598" t="s">
        <v>1696</v>
      </c>
      <c r="C1598">
        <v>5</v>
      </c>
      <c r="D1598">
        <v>-1.1000000000000001E-3</v>
      </c>
      <c r="E1598">
        <v>6.0977101072745192</v>
      </c>
      <c r="F1598">
        <v>718.67268918035188</v>
      </c>
      <c r="G1598">
        <v>0.42399999999999999</v>
      </c>
      <c r="H1598">
        <v>1.6000000000000001E-3</v>
      </c>
      <c r="I1598">
        <v>374.40550000000002</v>
      </c>
    </row>
    <row r="1599" spans="1:9" x14ac:dyDescent="0.3">
      <c r="A1599" t="s">
        <v>9</v>
      </c>
      <c r="B1599" t="s">
        <v>1697</v>
      </c>
      <c r="C1599">
        <v>5</v>
      </c>
      <c r="D1599">
        <v>2E-3</v>
      </c>
      <c r="E1599">
        <v>6.2213802268020473</v>
      </c>
      <c r="F1599">
        <v>730.40898352351428</v>
      </c>
      <c r="G1599">
        <v>0.42399999999999999</v>
      </c>
      <c r="H1599">
        <v>3.5000000000000001E-3</v>
      </c>
      <c r="I1599">
        <v>374.60640000000001</v>
      </c>
    </row>
    <row r="1600" spans="1:9" x14ac:dyDescent="0.3">
      <c r="A1600" t="s">
        <v>9</v>
      </c>
      <c r="B1600" t="s">
        <v>1698</v>
      </c>
      <c r="C1600">
        <v>5</v>
      </c>
      <c r="D1600">
        <v>4.4999999999999997E-3</v>
      </c>
      <c r="E1600">
        <v>6.3874649790531199</v>
      </c>
      <c r="F1600">
        <v>746.17042651214115</v>
      </c>
      <c r="G1600">
        <v>0.42399999999999999</v>
      </c>
      <c r="H1600">
        <v>6.1000000000000004E-3</v>
      </c>
      <c r="I1600">
        <v>374.8048</v>
      </c>
    </row>
    <row r="1601" spans="1:9" x14ac:dyDescent="0.3">
      <c r="A1601" t="s">
        <v>9</v>
      </c>
      <c r="B1601" t="s">
        <v>1699</v>
      </c>
      <c r="C1601">
        <v>5</v>
      </c>
      <c r="D1601">
        <v>7.1999999999999998E-3</v>
      </c>
      <c r="E1601">
        <v>6.597443967341424</v>
      </c>
      <c r="F1601">
        <v>766.09743250070119</v>
      </c>
      <c r="G1601">
        <v>0.42399999999999999</v>
      </c>
      <c r="H1601">
        <v>9.2999999999999992E-3</v>
      </c>
      <c r="I1601">
        <v>375.00700000000001</v>
      </c>
    </row>
    <row r="1602" spans="1:9" x14ac:dyDescent="0.3">
      <c r="A1602" t="s">
        <v>9</v>
      </c>
      <c r="B1602" t="s">
        <v>1700</v>
      </c>
      <c r="C1602">
        <v>5</v>
      </c>
      <c r="D1602">
        <v>1.06E-2</v>
      </c>
      <c r="E1602">
        <v>6.8386167530070976</v>
      </c>
      <c r="F1602">
        <v>788.9847298603737</v>
      </c>
      <c r="G1602">
        <v>0.42399999999999999</v>
      </c>
      <c r="H1602">
        <v>1.3100000000000001E-2</v>
      </c>
      <c r="I1602">
        <v>375.20549999999997</v>
      </c>
    </row>
    <row r="1603" spans="1:9" x14ac:dyDescent="0.3">
      <c r="A1603" t="s">
        <v>9</v>
      </c>
      <c r="B1603" t="s">
        <v>1701</v>
      </c>
      <c r="C1603">
        <v>5</v>
      </c>
      <c r="D1603">
        <v>1.3599999999999999E-2</v>
      </c>
      <c r="E1603">
        <v>7.110800752571433</v>
      </c>
      <c r="F1603">
        <v>814.81499141902907</v>
      </c>
      <c r="G1603">
        <v>0.42399999999999999</v>
      </c>
      <c r="H1603">
        <v>1.7299999999999999E-2</v>
      </c>
      <c r="I1603">
        <v>375.40570000000002</v>
      </c>
    </row>
    <row r="1604" spans="1:9" x14ac:dyDescent="0.3">
      <c r="A1604" t="s">
        <v>9</v>
      </c>
      <c r="B1604" t="s">
        <v>1702</v>
      </c>
      <c r="C1604">
        <v>5</v>
      </c>
      <c r="D1604">
        <v>1.8100000000000002E-2</v>
      </c>
      <c r="E1604">
        <v>7.4038312198036103</v>
      </c>
      <c r="F1604">
        <v>842.62358275936265</v>
      </c>
      <c r="G1604">
        <v>0.42399999999999999</v>
      </c>
      <c r="H1604">
        <v>2.1899999999999999E-2</v>
      </c>
      <c r="I1604">
        <v>375.60480000000001</v>
      </c>
    </row>
    <row r="1605" spans="1:9" x14ac:dyDescent="0.3">
      <c r="A1605" t="s">
        <v>9</v>
      </c>
      <c r="B1605" t="s">
        <v>1703</v>
      </c>
      <c r="C1605">
        <v>5</v>
      </c>
      <c r="D1605">
        <v>2.3E-2</v>
      </c>
      <c r="E1605">
        <v>7.7150247492803734</v>
      </c>
      <c r="F1605">
        <v>872.1558487067075</v>
      </c>
      <c r="G1605">
        <v>0.42399999999999999</v>
      </c>
      <c r="H1605">
        <v>2.6700000000000002E-2</v>
      </c>
      <c r="I1605">
        <v>375.80579999999998</v>
      </c>
    </row>
    <row r="1606" spans="1:9" x14ac:dyDescent="0.3">
      <c r="A1606" t="s">
        <v>9</v>
      </c>
      <c r="B1606" t="s">
        <v>1704</v>
      </c>
      <c r="C1606">
        <v>5</v>
      </c>
      <c r="D1606">
        <v>2.81E-2</v>
      </c>
      <c r="E1606">
        <v>8.0327041888735451</v>
      </c>
      <c r="F1606">
        <v>902.30362752409951</v>
      </c>
      <c r="G1606">
        <v>0.42399999999999999</v>
      </c>
      <c r="H1606">
        <v>3.1600000000000003E-2</v>
      </c>
      <c r="I1606">
        <v>376.00599999999997</v>
      </c>
    </row>
    <row r="1607" spans="1:9" x14ac:dyDescent="0.3">
      <c r="A1607" t="s">
        <v>9</v>
      </c>
      <c r="B1607" t="s">
        <v>1705</v>
      </c>
      <c r="C1607">
        <v>5</v>
      </c>
      <c r="D1607">
        <v>3.2800000000000003E-2</v>
      </c>
      <c r="E1607">
        <v>8.3483145112296526</v>
      </c>
      <c r="F1607">
        <v>932.25504711569408</v>
      </c>
      <c r="G1607">
        <v>0.42399999999999999</v>
      </c>
      <c r="H1607">
        <v>3.6600000000000001E-2</v>
      </c>
      <c r="I1607">
        <v>376.20510000000002</v>
      </c>
    </row>
    <row r="1608" spans="1:9" x14ac:dyDescent="0.3">
      <c r="A1608" t="s">
        <v>9</v>
      </c>
      <c r="B1608" t="s">
        <v>1706</v>
      </c>
      <c r="C1608">
        <v>5</v>
      </c>
      <c r="D1608">
        <v>3.7699999999999997E-2</v>
      </c>
      <c r="E1608">
        <v>8.6582214820167849</v>
      </c>
      <c r="F1608">
        <v>961.6652186433929</v>
      </c>
      <c r="G1608">
        <v>0.42399999999999999</v>
      </c>
      <c r="H1608">
        <v>4.1399999999999999E-2</v>
      </c>
      <c r="I1608">
        <v>376.40570000000002</v>
      </c>
    </row>
    <row r="1609" spans="1:9" x14ac:dyDescent="0.3">
      <c r="A1609" t="s">
        <v>9</v>
      </c>
      <c r="B1609" t="s">
        <v>1707</v>
      </c>
      <c r="C1609">
        <v>5</v>
      </c>
      <c r="D1609">
        <v>4.2999999999999997E-2</v>
      </c>
      <c r="E1609">
        <v>8.951189506753467</v>
      </c>
      <c r="F1609">
        <v>989.4678841909041</v>
      </c>
      <c r="G1609">
        <v>0.42399999999999999</v>
      </c>
      <c r="H1609">
        <v>4.5900000000000003E-2</v>
      </c>
      <c r="I1609">
        <v>376.60539999999997</v>
      </c>
    </row>
    <row r="1610" spans="1:9" x14ac:dyDescent="0.3">
      <c r="A1610" t="s">
        <v>9</v>
      </c>
      <c r="B1610" t="s">
        <v>1708</v>
      </c>
      <c r="C1610">
        <v>5</v>
      </c>
      <c r="D1610">
        <v>4.7600000000000003E-2</v>
      </c>
      <c r="E1610">
        <v>9.2211685563795047</v>
      </c>
      <c r="F1610">
        <v>1015.088896000415</v>
      </c>
      <c r="G1610">
        <v>0.42399999999999999</v>
      </c>
      <c r="H1610">
        <v>5.0099999999999999E-2</v>
      </c>
      <c r="I1610">
        <v>376.80500000000001</v>
      </c>
    </row>
    <row r="1611" spans="1:9" x14ac:dyDescent="0.3">
      <c r="A1611" t="s">
        <v>9</v>
      </c>
      <c r="B1611" t="s">
        <v>1709</v>
      </c>
      <c r="C1611">
        <v>5</v>
      </c>
      <c r="D1611">
        <v>5.2699999999999997E-2</v>
      </c>
      <c r="E1611">
        <v>9.4635605925903175</v>
      </c>
      <c r="F1611">
        <v>1038.0919002368209</v>
      </c>
      <c r="G1611">
        <v>0.42399999999999999</v>
      </c>
      <c r="H1611">
        <v>5.3900000000000003E-2</v>
      </c>
      <c r="I1611">
        <v>377.0061</v>
      </c>
    </row>
    <row r="1612" spans="1:9" x14ac:dyDescent="0.3">
      <c r="A1612" t="s">
        <v>9</v>
      </c>
      <c r="B1612" t="s">
        <v>1710</v>
      </c>
      <c r="C1612">
        <v>5</v>
      </c>
      <c r="D1612">
        <v>5.5899999999999998E-2</v>
      </c>
      <c r="E1612">
        <v>9.6702890435173945</v>
      </c>
      <c r="F1612">
        <v>1057.710430229801</v>
      </c>
      <c r="G1612">
        <v>0.42399999999999999</v>
      </c>
      <c r="H1612">
        <v>5.7099999999999998E-2</v>
      </c>
      <c r="I1612">
        <v>377.20760000000001</v>
      </c>
    </row>
    <row r="1613" spans="1:9" x14ac:dyDescent="0.3">
      <c r="A1613" t="s">
        <v>9</v>
      </c>
      <c r="B1613" t="s">
        <v>1711</v>
      </c>
      <c r="C1613">
        <v>5</v>
      </c>
      <c r="D1613">
        <v>5.8900000000000001E-2</v>
      </c>
      <c r="E1613">
        <v>9.8331974595544818</v>
      </c>
      <c r="F1613">
        <v>1073.1704389117201</v>
      </c>
      <c r="G1613">
        <v>0.42399999999999999</v>
      </c>
      <c r="H1613">
        <v>5.96E-2</v>
      </c>
      <c r="I1613">
        <v>377.40519999999998</v>
      </c>
    </row>
    <row r="1614" spans="1:9" x14ac:dyDescent="0.3">
      <c r="A1614" t="s">
        <v>9</v>
      </c>
      <c r="B1614" t="s">
        <v>1712</v>
      </c>
      <c r="C1614">
        <v>5</v>
      </c>
      <c r="D1614">
        <v>6.1800000000000001E-2</v>
      </c>
      <c r="E1614">
        <v>9.95458891456137</v>
      </c>
      <c r="F1614">
        <v>1084.6904879918741</v>
      </c>
      <c r="G1614">
        <v>0.42399999999999999</v>
      </c>
      <c r="H1614">
        <v>6.1499999999999999E-2</v>
      </c>
      <c r="I1614">
        <v>377.6069</v>
      </c>
    </row>
    <row r="1615" spans="1:9" x14ac:dyDescent="0.3">
      <c r="A1615" t="s">
        <v>9</v>
      </c>
      <c r="B1615" t="s">
        <v>1713</v>
      </c>
      <c r="C1615">
        <v>5</v>
      </c>
      <c r="D1615">
        <v>6.4199999999999993E-2</v>
      </c>
      <c r="E1615">
        <v>10.027209131350469</v>
      </c>
      <c r="F1615">
        <v>1091.58214656516</v>
      </c>
      <c r="G1615">
        <v>0.42399999999999999</v>
      </c>
      <c r="H1615">
        <v>6.2600000000000003E-2</v>
      </c>
      <c r="I1615">
        <v>377.80709999999999</v>
      </c>
    </row>
    <row r="1616" spans="1:9" x14ac:dyDescent="0.3">
      <c r="A1616" t="s">
        <v>9</v>
      </c>
      <c r="B1616" t="s">
        <v>1714</v>
      </c>
      <c r="C1616">
        <v>5</v>
      </c>
      <c r="D1616">
        <v>6.6100000000000006E-2</v>
      </c>
      <c r="E1616">
        <v>10.05041097860485</v>
      </c>
      <c r="F1616">
        <v>1093.7840018695999</v>
      </c>
      <c r="G1616">
        <v>0.42399999999999999</v>
      </c>
      <c r="H1616">
        <v>6.3E-2</v>
      </c>
      <c r="I1616">
        <v>378.00689999999997</v>
      </c>
    </row>
    <row r="1617" spans="1:9" x14ac:dyDescent="0.3">
      <c r="A1617" t="s">
        <v>9</v>
      </c>
      <c r="B1617" t="s">
        <v>1715</v>
      </c>
      <c r="C1617">
        <v>5</v>
      </c>
      <c r="D1617">
        <v>6.6100000000000006E-2</v>
      </c>
      <c r="E1617">
        <v>10.023554218010309</v>
      </c>
      <c r="F1617">
        <v>982.19525311856069</v>
      </c>
      <c r="G1617">
        <v>0.42399999999999999</v>
      </c>
      <c r="H1617">
        <v>6.2600000000000003E-2</v>
      </c>
      <c r="I1617">
        <v>378.20760000000001</v>
      </c>
    </row>
    <row r="1618" spans="1:9" x14ac:dyDescent="0.3">
      <c r="A1618" t="s">
        <v>9</v>
      </c>
      <c r="B1618" t="s">
        <v>1716</v>
      </c>
      <c r="C1618">
        <v>5</v>
      </c>
      <c r="D1618">
        <v>6.3799999999999996E-2</v>
      </c>
      <c r="E1618">
        <v>9.9483426376581914</v>
      </c>
      <c r="F1618">
        <v>975.18553382974346</v>
      </c>
      <c r="G1618">
        <v>0.42399999999999999</v>
      </c>
      <c r="H1618">
        <v>6.1400000000000003E-2</v>
      </c>
      <c r="I1618">
        <v>378.4058</v>
      </c>
    </row>
    <row r="1619" spans="1:9" x14ac:dyDescent="0.3">
      <c r="A1619" t="s">
        <v>9</v>
      </c>
      <c r="B1619" t="s">
        <v>1717</v>
      </c>
      <c r="C1619">
        <v>5</v>
      </c>
      <c r="D1619">
        <v>6.2399999999999997E-2</v>
      </c>
      <c r="E1619">
        <v>9.8253811999074454</v>
      </c>
      <c r="F1619">
        <v>963.72552783137394</v>
      </c>
      <c r="G1619">
        <v>0.42399999999999999</v>
      </c>
      <c r="H1619">
        <v>5.9499999999999997E-2</v>
      </c>
      <c r="I1619">
        <v>378.60559999999998</v>
      </c>
    </row>
    <row r="1620" spans="1:9" x14ac:dyDescent="0.3">
      <c r="A1620" t="s">
        <v>9</v>
      </c>
      <c r="B1620" t="s">
        <v>1718</v>
      </c>
      <c r="C1620">
        <v>5</v>
      </c>
      <c r="D1620">
        <v>6.0900000000000003E-2</v>
      </c>
      <c r="E1620">
        <v>9.6575284735453106</v>
      </c>
      <c r="F1620">
        <v>948.08165373442296</v>
      </c>
      <c r="G1620">
        <v>0.42399999999999999</v>
      </c>
      <c r="H1620">
        <v>5.6899999999999999E-2</v>
      </c>
      <c r="I1620">
        <v>378.80610000000001</v>
      </c>
    </row>
    <row r="1621" spans="1:9" x14ac:dyDescent="0.3">
      <c r="A1621" t="s">
        <v>9</v>
      </c>
      <c r="B1621" t="s">
        <v>1719</v>
      </c>
      <c r="C1621">
        <v>5</v>
      </c>
      <c r="D1621">
        <v>5.8599999999999999E-2</v>
      </c>
      <c r="E1621">
        <v>9.4511787322987004</v>
      </c>
      <c r="F1621">
        <v>928.84985785023889</v>
      </c>
      <c r="G1621">
        <v>0.42399999999999999</v>
      </c>
      <c r="H1621">
        <v>5.3699999999999998E-2</v>
      </c>
      <c r="I1621">
        <v>379.00479999999999</v>
      </c>
    </row>
    <row r="1622" spans="1:9" x14ac:dyDescent="0.3">
      <c r="A1622" t="s">
        <v>9</v>
      </c>
      <c r="B1622" t="s">
        <v>1720</v>
      </c>
      <c r="C1622">
        <v>5</v>
      </c>
      <c r="D1622">
        <v>5.5300000000000002E-2</v>
      </c>
      <c r="E1622">
        <v>9.2064884878770989</v>
      </c>
      <c r="F1622">
        <v>906.04472707014565</v>
      </c>
      <c r="G1622">
        <v>0.42399999999999999</v>
      </c>
      <c r="H1622">
        <v>4.99E-2</v>
      </c>
      <c r="I1622">
        <v>379.20639999999997</v>
      </c>
    </row>
    <row r="1623" spans="1:9" x14ac:dyDescent="0.3">
      <c r="A1623" t="s">
        <v>9</v>
      </c>
      <c r="B1623" t="s">
        <v>1721</v>
      </c>
      <c r="C1623">
        <v>5</v>
      </c>
      <c r="D1623">
        <v>5.0500000000000003E-2</v>
      </c>
      <c r="E1623">
        <v>8.9323176816379437</v>
      </c>
      <c r="F1623">
        <v>880.49200792865634</v>
      </c>
      <c r="G1623">
        <v>0.42399999999999999</v>
      </c>
      <c r="H1623">
        <v>4.5600000000000002E-2</v>
      </c>
      <c r="I1623">
        <v>379.40789999999998</v>
      </c>
    </row>
    <row r="1624" spans="1:9" x14ac:dyDescent="0.3">
      <c r="A1624" t="s">
        <v>9</v>
      </c>
      <c r="B1624" t="s">
        <v>1722</v>
      </c>
      <c r="C1624">
        <v>5</v>
      </c>
      <c r="D1624">
        <v>4.6600000000000003E-2</v>
      </c>
      <c r="E1624">
        <v>8.6402635879716811</v>
      </c>
      <c r="F1624">
        <v>853.27256639896075</v>
      </c>
      <c r="G1624">
        <v>0.42399999999999999</v>
      </c>
      <c r="H1624">
        <v>4.1099999999999998E-2</v>
      </c>
      <c r="I1624">
        <v>379.60610000000003</v>
      </c>
    </row>
    <row r="1625" spans="1:9" x14ac:dyDescent="0.3">
      <c r="A1625" t="s">
        <v>9</v>
      </c>
      <c r="B1625" t="s">
        <v>1723</v>
      </c>
      <c r="C1625">
        <v>5</v>
      </c>
      <c r="D1625">
        <v>4.2000000000000003E-2</v>
      </c>
      <c r="E1625">
        <v>8.3266060127473907</v>
      </c>
      <c r="F1625">
        <v>824.03968038805681</v>
      </c>
      <c r="G1625">
        <v>0.42399999999999999</v>
      </c>
      <c r="H1625">
        <v>3.6200000000000003E-2</v>
      </c>
      <c r="I1625">
        <v>379.80869999999999</v>
      </c>
    </row>
    <row r="1626" spans="1:9" x14ac:dyDescent="0.3">
      <c r="A1626" t="s">
        <v>9</v>
      </c>
      <c r="B1626" t="s">
        <v>1724</v>
      </c>
      <c r="C1626">
        <v>5</v>
      </c>
      <c r="D1626">
        <v>3.7100000000000001E-2</v>
      </c>
      <c r="E1626">
        <v>8.0141944491377366</v>
      </c>
      <c r="F1626">
        <v>794.92292265963704</v>
      </c>
      <c r="G1626">
        <v>0.42399999999999999</v>
      </c>
      <c r="H1626">
        <v>3.1399999999999997E-2</v>
      </c>
      <c r="I1626">
        <v>380.00560000000002</v>
      </c>
    </row>
    <row r="1627" spans="1:9" x14ac:dyDescent="0.3">
      <c r="A1627" t="s">
        <v>9</v>
      </c>
      <c r="B1627" t="s">
        <v>1725</v>
      </c>
      <c r="C1627">
        <v>5</v>
      </c>
      <c r="D1627">
        <v>3.1800000000000002E-2</v>
      </c>
      <c r="E1627">
        <v>7.6948501466452193</v>
      </c>
      <c r="F1627">
        <v>765.16003366733446</v>
      </c>
      <c r="G1627">
        <v>0.42399999999999999</v>
      </c>
      <c r="H1627">
        <v>2.64E-2</v>
      </c>
      <c r="I1627">
        <v>380.20710000000003</v>
      </c>
    </row>
    <row r="1628" spans="1:9" x14ac:dyDescent="0.3">
      <c r="A1628" t="s">
        <v>9</v>
      </c>
      <c r="B1628" t="s">
        <v>1726</v>
      </c>
      <c r="C1628">
        <v>5</v>
      </c>
      <c r="D1628">
        <v>2.6599999999999999E-2</v>
      </c>
      <c r="E1628">
        <v>7.3891110096969577</v>
      </c>
      <c r="F1628">
        <v>736.66514610375646</v>
      </c>
      <c r="G1628">
        <v>0.42399999999999999</v>
      </c>
      <c r="H1628">
        <v>2.1600000000000001E-2</v>
      </c>
      <c r="I1628">
        <v>380.4049</v>
      </c>
    </row>
    <row r="1629" spans="1:9" x14ac:dyDescent="0.3">
      <c r="A1629" t="s">
        <v>9</v>
      </c>
      <c r="B1629" t="s">
        <v>1727</v>
      </c>
      <c r="C1629">
        <v>5</v>
      </c>
      <c r="D1629">
        <v>2.12E-2</v>
      </c>
      <c r="E1629">
        <v>7.0928793508938224</v>
      </c>
      <c r="F1629">
        <v>709.0563555033043</v>
      </c>
      <c r="G1629">
        <v>0.42399999999999999</v>
      </c>
      <c r="H1629">
        <v>1.7000000000000001E-2</v>
      </c>
      <c r="I1629">
        <v>380.6069</v>
      </c>
    </row>
    <row r="1630" spans="1:9" x14ac:dyDescent="0.3">
      <c r="A1630" t="s">
        <v>9</v>
      </c>
      <c r="B1630" t="s">
        <v>1728</v>
      </c>
      <c r="C1630">
        <v>5</v>
      </c>
      <c r="D1630">
        <v>1.6400000000000001E-2</v>
      </c>
      <c r="E1630">
        <v>6.82394357750744</v>
      </c>
      <c r="F1630">
        <v>683.99154142369343</v>
      </c>
      <c r="G1630">
        <v>0.42399999999999999</v>
      </c>
      <c r="H1630">
        <v>1.29E-2</v>
      </c>
      <c r="I1630">
        <v>380.80579999999998</v>
      </c>
    </row>
    <row r="1631" spans="1:9" x14ac:dyDescent="0.3">
      <c r="A1631" t="s">
        <v>9</v>
      </c>
      <c r="B1631" t="s">
        <v>1729</v>
      </c>
      <c r="C1631">
        <v>5</v>
      </c>
      <c r="D1631">
        <v>1.18E-2</v>
      </c>
      <c r="E1631">
        <v>6.5815564069456283</v>
      </c>
      <c r="F1631">
        <v>661.40105712733259</v>
      </c>
      <c r="G1631">
        <v>0.42399999999999999</v>
      </c>
      <c r="H1631">
        <v>9.1000000000000004E-3</v>
      </c>
      <c r="I1631">
        <v>381.00709999999998</v>
      </c>
    </row>
    <row r="1632" spans="1:9" x14ac:dyDescent="0.3">
      <c r="A1632" t="s">
        <v>9</v>
      </c>
      <c r="B1632" t="s">
        <v>1730</v>
      </c>
      <c r="C1632">
        <v>5</v>
      </c>
      <c r="D1632">
        <v>7.1999999999999998E-3</v>
      </c>
      <c r="E1632">
        <v>6.3759471363826004</v>
      </c>
      <c r="F1632">
        <v>642.23827311085836</v>
      </c>
      <c r="G1632">
        <v>0.42399999999999999</v>
      </c>
      <c r="H1632">
        <v>5.8999999999999999E-3</v>
      </c>
      <c r="I1632">
        <v>381.20749999999998</v>
      </c>
    </row>
    <row r="1633" spans="1:9" x14ac:dyDescent="0.3">
      <c r="A1633" t="s">
        <v>9</v>
      </c>
      <c r="B1633" t="s">
        <v>1731</v>
      </c>
      <c r="C1633">
        <v>5</v>
      </c>
      <c r="D1633">
        <v>3.5999999999999999E-3</v>
      </c>
      <c r="E1633">
        <v>6.2117722730050779</v>
      </c>
      <c r="F1633">
        <v>626.93717584407329</v>
      </c>
      <c r="G1633">
        <v>0.42399999999999999</v>
      </c>
      <c r="H1633">
        <v>3.3999999999999998E-3</v>
      </c>
      <c r="I1633">
        <v>381.40679999999998</v>
      </c>
    </row>
    <row r="1634" spans="1:9" x14ac:dyDescent="0.3">
      <c r="A1634" t="s">
        <v>9</v>
      </c>
      <c r="B1634" t="s">
        <v>1732</v>
      </c>
      <c r="C1634">
        <v>5</v>
      </c>
      <c r="D1634">
        <v>8.9999999999999998E-4</v>
      </c>
      <c r="E1634">
        <v>6.0921257613706548</v>
      </c>
      <c r="F1634">
        <v>615.78612095974506</v>
      </c>
      <c r="G1634">
        <v>0.42399999999999999</v>
      </c>
      <c r="H1634">
        <v>1.5E-3</v>
      </c>
      <c r="I1634">
        <v>381.60579999999999</v>
      </c>
    </row>
    <row r="1635" spans="1:9" x14ac:dyDescent="0.3">
      <c r="A1635" t="s">
        <v>9</v>
      </c>
      <c r="B1635" t="s">
        <v>1733</v>
      </c>
      <c r="C1635">
        <v>5</v>
      </c>
      <c r="D1635">
        <v>-1.5E-3</v>
      </c>
      <c r="E1635">
        <v>6.0190277540686257</v>
      </c>
      <c r="F1635">
        <v>608.97338667919598</v>
      </c>
      <c r="G1635">
        <v>0.42399999999999999</v>
      </c>
      <c r="H1635">
        <v>4.0000000000000002E-4</v>
      </c>
      <c r="I1635">
        <v>381.80680000000001</v>
      </c>
    </row>
    <row r="1636" spans="1:9" x14ac:dyDescent="0.3">
      <c r="A1636" t="s">
        <v>9</v>
      </c>
      <c r="B1636" t="s">
        <v>1734</v>
      </c>
      <c r="C1636">
        <v>5</v>
      </c>
      <c r="D1636">
        <v>-2.7000000000000001E-3</v>
      </c>
      <c r="E1636">
        <v>5.9957650229726456</v>
      </c>
      <c r="F1636">
        <v>606.80530014105068</v>
      </c>
      <c r="G1636">
        <v>0.42399999999999999</v>
      </c>
      <c r="H1636">
        <v>0</v>
      </c>
      <c r="I1636">
        <v>382.00709999999998</v>
      </c>
    </row>
    <row r="1637" spans="1:9" x14ac:dyDescent="0.3">
      <c r="A1637" t="s">
        <v>9</v>
      </c>
      <c r="B1637" t="s">
        <v>1735</v>
      </c>
      <c r="C1637">
        <v>5</v>
      </c>
      <c r="D1637">
        <v>-3.0999999999999999E-3</v>
      </c>
      <c r="E1637">
        <v>6.0221135162264838</v>
      </c>
      <c r="F1637">
        <v>711.49857268989331</v>
      </c>
      <c r="G1637">
        <v>0.42399999999999999</v>
      </c>
      <c r="H1637">
        <v>4.0000000000000002E-4</v>
      </c>
      <c r="I1637">
        <v>382.2056</v>
      </c>
    </row>
    <row r="1638" spans="1:9" x14ac:dyDescent="0.3">
      <c r="A1638" t="s">
        <v>9</v>
      </c>
      <c r="B1638" t="s">
        <v>1736</v>
      </c>
      <c r="C1638">
        <v>5</v>
      </c>
      <c r="D1638">
        <v>-1.1000000000000001E-3</v>
      </c>
      <c r="E1638">
        <v>6.097411640255471</v>
      </c>
      <c r="F1638">
        <v>718.64436466024426</v>
      </c>
      <c r="G1638">
        <v>0.42399999999999999</v>
      </c>
      <c r="H1638">
        <v>1.6000000000000001E-3</v>
      </c>
      <c r="I1638">
        <v>382.4049</v>
      </c>
    </row>
    <row r="1639" spans="1:9" x14ac:dyDescent="0.3">
      <c r="A1639" t="s">
        <v>9</v>
      </c>
      <c r="B1639" t="s">
        <v>1737</v>
      </c>
      <c r="C1639">
        <v>5</v>
      </c>
      <c r="D1639">
        <v>2.0999999999999999E-3</v>
      </c>
      <c r="E1639">
        <v>6.2205181554405531</v>
      </c>
      <c r="F1639">
        <v>730.32717295130851</v>
      </c>
      <c r="G1639">
        <v>0.42399999999999999</v>
      </c>
      <c r="H1639">
        <v>3.5000000000000001E-3</v>
      </c>
      <c r="I1639">
        <v>382.6053</v>
      </c>
    </row>
    <row r="1640" spans="1:9" x14ac:dyDescent="0.3">
      <c r="A1640" t="s">
        <v>9</v>
      </c>
      <c r="B1640" t="s">
        <v>1738</v>
      </c>
      <c r="C1640">
        <v>5</v>
      </c>
      <c r="D1640">
        <v>4.1999999999999997E-3</v>
      </c>
      <c r="E1640">
        <v>6.3875959866524328</v>
      </c>
      <c r="F1640">
        <v>746.1828591333159</v>
      </c>
      <c r="G1640">
        <v>0.42399999999999999</v>
      </c>
      <c r="H1640">
        <v>6.1000000000000004E-3</v>
      </c>
      <c r="I1640">
        <v>382.80500000000001</v>
      </c>
    </row>
    <row r="1641" spans="1:9" x14ac:dyDescent="0.3">
      <c r="A1641" t="s">
        <v>9</v>
      </c>
      <c r="B1641" t="s">
        <v>1739</v>
      </c>
      <c r="C1641">
        <v>5</v>
      </c>
      <c r="D1641">
        <v>7.1999999999999998E-3</v>
      </c>
      <c r="E1641">
        <v>6.5975579046221631</v>
      </c>
      <c r="F1641">
        <v>766.10824514864328</v>
      </c>
      <c r="G1641">
        <v>0.42399999999999999</v>
      </c>
      <c r="H1641">
        <v>9.4000000000000004E-3</v>
      </c>
      <c r="I1641">
        <v>383.00709999999998</v>
      </c>
    </row>
    <row r="1642" spans="1:9" x14ac:dyDescent="0.3">
      <c r="A1642" t="s">
        <v>9</v>
      </c>
      <c r="B1642" t="s">
        <v>1740</v>
      </c>
      <c r="C1642">
        <v>5</v>
      </c>
      <c r="D1642">
        <v>1.03E-2</v>
      </c>
      <c r="E1642">
        <v>6.8386962252740906</v>
      </c>
      <c r="F1642">
        <v>788.99227177851128</v>
      </c>
      <c r="G1642">
        <v>0.42399999999999999</v>
      </c>
      <c r="H1642">
        <v>1.3100000000000001E-2</v>
      </c>
      <c r="I1642">
        <v>383.2056</v>
      </c>
    </row>
    <row r="1643" spans="1:9" x14ac:dyDescent="0.3">
      <c r="A1643" t="s">
        <v>9</v>
      </c>
      <c r="B1643" t="s">
        <v>1741</v>
      </c>
      <c r="C1643">
        <v>5</v>
      </c>
      <c r="D1643">
        <v>1.43E-2</v>
      </c>
      <c r="E1643">
        <v>7.1099488585257609</v>
      </c>
      <c r="F1643">
        <v>814.73414667409475</v>
      </c>
      <c r="G1643">
        <v>0.42399999999999999</v>
      </c>
      <c r="H1643">
        <v>1.7299999999999999E-2</v>
      </c>
      <c r="I1643">
        <v>383.4051</v>
      </c>
    </row>
    <row r="1644" spans="1:9" x14ac:dyDescent="0.3">
      <c r="A1644" t="s">
        <v>9</v>
      </c>
      <c r="B1644" t="s">
        <v>1742</v>
      </c>
      <c r="C1644">
        <v>5</v>
      </c>
      <c r="D1644">
        <v>1.8200000000000001E-2</v>
      </c>
      <c r="E1644">
        <v>7.4069890260043199</v>
      </c>
      <c r="F1644">
        <v>842.92325856780997</v>
      </c>
      <c r="G1644">
        <v>0.42399999999999999</v>
      </c>
      <c r="H1644">
        <v>2.1899999999999999E-2</v>
      </c>
      <c r="I1644">
        <v>383.60680000000002</v>
      </c>
    </row>
    <row r="1645" spans="1:9" x14ac:dyDescent="0.3">
      <c r="A1645" t="s">
        <v>9</v>
      </c>
      <c r="B1645" t="s">
        <v>1743</v>
      </c>
      <c r="C1645">
        <v>5</v>
      </c>
      <c r="D1645">
        <v>2.3E-2</v>
      </c>
      <c r="E1645">
        <v>7.7143265286489378</v>
      </c>
      <c r="F1645">
        <v>872.08958756878428</v>
      </c>
      <c r="G1645">
        <v>0.42399999999999999</v>
      </c>
      <c r="H1645">
        <v>2.6700000000000002E-2</v>
      </c>
      <c r="I1645">
        <v>383.80529999999999</v>
      </c>
    </row>
    <row r="1646" spans="1:9" x14ac:dyDescent="0.3">
      <c r="A1646" t="s">
        <v>9</v>
      </c>
      <c r="B1646" t="s">
        <v>1744</v>
      </c>
      <c r="C1646">
        <v>5</v>
      </c>
      <c r="D1646">
        <v>2.7799999999999998E-2</v>
      </c>
      <c r="E1646">
        <v>8.032678644216297</v>
      </c>
      <c r="F1646">
        <v>902.3012033361266</v>
      </c>
      <c r="G1646">
        <v>0.42399999999999999</v>
      </c>
      <c r="H1646">
        <v>3.1600000000000003E-2</v>
      </c>
      <c r="I1646">
        <v>384.00599999999997</v>
      </c>
    </row>
    <row r="1647" spans="1:9" x14ac:dyDescent="0.3">
      <c r="A1647" t="s">
        <v>9</v>
      </c>
      <c r="B1647" t="s">
        <v>1745</v>
      </c>
      <c r="C1647">
        <v>5</v>
      </c>
      <c r="D1647">
        <v>3.3399999999999999E-2</v>
      </c>
      <c r="E1647">
        <v>8.350426202895461</v>
      </c>
      <c r="F1647">
        <v>932.45544665477928</v>
      </c>
      <c r="G1647">
        <v>0.42399999999999999</v>
      </c>
      <c r="H1647">
        <v>3.6600000000000001E-2</v>
      </c>
      <c r="I1647">
        <v>384.20650000000001</v>
      </c>
    </row>
    <row r="1648" spans="1:9" x14ac:dyDescent="0.3">
      <c r="A1648" t="s">
        <v>9</v>
      </c>
      <c r="B1648" t="s">
        <v>1746</v>
      </c>
      <c r="C1648">
        <v>5</v>
      </c>
      <c r="D1648">
        <v>3.7100000000000001E-2</v>
      </c>
      <c r="E1648">
        <v>8.658432326806766</v>
      </c>
      <c r="F1648">
        <v>961.68522781396211</v>
      </c>
      <c r="G1648">
        <v>0.42399999999999999</v>
      </c>
      <c r="H1648">
        <v>4.1399999999999999E-2</v>
      </c>
      <c r="I1648">
        <v>384.40589999999997</v>
      </c>
    </row>
    <row r="1649" spans="1:9" x14ac:dyDescent="0.3">
      <c r="A1649" t="s">
        <v>9</v>
      </c>
      <c r="B1649" t="s">
        <v>1747</v>
      </c>
      <c r="C1649">
        <v>5</v>
      </c>
      <c r="D1649">
        <v>4.2799999999999998E-2</v>
      </c>
      <c r="E1649">
        <v>8.9516614747064249</v>
      </c>
      <c r="F1649">
        <v>989.51267394963975</v>
      </c>
      <c r="G1649">
        <v>0.42399999999999999</v>
      </c>
      <c r="H1649">
        <v>4.5900000000000003E-2</v>
      </c>
      <c r="I1649">
        <v>384.60579999999999</v>
      </c>
    </row>
    <row r="1650" spans="1:9" x14ac:dyDescent="0.3">
      <c r="A1650" t="s">
        <v>9</v>
      </c>
      <c r="B1650" t="s">
        <v>1748</v>
      </c>
      <c r="C1650">
        <v>5</v>
      </c>
      <c r="D1650">
        <v>4.7899999999999998E-2</v>
      </c>
      <c r="E1650">
        <v>9.2236918008565247</v>
      </c>
      <c r="F1650">
        <v>1015.328351901284</v>
      </c>
      <c r="G1650">
        <v>0.42399999999999999</v>
      </c>
      <c r="H1650">
        <v>5.0200000000000002E-2</v>
      </c>
      <c r="I1650">
        <v>384.80689999999998</v>
      </c>
    </row>
    <row r="1651" spans="1:9" x14ac:dyDescent="0.3">
      <c r="A1651" t="s">
        <v>9</v>
      </c>
      <c r="B1651" t="s">
        <v>1749</v>
      </c>
      <c r="C1651">
        <v>5</v>
      </c>
      <c r="D1651">
        <v>5.21E-2</v>
      </c>
      <c r="E1651">
        <v>9.4624974482839139</v>
      </c>
      <c r="F1651">
        <v>1037.991007842144</v>
      </c>
      <c r="G1651">
        <v>0.42399999999999999</v>
      </c>
      <c r="H1651">
        <v>5.3900000000000003E-2</v>
      </c>
      <c r="I1651">
        <v>385.0052</v>
      </c>
    </row>
    <row r="1652" spans="1:9" x14ac:dyDescent="0.3">
      <c r="A1652" t="s">
        <v>9</v>
      </c>
      <c r="B1652" t="s">
        <v>1750</v>
      </c>
      <c r="C1652">
        <v>5</v>
      </c>
      <c r="D1652">
        <v>5.5800000000000002E-2</v>
      </c>
      <c r="E1652">
        <v>9.6701296935126564</v>
      </c>
      <c r="F1652">
        <v>1057.6953079143509</v>
      </c>
      <c r="G1652">
        <v>0.42399999999999999</v>
      </c>
      <c r="H1652">
        <v>5.7099999999999998E-2</v>
      </c>
      <c r="I1652">
        <v>385.20740000000001</v>
      </c>
    </row>
    <row r="1653" spans="1:9" x14ac:dyDescent="0.3">
      <c r="A1653" t="s">
        <v>9</v>
      </c>
      <c r="B1653" t="s">
        <v>1751</v>
      </c>
      <c r="C1653">
        <v>5</v>
      </c>
      <c r="D1653">
        <v>5.8900000000000001E-2</v>
      </c>
      <c r="E1653">
        <v>9.833492236789704</v>
      </c>
      <c r="F1653">
        <v>1073.198413271343</v>
      </c>
      <c r="G1653">
        <v>0.42399999999999999</v>
      </c>
      <c r="H1653">
        <v>5.96E-2</v>
      </c>
      <c r="I1653">
        <v>385.40559999999999</v>
      </c>
    </row>
    <row r="1654" spans="1:9" x14ac:dyDescent="0.3">
      <c r="A1654" t="s">
        <v>9</v>
      </c>
      <c r="B1654" t="s">
        <v>1752</v>
      </c>
      <c r="C1654">
        <v>5</v>
      </c>
      <c r="D1654">
        <v>6.13E-2</v>
      </c>
      <c r="E1654">
        <v>9.9539600294281758</v>
      </c>
      <c r="F1654">
        <v>1084.6308067927339</v>
      </c>
      <c r="G1654">
        <v>0.42399999999999999</v>
      </c>
      <c r="H1654">
        <v>6.1499999999999999E-2</v>
      </c>
      <c r="I1654">
        <v>385.60559999999998</v>
      </c>
    </row>
    <row r="1655" spans="1:9" x14ac:dyDescent="0.3">
      <c r="A1655" t="s">
        <v>9</v>
      </c>
      <c r="B1655" t="s">
        <v>1753</v>
      </c>
      <c r="C1655">
        <v>5</v>
      </c>
      <c r="D1655">
        <v>6.4699999999999994E-2</v>
      </c>
      <c r="E1655">
        <v>10.02718683045922</v>
      </c>
      <c r="F1655">
        <v>1091.5800302105799</v>
      </c>
      <c r="G1655">
        <v>0.42399999999999999</v>
      </c>
      <c r="H1655">
        <v>6.2600000000000003E-2</v>
      </c>
      <c r="I1655">
        <v>385.80700000000002</v>
      </c>
    </row>
    <row r="1656" spans="1:9" x14ac:dyDescent="0.3">
      <c r="A1656" t="s">
        <v>9</v>
      </c>
      <c r="B1656" t="s">
        <v>1754</v>
      </c>
      <c r="C1656">
        <v>5</v>
      </c>
      <c r="D1656">
        <v>6.6199999999999995E-2</v>
      </c>
      <c r="E1656">
        <v>10.0504138169001</v>
      </c>
      <c r="F1656">
        <v>1093.7842712238189</v>
      </c>
      <c r="G1656">
        <v>0.42399999999999999</v>
      </c>
      <c r="H1656">
        <v>6.3E-2</v>
      </c>
      <c r="I1656">
        <v>386.00659999999999</v>
      </c>
    </row>
    <row r="1657" spans="1:9" x14ac:dyDescent="0.3">
      <c r="A1657" t="s">
        <v>9</v>
      </c>
      <c r="B1657" t="s">
        <v>1755</v>
      </c>
      <c r="C1657">
        <v>5</v>
      </c>
      <c r="D1657">
        <v>6.6199999999999995E-2</v>
      </c>
      <c r="E1657">
        <v>10.023808853641279</v>
      </c>
      <c r="F1657">
        <v>982.21898515936778</v>
      </c>
      <c r="G1657">
        <v>0.42399999999999999</v>
      </c>
      <c r="H1657">
        <v>6.2600000000000003E-2</v>
      </c>
      <c r="I1657">
        <v>386.20659999999998</v>
      </c>
    </row>
    <row r="1658" spans="1:9" x14ac:dyDescent="0.3">
      <c r="A1658" t="s">
        <v>9</v>
      </c>
      <c r="B1658" t="s">
        <v>1756</v>
      </c>
      <c r="C1658">
        <v>5</v>
      </c>
      <c r="D1658">
        <v>6.4199999999999993E-2</v>
      </c>
      <c r="E1658">
        <v>9.9474765521362709</v>
      </c>
      <c r="F1658">
        <v>975.1048146591005</v>
      </c>
      <c r="G1658">
        <v>0.42399999999999999</v>
      </c>
      <c r="H1658">
        <v>6.1400000000000003E-2</v>
      </c>
      <c r="I1658">
        <v>386.40750000000003</v>
      </c>
    </row>
    <row r="1659" spans="1:9" x14ac:dyDescent="0.3">
      <c r="A1659" t="s">
        <v>9</v>
      </c>
      <c r="B1659" t="s">
        <v>1757</v>
      </c>
      <c r="C1659">
        <v>5</v>
      </c>
      <c r="D1659">
        <v>6.2600000000000003E-2</v>
      </c>
      <c r="E1659">
        <v>9.8237755357375924</v>
      </c>
      <c r="F1659">
        <v>963.57587993074367</v>
      </c>
      <c r="G1659">
        <v>0.42399999999999999</v>
      </c>
      <c r="H1659">
        <v>5.9499999999999997E-2</v>
      </c>
      <c r="I1659">
        <v>386.6078</v>
      </c>
    </row>
    <row r="1660" spans="1:9" x14ac:dyDescent="0.3">
      <c r="A1660" t="s">
        <v>9</v>
      </c>
      <c r="B1660" t="s">
        <v>1758</v>
      </c>
      <c r="C1660">
        <v>5</v>
      </c>
      <c r="D1660">
        <v>6.1100000000000002E-2</v>
      </c>
      <c r="E1660">
        <v>9.6577632411095404</v>
      </c>
      <c r="F1660">
        <v>948.10353407140917</v>
      </c>
      <c r="G1660">
        <v>0.42399999999999999</v>
      </c>
      <c r="H1660">
        <v>5.6899999999999999E-2</v>
      </c>
      <c r="I1660">
        <v>386.80579999999998</v>
      </c>
    </row>
    <row r="1661" spans="1:9" x14ac:dyDescent="0.3">
      <c r="A1661" t="s">
        <v>9</v>
      </c>
      <c r="B1661" t="s">
        <v>1759</v>
      </c>
      <c r="C1661">
        <v>5</v>
      </c>
      <c r="D1661">
        <v>5.91E-2</v>
      </c>
      <c r="E1661">
        <v>9.4506698665074982</v>
      </c>
      <c r="F1661">
        <v>928.80243155849882</v>
      </c>
      <c r="G1661">
        <v>0.42399999999999999</v>
      </c>
      <c r="H1661">
        <v>5.3699999999999998E-2</v>
      </c>
      <c r="I1661">
        <v>387.00529999999998</v>
      </c>
    </row>
    <row r="1662" spans="1:9" x14ac:dyDescent="0.3">
      <c r="A1662" t="s">
        <v>9</v>
      </c>
      <c r="B1662" t="s">
        <v>1760</v>
      </c>
      <c r="C1662">
        <v>5</v>
      </c>
      <c r="D1662">
        <v>5.5E-2</v>
      </c>
      <c r="E1662">
        <v>9.2048005131450026</v>
      </c>
      <c r="F1662">
        <v>905.88740782511422</v>
      </c>
      <c r="G1662">
        <v>0.42399999999999999</v>
      </c>
      <c r="H1662">
        <v>4.99E-2</v>
      </c>
      <c r="I1662">
        <v>387.20769999999999</v>
      </c>
    </row>
    <row r="1663" spans="1:9" x14ac:dyDescent="0.3">
      <c r="A1663" t="s">
        <v>9</v>
      </c>
      <c r="B1663" t="s">
        <v>1761</v>
      </c>
      <c r="C1663">
        <v>5</v>
      </c>
      <c r="D1663">
        <v>5.1299999999999998E-2</v>
      </c>
      <c r="E1663">
        <v>8.9330592876396278</v>
      </c>
      <c r="F1663">
        <v>880.5611256080133</v>
      </c>
      <c r="G1663">
        <v>0.42399999999999999</v>
      </c>
      <c r="H1663">
        <v>4.5600000000000002E-2</v>
      </c>
      <c r="I1663">
        <v>387.40730000000002</v>
      </c>
    </row>
    <row r="1664" spans="1:9" x14ac:dyDescent="0.3">
      <c r="A1664" t="s">
        <v>9</v>
      </c>
      <c r="B1664" t="s">
        <v>1762</v>
      </c>
      <c r="C1664">
        <v>5</v>
      </c>
      <c r="D1664">
        <v>4.6699999999999998E-2</v>
      </c>
      <c r="E1664">
        <v>8.6386968489938223</v>
      </c>
      <c r="F1664">
        <v>853.12654632622423</v>
      </c>
      <c r="G1664">
        <v>0.42399999999999999</v>
      </c>
      <c r="H1664">
        <v>4.1099999999999998E-2</v>
      </c>
      <c r="I1664">
        <v>387.60719999999998</v>
      </c>
    </row>
    <row r="1665" spans="1:9" x14ac:dyDescent="0.3">
      <c r="A1665" t="s">
        <v>9</v>
      </c>
      <c r="B1665" t="s">
        <v>1763</v>
      </c>
      <c r="C1665">
        <v>5</v>
      </c>
      <c r="D1665">
        <v>4.19E-2</v>
      </c>
      <c r="E1665">
        <v>8.3290781679099126</v>
      </c>
      <c r="F1665">
        <v>824.27008524920393</v>
      </c>
      <c r="G1665">
        <v>0.42399999999999999</v>
      </c>
      <c r="H1665">
        <v>3.6299999999999999E-2</v>
      </c>
      <c r="I1665">
        <v>387.80709999999999</v>
      </c>
    </row>
    <row r="1666" spans="1:9" x14ac:dyDescent="0.3">
      <c r="A1666" t="s">
        <v>9</v>
      </c>
      <c r="B1666" t="s">
        <v>1764</v>
      </c>
      <c r="C1666">
        <v>5</v>
      </c>
      <c r="D1666">
        <v>3.6700000000000003E-2</v>
      </c>
      <c r="E1666">
        <v>8.0060534074199836</v>
      </c>
      <c r="F1666">
        <v>794.1641775715425</v>
      </c>
      <c r="G1666">
        <v>0.42399999999999999</v>
      </c>
      <c r="H1666">
        <v>3.1199999999999999E-2</v>
      </c>
      <c r="I1666">
        <v>388.01069999999999</v>
      </c>
    </row>
    <row r="1667" spans="1:9" x14ac:dyDescent="0.3">
      <c r="A1667" t="s">
        <v>9</v>
      </c>
      <c r="B1667" t="s">
        <v>1765</v>
      </c>
      <c r="C1667">
        <v>5</v>
      </c>
      <c r="D1667">
        <v>3.1699999999999999E-2</v>
      </c>
      <c r="E1667">
        <v>7.6947536446067284</v>
      </c>
      <c r="F1667">
        <v>765.15103967734706</v>
      </c>
      <c r="G1667">
        <v>0.42399999999999999</v>
      </c>
      <c r="H1667">
        <v>2.64E-2</v>
      </c>
      <c r="I1667">
        <v>388.20710000000003</v>
      </c>
    </row>
    <row r="1668" spans="1:9" x14ac:dyDescent="0.3">
      <c r="A1668" t="s">
        <v>9</v>
      </c>
      <c r="B1668" t="s">
        <v>1766</v>
      </c>
      <c r="C1668">
        <v>5</v>
      </c>
      <c r="D1668">
        <v>2.5899999999999999E-2</v>
      </c>
      <c r="E1668">
        <v>7.3878426971910738</v>
      </c>
      <c r="F1668">
        <v>736.54693937820809</v>
      </c>
      <c r="G1668">
        <v>0.42399999999999999</v>
      </c>
      <c r="H1668">
        <v>2.1600000000000001E-2</v>
      </c>
      <c r="I1668">
        <v>388.4058</v>
      </c>
    </row>
    <row r="1669" spans="1:9" x14ac:dyDescent="0.3">
      <c r="A1669" t="s">
        <v>9</v>
      </c>
      <c r="B1669" t="s">
        <v>1767</v>
      </c>
      <c r="C1669">
        <v>5</v>
      </c>
      <c r="D1669">
        <v>2.1700000000000001E-2</v>
      </c>
      <c r="E1669">
        <v>7.0915279168841963</v>
      </c>
      <c r="F1669">
        <v>708.93040185360712</v>
      </c>
      <c r="G1669">
        <v>0.42399999999999999</v>
      </c>
      <c r="H1669">
        <v>1.7000000000000001E-2</v>
      </c>
      <c r="I1669">
        <v>388.60789999999997</v>
      </c>
    </row>
    <row r="1670" spans="1:9" x14ac:dyDescent="0.3">
      <c r="A1670" t="s">
        <v>9</v>
      </c>
      <c r="B1670" t="s">
        <v>1768</v>
      </c>
      <c r="C1670">
        <v>5</v>
      </c>
      <c r="D1670">
        <v>1.66E-2</v>
      </c>
      <c r="E1670">
        <v>6.8232660358842532</v>
      </c>
      <c r="F1670">
        <v>683.92839454441241</v>
      </c>
      <c r="G1670">
        <v>0.42399999999999999</v>
      </c>
      <c r="H1670">
        <v>1.29E-2</v>
      </c>
      <c r="I1670">
        <v>388.80630000000002</v>
      </c>
    </row>
    <row r="1671" spans="1:9" x14ac:dyDescent="0.3">
      <c r="A1671" t="s">
        <v>9</v>
      </c>
      <c r="B1671" t="s">
        <v>1769</v>
      </c>
      <c r="C1671">
        <v>5</v>
      </c>
      <c r="D1671">
        <v>1.17E-2</v>
      </c>
      <c r="E1671">
        <v>6.5803570244672382</v>
      </c>
      <c r="F1671">
        <v>661.28927468034658</v>
      </c>
      <c r="G1671">
        <v>0.42399999999999999</v>
      </c>
      <c r="H1671">
        <v>9.1000000000000004E-3</v>
      </c>
      <c r="I1671">
        <v>389.00819999999999</v>
      </c>
    </row>
    <row r="1672" spans="1:9" x14ac:dyDescent="0.3">
      <c r="A1672" t="s">
        <v>9</v>
      </c>
      <c r="B1672" t="s">
        <v>1770</v>
      </c>
      <c r="C1672">
        <v>5</v>
      </c>
      <c r="D1672">
        <v>7.1000000000000004E-3</v>
      </c>
      <c r="E1672">
        <v>6.3772255045630821</v>
      </c>
      <c r="F1672">
        <v>642.35741702527923</v>
      </c>
      <c r="G1672">
        <v>0.42399999999999999</v>
      </c>
      <c r="H1672">
        <v>5.8999999999999999E-3</v>
      </c>
      <c r="I1672">
        <v>389.20609999999999</v>
      </c>
    </row>
    <row r="1673" spans="1:9" x14ac:dyDescent="0.3">
      <c r="A1673" t="s">
        <v>9</v>
      </c>
      <c r="B1673" t="s">
        <v>1771</v>
      </c>
      <c r="C1673">
        <v>5</v>
      </c>
      <c r="D1673">
        <v>3.5999999999999999E-3</v>
      </c>
      <c r="E1673">
        <v>6.2125904724314278</v>
      </c>
      <c r="F1673">
        <v>627.01343203060912</v>
      </c>
      <c r="G1673">
        <v>0.42399999999999999</v>
      </c>
      <c r="H1673">
        <v>3.3999999999999998E-3</v>
      </c>
      <c r="I1673">
        <v>389.40570000000002</v>
      </c>
    </row>
    <row r="1674" spans="1:9" x14ac:dyDescent="0.3">
      <c r="A1674" t="s">
        <v>9</v>
      </c>
      <c r="B1674" t="s">
        <v>1772</v>
      </c>
      <c r="C1674">
        <v>5</v>
      </c>
      <c r="D1674">
        <v>8.9999999999999998E-4</v>
      </c>
      <c r="E1674">
        <v>6.091625207729825</v>
      </c>
      <c r="F1674">
        <v>615.73946936041966</v>
      </c>
      <c r="G1674">
        <v>0.42399999999999999</v>
      </c>
      <c r="H1674">
        <v>1.5E-3</v>
      </c>
      <c r="I1674">
        <v>389.60680000000002</v>
      </c>
    </row>
    <row r="1675" spans="1:9" x14ac:dyDescent="0.3">
      <c r="A1675" t="s">
        <v>9</v>
      </c>
      <c r="B1675" t="s">
        <v>1773</v>
      </c>
      <c r="C1675">
        <v>5</v>
      </c>
      <c r="D1675">
        <v>-1.6999999999999999E-3</v>
      </c>
      <c r="E1675">
        <v>5.9957334838115024</v>
      </c>
      <c r="F1675">
        <v>606.80236069123202</v>
      </c>
      <c r="G1675">
        <v>0.42399999999999999</v>
      </c>
      <c r="H1675">
        <v>0</v>
      </c>
      <c r="I1675">
        <v>390.20710000000003</v>
      </c>
    </row>
    <row r="1676" spans="1:9" x14ac:dyDescent="0.3">
      <c r="A1676" t="s">
        <v>9</v>
      </c>
      <c r="B1676" t="s">
        <v>1774</v>
      </c>
      <c r="C1676">
        <v>5</v>
      </c>
      <c r="D1676">
        <v>-2.7000000000000001E-3</v>
      </c>
      <c r="E1676">
        <v>5.9957334838115024</v>
      </c>
      <c r="F1676">
        <v>606.80236069123202</v>
      </c>
      <c r="G1676">
        <v>0.42399999999999999</v>
      </c>
      <c r="H1676">
        <v>0</v>
      </c>
      <c r="I1676">
        <v>390.80599999999998</v>
      </c>
    </row>
    <row r="1677" spans="1:9" x14ac:dyDescent="0.3">
      <c r="A1677" t="s">
        <v>9</v>
      </c>
      <c r="B1677" t="s">
        <v>1775</v>
      </c>
      <c r="C1677">
        <v>5</v>
      </c>
      <c r="D1677">
        <v>-2.7000000000000001E-3</v>
      </c>
      <c r="E1677">
        <v>5.9957334838115024</v>
      </c>
      <c r="F1677">
        <v>606.80236069123202</v>
      </c>
      <c r="G1677">
        <v>0.42399999999999999</v>
      </c>
      <c r="H1677">
        <v>0</v>
      </c>
      <c r="I1677">
        <v>391.00839999999999</v>
      </c>
    </row>
    <row r="1678" spans="1:9" x14ac:dyDescent="0.3">
      <c r="A1678" t="s">
        <v>9</v>
      </c>
      <c r="B1678" t="s">
        <v>1776</v>
      </c>
      <c r="C1678">
        <v>5</v>
      </c>
      <c r="D1678">
        <v>-2.7000000000000001E-3</v>
      </c>
      <c r="E1678">
        <v>5.9957334838115024</v>
      </c>
      <c r="F1678">
        <v>606.80236069123202</v>
      </c>
      <c r="G1678">
        <v>0.42399999999999999</v>
      </c>
      <c r="H1678">
        <v>0</v>
      </c>
      <c r="I1678">
        <v>391.20609999999999</v>
      </c>
    </row>
    <row r="1679" spans="1:9" x14ac:dyDescent="0.3">
      <c r="A1679" t="s">
        <v>9</v>
      </c>
      <c r="B1679" t="s">
        <v>1777</v>
      </c>
      <c r="C1679">
        <v>5</v>
      </c>
      <c r="D1679">
        <v>-2.7000000000000001E-3</v>
      </c>
      <c r="E1679">
        <v>5.9957334838115024</v>
      </c>
      <c r="F1679">
        <v>606.80236069123202</v>
      </c>
      <c r="G1679">
        <v>0.42399999999999999</v>
      </c>
      <c r="H1679">
        <v>0</v>
      </c>
      <c r="I1679">
        <v>391.40640000000002</v>
      </c>
    </row>
    <row r="1680" spans="1:9" x14ac:dyDescent="0.3">
      <c r="A1680" t="s">
        <v>9</v>
      </c>
      <c r="B1680" t="s">
        <v>1778</v>
      </c>
      <c r="C1680">
        <v>5</v>
      </c>
      <c r="D1680">
        <v>-2.7000000000000001E-3</v>
      </c>
      <c r="E1680">
        <v>5.9957334838115024</v>
      </c>
      <c r="F1680">
        <v>606.80236069123202</v>
      </c>
      <c r="G1680">
        <v>0.42399999999999999</v>
      </c>
      <c r="H1680">
        <v>0</v>
      </c>
      <c r="I1680">
        <v>391.60829999999999</v>
      </c>
    </row>
    <row r="1681" spans="1:9" x14ac:dyDescent="0.3">
      <c r="A1681" t="s">
        <v>9</v>
      </c>
      <c r="B1681" t="s">
        <v>1779</v>
      </c>
      <c r="C1681">
        <v>5</v>
      </c>
      <c r="D1681">
        <v>-2.7000000000000001E-3</v>
      </c>
      <c r="E1681">
        <v>5.9957334838115024</v>
      </c>
      <c r="F1681">
        <v>606.80236069123202</v>
      </c>
      <c r="G1681">
        <v>0.42399999999999999</v>
      </c>
      <c r="H1681">
        <v>0</v>
      </c>
      <c r="I1681">
        <v>391.80689999999998</v>
      </c>
    </row>
    <row r="1682" spans="1:9" x14ac:dyDescent="0.3">
      <c r="A1682" t="s">
        <v>9</v>
      </c>
      <c r="B1682" t="s">
        <v>1780</v>
      </c>
      <c r="C1682">
        <v>5</v>
      </c>
      <c r="D1682">
        <v>-2.7000000000000001E-3</v>
      </c>
      <c r="E1682">
        <v>5.9957334838115024</v>
      </c>
      <c r="F1682">
        <v>606.80236069123202</v>
      </c>
      <c r="G1682">
        <v>0.42399999999999999</v>
      </c>
      <c r="H1682">
        <v>0</v>
      </c>
      <c r="I1682">
        <v>392.00560000000002</v>
      </c>
    </row>
    <row r="1683" spans="1:9" x14ac:dyDescent="0.3">
      <c r="A1683" t="s">
        <v>9</v>
      </c>
      <c r="B1683" t="s">
        <v>1781</v>
      </c>
      <c r="C1683">
        <v>5</v>
      </c>
      <c r="D1683">
        <v>-2.7000000000000001E-3</v>
      </c>
      <c r="E1683">
        <v>5.9957334838115024</v>
      </c>
      <c r="F1683">
        <v>606.80236069123202</v>
      </c>
      <c r="G1683">
        <v>0.42399999999999999</v>
      </c>
      <c r="H1683">
        <v>0</v>
      </c>
      <c r="I1683">
        <v>392.2063</v>
      </c>
    </row>
    <row r="1684" spans="1:9" x14ac:dyDescent="0.3">
      <c r="A1684" t="s">
        <v>9</v>
      </c>
      <c r="B1684" t="s">
        <v>1782</v>
      </c>
      <c r="C1684">
        <v>5</v>
      </c>
      <c r="D1684">
        <v>-2.7000000000000001E-3</v>
      </c>
      <c r="E1684">
        <v>5.9957334838115024</v>
      </c>
      <c r="F1684">
        <v>606.80236069123202</v>
      </c>
      <c r="G1684">
        <v>0.42399999999999999</v>
      </c>
      <c r="H1684">
        <v>0</v>
      </c>
      <c r="I1684">
        <v>392.40699999999998</v>
      </c>
    </row>
    <row r="1685" spans="1:9" x14ac:dyDescent="0.3">
      <c r="A1685" t="s">
        <v>9</v>
      </c>
      <c r="B1685" t="s">
        <v>1783</v>
      </c>
      <c r="C1685">
        <v>5</v>
      </c>
      <c r="D1685">
        <v>-2.7000000000000001E-3</v>
      </c>
      <c r="E1685">
        <v>5.9957334838115024</v>
      </c>
      <c r="F1685">
        <v>606.80236069123202</v>
      </c>
      <c r="G1685">
        <v>0.42399999999999999</v>
      </c>
      <c r="H1685">
        <v>0</v>
      </c>
      <c r="I1685">
        <v>392.60599999999999</v>
      </c>
    </row>
    <row r="1686" spans="1:9" x14ac:dyDescent="0.3">
      <c r="A1686" t="s">
        <v>9</v>
      </c>
      <c r="B1686" t="s">
        <v>1784</v>
      </c>
      <c r="C1686">
        <v>5</v>
      </c>
      <c r="D1686">
        <v>-2.7000000000000001E-3</v>
      </c>
      <c r="E1686">
        <v>5.9957334838115024</v>
      </c>
      <c r="F1686">
        <v>606.80236069123202</v>
      </c>
      <c r="G1686">
        <v>0.42399999999999999</v>
      </c>
      <c r="H1686">
        <v>0</v>
      </c>
      <c r="I1686">
        <v>392.80689999999998</v>
      </c>
    </row>
    <row r="1687" spans="1:9" x14ac:dyDescent="0.3">
      <c r="A1687" t="s">
        <v>9</v>
      </c>
      <c r="B1687" t="s">
        <v>1785</v>
      </c>
      <c r="C1687">
        <v>5</v>
      </c>
      <c r="D1687">
        <v>-2.7000000000000001E-3</v>
      </c>
      <c r="E1687">
        <v>5.9957334838115024</v>
      </c>
      <c r="F1687">
        <v>606.80236069123202</v>
      </c>
      <c r="G1687">
        <v>0.42399999999999999</v>
      </c>
      <c r="H1687">
        <v>0</v>
      </c>
      <c r="I1687">
        <v>393.00619999999998</v>
      </c>
    </row>
    <row r="1688" spans="1:9" x14ac:dyDescent="0.3">
      <c r="A1688" t="s">
        <v>9</v>
      </c>
      <c r="B1688" t="s">
        <v>1786</v>
      </c>
      <c r="C1688">
        <v>5</v>
      </c>
      <c r="D1688">
        <v>-2.7000000000000001E-3</v>
      </c>
      <c r="E1688">
        <v>5.9957334838115024</v>
      </c>
      <c r="F1688">
        <v>606.80236069123202</v>
      </c>
      <c r="G1688">
        <v>0.42399999999999999</v>
      </c>
      <c r="H1688">
        <v>0</v>
      </c>
      <c r="I1688">
        <v>393.20830000000001</v>
      </c>
    </row>
    <row r="1689" spans="1:9" x14ac:dyDescent="0.3">
      <c r="A1689" t="s">
        <v>9</v>
      </c>
      <c r="B1689" t="s">
        <v>1787</v>
      </c>
      <c r="C1689">
        <v>5</v>
      </c>
      <c r="D1689">
        <v>-2.7000000000000001E-3</v>
      </c>
      <c r="E1689">
        <v>5.9957334838115024</v>
      </c>
      <c r="F1689">
        <v>606.80236069123202</v>
      </c>
      <c r="G1689">
        <v>0.42399999999999999</v>
      </c>
      <c r="H1689">
        <v>0</v>
      </c>
      <c r="I1689">
        <v>393.40649999999999</v>
      </c>
    </row>
    <row r="1690" spans="1:9" x14ac:dyDescent="0.3">
      <c r="A1690" t="s">
        <v>9</v>
      </c>
      <c r="B1690" t="s">
        <v>1788</v>
      </c>
      <c r="C1690">
        <v>5</v>
      </c>
      <c r="D1690">
        <v>-2.7000000000000001E-3</v>
      </c>
      <c r="E1690">
        <v>5.9957334838115024</v>
      </c>
      <c r="F1690">
        <v>606.80236069123202</v>
      </c>
      <c r="G1690">
        <v>0.42399999999999999</v>
      </c>
      <c r="H1690">
        <v>0</v>
      </c>
      <c r="I1690">
        <v>393.60640000000001</v>
      </c>
    </row>
    <row r="1691" spans="1:9" x14ac:dyDescent="0.3">
      <c r="A1691" t="s">
        <v>9</v>
      </c>
      <c r="B1691" t="s">
        <v>1789</v>
      </c>
      <c r="C1691">
        <v>5</v>
      </c>
      <c r="D1691">
        <v>-2.7000000000000001E-3</v>
      </c>
      <c r="E1691">
        <v>5.9957334838115024</v>
      </c>
      <c r="F1691">
        <v>606.80236069123202</v>
      </c>
      <c r="G1691">
        <v>0.42399999999999999</v>
      </c>
      <c r="H1691">
        <v>0</v>
      </c>
      <c r="I1691">
        <v>393.80900000000003</v>
      </c>
    </row>
    <row r="1692" spans="1:9" x14ac:dyDescent="0.3">
      <c r="A1692" t="s">
        <v>9</v>
      </c>
      <c r="B1692" t="s">
        <v>1790</v>
      </c>
      <c r="C1692">
        <v>5</v>
      </c>
      <c r="D1692">
        <v>-2.7000000000000001E-3</v>
      </c>
      <c r="E1692">
        <v>5.9957334838115024</v>
      </c>
      <c r="F1692">
        <v>606.80236069123202</v>
      </c>
      <c r="G1692">
        <v>0.42399999999999999</v>
      </c>
      <c r="H1692">
        <v>0</v>
      </c>
      <c r="I1692">
        <v>394.00749999999999</v>
      </c>
    </row>
    <row r="1693" spans="1:9" x14ac:dyDescent="0.3">
      <c r="A1693" t="s">
        <v>9</v>
      </c>
      <c r="B1693" t="s">
        <v>1791</v>
      </c>
      <c r="C1693">
        <v>5</v>
      </c>
      <c r="D1693">
        <v>-2.7000000000000001E-3</v>
      </c>
      <c r="E1693">
        <v>5.9957334838115024</v>
      </c>
      <c r="F1693">
        <v>606.80236069123202</v>
      </c>
      <c r="G1693">
        <v>0.42399999999999999</v>
      </c>
      <c r="H1693">
        <v>0</v>
      </c>
      <c r="I1693">
        <v>394.20679999999999</v>
      </c>
    </row>
    <row r="1694" spans="1:9" x14ac:dyDescent="0.3">
      <c r="A1694" t="s">
        <v>9</v>
      </c>
      <c r="B1694" t="s">
        <v>1792</v>
      </c>
      <c r="C1694">
        <v>5</v>
      </c>
      <c r="D1694">
        <v>-2.7000000000000001E-3</v>
      </c>
      <c r="E1694">
        <v>5.9957334838115024</v>
      </c>
      <c r="F1694">
        <v>606.80236069123202</v>
      </c>
      <c r="G1694">
        <v>0.42399999999999999</v>
      </c>
      <c r="H1694">
        <v>0</v>
      </c>
      <c r="I1694">
        <v>394.4076</v>
      </c>
    </row>
    <row r="1695" spans="1:9" x14ac:dyDescent="0.3">
      <c r="A1695" t="s">
        <v>9</v>
      </c>
      <c r="B1695" t="s">
        <v>1793</v>
      </c>
      <c r="C1695">
        <v>5</v>
      </c>
      <c r="D1695">
        <v>-2.7000000000000001E-3</v>
      </c>
      <c r="E1695">
        <v>5.9957334838115024</v>
      </c>
      <c r="F1695">
        <v>606.80236069123202</v>
      </c>
      <c r="G1695">
        <v>0.42399999999999999</v>
      </c>
      <c r="H1695">
        <v>0</v>
      </c>
      <c r="I1695">
        <v>394.6071</v>
      </c>
    </row>
    <row r="1696" spans="1:9" x14ac:dyDescent="0.3">
      <c r="A1696" t="s">
        <v>9</v>
      </c>
      <c r="B1696" t="s">
        <v>1794</v>
      </c>
      <c r="C1696">
        <v>5</v>
      </c>
      <c r="D1696">
        <v>-2.7000000000000001E-3</v>
      </c>
      <c r="E1696">
        <v>5.9957334838115024</v>
      </c>
      <c r="F1696">
        <v>606.80236069123202</v>
      </c>
      <c r="G1696">
        <v>0.42399999999999999</v>
      </c>
      <c r="H1696">
        <v>0</v>
      </c>
      <c r="I1696">
        <v>394.80630000000002</v>
      </c>
    </row>
    <row r="1697" spans="1:9" x14ac:dyDescent="0.3">
      <c r="A1697" t="s">
        <v>9</v>
      </c>
      <c r="B1697" t="s">
        <v>1795</v>
      </c>
      <c r="C1697">
        <v>5</v>
      </c>
      <c r="D1697">
        <v>-2.7000000000000001E-3</v>
      </c>
      <c r="E1697">
        <v>5.9957334838115024</v>
      </c>
      <c r="F1697">
        <v>606.80236069123202</v>
      </c>
      <c r="G1697">
        <v>0.42399999999999999</v>
      </c>
      <c r="H1697">
        <v>0</v>
      </c>
      <c r="I1697">
        <v>395.00599999999997</v>
      </c>
    </row>
    <row r="1698" spans="1:9" x14ac:dyDescent="0.3">
      <c r="A1698" t="s">
        <v>9</v>
      </c>
      <c r="B1698" t="s">
        <v>1796</v>
      </c>
      <c r="C1698">
        <v>5</v>
      </c>
      <c r="D1698">
        <v>-2.7000000000000001E-3</v>
      </c>
      <c r="E1698">
        <v>5.9957334838115024</v>
      </c>
      <c r="F1698">
        <v>606.80236069123202</v>
      </c>
      <c r="G1698">
        <v>0.42399999999999999</v>
      </c>
      <c r="H1698">
        <v>0</v>
      </c>
      <c r="I1698">
        <v>395.2072</v>
      </c>
    </row>
    <row r="1699" spans="1:9" x14ac:dyDescent="0.3">
      <c r="A1699" t="s">
        <v>9</v>
      </c>
      <c r="B1699" t="s">
        <v>1797</v>
      </c>
      <c r="C1699">
        <v>5</v>
      </c>
      <c r="D1699">
        <v>-2.7000000000000001E-3</v>
      </c>
      <c r="E1699">
        <v>5.9957334838115024</v>
      </c>
      <c r="F1699">
        <v>606.80236069123202</v>
      </c>
      <c r="G1699">
        <v>0.42399999999999999</v>
      </c>
      <c r="H1699">
        <v>0</v>
      </c>
      <c r="I1699">
        <v>395.40640000000002</v>
      </c>
    </row>
    <row r="1700" spans="1:9" x14ac:dyDescent="0.3">
      <c r="A1700" t="s">
        <v>9</v>
      </c>
      <c r="B1700" t="s">
        <v>1798</v>
      </c>
      <c r="C1700">
        <v>6</v>
      </c>
      <c r="D1700">
        <v>-2.7000000000000001E-3</v>
      </c>
      <c r="E1700">
        <v>5.9957334838115024</v>
      </c>
      <c r="F1700">
        <v>606.80236069123202</v>
      </c>
      <c r="G1700">
        <v>0.42399999999999999</v>
      </c>
      <c r="H1700">
        <v>0</v>
      </c>
      <c r="I1700">
        <v>395.60820000000001</v>
      </c>
    </row>
    <row r="1701" spans="1:9" x14ac:dyDescent="0.3">
      <c r="A1701" t="s">
        <v>9</v>
      </c>
      <c r="B1701" t="s">
        <v>1799</v>
      </c>
      <c r="C1701">
        <v>6</v>
      </c>
      <c r="D1701">
        <v>-2.7000000000000001E-3</v>
      </c>
      <c r="E1701">
        <v>5.9957334838115024</v>
      </c>
      <c r="F1701">
        <v>606.80236069123202</v>
      </c>
      <c r="G1701">
        <v>0.42399999999999999</v>
      </c>
      <c r="H1701">
        <v>0</v>
      </c>
      <c r="I1701">
        <v>395.81279999999998</v>
      </c>
    </row>
    <row r="1702" spans="1:9" x14ac:dyDescent="0.3">
      <c r="A1702" t="s">
        <v>9</v>
      </c>
      <c r="B1702" t="s">
        <v>1800</v>
      </c>
      <c r="C1702">
        <v>6</v>
      </c>
      <c r="D1702">
        <v>-2.8E-3</v>
      </c>
      <c r="E1702">
        <v>5.9957334838115024</v>
      </c>
      <c r="F1702">
        <v>606.80236069123202</v>
      </c>
      <c r="G1702">
        <v>0.42399999999999999</v>
      </c>
      <c r="H1702">
        <v>0</v>
      </c>
      <c r="I1702">
        <v>396.00790000000001</v>
      </c>
    </row>
    <row r="1703" spans="1:9" x14ac:dyDescent="0.3">
      <c r="A1703" t="s">
        <v>9</v>
      </c>
      <c r="B1703" t="s">
        <v>1801</v>
      </c>
      <c r="C1703">
        <v>6</v>
      </c>
      <c r="D1703">
        <v>-2.7000000000000001E-3</v>
      </c>
      <c r="E1703">
        <v>5.9957334838115024</v>
      </c>
      <c r="F1703">
        <v>606.80236069123202</v>
      </c>
      <c r="G1703">
        <v>0.42399999999999999</v>
      </c>
      <c r="H1703">
        <v>0</v>
      </c>
      <c r="I1703">
        <v>396.20639999999997</v>
      </c>
    </row>
    <row r="1704" spans="1:9" x14ac:dyDescent="0.3">
      <c r="A1704" t="s">
        <v>9</v>
      </c>
      <c r="B1704" t="s">
        <v>1802</v>
      </c>
      <c r="C1704">
        <v>6</v>
      </c>
      <c r="D1704">
        <v>-2.8E-3</v>
      </c>
      <c r="E1704">
        <v>5.9957334838115024</v>
      </c>
      <c r="F1704">
        <v>606.80236069123202</v>
      </c>
      <c r="G1704">
        <v>0.42399999999999999</v>
      </c>
      <c r="H1704">
        <v>0</v>
      </c>
      <c r="I1704">
        <v>396.40839999999997</v>
      </c>
    </row>
    <row r="1705" spans="1:9" x14ac:dyDescent="0.3">
      <c r="A1705" t="s">
        <v>9</v>
      </c>
      <c r="B1705" t="s">
        <v>1803</v>
      </c>
      <c r="C1705">
        <v>6</v>
      </c>
      <c r="D1705">
        <v>-2.7000000000000001E-3</v>
      </c>
      <c r="E1705">
        <v>5.9957334838115024</v>
      </c>
      <c r="F1705">
        <v>606.80236069123202</v>
      </c>
      <c r="G1705">
        <v>0.42399999999999999</v>
      </c>
      <c r="H1705">
        <v>0</v>
      </c>
      <c r="I1705">
        <v>396.60820000000001</v>
      </c>
    </row>
    <row r="1706" spans="1:9" x14ac:dyDescent="0.3">
      <c r="A1706" t="s">
        <v>9</v>
      </c>
      <c r="B1706" t="s">
        <v>1804</v>
      </c>
      <c r="C1706">
        <v>6</v>
      </c>
      <c r="D1706">
        <v>-2.7000000000000001E-3</v>
      </c>
      <c r="E1706">
        <v>5.9957334838115024</v>
      </c>
      <c r="F1706">
        <v>606.80236069123202</v>
      </c>
      <c r="G1706">
        <v>0.42399999999999999</v>
      </c>
      <c r="H1706">
        <v>0</v>
      </c>
      <c r="I1706">
        <v>396.80770000000001</v>
      </c>
    </row>
    <row r="1707" spans="1:9" x14ac:dyDescent="0.3">
      <c r="A1707" t="s">
        <v>9</v>
      </c>
      <c r="B1707" t="s">
        <v>1805</v>
      </c>
      <c r="C1707">
        <v>6</v>
      </c>
      <c r="D1707">
        <v>-2.7000000000000001E-3</v>
      </c>
      <c r="E1707">
        <v>5.9957334838115024</v>
      </c>
      <c r="F1707">
        <v>606.80236069123202</v>
      </c>
      <c r="G1707">
        <v>0.42399999999999999</v>
      </c>
      <c r="H1707">
        <v>0</v>
      </c>
      <c r="I1707">
        <v>397.00819999999999</v>
      </c>
    </row>
    <row r="1708" spans="1:9" x14ac:dyDescent="0.3">
      <c r="A1708" t="s">
        <v>9</v>
      </c>
      <c r="B1708" t="s">
        <v>1806</v>
      </c>
      <c r="C1708">
        <v>6</v>
      </c>
      <c r="D1708">
        <v>-2.7000000000000001E-3</v>
      </c>
      <c r="E1708">
        <v>5.9957334838115024</v>
      </c>
      <c r="F1708">
        <v>606.80236069123202</v>
      </c>
      <c r="G1708">
        <v>0.42399999999999999</v>
      </c>
      <c r="H1708">
        <v>0</v>
      </c>
      <c r="I1708">
        <v>397.20749999999998</v>
      </c>
    </row>
    <row r="1709" spans="1:9" x14ac:dyDescent="0.3">
      <c r="A1709" t="s">
        <v>9</v>
      </c>
      <c r="B1709" t="s">
        <v>1807</v>
      </c>
      <c r="C1709">
        <v>6</v>
      </c>
      <c r="D1709">
        <v>-2.7000000000000001E-3</v>
      </c>
      <c r="E1709">
        <v>5.9957334838115024</v>
      </c>
      <c r="F1709">
        <v>606.80236069123202</v>
      </c>
      <c r="G1709">
        <v>0.42399999999999999</v>
      </c>
      <c r="H1709">
        <v>0</v>
      </c>
      <c r="I1709">
        <v>397.40859999999998</v>
      </c>
    </row>
    <row r="1710" spans="1:9" x14ac:dyDescent="0.3">
      <c r="A1710" t="s">
        <v>9</v>
      </c>
      <c r="B1710" t="s">
        <v>1808</v>
      </c>
      <c r="C1710">
        <v>6</v>
      </c>
      <c r="D1710">
        <v>-2.7000000000000001E-3</v>
      </c>
      <c r="E1710">
        <v>5.9957334838115024</v>
      </c>
      <c r="F1710">
        <v>606.80236069123202</v>
      </c>
      <c r="G1710">
        <v>0.42399999999999999</v>
      </c>
      <c r="H1710">
        <v>0</v>
      </c>
      <c r="I1710">
        <v>397.60599999999999</v>
      </c>
    </row>
    <row r="1711" spans="1:9" x14ac:dyDescent="0.3">
      <c r="A1711" t="s">
        <v>9</v>
      </c>
      <c r="B1711" t="s">
        <v>1809</v>
      </c>
      <c r="C1711">
        <v>6</v>
      </c>
      <c r="D1711">
        <v>-2.7000000000000001E-3</v>
      </c>
      <c r="E1711">
        <v>5.9957334838115024</v>
      </c>
      <c r="F1711">
        <v>606.80236069123202</v>
      </c>
      <c r="G1711">
        <v>0.42399999999999999</v>
      </c>
      <c r="H1711">
        <v>0</v>
      </c>
      <c r="I1711">
        <v>397.80950000000001</v>
      </c>
    </row>
    <row r="1712" spans="1:9" x14ac:dyDescent="0.3">
      <c r="A1712" t="s">
        <v>9</v>
      </c>
      <c r="B1712" t="s">
        <v>1810</v>
      </c>
      <c r="C1712">
        <v>6</v>
      </c>
      <c r="D1712">
        <v>-2.8E-3</v>
      </c>
      <c r="E1712">
        <v>5.9957334838115024</v>
      </c>
      <c r="F1712">
        <v>606.80236069123202</v>
      </c>
      <c r="G1712">
        <v>0.42399999999999999</v>
      </c>
      <c r="H1712">
        <v>0</v>
      </c>
      <c r="I1712">
        <v>398.00729999999999</v>
      </c>
    </row>
    <row r="1713" spans="1:9" x14ac:dyDescent="0.3">
      <c r="A1713" t="s">
        <v>9</v>
      </c>
      <c r="B1713" t="s">
        <v>1811</v>
      </c>
      <c r="C1713">
        <v>6</v>
      </c>
      <c r="D1713">
        <v>-2.8E-3</v>
      </c>
      <c r="E1713">
        <v>5.9957334838115024</v>
      </c>
      <c r="F1713">
        <v>606.80236069123202</v>
      </c>
      <c r="G1713">
        <v>0.42399999999999999</v>
      </c>
      <c r="H1713">
        <v>0</v>
      </c>
      <c r="I1713">
        <v>398.20760000000001</v>
      </c>
    </row>
    <row r="1714" spans="1:9" x14ac:dyDescent="0.3">
      <c r="A1714" t="s">
        <v>9</v>
      </c>
      <c r="B1714" t="s">
        <v>1812</v>
      </c>
      <c r="C1714">
        <v>6</v>
      </c>
      <c r="D1714">
        <v>-2.7000000000000001E-3</v>
      </c>
      <c r="E1714">
        <v>5.9957334838115024</v>
      </c>
      <c r="F1714">
        <v>606.80236069123202</v>
      </c>
      <c r="G1714">
        <v>0.42399999999999999</v>
      </c>
      <c r="H1714">
        <v>0</v>
      </c>
      <c r="I1714">
        <v>398.40800000000002</v>
      </c>
    </row>
    <row r="1715" spans="1:9" x14ac:dyDescent="0.3">
      <c r="A1715" t="s">
        <v>9</v>
      </c>
      <c r="B1715" t="s">
        <v>1813</v>
      </c>
      <c r="C1715">
        <v>6</v>
      </c>
      <c r="D1715">
        <v>-2.7000000000000001E-3</v>
      </c>
      <c r="E1715">
        <v>5.9957334838115024</v>
      </c>
      <c r="F1715">
        <v>606.80236069123202</v>
      </c>
      <c r="G1715">
        <v>0.42399999999999999</v>
      </c>
      <c r="H1715">
        <v>0</v>
      </c>
      <c r="I1715">
        <v>398.60599999999999</v>
      </c>
    </row>
    <row r="1716" spans="1:9" x14ac:dyDescent="0.3">
      <c r="A1716" t="s">
        <v>9</v>
      </c>
      <c r="B1716" t="s">
        <v>1814</v>
      </c>
      <c r="C1716">
        <v>6</v>
      </c>
      <c r="D1716">
        <v>-2.8E-3</v>
      </c>
      <c r="E1716">
        <v>5.9957334838115024</v>
      </c>
      <c r="F1716">
        <v>606.80236069123202</v>
      </c>
      <c r="G1716">
        <v>0.42399999999999999</v>
      </c>
      <c r="H1716">
        <v>0</v>
      </c>
      <c r="I1716">
        <v>398.8075</v>
      </c>
    </row>
    <row r="1717" spans="1:9" x14ac:dyDescent="0.3">
      <c r="A1717" t="s">
        <v>9</v>
      </c>
      <c r="B1717" t="s">
        <v>1815</v>
      </c>
      <c r="C1717">
        <v>6</v>
      </c>
      <c r="D1717">
        <v>-2.7000000000000001E-3</v>
      </c>
      <c r="E1717">
        <v>5.9957334838115024</v>
      </c>
      <c r="F1717">
        <v>606.80236069123202</v>
      </c>
      <c r="G1717">
        <v>0.42399999999999999</v>
      </c>
      <c r="H1717">
        <v>0</v>
      </c>
      <c r="I1717">
        <v>399.00880000000001</v>
      </c>
    </row>
    <row r="1718" spans="1:9" x14ac:dyDescent="0.3">
      <c r="A1718" t="s">
        <v>9</v>
      </c>
      <c r="B1718" t="s">
        <v>1816</v>
      </c>
      <c r="C1718">
        <v>6</v>
      </c>
      <c r="D1718">
        <v>-2.7000000000000001E-3</v>
      </c>
      <c r="E1718">
        <v>5.9957334838115024</v>
      </c>
      <c r="F1718">
        <v>606.80236069123202</v>
      </c>
      <c r="G1718">
        <v>0.42399999999999999</v>
      </c>
      <c r="H1718">
        <v>0</v>
      </c>
      <c r="I1718">
        <v>399.209</v>
      </c>
    </row>
    <row r="1719" spans="1:9" x14ac:dyDescent="0.3">
      <c r="A1719" t="s">
        <v>9</v>
      </c>
      <c r="B1719" t="s">
        <v>1817</v>
      </c>
      <c r="C1719">
        <v>6</v>
      </c>
      <c r="D1719">
        <v>-2.7000000000000001E-3</v>
      </c>
      <c r="E1719">
        <v>5.9957334838115024</v>
      </c>
      <c r="F1719">
        <v>606.80236069123202</v>
      </c>
      <c r="G1719">
        <v>0.42399999999999999</v>
      </c>
      <c r="H1719">
        <v>0</v>
      </c>
      <c r="I1719">
        <v>399.4092</v>
      </c>
    </row>
    <row r="1720" spans="1:9" x14ac:dyDescent="0.3">
      <c r="A1720" t="s">
        <v>9</v>
      </c>
      <c r="B1720" t="s">
        <v>1818</v>
      </c>
      <c r="C1720">
        <v>6</v>
      </c>
      <c r="D1720">
        <v>-2.7000000000000001E-3</v>
      </c>
      <c r="E1720">
        <v>5.9957334838115024</v>
      </c>
      <c r="F1720">
        <v>606.80236069123202</v>
      </c>
      <c r="G1720">
        <v>0.42399999999999999</v>
      </c>
      <c r="H1720">
        <v>0</v>
      </c>
      <c r="I1720">
        <v>399.60849999999999</v>
      </c>
    </row>
    <row r="1721" spans="1:9" x14ac:dyDescent="0.3">
      <c r="A1721" t="s">
        <v>9</v>
      </c>
      <c r="B1721" t="s">
        <v>1819</v>
      </c>
      <c r="C1721">
        <v>6</v>
      </c>
      <c r="D1721">
        <v>-2.7000000000000001E-3</v>
      </c>
      <c r="E1721">
        <v>5.9957334838115024</v>
      </c>
      <c r="F1721">
        <v>606.80236069123202</v>
      </c>
      <c r="G1721">
        <v>0.42399999999999999</v>
      </c>
      <c r="H1721">
        <v>0</v>
      </c>
      <c r="I1721">
        <v>399.80720000000002</v>
      </c>
    </row>
    <row r="1722" spans="1:9" x14ac:dyDescent="0.3">
      <c r="A1722" t="s">
        <v>9</v>
      </c>
      <c r="B1722" t="s">
        <v>1820</v>
      </c>
      <c r="C1722">
        <v>6</v>
      </c>
      <c r="D1722">
        <v>-2.8E-3</v>
      </c>
      <c r="E1722">
        <v>5.9957334838115024</v>
      </c>
      <c r="F1722">
        <v>606.80236069123202</v>
      </c>
      <c r="G1722">
        <v>0.42399999999999999</v>
      </c>
      <c r="H1722">
        <v>0</v>
      </c>
      <c r="I1722">
        <v>400.01159999999999</v>
      </c>
    </row>
    <row r="1723" spans="1:9" x14ac:dyDescent="0.3">
      <c r="A1723" t="s">
        <v>9</v>
      </c>
      <c r="B1723" t="s">
        <v>1821</v>
      </c>
      <c r="C1723">
        <v>6</v>
      </c>
      <c r="D1723">
        <v>-2.8E-3</v>
      </c>
      <c r="E1723">
        <v>5.9957334838115024</v>
      </c>
      <c r="F1723">
        <v>606.80236069123202</v>
      </c>
      <c r="G1723">
        <v>0.42399999999999999</v>
      </c>
      <c r="H1723">
        <v>0</v>
      </c>
      <c r="I1723">
        <v>400.20780000000002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L117"/>
  <sheetViews>
    <sheetView topLeftCell="A4" zoomScale="70" zoomScaleNormal="70" workbookViewId="0">
      <selection activeCell="C19" sqref="C19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0.109375" bestFit="1" customWidth="1"/>
    <col min="65" max="65" width="12.44140625" bestFit="1" customWidth="1"/>
    <col min="66" max="66" width="12" bestFit="1" customWidth="1"/>
    <col min="67" max="67" width="16.77734375" bestFit="1" customWidth="1"/>
    <col min="68" max="69" width="13.33203125" bestFit="1" customWidth="1"/>
    <col min="70" max="70" width="10.44140625" bestFit="1" customWidth="1"/>
    <col min="71" max="72" width="10" bestFit="1" customWidth="1"/>
    <col min="73" max="73" width="10.109375" bestFit="1" customWidth="1"/>
    <col min="74" max="74" width="12.44140625" bestFit="1" customWidth="1"/>
    <col min="75" max="75" width="12" bestFit="1" customWidth="1"/>
    <col min="76" max="76" width="16.77734375" bestFit="1" customWidth="1"/>
    <col min="77" max="78" width="13.33203125" bestFit="1" customWidth="1"/>
    <col min="79" max="79" width="10.44140625" bestFit="1" customWidth="1"/>
    <col min="80" max="81" width="10" bestFit="1" customWidth="1"/>
    <col min="82" max="82" width="10.88671875" bestFit="1" customWidth="1"/>
    <col min="83" max="83" width="12.44140625" bestFit="1" customWidth="1"/>
    <col min="84" max="84" width="13.109375" bestFit="1" customWidth="1"/>
    <col min="85" max="85" width="18" bestFit="1" customWidth="1"/>
    <col min="86" max="86" width="14.44140625" bestFit="1" customWidth="1"/>
    <col min="87" max="87" width="14.109375" bestFit="1" customWidth="1"/>
    <col min="88" max="88" width="11.5546875" bestFit="1" customWidth="1"/>
    <col min="89" max="89" width="11.109375" bestFit="1" customWidth="1"/>
    <col min="90" max="90" width="10.777343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90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11</v>
      </c>
      <c r="K1" t="s">
        <v>21</v>
      </c>
      <c r="L1" t="s">
        <v>31</v>
      </c>
      <c r="M1" t="s">
        <v>41</v>
      </c>
      <c r="N1" t="s">
        <v>51</v>
      </c>
      <c r="O1" t="s">
        <v>61</v>
      </c>
      <c r="P1" t="s">
        <v>71</v>
      </c>
      <c r="Q1" t="s">
        <v>81</v>
      </c>
      <c r="R1" t="s">
        <v>91</v>
      </c>
      <c r="S1" t="s">
        <v>12</v>
      </c>
      <c r="T1" t="s">
        <v>22</v>
      </c>
      <c r="U1" t="s">
        <v>32</v>
      </c>
      <c r="V1" t="s">
        <v>42</v>
      </c>
      <c r="W1" t="s">
        <v>52</v>
      </c>
      <c r="X1" t="s">
        <v>62</v>
      </c>
      <c r="Y1" t="s">
        <v>72</v>
      </c>
      <c r="Z1" t="s">
        <v>82</v>
      </c>
      <c r="AA1" t="s">
        <v>92</v>
      </c>
      <c r="AB1" t="s">
        <v>13</v>
      </c>
      <c r="AC1" t="s">
        <v>23</v>
      </c>
      <c r="AD1" t="s">
        <v>33</v>
      </c>
      <c r="AE1" t="s">
        <v>43</v>
      </c>
      <c r="AF1" t="s">
        <v>53</v>
      </c>
      <c r="AG1" t="s">
        <v>63</v>
      </c>
      <c r="AH1" t="s">
        <v>73</v>
      </c>
      <c r="AI1" t="s">
        <v>83</v>
      </c>
      <c r="AJ1" t="s">
        <v>93</v>
      </c>
      <c r="AK1" t="s">
        <v>14</v>
      </c>
      <c r="AL1" t="s">
        <v>24</v>
      </c>
      <c r="AM1" t="s">
        <v>34</v>
      </c>
      <c r="AN1" t="s">
        <v>44</v>
      </c>
      <c r="AO1" t="s">
        <v>54</v>
      </c>
      <c r="AP1" t="s">
        <v>64</v>
      </c>
      <c r="AQ1" t="s">
        <v>74</v>
      </c>
      <c r="AR1" t="s">
        <v>84</v>
      </c>
      <c r="AS1" t="s">
        <v>94</v>
      </c>
      <c r="AT1" t="s">
        <v>15</v>
      </c>
      <c r="AU1" t="s">
        <v>25</v>
      </c>
      <c r="AV1" t="s">
        <v>35</v>
      </c>
      <c r="AW1" t="s">
        <v>45</v>
      </c>
      <c r="AX1" t="s">
        <v>55</v>
      </c>
      <c r="AY1" t="s">
        <v>65</v>
      </c>
      <c r="AZ1" t="s">
        <v>75</v>
      </c>
      <c r="BA1" t="s">
        <v>85</v>
      </c>
      <c r="BB1" t="s">
        <v>95</v>
      </c>
      <c r="BC1" t="s">
        <v>16</v>
      </c>
      <c r="BD1" t="s">
        <v>26</v>
      </c>
      <c r="BE1" t="s">
        <v>36</v>
      </c>
      <c r="BF1" t="s">
        <v>46</v>
      </c>
      <c r="BG1" t="s">
        <v>56</v>
      </c>
      <c r="BH1" t="s">
        <v>66</v>
      </c>
      <c r="BI1" t="s">
        <v>76</v>
      </c>
      <c r="BJ1" t="s">
        <v>86</v>
      </c>
      <c r="BK1" t="s">
        <v>96</v>
      </c>
      <c r="BL1" t="s">
        <v>17</v>
      </c>
      <c r="BM1" t="s">
        <v>27</v>
      </c>
      <c r="BN1" t="s">
        <v>37</v>
      </c>
      <c r="BO1" t="s">
        <v>47</v>
      </c>
      <c r="BP1" t="s">
        <v>57</v>
      </c>
      <c r="BQ1" t="s">
        <v>67</v>
      </c>
      <c r="BR1" t="s">
        <v>77</v>
      </c>
      <c r="BS1" t="s">
        <v>87</v>
      </c>
      <c r="BT1" t="s">
        <v>97</v>
      </c>
      <c r="BU1" t="s">
        <v>18</v>
      </c>
      <c r="BV1" t="s">
        <v>28</v>
      </c>
      <c r="BW1" t="s">
        <v>38</v>
      </c>
      <c r="BX1" t="s">
        <v>48</v>
      </c>
      <c r="BY1" t="s">
        <v>58</v>
      </c>
      <c r="BZ1" t="s">
        <v>68</v>
      </c>
      <c r="CA1" t="s">
        <v>78</v>
      </c>
      <c r="CB1" t="s">
        <v>88</v>
      </c>
      <c r="CC1" t="s">
        <v>98</v>
      </c>
      <c r="CD1" t="s">
        <v>19</v>
      </c>
      <c r="CE1" t="s">
        <v>29</v>
      </c>
      <c r="CF1" t="s">
        <v>39</v>
      </c>
      <c r="CG1" t="s">
        <v>49</v>
      </c>
      <c r="CH1" t="s">
        <v>59</v>
      </c>
      <c r="CI1" t="s">
        <v>69</v>
      </c>
      <c r="CJ1" t="s">
        <v>79</v>
      </c>
      <c r="CK1" t="s">
        <v>89</v>
      </c>
      <c r="CL1" t="s">
        <v>99</v>
      </c>
    </row>
    <row r="2" spans="1:90" x14ac:dyDescent="0.3">
      <c r="A2" s="2">
        <v>45681</v>
      </c>
      <c r="B2" t="s">
        <v>100</v>
      </c>
      <c r="C2">
        <v>0</v>
      </c>
      <c r="D2">
        <v>-2.8999999999999998E-3</v>
      </c>
      <c r="E2">
        <v>5.995734813048017</v>
      </c>
      <c r="F2">
        <v>606.80248457607524</v>
      </c>
      <c r="G2">
        <v>0.42399999999999999</v>
      </c>
      <c r="H2">
        <v>0</v>
      </c>
      <c r="I2">
        <v>0</v>
      </c>
      <c r="J2" s="2">
        <v>45681</v>
      </c>
      <c r="K2" t="s">
        <v>260</v>
      </c>
      <c r="L2">
        <v>0</v>
      </c>
      <c r="M2">
        <v>-3.0000000000000001E-3</v>
      </c>
      <c r="N2">
        <v>5.9957351755672503</v>
      </c>
      <c r="O2">
        <v>606.80251836286777</v>
      </c>
      <c r="P2">
        <v>0.42399999999999999</v>
      </c>
      <c r="Q2">
        <v>0</v>
      </c>
      <c r="R2">
        <v>0</v>
      </c>
      <c r="S2" s="2">
        <v>45681</v>
      </c>
      <c r="T2" t="s">
        <v>420</v>
      </c>
      <c r="U2">
        <v>1</v>
      </c>
      <c r="V2">
        <v>-2.7000000000000001E-3</v>
      </c>
      <c r="W2">
        <v>5.9957352964068598</v>
      </c>
      <c r="X2">
        <v>606.80252962511929</v>
      </c>
      <c r="Y2">
        <v>0.42399999999999999</v>
      </c>
      <c r="Z2">
        <v>0</v>
      </c>
      <c r="AA2">
        <v>0</v>
      </c>
      <c r="AB2" s="2">
        <v>45681</v>
      </c>
      <c r="AC2" t="s">
        <v>620</v>
      </c>
      <c r="AD2">
        <v>2</v>
      </c>
      <c r="AE2">
        <v>-2.5999999999999999E-3</v>
      </c>
      <c r="AF2">
        <v>5.9957345713687991</v>
      </c>
      <c r="AG2">
        <v>606.80246205157209</v>
      </c>
      <c r="AH2">
        <v>0.42399999999999999</v>
      </c>
      <c r="AI2">
        <v>0</v>
      </c>
      <c r="AJ2">
        <v>0</v>
      </c>
      <c r="AK2" s="2">
        <v>45681</v>
      </c>
      <c r="AL2" t="s">
        <v>780</v>
      </c>
      <c r="AM2">
        <v>2</v>
      </c>
      <c r="AN2">
        <v>-2.3E-3</v>
      </c>
      <c r="AO2">
        <v>5.9957334838115024</v>
      </c>
      <c r="AP2">
        <v>606.80236069123202</v>
      </c>
      <c r="AQ2">
        <v>0.42399999999999999</v>
      </c>
      <c r="AR2">
        <v>0</v>
      </c>
      <c r="AS2">
        <v>0</v>
      </c>
      <c r="AT2" s="2">
        <v>45681</v>
      </c>
      <c r="AU2" t="s">
        <v>938</v>
      </c>
      <c r="AV2">
        <v>3</v>
      </c>
      <c r="AW2">
        <v>-3.0999999999999999E-3</v>
      </c>
      <c r="AX2">
        <v>5.9957334838115024</v>
      </c>
      <c r="AY2">
        <v>606.80236069123202</v>
      </c>
      <c r="AZ2">
        <v>0.42399999999999999</v>
      </c>
      <c r="BA2">
        <v>0</v>
      </c>
      <c r="BB2">
        <v>0</v>
      </c>
      <c r="BC2" s="2">
        <v>45681</v>
      </c>
      <c r="BD2" t="s">
        <v>1138</v>
      </c>
      <c r="BE2">
        <v>3</v>
      </c>
      <c r="BF2">
        <v>-2.5000000000000001E-3</v>
      </c>
      <c r="BG2">
        <v>5.9957360214453264</v>
      </c>
      <c r="BH2">
        <v>606.80259719870446</v>
      </c>
      <c r="BI2">
        <v>0.42399999999999999</v>
      </c>
      <c r="BJ2">
        <v>0</v>
      </c>
      <c r="BK2">
        <v>0</v>
      </c>
      <c r="BL2" s="2">
        <v>45681</v>
      </c>
      <c r="BM2" t="s">
        <v>1296</v>
      </c>
      <c r="BN2">
        <v>4</v>
      </c>
      <c r="BO2">
        <v>-2.8E-3</v>
      </c>
      <c r="BP2">
        <v>5.9957346922084076</v>
      </c>
      <c r="BQ2">
        <v>606.80247331382361</v>
      </c>
      <c r="BR2">
        <v>0.42399999999999999</v>
      </c>
      <c r="BS2">
        <v>0</v>
      </c>
      <c r="BT2">
        <v>0</v>
      </c>
      <c r="BU2" s="2">
        <v>45681</v>
      </c>
      <c r="BV2" t="s">
        <v>1494</v>
      </c>
      <c r="BW2">
        <v>4</v>
      </c>
      <c r="BX2">
        <v>-2.5999999999999999E-3</v>
      </c>
      <c r="BY2">
        <v>5.9957462928190113</v>
      </c>
      <c r="BZ2">
        <v>606.80355449073181</v>
      </c>
      <c r="CA2">
        <v>0.42399999999999999</v>
      </c>
      <c r="CB2">
        <v>0</v>
      </c>
      <c r="CC2">
        <v>0</v>
      </c>
      <c r="CD2" s="2">
        <v>45681</v>
      </c>
      <c r="CE2" t="s">
        <v>1654</v>
      </c>
      <c r="CF2">
        <v>5</v>
      </c>
      <c r="CG2">
        <v>-2.5999999999999999E-3</v>
      </c>
      <c r="CH2">
        <v>5.9957569267151731</v>
      </c>
      <c r="CI2">
        <v>606.8045455698541</v>
      </c>
      <c r="CJ2">
        <v>0.42399999999999999</v>
      </c>
      <c r="CK2">
        <v>0</v>
      </c>
      <c r="CL2">
        <v>0</v>
      </c>
    </row>
    <row r="3" spans="1:90" x14ac:dyDescent="0.3">
      <c r="A3" s="2">
        <v>45681</v>
      </c>
      <c r="B3" t="s">
        <v>101</v>
      </c>
      <c r="C3">
        <v>0</v>
      </c>
      <c r="D3">
        <v>-3.0999999999999999E-3</v>
      </c>
      <c r="E3">
        <v>6.0208729744122644</v>
      </c>
      <c r="F3">
        <v>711.38084527172396</v>
      </c>
      <c r="G3">
        <v>0.42399999999999999</v>
      </c>
      <c r="H3">
        <v>4.0000000000000002E-4</v>
      </c>
      <c r="I3">
        <v>0.19929999999999382</v>
      </c>
      <c r="J3" s="2">
        <v>45681</v>
      </c>
      <c r="K3" t="s">
        <v>261</v>
      </c>
      <c r="L3">
        <v>0</v>
      </c>
      <c r="M3">
        <v>-3.0999999999999999E-3</v>
      </c>
      <c r="N3">
        <v>6.0211123602883347</v>
      </c>
      <c r="O3">
        <v>711.40356299136295</v>
      </c>
      <c r="P3">
        <v>0.42399999999999999</v>
      </c>
      <c r="Q3">
        <v>4.0000000000000002E-4</v>
      </c>
      <c r="R3">
        <v>0.20004999999999029</v>
      </c>
      <c r="S3" s="2">
        <v>45681</v>
      </c>
      <c r="T3" t="s">
        <v>421</v>
      </c>
      <c r="U3">
        <v>1</v>
      </c>
      <c r="V3">
        <v>-3.0999999999999999E-3</v>
      </c>
      <c r="W3">
        <v>6.0211009989979214</v>
      </c>
      <c r="X3">
        <v>711.40248480490266</v>
      </c>
      <c r="Y3">
        <v>0.42399999999999999</v>
      </c>
      <c r="Z3">
        <v>4.0000000000000002E-4</v>
      </c>
      <c r="AA3">
        <v>0.19989999999999952</v>
      </c>
      <c r="AB3" s="2">
        <v>45681</v>
      </c>
      <c r="AC3" t="s">
        <v>621</v>
      </c>
      <c r="AD3">
        <v>2</v>
      </c>
      <c r="AE3">
        <v>-3.0999999999999999E-3</v>
      </c>
      <c r="AF3">
        <v>6.0208496517347259</v>
      </c>
      <c r="AG3">
        <v>711.37863194962551</v>
      </c>
      <c r="AH3">
        <v>0.42399999999999999</v>
      </c>
      <c r="AI3">
        <v>4.0000000000000002E-4</v>
      </c>
      <c r="AJ3">
        <v>0.19930000000002224</v>
      </c>
      <c r="AK3" s="2">
        <v>45681</v>
      </c>
      <c r="AL3" t="s">
        <v>781</v>
      </c>
      <c r="AM3">
        <v>2</v>
      </c>
      <c r="AN3">
        <v>-2.8999999999999998E-3</v>
      </c>
      <c r="AO3">
        <v>6.0204395221258462</v>
      </c>
      <c r="AP3">
        <v>711.33971064974287</v>
      </c>
      <c r="AQ3">
        <v>0.42399999999999999</v>
      </c>
      <c r="AR3">
        <v>4.0000000000000002E-4</v>
      </c>
      <c r="AS3">
        <v>0.19930000000002224</v>
      </c>
      <c r="AT3" s="2">
        <v>45681</v>
      </c>
      <c r="AU3" t="s">
        <v>939</v>
      </c>
      <c r="AV3">
        <v>3</v>
      </c>
      <c r="AW3">
        <v>-3.0999999999999999E-3</v>
      </c>
      <c r="AX3">
        <v>6.0204763794170173</v>
      </c>
      <c r="AY3">
        <v>711.34320840667499</v>
      </c>
      <c r="AZ3">
        <v>0.42399999999999999</v>
      </c>
      <c r="BA3">
        <v>4.0000000000000002E-4</v>
      </c>
      <c r="BB3">
        <v>0.20129999999997494</v>
      </c>
      <c r="BC3" s="2">
        <v>45681</v>
      </c>
      <c r="BD3" t="s">
        <v>1139</v>
      </c>
      <c r="BE3">
        <v>3</v>
      </c>
      <c r="BF3">
        <v>-3.0000000000000001E-3</v>
      </c>
      <c r="BG3">
        <v>6.0202449691505997</v>
      </c>
      <c r="BH3">
        <v>711.32124757239194</v>
      </c>
      <c r="BI3">
        <v>0.42399999999999999</v>
      </c>
      <c r="BJ3">
        <v>4.0000000000000002E-4</v>
      </c>
      <c r="BK3">
        <v>0.20019999999999527</v>
      </c>
      <c r="BL3" s="2">
        <v>45681</v>
      </c>
      <c r="BM3" t="s">
        <v>1297</v>
      </c>
      <c r="BN3">
        <v>4</v>
      </c>
      <c r="BO3">
        <v>-3.0999999999999999E-3</v>
      </c>
      <c r="BP3">
        <v>6.0208901339344028</v>
      </c>
      <c r="BQ3">
        <v>711.38247371037482</v>
      </c>
      <c r="BR3">
        <v>0.42399999999999999</v>
      </c>
      <c r="BS3">
        <v>4.0000000000000002E-4</v>
      </c>
      <c r="BT3">
        <v>0.19950000000000045</v>
      </c>
      <c r="BU3" s="2">
        <v>45681</v>
      </c>
      <c r="BV3" t="s">
        <v>1495</v>
      </c>
      <c r="BW3">
        <v>4</v>
      </c>
      <c r="BX3">
        <v>-3.0999999999999999E-3</v>
      </c>
      <c r="BY3">
        <v>6.0212794791126401</v>
      </c>
      <c r="BZ3">
        <v>711.41942256778952</v>
      </c>
      <c r="CA3">
        <v>0.42399999999999999</v>
      </c>
      <c r="CB3">
        <v>4.0000000000000002E-4</v>
      </c>
      <c r="CC3">
        <v>0.19779999999997244</v>
      </c>
      <c r="CD3" s="2">
        <v>45681</v>
      </c>
      <c r="CE3" t="s">
        <v>1655</v>
      </c>
      <c r="CF3">
        <v>5</v>
      </c>
      <c r="CG3">
        <v>-3.0000000000000001E-3</v>
      </c>
      <c r="CH3">
        <v>6.0217647708344408</v>
      </c>
      <c r="CI3">
        <v>711.46547675218847</v>
      </c>
      <c r="CJ3">
        <v>0.42399999999999999</v>
      </c>
      <c r="CK3">
        <v>4.0000000000000002E-4</v>
      </c>
      <c r="CL3">
        <v>0.19819999999998572</v>
      </c>
    </row>
    <row r="4" spans="1:90" x14ac:dyDescent="0.3">
      <c r="A4" s="2">
        <v>45681</v>
      </c>
      <c r="B4" t="s">
        <v>102</v>
      </c>
      <c r="C4">
        <v>0</v>
      </c>
      <c r="D4">
        <v>-1E-3</v>
      </c>
      <c r="E4">
        <v>6.0961230136650144</v>
      </c>
      <c r="F4">
        <v>718.52207399680992</v>
      </c>
      <c r="G4">
        <v>0.42399999999999999</v>
      </c>
      <c r="H4">
        <v>1.6000000000000001E-3</v>
      </c>
      <c r="I4">
        <v>0.40093999999999852</v>
      </c>
      <c r="J4" s="2">
        <v>45681</v>
      </c>
      <c r="K4" t="s">
        <v>262</v>
      </c>
      <c r="L4">
        <v>0</v>
      </c>
      <c r="M4">
        <v>-8.9999999999999998E-4</v>
      </c>
      <c r="N4">
        <v>6.0959397003389553</v>
      </c>
      <c r="O4">
        <v>718.50467756216688</v>
      </c>
      <c r="P4">
        <v>0.42399999999999999</v>
      </c>
      <c r="Q4">
        <v>1.6000000000000001E-3</v>
      </c>
      <c r="R4">
        <v>0.40035999999999206</v>
      </c>
      <c r="S4" s="2">
        <v>45681</v>
      </c>
      <c r="T4" t="s">
        <v>422</v>
      </c>
      <c r="U4">
        <v>1</v>
      </c>
      <c r="V4">
        <v>-1.4E-3</v>
      </c>
      <c r="W4">
        <v>6.0947106374016684</v>
      </c>
      <c r="X4">
        <v>718.38803948941836</v>
      </c>
      <c r="Y4">
        <v>0.42399999999999999</v>
      </c>
      <c r="Z4">
        <v>1.5E-3</v>
      </c>
      <c r="AA4">
        <v>0.39780000000000371</v>
      </c>
      <c r="AB4" s="2">
        <v>45681</v>
      </c>
      <c r="AC4" t="s">
        <v>622</v>
      </c>
      <c r="AD4">
        <v>2</v>
      </c>
      <c r="AE4">
        <v>-2.0000000000000001E-4</v>
      </c>
      <c r="AF4">
        <v>6.0954696380985229</v>
      </c>
      <c r="AG4">
        <v>718.46006865554989</v>
      </c>
      <c r="AH4">
        <v>0.42399999999999999</v>
      </c>
      <c r="AI4">
        <v>1.5E-3</v>
      </c>
      <c r="AJ4">
        <v>0.39970000000002415</v>
      </c>
      <c r="AK4" s="2">
        <v>45681</v>
      </c>
      <c r="AL4" t="s">
        <v>782</v>
      </c>
      <c r="AM4">
        <v>2</v>
      </c>
      <c r="AN4">
        <v>-6.9999999999999999E-4</v>
      </c>
      <c r="AO4">
        <v>6.0942434540035606</v>
      </c>
      <c r="AP4">
        <v>718.34370378493793</v>
      </c>
      <c r="AQ4">
        <v>0.42399999999999999</v>
      </c>
      <c r="AR4">
        <v>1.5E-3</v>
      </c>
      <c r="AS4">
        <v>0.39880000000002269</v>
      </c>
      <c r="AT4" s="2">
        <v>45681</v>
      </c>
      <c r="AU4" t="s">
        <v>940</v>
      </c>
      <c r="AV4">
        <v>3</v>
      </c>
      <c r="AW4">
        <v>-3.0999999999999999E-3</v>
      </c>
      <c r="AX4">
        <v>6.0950802645373354</v>
      </c>
      <c r="AY4">
        <v>718.42311710459308</v>
      </c>
      <c r="AZ4">
        <v>0.42399999999999999</v>
      </c>
      <c r="BA4">
        <v>1.5E-3</v>
      </c>
      <c r="BB4">
        <v>0.40240000000000009</v>
      </c>
      <c r="BC4" s="2">
        <v>45681</v>
      </c>
      <c r="BD4" t="s">
        <v>1140</v>
      </c>
      <c r="BE4">
        <v>3</v>
      </c>
      <c r="BF4">
        <v>-1.6999999999999999E-3</v>
      </c>
      <c r="BG4">
        <v>6.0942102459491396</v>
      </c>
      <c r="BH4">
        <v>718.34055234057337</v>
      </c>
      <c r="BI4">
        <v>0.42399999999999999</v>
      </c>
      <c r="BJ4">
        <v>1.5E-3</v>
      </c>
      <c r="BK4">
        <v>0.40050000000002228</v>
      </c>
      <c r="BL4" s="2">
        <v>45681</v>
      </c>
      <c r="BM4" t="s">
        <v>1298</v>
      </c>
      <c r="BN4">
        <v>4</v>
      </c>
      <c r="BO4">
        <v>-8.0000000000000004E-4</v>
      </c>
      <c r="BP4">
        <v>6.0952862031312396</v>
      </c>
      <c r="BQ4">
        <v>718.44266067715478</v>
      </c>
      <c r="BR4">
        <v>0.42399999999999999</v>
      </c>
      <c r="BS4">
        <v>1.5E-3</v>
      </c>
      <c r="BT4">
        <v>0.39939999999995734</v>
      </c>
      <c r="BU4" s="2">
        <v>45681</v>
      </c>
      <c r="BV4" t="s">
        <v>1496</v>
      </c>
      <c r="BW4">
        <v>4</v>
      </c>
      <c r="BX4">
        <v>-8.0000000000000004E-4</v>
      </c>
      <c r="BY4">
        <v>6.0966102273181697</v>
      </c>
      <c r="BZ4">
        <v>718.56831057249428</v>
      </c>
      <c r="CA4">
        <v>0.42399999999999999</v>
      </c>
      <c r="CB4">
        <v>1.6000000000000001E-3</v>
      </c>
      <c r="CC4">
        <v>0.39879999999999427</v>
      </c>
      <c r="CD4" s="2">
        <v>45681</v>
      </c>
      <c r="CE4" t="s">
        <v>1656</v>
      </c>
      <c r="CF4">
        <v>5</v>
      </c>
      <c r="CG4">
        <v>-8.9999999999999998E-4</v>
      </c>
      <c r="CH4">
        <v>6.0974470378519428</v>
      </c>
      <c r="CI4">
        <v>718.64772389214943</v>
      </c>
      <c r="CJ4">
        <v>0.42399999999999999</v>
      </c>
      <c r="CK4">
        <v>1.6000000000000001E-3</v>
      </c>
      <c r="CL4">
        <v>0.39889999999996917</v>
      </c>
    </row>
    <row r="5" spans="1:90" x14ac:dyDescent="0.3">
      <c r="A5" s="2">
        <v>45681</v>
      </c>
      <c r="B5" t="s">
        <v>103</v>
      </c>
      <c r="C5">
        <v>0</v>
      </c>
      <c r="D5">
        <v>2.3E-3</v>
      </c>
      <c r="E5">
        <v>6.2182811733130068</v>
      </c>
      <c r="F5">
        <v>730.11488334740443</v>
      </c>
      <c r="G5">
        <v>0.42399999999999999</v>
      </c>
      <c r="H5">
        <v>3.5000000000000001E-3</v>
      </c>
      <c r="I5">
        <v>0.60075999999999397</v>
      </c>
      <c r="J5" s="2">
        <v>45681</v>
      </c>
      <c r="K5" t="s">
        <v>263</v>
      </c>
      <c r="L5">
        <v>0</v>
      </c>
      <c r="M5">
        <v>2.5000000000000001E-3</v>
      </c>
      <c r="N5">
        <v>6.2167291123762984</v>
      </c>
      <c r="O5">
        <v>729.96759276451075</v>
      </c>
      <c r="P5">
        <v>0.42399999999999999</v>
      </c>
      <c r="Q5">
        <v>3.3999999999999998E-3</v>
      </c>
      <c r="R5">
        <v>0.59841000000000122</v>
      </c>
      <c r="S5" s="2">
        <v>45681</v>
      </c>
      <c r="T5" t="s">
        <v>423</v>
      </c>
      <c r="U5">
        <v>1</v>
      </c>
      <c r="V5">
        <v>2.0999999999999999E-3</v>
      </c>
      <c r="W5">
        <v>6.2164576902562736</v>
      </c>
      <c r="X5">
        <v>729.94183480532047</v>
      </c>
      <c r="Y5">
        <v>0.42399999999999999</v>
      </c>
      <c r="Z5">
        <v>3.3999999999999998E-3</v>
      </c>
      <c r="AA5">
        <v>0.59799999999999898</v>
      </c>
      <c r="AB5" s="2">
        <v>45681</v>
      </c>
      <c r="AC5" t="s">
        <v>623</v>
      </c>
      <c r="AD5">
        <v>2</v>
      </c>
      <c r="AE5">
        <v>2.0999999999999999E-3</v>
      </c>
      <c r="AF5">
        <v>6.2168274795802398</v>
      </c>
      <c r="AG5">
        <v>729.97692781216483</v>
      </c>
      <c r="AH5">
        <v>0.42399999999999999</v>
      </c>
      <c r="AI5">
        <v>3.3999999999999998E-3</v>
      </c>
      <c r="AJ5">
        <v>0.59890000000001464</v>
      </c>
      <c r="AK5" s="2">
        <v>45681</v>
      </c>
      <c r="AL5" t="s">
        <v>783</v>
      </c>
      <c r="AM5">
        <v>2</v>
      </c>
      <c r="AN5">
        <v>1.9E-3</v>
      </c>
      <c r="AO5">
        <v>6.2165280394313918</v>
      </c>
      <c r="AP5">
        <v>729.94851094203909</v>
      </c>
      <c r="AQ5">
        <v>0.42399999999999999</v>
      </c>
      <c r="AR5">
        <v>3.3999999999999998E-3</v>
      </c>
      <c r="AS5">
        <v>0.60009999999999764</v>
      </c>
      <c r="AT5" s="2">
        <v>45681</v>
      </c>
      <c r="AU5" t="s">
        <v>941</v>
      </c>
      <c r="AV5">
        <v>3</v>
      </c>
      <c r="AW5">
        <v>-3.0000000000000001E-3</v>
      </c>
      <c r="AX5">
        <v>6.217296082125972</v>
      </c>
      <c r="AY5">
        <v>730.02139819375475</v>
      </c>
      <c r="AZ5">
        <v>0.42399999999999999</v>
      </c>
      <c r="BA5">
        <v>3.3999999999999998E-3</v>
      </c>
      <c r="BB5">
        <v>0.60299999999998022</v>
      </c>
      <c r="BC5" s="2">
        <v>45681</v>
      </c>
      <c r="BD5" t="s">
        <v>1141</v>
      </c>
      <c r="BE5">
        <v>3</v>
      </c>
      <c r="BF5">
        <v>2.3E-3</v>
      </c>
      <c r="BG5">
        <v>6.2159178059526976</v>
      </c>
      <c r="BH5">
        <v>729.89059978491105</v>
      </c>
      <c r="BI5">
        <v>0.42399999999999999</v>
      </c>
      <c r="BJ5">
        <v>3.3999999999999998E-3</v>
      </c>
      <c r="BK5">
        <v>0.60090000000002419</v>
      </c>
      <c r="BL5" s="2">
        <v>45681</v>
      </c>
      <c r="BM5" t="s">
        <v>1299</v>
      </c>
      <c r="BN5">
        <v>4</v>
      </c>
      <c r="BO5">
        <v>2.3E-3</v>
      </c>
      <c r="BP5">
        <v>6.2170643150452927</v>
      </c>
      <c r="BQ5">
        <v>729.99940349779831</v>
      </c>
      <c r="BR5">
        <v>0.42399999999999999</v>
      </c>
      <c r="BS5">
        <v>3.3999999999999998E-3</v>
      </c>
      <c r="BT5">
        <v>0.59919999999999618</v>
      </c>
      <c r="BU5" s="2">
        <v>45681</v>
      </c>
      <c r="BV5" t="s">
        <v>1497</v>
      </c>
      <c r="BW5">
        <v>4</v>
      </c>
      <c r="BX5">
        <v>2.2000000000000001E-3</v>
      </c>
      <c r="BY5">
        <v>6.2209005143577656</v>
      </c>
      <c r="BZ5">
        <v>730.36345881255204</v>
      </c>
      <c r="CA5">
        <v>0.42399999999999999</v>
      </c>
      <c r="CB5">
        <v>3.5000000000000001E-3</v>
      </c>
      <c r="CC5">
        <v>0.60129999999998063</v>
      </c>
      <c r="CD5" s="2">
        <v>45681</v>
      </c>
      <c r="CE5" t="s">
        <v>1657</v>
      </c>
      <c r="CF5">
        <v>5</v>
      </c>
      <c r="CG5">
        <v>2.0999999999999999E-3</v>
      </c>
      <c r="CH5">
        <v>6.221675814978771</v>
      </c>
      <c r="CI5">
        <v>730.43703484148546</v>
      </c>
      <c r="CJ5">
        <v>0.42399999999999999</v>
      </c>
      <c r="CK5">
        <v>3.5000000000000001E-3</v>
      </c>
      <c r="CL5">
        <v>0.60070000000001755</v>
      </c>
    </row>
    <row r="6" spans="1:90" x14ac:dyDescent="0.3">
      <c r="A6" s="2">
        <v>45681</v>
      </c>
      <c r="B6" t="s">
        <v>104</v>
      </c>
      <c r="C6">
        <v>0</v>
      </c>
      <c r="D6">
        <v>4.1999999999999997E-3</v>
      </c>
      <c r="E6">
        <v>6.385092772430462</v>
      </c>
      <c r="F6">
        <v>745.94530410365087</v>
      </c>
      <c r="G6">
        <v>0.42399999999999999</v>
      </c>
      <c r="H6">
        <v>6.0000000000000001E-3</v>
      </c>
      <c r="I6">
        <v>0.80088999999999544</v>
      </c>
      <c r="J6" s="2">
        <v>45681</v>
      </c>
      <c r="K6" t="s">
        <v>264</v>
      </c>
      <c r="L6">
        <v>0</v>
      </c>
      <c r="M6">
        <v>4.1999999999999997E-3</v>
      </c>
      <c r="N6">
        <v>6.3835524295984278</v>
      </c>
      <c r="O6">
        <v>745.79912556889087</v>
      </c>
      <c r="P6">
        <v>0.42399999999999999</v>
      </c>
      <c r="Q6">
        <v>6.0000000000000001E-3</v>
      </c>
      <c r="R6">
        <v>0.79903999999999087</v>
      </c>
      <c r="S6" s="2">
        <v>45681</v>
      </c>
      <c r="T6" t="s">
        <v>424</v>
      </c>
      <c r="U6">
        <v>1</v>
      </c>
      <c r="V6">
        <v>4.1000000000000003E-3</v>
      </c>
      <c r="W6">
        <v>6.3832825888143274</v>
      </c>
      <c r="X6">
        <v>745.77351767847972</v>
      </c>
      <c r="Y6">
        <v>0.42399999999999999</v>
      </c>
      <c r="Z6">
        <v>6.0000000000000001E-3</v>
      </c>
      <c r="AA6">
        <v>0.79869999999999663</v>
      </c>
      <c r="AB6" s="2">
        <v>45681</v>
      </c>
      <c r="AC6" t="s">
        <v>624</v>
      </c>
      <c r="AD6">
        <v>2</v>
      </c>
      <c r="AE6">
        <v>3.8999999999999998E-3</v>
      </c>
      <c r="AF6">
        <v>6.3819618083933989</v>
      </c>
      <c r="AG6">
        <v>745.64817561653354</v>
      </c>
      <c r="AH6">
        <v>0.42399999999999999</v>
      </c>
      <c r="AI6">
        <v>6.0000000000000001E-3</v>
      </c>
      <c r="AJ6">
        <v>0.79770000000002028</v>
      </c>
      <c r="AK6" s="2">
        <v>45681</v>
      </c>
      <c r="AL6" t="s">
        <v>784</v>
      </c>
      <c r="AM6">
        <v>2</v>
      </c>
      <c r="AN6">
        <v>4.1999999999999997E-3</v>
      </c>
      <c r="AO6">
        <v>6.3835283851829541</v>
      </c>
      <c r="AP6">
        <v>745.79684375386239</v>
      </c>
      <c r="AQ6">
        <v>0.42399999999999999</v>
      </c>
      <c r="AR6">
        <v>6.0000000000000001E-3</v>
      </c>
      <c r="AS6">
        <v>0.80090000000001282</v>
      </c>
      <c r="AT6" s="2">
        <v>45681</v>
      </c>
      <c r="AU6" t="s">
        <v>942</v>
      </c>
      <c r="AV6">
        <v>3</v>
      </c>
      <c r="AW6">
        <v>2.2000000000000001E-3</v>
      </c>
      <c r="AX6">
        <v>6.3820316710036176</v>
      </c>
      <c r="AY6">
        <v>745.65480557824344</v>
      </c>
      <c r="AZ6">
        <v>0.42399999999999999</v>
      </c>
      <c r="BA6">
        <v>6.0000000000000001E-3</v>
      </c>
      <c r="BB6">
        <v>0.80119999999999436</v>
      </c>
      <c r="BC6" s="2">
        <v>45681</v>
      </c>
      <c r="BD6" t="s">
        <v>1142</v>
      </c>
      <c r="BE6">
        <v>3</v>
      </c>
      <c r="BF6">
        <v>3.8E-3</v>
      </c>
      <c r="BG6">
        <v>6.3820105054304683</v>
      </c>
      <c r="BH6">
        <v>745.65279696535151</v>
      </c>
      <c r="BI6">
        <v>0.42399999999999999</v>
      </c>
      <c r="BJ6">
        <v>6.0000000000000001E-3</v>
      </c>
      <c r="BK6">
        <v>0.80099999999998772</v>
      </c>
      <c r="BL6" s="2">
        <v>45681</v>
      </c>
      <c r="BM6" t="s">
        <v>1300</v>
      </c>
      <c r="BN6">
        <v>4</v>
      </c>
      <c r="BO6">
        <v>4.4999999999999997E-3</v>
      </c>
      <c r="BP6">
        <v>6.3829859464136547</v>
      </c>
      <c r="BQ6">
        <v>745.74536631465583</v>
      </c>
      <c r="BR6">
        <v>0.42399999999999999</v>
      </c>
      <c r="BS6">
        <v>6.0000000000000001E-3</v>
      </c>
      <c r="BT6">
        <v>0.79869999999999663</v>
      </c>
      <c r="BU6" s="2">
        <v>45681</v>
      </c>
      <c r="BV6" t="s">
        <v>1498</v>
      </c>
      <c r="BW6">
        <v>4</v>
      </c>
      <c r="BX6">
        <v>4.0000000000000001E-3</v>
      </c>
      <c r="BY6">
        <v>6.3858244443987706</v>
      </c>
      <c r="BZ6">
        <v>746.01473977344335</v>
      </c>
      <c r="CA6">
        <v>0.42399999999999999</v>
      </c>
      <c r="CB6">
        <v>6.1000000000000004E-3</v>
      </c>
      <c r="CC6">
        <v>0.79859999999996489</v>
      </c>
      <c r="CD6" s="2">
        <v>45681</v>
      </c>
      <c r="CE6" t="s">
        <v>1658</v>
      </c>
      <c r="CF6">
        <v>5</v>
      </c>
      <c r="CG6">
        <v>4.4000000000000003E-3</v>
      </c>
      <c r="CH6">
        <v>6.3868589624702263</v>
      </c>
      <c r="CI6">
        <v>746.11291553842455</v>
      </c>
      <c r="CJ6">
        <v>0.42399999999999999</v>
      </c>
      <c r="CK6">
        <v>6.1000000000000004E-3</v>
      </c>
      <c r="CL6">
        <v>0.79809999999997672</v>
      </c>
    </row>
    <row r="7" spans="1:90" x14ac:dyDescent="0.3">
      <c r="A7" s="2">
        <v>45681</v>
      </c>
      <c r="B7" t="s">
        <v>105</v>
      </c>
      <c r="C7">
        <v>0</v>
      </c>
      <c r="D7">
        <v>7.0000000000000001E-3</v>
      </c>
      <c r="E7">
        <v>6.5902707843038302</v>
      </c>
      <c r="F7">
        <v>765.41669743043349</v>
      </c>
      <c r="G7">
        <v>0.42399999999999999</v>
      </c>
      <c r="H7">
        <v>9.1999999999999998E-3</v>
      </c>
      <c r="I7">
        <v>0.99922999999999718</v>
      </c>
      <c r="J7" s="2">
        <v>45681</v>
      </c>
      <c r="K7" t="s">
        <v>265</v>
      </c>
      <c r="L7">
        <v>0</v>
      </c>
      <c r="M7">
        <v>6.7999999999999996E-3</v>
      </c>
      <c r="N7">
        <v>6.5920317437709199</v>
      </c>
      <c r="O7">
        <v>765.58381248386036</v>
      </c>
      <c r="P7">
        <v>0.42399999999999999</v>
      </c>
      <c r="Q7">
        <v>9.2999999999999992E-3</v>
      </c>
      <c r="R7">
        <v>1.0005899999999883</v>
      </c>
      <c r="S7" s="2">
        <v>45681</v>
      </c>
      <c r="T7" t="s">
        <v>425</v>
      </c>
      <c r="U7">
        <v>1</v>
      </c>
      <c r="V7">
        <v>7.0000000000000001E-3</v>
      </c>
      <c r="W7">
        <v>6.5894740342801539</v>
      </c>
      <c r="X7">
        <v>765.34108585318666</v>
      </c>
      <c r="Y7">
        <v>0.42399999999999999</v>
      </c>
      <c r="Z7">
        <v>9.1999999999999998E-3</v>
      </c>
      <c r="AA7">
        <v>0.99819999999999709</v>
      </c>
      <c r="AB7" s="2">
        <v>45681</v>
      </c>
      <c r="AC7" t="s">
        <v>625</v>
      </c>
      <c r="AD7">
        <v>2</v>
      </c>
      <c r="AE7">
        <v>6.8999999999999999E-3</v>
      </c>
      <c r="AF7">
        <v>6.5883006019297614</v>
      </c>
      <c r="AG7">
        <v>765.22972712313435</v>
      </c>
      <c r="AH7">
        <v>0.42399999999999999</v>
      </c>
      <c r="AI7">
        <v>9.1999999999999998E-3</v>
      </c>
      <c r="AJ7">
        <v>0.99760000000000559</v>
      </c>
      <c r="AK7" s="2">
        <v>45681</v>
      </c>
      <c r="AL7" t="s">
        <v>785</v>
      </c>
      <c r="AM7">
        <v>2</v>
      </c>
      <c r="AN7">
        <v>7.3000000000000001E-3</v>
      </c>
      <c r="AO7">
        <v>6.5907983017495324</v>
      </c>
      <c r="AP7">
        <v>765.46675883603052</v>
      </c>
      <c r="AQ7">
        <v>0.42399999999999999</v>
      </c>
      <c r="AR7">
        <v>9.1999999999999998E-3</v>
      </c>
      <c r="AS7">
        <v>1.0014000000000181</v>
      </c>
      <c r="AT7" s="2">
        <v>45681</v>
      </c>
      <c r="AU7" t="s">
        <v>943</v>
      </c>
      <c r="AV7">
        <v>3</v>
      </c>
      <c r="AW7">
        <v>7.0000000000000001E-3</v>
      </c>
      <c r="AX7">
        <v>6.5898499056653694</v>
      </c>
      <c r="AY7">
        <v>765.37675604764365</v>
      </c>
      <c r="AZ7">
        <v>0.42399999999999999</v>
      </c>
      <c r="BA7">
        <v>9.1999999999999998E-3</v>
      </c>
      <c r="BB7">
        <v>1.0024999999999977</v>
      </c>
      <c r="BC7" s="2">
        <v>45681</v>
      </c>
      <c r="BD7" t="s">
        <v>1143</v>
      </c>
      <c r="BE7">
        <v>3</v>
      </c>
      <c r="BF7">
        <v>6.8999999999999999E-3</v>
      </c>
      <c r="BG7">
        <v>6.5889931459706981</v>
      </c>
      <c r="BH7">
        <v>765.29544955261929</v>
      </c>
      <c r="BI7">
        <v>0.42399999999999999</v>
      </c>
      <c r="BJ7">
        <v>9.1999999999999998E-3</v>
      </c>
      <c r="BK7">
        <v>1.0015000000000214</v>
      </c>
      <c r="BL7" s="2">
        <v>45681</v>
      </c>
      <c r="BM7" t="s">
        <v>1301</v>
      </c>
      <c r="BN7">
        <v>4</v>
      </c>
      <c r="BO7">
        <v>6.7000000000000002E-3</v>
      </c>
      <c r="BP7">
        <v>6.590889938139024</v>
      </c>
      <c r="BQ7">
        <v>765.47545512939337</v>
      </c>
      <c r="BR7">
        <v>0.42399999999999999</v>
      </c>
      <c r="BS7">
        <v>9.1999999999999998E-3</v>
      </c>
      <c r="BT7">
        <v>0.99989999999996826</v>
      </c>
      <c r="BU7" s="2">
        <v>45681</v>
      </c>
      <c r="BV7" t="s">
        <v>1499</v>
      </c>
      <c r="BW7">
        <v>4</v>
      </c>
      <c r="BX7">
        <v>7.1000000000000004E-3</v>
      </c>
      <c r="BY7">
        <v>6.5926606289041114</v>
      </c>
      <c r="BZ7">
        <v>765.6434936830002</v>
      </c>
      <c r="CA7">
        <v>0.42399999999999999</v>
      </c>
      <c r="CB7">
        <v>9.2999999999999992E-3</v>
      </c>
      <c r="CC7">
        <v>0.99829999999997199</v>
      </c>
      <c r="CD7" s="2">
        <v>45681</v>
      </c>
      <c r="CE7" t="s">
        <v>1659</v>
      </c>
      <c r="CF7">
        <v>5</v>
      </c>
      <c r="CG7">
        <v>7.4000000000000003E-3</v>
      </c>
      <c r="CH7">
        <v>6.5960994263345478</v>
      </c>
      <c r="CI7">
        <v>765.96983555914858</v>
      </c>
      <c r="CJ7">
        <v>0.42399999999999999</v>
      </c>
      <c r="CK7">
        <v>9.2999999999999992E-3</v>
      </c>
      <c r="CL7">
        <v>0.99970000000001846</v>
      </c>
    </row>
    <row r="8" spans="1:90" x14ac:dyDescent="0.3">
      <c r="A8" s="2">
        <v>45681</v>
      </c>
      <c r="B8" t="s">
        <v>106</v>
      </c>
      <c r="C8">
        <v>0</v>
      </c>
      <c r="D8">
        <v>1.0500000000000001E-2</v>
      </c>
      <c r="E8">
        <v>6.8334453790620708</v>
      </c>
      <c r="F8">
        <v>788.49396647299056</v>
      </c>
      <c r="G8">
        <v>0.42399999999999999</v>
      </c>
      <c r="H8">
        <v>1.2999999999999999E-2</v>
      </c>
      <c r="I8">
        <v>1.2001299999999944</v>
      </c>
      <c r="J8" s="2">
        <v>45681</v>
      </c>
      <c r="K8" t="s">
        <v>266</v>
      </c>
      <c r="L8">
        <v>0</v>
      </c>
      <c r="M8">
        <v>1.03E-2</v>
      </c>
      <c r="N8">
        <v>6.8322476184666812</v>
      </c>
      <c r="O8">
        <v>788.38029899248806</v>
      </c>
      <c r="P8">
        <v>0.42399999999999999</v>
      </c>
      <c r="Q8">
        <v>1.2999999999999999E-2</v>
      </c>
      <c r="R8">
        <v>1.1989999999999981</v>
      </c>
      <c r="S8" s="2">
        <v>45681</v>
      </c>
      <c r="T8" t="s">
        <v>426</v>
      </c>
      <c r="U8">
        <v>1</v>
      </c>
      <c r="V8">
        <v>1.03E-2</v>
      </c>
      <c r="W8">
        <v>6.8346066472899656</v>
      </c>
      <c r="X8">
        <v>788.60417082781782</v>
      </c>
      <c r="Y8">
        <v>0.42399999999999999</v>
      </c>
      <c r="Z8">
        <v>1.2999999999999999E-2</v>
      </c>
      <c r="AA8">
        <v>1.200800000000001</v>
      </c>
      <c r="AB8" s="2">
        <v>45681</v>
      </c>
      <c r="AC8" t="s">
        <v>626</v>
      </c>
      <c r="AD8">
        <v>2</v>
      </c>
      <c r="AE8">
        <v>1.06E-2</v>
      </c>
      <c r="AF8">
        <v>6.8328992099618713</v>
      </c>
      <c r="AG8">
        <v>788.44213502538162</v>
      </c>
      <c r="AH8">
        <v>0.42399999999999999</v>
      </c>
      <c r="AI8">
        <v>1.2999999999999999E-2</v>
      </c>
      <c r="AJ8">
        <v>1.1998000000000104</v>
      </c>
      <c r="AK8" s="2">
        <v>45681</v>
      </c>
      <c r="AL8" t="s">
        <v>786</v>
      </c>
      <c r="AM8">
        <v>2</v>
      </c>
      <c r="AN8">
        <v>1.04E-2</v>
      </c>
      <c r="AO8">
        <v>6.8312761105497684</v>
      </c>
      <c r="AP8">
        <v>788.28810289117303</v>
      </c>
      <c r="AQ8">
        <v>0.42399999999999999</v>
      </c>
      <c r="AR8">
        <v>1.2999999999999999E-2</v>
      </c>
      <c r="AS8">
        <v>1.2002000000000237</v>
      </c>
      <c r="AT8" s="2">
        <v>45681</v>
      </c>
      <c r="AU8" t="s">
        <v>944</v>
      </c>
      <c r="AV8">
        <v>3</v>
      </c>
      <c r="AW8">
        <v>1.03E-2</v>
      </c>
      <c r="AX8">
        <v>6.8299919846846366</v>
      </c>
      <c r="AY8">
        <v>788.16623934657207</v>
      </c>
      <c r="AZ8">
        <v>0.42399999999999999</v>
      </c>
      <c r="BA8">
        <v>1.2999999999999999E-2</v>
      </c>
      <c r="BB8">
        <v>1.2010999999999967</v>
      </c>
      <c r="BC8" s="2">
        <v>45681</v>
      </c>
      <c r="BD8" t="s">
        <v>1144</v>
      </c>
      <c r="BE8">
        <v>3</v>
      </c>
      <c r="BF8">
        <v>1.03E-2</v>
      </c>
      <c r="BG8">
        <v>6.8285878394775157</v>
      </c>
      <c r="BH8">
        <v>788.03298596641628</v>
      </c>
      <c r="BI8">
        <v>0.42399999999999999</v>
      </c>
      <c r="BJ8">
        <v>1.29E-2</v>
      </c>
      <c r="BK8">
        <v>1.199799999999982</v>
      </c>
      <c r="BL8" s="2">
        <v>45681</v>
      </c>
      <c r="BM8" t="s">
        <v>1302</v>
      </c>
      <c r="BN8">
        <v>4</v>
      </c>
      <c r="BO8">
        <v>1.04E-2</v>
      </c>
      <c r="BP8">
        <v>6.8317310487312266</v>
      </c>
      <c r="BQ8">
        <v>788.33127652459348</v>
      </c>
      <c r="BR8">
        <v>0.42399999999999999</v>
      </c>
      <c r="BS8">
        <v>1.2999999999999999E-2</v>
      </c>
      <c r="BT8">
        <v>1.1988999999999805</v>
      </c>
      <c r="BU8" s="2">
        <v>45681</v>
      </c>
      <c r="BV8" t="s">
        <v>1500</v>
      </c>
      <c r="BW8">
        <v>4</v>
      </c>
      <c r="BX8">
        <v>1.04E-2</v>
      </c>
      <c r="BY8">
        <v>6.8352087713536598</v>
      </c>
      <c r="BZ8">
        <v>788.6613124014624</v>
      </c>
      <c r="CA8">
        <v>0.42399999999999999</v>
      </c>
      <c r="CB8">
        <v>1.2999999999999999E-2</v>
      </c>
      <c r="CC8">
        <v>1.1983999999999924</v>
      </c>
      <c r="CD8" s="2">
        <v>45681</v>
      </c>
      <c r="CE8" t="s">
        <v>1660</v>
      </c>
      <c r="CF8">
        <v>5</v>
      </c>
      <c r="CG8">
        <v>1.01E-2</v>
      </c>
      <c r="CH8">
        <v>6.8404458315601806</v>
      </c>
      <c r="CI8">
        <v>789.15830941506113</v>
      </c>
      <c r="CJ8">
        <v>0.42399999999999999</v>
      </c>
      <c r="CK8">
        <v>1.3100000000000001E-2</v>
      </c>
      <c r="CL8">
        <v>1.2008999999999901</v>
      </c>
    </row>
    <row r="9" spans="1:90" x14ac:dyDescent="0.3">
      <c r="A9" s="2">
        <v>45681</v>
      </c>
      <c r="B9" t="s">
        <v>107</v>
      </c>
      <c r="C9">
        <v>0</v>
      </c>
      <c r="D9">
        <v>1.41E-2</v>
      </c>
      <c r="E9">
        <v>7.1059910585353734</v>
      </c>
      <c r="F9">
        <v>814.35855145500693</v>
      </c>
      <c r="G9">
        <v>0.42399999999999999</v>
      </c>
      <c r="H9">
        <v>1.7299999999999999E-2</v>
      </c>
      <c r="I9">
        <v>1.4009</v>
      </c>
      <c r="J9" s="2">
        <v>45681</v>
      </c>
      <c r="K9" t="s">
        <v>267</v>
      </c>
      <c r="L9">
        <v>0</v>
      </c>
      <c r="M9">
        <v>1.43E-2</v>
      </c>
      <c r="N9">
        <v>7.1028794760001581</v>
      </c>
      <c r="O9">
        <v>814.06326227241505</v>
      </c>
      <c r="P9">
        <v>0.42399999999999999</v>
      </c>
      <c r="Q9">
        <v>1.72E-2</v>
      </c>
      <c r="R9">
        <v>1.3984999999999985</v>
      </c>
      <c r="S9" s="2">
        <v>45681</v>
      </c>
      <c r="T9" t="s">
        <v>427</v>
      </c>
      <c r="U9">
        <v>1</v>
      </c>
      <c r="V9">
        <v>1.4200000000000001E-2</v>
      </c>
      <c r="W9">
        <v>7.1019335127404926</v>
      </c>
      <c r="X9">
        <v>813.97349035907291</v>
      </c>
      <c r="Y9">
        <v>0.42399999999999999</v>
      </c>
      <c r="Z9">
        <v>1.72E-2</v>
      </c>
      <c r="AA9">
        <v>1.3978000000000037</v>
      </c>
      <c r="AB9" s="2">
        <v>45681</v>
      </c>
      <c r="AC9" t="s">
        <v>627</v>
      </c>
      <c r="AD9">
        <v>2</v>
      </c>
      <c r="AE9">
        <v>1.44E-2</v>
      </c>
      <c r="AF9">
        <v>7.1030315275313933</v>
      </c>
      <c r="AG9">
        <v>814.07769196272932</v>
      </c>
      <c r="AH9">
        <v>0.42399999999999999</v>
      </c>
      <c r="AI9">
        <v>1.72E-2</v>
      </c>
      <c r="AJ9">
        <v>1.398900000000026</v>
      </c>
      <c r="AK9" s="2">
        <v>45681</v>
      </c>
      <c r="AL9" t="s">
        <v>787</v>
      </c>
      <c r="AM9">
        <v>2</v>
      </c>
      <c r="AN9">
        <v>1.41E-2</v>
      </c>
      <c r="AO9">
        <v>7.1003221719801406</v>
      </c>
      <c r="AP9">
        <v>813.82057412091535</v>
      </c>
      <c r="AQ9">
        <v>0.42399999999999999</v>
      </c>
      <c r="AR9">
        <v>1.72E-2</v>
      </c>
      <c r="AS9">
        <v>1.3986000000000161</v>
      </c>
      <c r="AT9" s="2">
        <v>45681</v>
      </c>
      <c r="AU9" t="s">
        <v>945</v>
      </c>
      <c r="AV9">
        <v>3</v>
      </c>
      <c r="AW9">
        <v>1.4200000000000001E-2</v>
      </c>
      <c r="AX9">
        <v>7.1003404181638894</v>
      </c>
      <c r="AY9">
        <v>813.82230568375314</v>
      </c>
      <c r="AZ9">
        <v>0.42399999999999999</v>
      </c>
      <c r="BA9">
        <v>1.72E-2</v>
      </c>
      <c r="BB9">
        <v>1.4004999999999939</v>
      </c>
      <c r="BC9" s="2">
        <v>45681</v>
      </c>
      <c r="BD9" t="s">
        <v>1145</v>
      </c>
      <c r="BE9">
        <v>3</v>
      </c>
      <c r="BF9">
        <v>1.41E-2</v>
      </c>
      <c r="BG9">
        <v>7.1012725954180551</v>
      </c>
      <c r="BH9">
        <v>813.91076930517352</v>
      </c>
      <c r="BI9">
        <v>0.42399999999999999</v>
      </c>
      <c r="BJ9">
        <v>1.72E-2</v>
      </c>
      <c r="BK9">
        <v>1.4010000000000105</v>
      </c>
      <c r="BL9" s="2">
        <v>45681</v>
      </c>
      <c r="BM9" t="s">
        <v>1303</v>
      </c>
      <c r="BN9">
        <v>4</v>
      </c>
      <c r="BO9">
        <v>1.4E-2</v>
      </c>
      <c r="BP9">
        <v>7.1054538097916717</v>
      </c>
      <c r="BQ9">
        <v>814.3075665492297</v>
      </c>
      <c r="BR9">
        <v>0.42399999999999999</v>
      </c>
      <c r="BS9">
        <v>1.72E-2</v>
      </c>
      <c r="BT9">
        <v>1.4005999999999972</v>
      </c>
      <c r="BU9" s="2">
        <v>45681</v>
      </c>
      <c r="BV9" t="s">
        <v>1501</v>
      </c>
      <c r="BW9">
        <v>4</v>
      </c>
      <c r="BX9">
        <v>1.4E-2</v>
      </c>
      <c r="BY9">
        <v>7.1077674258909589</v>
      </c>
      <c r="BZ9">
        <v>814.52712871705205</v>
      </c>
      <c r="CA9">
        <v>0.42399999999999999</v>
      </c>
      <c r="CB9">
        <v>1.7299999999999999E-2</v>
      </c>
      <c r="CC9">
        <v>1.3990999999999758</v>
      </c>
      <c r="CD9" s="2">
        <v>45681</v>
      </c>
      <c r="CE9" t="s">
        <v>1661</v>
      </c>
      <c r="CF9">
        <v>5</v>
      </c>
      <c r="CG9">
        <v>1.4200000000000001E-2</v>
      </c>
      <c r="CH9">
        <v>7.1110444404921607</v>
      </c>
      <c r="CI9">
        <v>814.83811740270608</v>
      </c>
      <c r="CJ9">
        <v>0.42399999999999999</v>
      </c>
      <c r="CK9">
        <v>1.7299999999999999E-2</v>
      </c>
      <c r="CL9">
        <v>1.3997999999999706</v>
      </c>
    </row>
    <row r="10" spans="1:90" x14ac:dyDescent="0.3">
      <c r="A10" s="2">
        <v>45681</v>
      </c>
      <c r="B10" t="s">
        <v>108</v>
      </c>
      <c r="C10">
        <v>0</v>
      </c>
      <c r="D10">
        <v>1.8700000000000001E-2</v>
      </c>
      <c r="E10">
        <v>7.3990405828927992</v>
      </c>
      <c r="F10">
        <v>842.16895131652666</v>
      </c>
      <c r="G10">
        <v>0.42399999999999999</v>
      </c>
      <c r="H10">
        <v>2.18E-2</v>
      </c>
      <c r="I10">
        <v>1.6001899999999978</v>
      </c>
      <c r="J10" s="2">
        <v>45681</v>
      </c>
      <c r="K10" t="s">
        <v>268</v>
      </c>
      <c r="L10">
        <v>0</v>
      </c>
      <c r="M10">
        <v>1.8499999999999999E-2</v>
      </c>
      <c r="N10">
        <v>7.4002671319114359</v>
      </c>
      <c r="O10">
        <v>842.28535081839527</v>
      </c>
      <c r="P10">
        <v>0.42399999999999999</v>
      </c>
      <c r="Q10">
        <v>2.18E-2</v>
      </c>
      <c r="R10">
        <v>1.6007899999999893</v>
      </c>
      <c r="S10" s="2">
        <v>45681</v>
      </c>
      <c r="T10" t="s">
        <v>428</v>
      </c>
      <c r="U10">
        <v>1</v>
      </c>
      <c r="V10">
        <v>1.8200000000000001E-2</v>
      </c>
      <c r="W10">
        <v>7.3960194203348246</v>
      </c>
      <c r="X10">
        <v>841.88224298977491</v>
      </c>
      <c r="Y10">
        <v>0.42399999999999999</v>
      </c>
      <c r="Z10">
        <v>2.18E-2</v>
      </c>
      <c r="AA10">
        <v>1.5978999999999957</v>
      </c>
      <c r="AB10" s="2">
        <v>45681</v>
      </c>
      <c r="AC10" t="s">
        <v>628</v>
      </c>
      <c r="AD10">
        <v>2</v>
      </c>
      <c r="AE10">
        <v>1.7999999999999999E-2</v>
      </c>
      <c r="AF10">
        <v>7.3950442631811644</v>
      </c>
      <c r="AG10">
        <v>841.78970057589254</v>
      </c>
      <c r="AH10">
        <v>0.42399999999999999</v>
      </c>
      <c r="AI10">
        <v>2.1700000000000001E-2</v>
      </c>
      <c r="AJ10">
        <v>1.5977000000000032</v>
      </c>
      <c r="AK10" s="2">
        <v>45681</v>
      </c>
      <c r="AL10" t="s">
        <v>788</v>
      </c>
      <c r="AM10">
        <v>2</v>
      </c>
      <c r="AN10">
        <v>1.83E-2</v>
      </c>
      <c r="AO10">
        <v>7.3978586356566574</v>
      </c>
      <c r="AP10">
        <v>842.05678452381687</v>
      </c>
      <c r="AQ10">
        <v>0.42399999999999999</v>
      </c>
      <c r="AR10">
        <v>2.18E-2</v>
      </c>
      <c r="AS10">
        <v>1.6011000000000024</v>
      </c>
      <c r="AT10" s="2">
        <v>45681</v>
      </c>
      <c r="AU10" t="s">
        <v>946</v>
      </c>
      <c r="AV10">
        <v>3</v>
      </c>
      <c r="AW10">
        <v>1.8499999999999999E-2</v>
      </c>
      <c r="AX10">
        <v>7.3934953649163049</v>
      </c>
      <c r="AY10">
        <v>841.64271013055736</v>
      </c>
      <c r="AZ10">
        <v>0.42399999999999999</v>
      </c>
      <c r="BA10">
        <v>2.1700000000000001E-2</v>
      </c>
      <c r="BB10">
        <v>1.6000999999999976</v>
      </c>
      <c r="BC10" s="2">
        <v>45681</v>
      </c>
      <c r="BD10" t="s">
        <v>1146</v>
      </c>
      <c r="BE10">
        <v>3</v>
      </c>
      <c r="BF10">
        <v>1.8200000000000001E-2</v>
      </c>
      <c r="BG10">
        <v>7.3965793754405231</v>
      </c>
      <c r="BH10">
        <v>841.93538272930573</v>
      </c>
      <c r="BI10">
        <v>0.42399999999999999</v>
      </c>
      <c r="BJ10">
        <v>2.18E-2</v>
      </c>
      <c r="BK10">
        <v>1.6020000000000323</v>
      </c>
      <c r="BL10" s="2">
        <v>45681</v>
      </c>
      <c r="BM10" t="s">
        <v>1304</v>
      </c>
      <c r="BN10">
        <v>4</v>
      </c>
      <c r="BO10">
        <v>1.8599999999999998E-2</v>
      </c>
      <c r="BP10">
        <v>7.3985998361875867</v>
      </c>
      <c r="BQ10">
        <v>842.12712445420198</v>
      </c>
      <c r="BR10">
        <v>0.42399999999999999</v>
      </c>
      <c r="BS10">
        <v>2.18E-2</v>
      </c>
      <c r="BT10">
        <v>1.5999999999999659</v>
      </c>
      <c r="BU10" s="2">
        <v>45681</v>
      </c>
      <c r="BV10" t="s">
        <v>1502</v>
      </c>
      <c r="BW10">
        <v>5</v>
      </c>
      <c r="BX10">
        <v>1.8700000000000001E-2</v>
      </c>
      <c r="BY10">
        <v>7.4002432091371873</v>
      </c>
      <c r="BZ10">
        <v>842.28308054711908</v>
      </c>
      <c r="CA10">
        <v>0.42399999999999999</v>
      </c>
      <c r="CB10">
        <v>2.18E-2</v>
      </c>
      <c r="CC10">
        <v>1.5978999999999814</v>
      </c>
      <c r="CD10" s="2">
        <v>45681</v>
      </c>
      <c r="CE10" t="s">
        <v>1662</v>
      </c>
      <c r="CF10">
        <v>5</v>
      </c>
      <c r="CG10">
        <v>1.8800000000000001E-2</v>
      </c>
      <c r="CH10">
        <v>7.403855953519356</v>
      </c>
      <c r="CI10">
        <v>842.62592998898697</v>
      </c>
      <c r="CJ10">
        <v>0.42399999999999999</v>
      </c>
      <c r="CK10">
        <v>2.1899999999999999E-2</v>
      </c>
      <c r="CL10">
        <v>1.598700000000008</v>
      </c>
    </row>
    <row r="11" spans="1:90" x14ac:dyDescent="0.3">
      <c r="A11" s="2">
        <v>45681</v>
      </c>
      <c r="B11" t="s">
        <v>109</v>
      </c>
      <c r="C11">
        <v>0</v>
      </c>
      <c r="D11">
        <v>2.2800000000000001E-2</v>
      </c>
      <c r="E11">
        <v>7.7086373685562091</v>
      </c>
      <c r="F11">
        <v>871.5496862759843</v>
      </c>
      <c r="G11">
        <v>0.42399999999999999</v>
      </c>
      <c r="H11">
        <v>2.6599999999999999E-2</v>
      </c>
      <c r="I11">
        <v>1.8002899999999968</v>
      </c>
      <c r="J11" s="2">
        <v>45681</v>
      </c>
      <c r="K11" t="s">
        <v>269</v>
      </c>
      <c r="L11">
        <v>0</v>
      </c>
      <c r="M11">
        <v>2.29E-2</v>
      </c>
      <c r="N11">
        <v>7.7063890332476639</v>
      </c>
      <c r="O11">
        <v>871.33631925520331</v>
      </c>
      <c r="P11">
        <v>0.42399999999999999</v>
      </c>
      <c r="Q11">
        <v>2.6599999999999999E-2</v>
      </c>
      <c r="R11">
        <v>1.7986599999999981</v>
      </c>
      <c r="S11" s="2">
        <v>45681</v>
      </c>
      <c r="T11" t="s">
        <v>429</v>
      </c>
      <c r="U11">
        <v>1</v>
      </c>
      <c r="V11">
        <v>2.3E-2</v>
      </c>
      <c r="W11">
        <v>7.7054163089185037</v>
      </c>
      <c r="X11">
        <v>871.24400771636601</v>
      </c>
      <c r="Y11">
        <v>0.42399999999999999</v>
      </c>
      <c r="Z11">
        <v>2.6599999999999999E-2</v>
      </c>
      <c r="AA11">
        <v>1.7980000000000018</v>
      </c>
      <c r="AB11" s="2">
        <v>45681</v>
      </c>
      <c r="AC11" t="s">
        <v>629</v>
      </c>
      <c r="AD11">
        <v>2</v>
      </c>
      <c r="AE11">
        <v>2.3099999999999999E-2</v>
      </c>
      <c r="AF11">
        <v>7.7183419054858202</v>
      </c>
      <c r="AG11">
        <v>872.47064683060444</v>
      </c>
      <c r="AH11">
        <v>0.42399999999999999</v>
      </c>
      <c r="AI11">
        <v>2.6800000000000001E-2</v>
      </c>
      <c r="AJ11">
        <v>1.8066000000000031</v>
      </c>
      <c r="AK11" s="2">
        <v>45681</v>
      </c>
      <c r="AL11" t="s">
        <v>789</v>
      </c>
      <c r="AM11">
        <v>2</v>
      </c>
      <c r="AN11">
        <v>2.29E-2</v>
      </c>
      <c r="AO11">
        <v>7.7040571709646271</v>
      </c>
      <c r="AP11">
        <v>871.11502552454317</v>
      </c>
      <c r="AQ11">
        <v>0.42399999999999999</v>
      </c>
      <c r="AR11">
        <v>2.6499999999999999E-2</v>
      </c>
      <c r="AS11">
        <v>1.7991000000000099</v>
      </c>
      <c r="AT11" s="2">
        <v>45681</v>
      </c>
      <c r="AU11" t="s">
        <v>947</v>
      </c>
      <c r="AV11">
        <v>3</v>
      </c>
      <c r="AW11">
        <v>2.3E-2</v>
      </c>
      <c r="AX11">
        <v>7.7063995754871621</v>
      </c>
      <c r="AY11">
        <v>871.33731971373174</v>
      </c>
      <c r="AZ11">
        <v>0.42399999999999999</v>
      </c>
      <c r="BA11">
        <v>2.6599999999999999E-2</v>
      </c>
      <c r="BB11">
        <v>1.8024999999999807</v>
      </c>
      <c r="BC11" s="2">
        <v>45681</v>
      </c>
      <c r="BD11" t="s">
        <v>1147</v>
      </c>
      <c r="BE11">
        <v>3</v>
      </c>
      <c r="BF11">
        <v>2.29E-2</v>
      </c>
      <c r="BG11">
        <v>7.7059669381969513</v>
      </c>
      <c r="BH11">
        <v>871.29626243489076</v>
      </c>
      <c r="BI11">
        <v>0.42399999999999999</v>
      </c>
      <c r="BJ11">
        <v>2.6599999999999999E-2</v>
      </c>
      <c r="BK11">
        <v>1.8020000000000209</v>
      </c>
      <c r="BL11" s="2">
        <v>45681</v>
      </c>
      <c r="BM11" t="s">
        <v>1305</v>
      </c>
      <c r="BN11">
        <v>4</v>
      </c>
      <c r="BO11">
        <v>2.2700000000000001E-2</v>
      </c>
      <c r="BP11">
        <v>7.7089207926104306</v>
      </c>
      <c r="BQ11">
        <v>871.57658321872987</v>
      </c>
      <c r="BR11">
        <v>0.42399999999999999</v>
      </c>
      <c r="BS11">
        <v>2.6599999999999999E-2</v>
      </c>
      <c r="BT11">
        <v>1.8005999999999744</v>
      </c>
      <c r="BU11" s="2">
        <v>45681</v>
      </c>
      <c r="BV11" t="s">
        <v>1503</v>
      </c>
      <c r="BW11">
        <v>5</v>
      </c>
      <c r="BX11">
        <v>2.24E-2</v>
      </c>
      <c r="BY11">
        <v>7.7132564913397861</v>
      </c>
      <c r="BZ11">
        <v>871.98804102814574</v>
      </c>
      <c r="CA11">
        <v>0.42399999999999999</v>
      </c>
      <c r="CB11">
        <v>2.6700000000000002E-2</v>
      </c>
      <c r="CC11">
        <v>1.800200000000018</v>
      </c>
      <c r="CD11" s="2">
        <v>45681</v>
      </c>
      <c r="CE11" t="s">
        <v>1663</v>
      </c>
      <c r="CF11">
        <v>5</v>
      </c>
      <c r="CG11">
        <v>2.24E-2</v>
      </c>
      <c r="CH11">
        <v>7.7133992170437731</v>
      </c>
      <c r="CI11">
        <v>872.00158569745406</v>
      </c>
      <c r="CJ11">
        <v>0.42399999999999999</v>
      </c>
      <c r="CK11">
        <v>2.6700000000000002E-2</v>
      </c>
      <c r="CL11">
        <v>1.7986000000000217</v>
      </c>
    </row>
    <row r="12" spans="1:90" x14ac:dyDescent="0.3">
      <c r="A12" s="2">
        <v>45681</v>
      </c>
      <c r="B12" t="s">
        <v>110</v>
      </c>
      <c r="C12">
        <v>0</v>
      </c>
      <c r="D12">
        <v>2.7900000000000001E-2</v>
      </c>
      <c r="E12">
        <v>8.0266732169385957</v>
      </c>
      <c r="F12">
        <v>901.73128828747281</v>
      </c>
      <c r="G12">
        <v>0.42399999999999999</v>
      </c>
      <c r="H12">
        <v>3.1600000000000003E-2</v>
      </c>
      <c r="I12">
        <v>2.0008299999999934</v>
      </c>
      <c r="J12" s="2">
        <v>45681</v>
      </c>
      <c r="K12" t="s">
        <v>270</v>
      </c>
      <c r="L12">
        <v>0</v>
      </c>
      <c r="M12">
        <v>2.8299999999999999E-2</v>
      </c>
      <c r="N12">
        <v>8.0241649748793265</v>
      </c>
      <c r="O12">
        <v>901.49325611604809</v>
      </c>
      <c r="P12">
        <v>0.42399999999999999</v>
      </c>
      <c r="Q12">
        <v>3.15E-2</v>
      </c>
      <c r="R12">
        <v>1.9990499999999969</v>
      </c>
      <c r="S12" s="2">
        <v>45681</v>
      </c>
      <c r="T12" t="s">
        <v>430</v>
      </c>
      <c r="U12">
        <v>1</v>
      </c>
      <c r="V12">
        <v>2.7900000000000001E-2</v>
      </c>
      <c r="W12">
        <v>8.0247735864750194</v>
      </c>
      <c r="X12">
        <v>901.55101335647942</v>
      </c>
      <c r="Y12">
        <v>0.42399999999999999</v>
      </c>
      <c r="Z12">
        <v>3.15E-2</v>
      </c>
      <c r="AA12">
        <v>1.9993999999999943</v>
      </c>
      <c r="AB12" s="2">
        <v>45681</v>
      </c>
      <c r="AC12" t="s">
        <v>630</v>
      </c>
      <c r="AD12">
        <v>2</v>
      </c>
      <c r="AE12">
        <v>2.7799999999999998E-2</v>
      </c>
      <c r="AF12">
        <v>8.0222166879257557</v>
      </c>
      <c r="AG12">
        <v>901.3083636841543</v>
      </c>
      <c r="AH12">
        <v>0.42399999999999999</v>
      </c>
      <c r="AI12">
        <v>3.15E-2</v>
      </c>
      <c r="AJ12">
        <v>1.9982000000000255</v>
      </c>
      <c r="AK12" s="2">
        <v>45681</v>
      </c>
      <c r="AL12" t="s">
        <v>790</v>
      </c>
      <c r="AM12">
        <v>2</v>
      </c>
      <c r="AN12">
        <v>2.7799999999999998E-2</v>
      </c>
      <c r="AO12">
        <v>8.0245728784537889</v>
      </c>
      <c r="AP12">
        <v>901.53196616526463</v>
      </c>
      <c r="AQ12">
        <v>0.42399999999999999</v>
      </c>
      <c r="AR12">
        <v>3.15E-2</v>
      </c>
      <c r="AS12">
        <v>2.0012000000000114</v>
      </c>
      <c r="AT12" s="2">
        <v>45681</v>
      </c>
      <c r="AU12" t="s">
        <v>948</v>
      </c>
      <c r="AV12">
        <v>3</v>
      </c>
      <c r="AW12">
        <v>2.7699999999999999E-2</v>
      </c>
      <c r="AX12">
        <v>8.0214689998628224</v>
      </c>
      <c r="AY12">
        <v>901.23740808698187</v>
      </c>
      <c r="AZ12">
        <v>0.42399999999999999</v>
      </c>
      <c r="BA12">
        <v>3.15E-2</v>
      </c>
      <c r="BB12">
        <v>2.001199999999983</v>
      </c>
      <c r="BC12" s="2">
        <v>45681</v>
      </c>
      <c r="BD12" t="s">
        <v>1148</v>
      </c>
      <c r="BE12">
        <v>3</v>
      </c>
      <c r="BF12">
        <v>2.7799999999999998E-2</v>
      </c>
      <c r="BG12">
        <v>8.0244958390112942</v>
      </c>
      <c r="BH12">
        <v>901.52465512217191</v>
      </c>
      <c r="BI12">
        <v>0.42399999999999999</v>
      </c>
      <c r="BJ12">
        <v>3.15E-2</v>
      </c>
      <c r="BK12">
        <v>2.002900000000011</v>
      </c>
      <c r="BL12" s="2">
        <v>45681</v>
      </c>
      <c r="BM12" t="s">
        <v>1306</v>
      </c>
      <c r="BN12">
        <v>4</v>
      </c>
      <c r="BO12">
        <v>2.76E-2</v>
      </c>
      <c r="BP12">
        <v>8.0234026898693962</v>
      </c>
      <c r="BQ12">
        <v>901.42091526860577</v>
      </c>
      <c r="BR12">
        <v>0.42399999999999999</v>
      </c>
      <c r="BS12">
        <v>3.15E-2</v>
      </c>
      <c r="BT12">
        <v>1.9988999999999919</v>
      </c>
      <c r="BU12" s="2">
        <v>45681</v>
      </c>
      <c r="BV12" t="s">
        <v>1504</v>
      </c>
      <c r="BW12">
        <v>5</v>
      </c>
      <c r="BX12">
        <v>2.7400000000000001E-2</v>
      </c>
      <c r="BY12">
        <v>8.0271411301840523</v>
      </c>
      <c r="BZ12">
        <v>901.77569325446666</v>
      </c>
      <c r="CA12">
        <v>0.42399999999999999</v>
      </c>
      <c r="CB12">
        <v>3.1600000000000003E-2</v>
      </c>
      <c r="CC12">
        <v>1.9979999999999905</v>
      </c>
      <c r="CD12" s="2">
        <v>45681</v>
      </c>
      <c r="CE12" t="s">
        <v>1664</v>
      </c>
      <c r="CF12">
        <v>5</v>
      </c>
      <c r="CG12">
        <v>2.7900000000000001E-2</v>
      </c>
      <c r="CH12">
        <v>8.0298841398075513</v>
      </c>
      <c r="CI12">
        <v>902.03600486773666</v>
      </c>
      <c r="CJ12">
        <v>0.42399999999999999</v>
      </c>
      <c r="CK12">
        <v>3.1600000000000003E-2</v>
      </c>
      <c r="CL12">
        <v>1.9981999999999971</v>
      </c>
    </row>
    <row r="13" spans="1:90" x14ac:dyDescent="0.3">
      <c r="A13" s="2">
        <v>45681</v>
      </c>
      <c r="B13" t="s">
        <v>111</v>
      </c>
      <c r="C13">
        <v>0</v>
      </c>
      <c r="D13">
        <v>3.3099999999999997E-2</v>
      </c>
      <c r="E13">
        <v>8.3426736021561716</v>
      </c>
      <c r="F13">
        <v>931.71972484462071</v>
      </c>
      <c r="G13">
        <v>0.42399999999999999</v>
      </c>
      <c r="H13">
        <v>3.6499999999999998E-2</v>
      </c>
      <c r="I13">
        <v>2.2001299999999944</v>
      </c>
      <c r="J13" s="2">
        <v>45681</v>
      </c>
      <c r="K13" t="s">
        <v>271</v>
      </c>
      <c r="L13">
        <v>0</v>
      </c>
      <c r="M13">
        <v>3.2599999999999997E-2</v>
      </c>
      <c r="N13">
        <v>8.3407995163498416</v>
      </c>
      <c r="O13">
        <v>931.5418741016</v>
      </c>
      <c r="P13">
        <v>0.42399999999999999</v>
      </c>
      <c r="Q13">
        <v>3.6400000000000002E-2</v>
      </c>
      <c r="R13">
        <v>2.1987299999999976</v>
      </c>
      <c r="S13" s="2">
        <v>45681</v>
      </c>
      <c r="T13" t="s">
        <v>431</v>
      </c>
      <c r="U13">
        <v>1</v>
      </c>
      <c r="V13">
        <v>3.2800000000000003E-2</v>
      </c>
      <c r="W13">
        <v>8.3422867830607057</v>
      </c>
      <c r="X13">
        <v>931.68301571246104</v>
      </c>
      <c r="Y13">
        <v>0.42399999999999999</v>
      </c>
      <c r="Z13">
        <v>3.6499999999999998E-2</v>
      </c>
      <c r="AA13">
        <v>2.1996000000000038</v>
      </c>
      <c r="AB13" s="2">
        <v>45681</v>
      </c>
      <c r="AC13" t="s">
        <v>631</v>
      </c>
      <c r="AD13">
        <v>2</v>
      </c>
      <c r="AE13">
        <v>3.2800000000000003E-2</v>
      </c>
      <c r="AF13">
        <v>8.3419457821599856</v>
      </c>
      <c r="AG13">
        <v>931.65065472698268</v>
      </c>
      <c r="AH13">
        <v>0.42399999999999999</v>
      </c>
      <c r="AI13">
        <v>3.6499999999999998E-2</v>
      </c>
      <c r="AJ13">
        <v>2.1998000000000104</v>
      </c>
      <c r="AK13" s="2">
        <v>45681</v>
      </c>
      <c r="AL13" t="s">
        <v>791</v>
      </c>
      <c r="AM13">
        <v>2</v>
      </c>
      <c r="AN13">
        <v>3.27E-2</v>
      </c>
      <c r="AO13">
        <v>8.3390632905984994</v>
      </c>
      <c r="AP13">
        <v>931.37710627779768</v>
      </c>
      <c r="AQ13">
        <v>0.42399999999999999</v>
      </c>
      <c r="AR13">
        <v>3.6400000000000002E-2</v>
      </c>
      <c r="AS13">
        <v>2.1995000000000005</v>
      </c>
      <c r="AT13" s="2">
        <v>45681</v>
      </c>
      <c r="AU13" t="s">
        <v>949</v>
      </c>
      <c r="AV13">
        <v>3</v>
      </c>
      <c r="AW13">
        <v>3.3099999999999997E-2</v>
      </c>
      <c r="AX13">
        <v>8.3388090604382743</v>
      </c>
      <c r="AY13">
        <v>931.35297983559224</v>
      </c>
      <c r="AZ13">
        <v>0.42399999999999999</v>
      </c>
      <c r="BA13">
        <v>3.6400000000000002E-2</v>
      </c>
      <c r="BB13">
        <v>2.2012999999999749</v>
      </c>
      <c r="BC13" s="2">
        <v>45681</v>
      </c>
      <c r="BD13" t="s">
        <v>1149</v>
      </c>
      <c r="BE13">
        <v>3</v>
      </c>
      <c r="BF13">
        <v>3.2800000000000003E-2</v>
      </c>
      <c r="BG13">
        <v>8.3377649732571175</v>
      </c>
      <c r="BH13">
        <v>931.2538959621005</v>
      </c>
      <c r="BI13">
        <v>0.42399999999999999</v>
      </c>
      <c r="BJ13">
        <v>3.6400000000000002E-2</v>
      </c>
      <c r="BK13">
        <v>2.2004000000000019</v>
      </c>
      <c r="BL13" s="2">
        <v>45681</v>
      </c>
      <c r="BM13" t="s">
        <v>1307</v>
      </c>
      <c r="BN13">
        <v>4</v>
      </c>
      <c r="BO13">
        <v>3.2800000000000003E-2</v>
      </c>
      <c r="BP13">
        <v>8.3406884173643512</v>
      </c>
      <c r="BQ13">
        <v>931.531330807877</v>
      </c>
      <c r="BR13">
        <v>0.42399999999999999</v>
      </c>
      <c r="BS13">
        <v>3.6400000000000002E-2</v>
      </c>
      <c r="BT13">
        <v>2.1990000000000123</v>
      </c>
      <c r="BU13" s="2">
        <v>45681</v>
      </c>
      <c r="BV13" t="s">
        <v>1505</v>
      </c>
      <c r="BW13">
        <v>5</v>
      </c>
      <c r="BX13">
        <v>3.27E-2</v>
      </c>
      <c r="BY13">
        <v>8.3469148262007824</v>
      </c>
      <c r="BZ13">
        <v>932.12221700645432</v>
      </c>
      <c r="CA13">
        <v>0.42399999999999999</v>
      </c>
      <c r="CB13">
        <v>3.6499999999999998E-2</v>
      </c>
      <c r="CC13">
        <v>2.199799999999982</v>
      </c>
      <c r="CD13" s="2">
        <v>45681</v>
      </c>
      <c r="CE13" t="s">
        <v>1665</v>
      </c>
      <c r="CF13">
        <v>5</v>
      </c>
      <c r="CG13">
        <v>3.3000000000000002E-2</v>
      </c>
      <c r="CH13">
        <v>8.3466910063468021</v>
      </c>
      <c r="CI13">
        <v>932.1009765023116</v>
      </c>
      <c r="CJ13">
        <v>0.42399999999999999</v>
      </c>
      <c r="CK13">
        <v>3.6499999999999998E-2</v>
      </c>
      <c r="CL13">
        <v>2.1979999999999791</v>
      </c>
    </row>
    <row r="14" spans="1:90" x14ac:dyDescent="0.3">
      <c r="A14" s="2">
        <v>45681</v>
      </c>
      <c r="B14" t="s">
        <v>112</v>
      </c>
      <c r="C14">
        <v>0</v>
      </c>
      <c r="D14">
        <v>3.8199999999999998E-2</v>
      </c>
      <c r="E14">
        <v>8.6507117582567226</v>
      </c>
      <c r="F14">
        <v>960.95254585856298</v>
      </c>
      <c r="G14">
        <v>0.42399999999999999</v>
      </c>
      <c r="H14">
        <v>4.1300000000000003E-2</v>
      </c>
      <c r="I14">
        <v>2.3993299999999991</v>
      </c>
      <c r="J14" s="2">
        <v>45681</v>
      </c>
      <c r="K14" t="s">
        <v>272</v>
      </c>
      <c r="L14">
        <v>0</v>
      </c>
      <c r="M14">
        <v>3.7900000000000003E-2</v>
      </c>
      <c r="N14">
        <v>8.6497828247685575</v>
      </c>
      <c r="O14">
        <v>960.86439007053616</v>
      </c>
      <c r="P14">
        <v>0.42399999999999999</v>
      </c>
      <c r="Q14">
        <v>4.1200000000000001E-2</v>
      </c>
      <c r="R14">
        <v>2.3984999999999985</v>
      </c>
      <c r="S14" s="2">
        <v>45681</v>
      </c>
      <c r="T14" t="s">
        <v>432</v>
      </c>
      <c r="U14">
        <v>1</v>
      </c>
      <c r="V14">
        <v>3.8399999999999997E-2</v>
      </c>
      <c r="W14">
        <v>8.6538022563129395</v>
      </c>
      <c r="X14">
        <v>961.245834124098</v>
      </c>
      <c r="Y14">
        <v>0.42399999999999999</v>
      </c>
      <c r="Z14">
        <v>4.1300000000000003E-2</v>
      </c>
      <c r="AA14">
        <v>2.4010999999999996</v>
      </c>
      <c r="AB14" s="2">
        <v>45681</v>
      </c>
      <c r="AC14" t="s">
        <v>632</v>
      </c>
      <c r="AD14">
        <v>2</v>
      </c>
      <c r="AE14">
        <v>3.7900000000000003E-2</v>
      </c>
      <c r="AF14">
        <v>8.6484593682406796</v>
      </c>
      <c r="AG14">
        <v>960.73879404604054</v>
      </c>
      <c r="AH14">
        <v>0.42399999999999999</v>
      </c>
      <c r="AI14">
        <v>4.1200000000000001E-2</v>
      </c>
      <c r="AJ14">
        <v>2.3980000000000246</v>
      </c>
      <c r="AK14" s="2">
        <v>45681</v>
      </c>
      <c r="AL14" t="s">
        <v>792</v>
      </c>
      <c r="AM14">
        <v>2</v>
      </c>
      <c r="AN14">
        <v>3.7699999999999997E-2</v>
      </c>
      <c r="AO14">
        <v>8.6478166971019874</v>
      </c>
      <c r="AP14">
        <v>960.67780455497871</v>
      </c>
      <c r="AQ14">
        <v>0.42399999999999999</v>
      </c>
      <c r="AR14">
        <v>4.1200000000000001E-2</v>
      </c>
      <c r="AS14">
        <v>2.3991000000000042</v>
      </c>
      <c r="AT14" s="2">
        <v>45681</v>
      </c>
      <c r="AU14" t="s">
        <v>950</v>
      </c>
      <c r="AV14">
        <v>3</v>
      </c>
      <c r="AW14">
        <v>3.7699999999999997E-2</v>
      </c>
      <c r="AX14">
        <v>8.6471594290162965</v>
      </c>
      <c r="AY14">
        <v>960.61542981364664</v>
      </c>
      <c r="AZ14">
        <v>0.42399999999999999</v>
      </c>
      <c r="BA14">
        <v>4.1200000000000001E-2</v>
      </c>
      <c r="BB14">
        <v>2.4005999999999972</v>
      </c>
      <c r="BC14" s="2">
        <v>45681</v>
      </c>
      <c r="BD14" t="s">
        <v>1150</v>
      </c>
      <c r="BE14">
        <v>3</v>
      </c>
      <c r="BF14">
        <v>3.7999999999999999E-2</v>
      </c>
      <c r="BG14">
        <v>8.6479200921432273</v>
      </c>
      <c r="BH14">
        <v>960.68761674439236</v>
      </c>
      <c r="BI14">
        <v>0.42399999999999999</v>
      </c>
      <c r="BJ14">
        <v>4.1200000000000001E-2</v>
      </c>
      <c r="BK14">
        <v>2.4009000000000356</v>
      </c>
      <c r="BL14" s="2">
        <v>45681</v>
      </c>
      <c r="BM14" t="s">
        <v>1308</v>
      </c>
      <c r="BN14">
        <v>4</v>
      </c>
      <c r="BO14">
        <v>3.7900000000000003E-2</v>
      </c>
      <c r="BP14">
        <v>8.6530290235927598</v>
      </c>
      <c r="BQ14">
        <v>961.172454338953</v>
      </c>
      <c r="BR14">
        <v>0.42399999999999999</v>
      </c>
      <c r="BS14">
        <v>4.1300000000000003E-2</v>
      </c>
      <c r="BT14">
        <v>2.4010000000000105</v>
      </c>
      <c r="BU14" s="2">
        <v>45681</v>
      </c>
      <c r="BV14" t="s">
        <v>1506</v>
      </c>
      <c r="BW14">
        <v>5</v>
      </c>
      <c r="BX14">
        <v>3.7900000000000003E-2</v>
      </c>
      <c r="BY14">
        <v>8.6552874956700538</v>
      </c>
      <c r="BZ14">
        <v>961.3867833390882</v>
      </c>
      <c r="CA14">
        <v>0.42399999999999999</v>
      </c>
      <c r="CB14">
        <v>4.1300000000000003E-2</v>
      </c>
      <c r="CC14">
        <v>2.3992999999999824</v>
      </c>
      <c r="CD14" s="2">
        <v>45681</v>
      </c>
      <c r="CE14" t="s">
        <v>1666</v>
      </c>
      <c r="CF14">
        <v>5</v>
      </c>
      <c r="CG14">
        <v>3.78E-2</v>
      </c>
      <c r="CH14">
        <v>8.6573055235926191</v>
      </c>
      <c r="CI14">
        <v>961.57829418893959</v>
      </c>
      <c r="CJ14">
        <v>0.42399999999999999</v>
      </c>
      <c r="CK14">
        <v>4.1399999999999999E-2</v>
      </c>
      <c r="CL14">
        <v>2.3990000000000009</v>
      </c>
    </row>
    <row r="15" spans="1:90" x14ac:dyDescent="0.3">
      <c r="A15" s="2">
        <v>45681</v>
      </c>
      <c r="B15" t="s">
        <v>113</v>
      </c>
      <c r="C15">
        <v>0</v>
      </c>
      <c r="D15">
        <v>4.2999999999999997E-2</v>
      </c>
      <c r="E15">
        <v>8.9458993298787028</v>
      </c>
      <c r="F15">
        <v>988.96584640548895</v>
      </c>
      <c r="G15">
        <v>0.42399999999999999</v>
      </c>
      <c r="H15">
        <v>4.58E-2</v>
      </c>
      <c r="I15">
        <v>2.6002799999999979</v>
      </c>
      <c r="J15" s="2">
        <v>45681</v>
      </c>
      <c r="K15" t="s">
        <v>273</v>
      </c>
      <c r="L15">
        <v>0</v>
      </c>
      <c r="M15">
        <v>4.3499999999999997E-2</v>
      </c>
      <c r="N15">
        <v>8.9440025377103769</v>
      </c>
      <c r="O15">
        <v>988.78584082871487</v>
      </c>
      <c r="P15">
        <v>0.42399999999999999</v>
      </c>
      <c r="Q15">
        <v>4.58E-2</v>
      </c>
      <c r="R15">
        <v>2.5987299999999891</v>
      </c>
      <c r="S15" s="2">
        <v>45681</v>
      </c>
      <c r="T15" t="s">
        <v>433</v>
      </c>
      <c r="U15">
        <v>1</v>
      </c>
      <c r="V15">
        <v>4.2599999999999999E-2</v>
      </c>
      <c r="W15">
        <v>8.9434150105936805</v>
      </c>
      <c r="X15">
        <v>988.7300845053403</v>
      </c>
      <c r="Y15">
        <v>0.42399999999999999</v>
      </c>
      <c r="Z15">
        <v>4.58E-2</v>
      </c>
      <c r="AA15">
        <v>2.5982000000000056</v>
      </c>
      <c r="AB15" s="2">
        <v>45681</v>
      </c>
      <c r="AC15" t="s">
        <v>633</v>
      </c>
      <c r="AD15">
        <v>2</v>
      </c>
      <c r="AE15">
        <v>4.3400000000000001E-2</v>
      </c>
      <c r="AF15">
        <v>8.9424868880470143</v>
      </c>
      <c r="AG15">
        <v>988.64200567566172</v>
      </c>
      <c r="AH15">
        <v>0.42399999999999999</v>
      </c>
      <c r="AI15">
        <v>4.58E-2</v>
      </c>
      <c r="AJ15">
        <v>2.5980000000000132</v>
      </c>
      <c r="AK15" s="2">
        <v>45681</v>
      </c>
      <c r="AL15" t="s">
        <v>793</v>
      </c>
      <c r="AM15">
        <v>2</v>
      </c>
      <c r="AN15">
        <v>4.2999999999999997E-2</v>
      </c>
      <c r="AO15">
        <v>8.9471481797885879</v>
      </c>
      <c r="AP15">
        <v>989.08436226193703</v>
      </c>
      <c r="AQ15">
        <v>0.42399999999999999</v>
      </c>
      <c r="AR15">
        <v>4.5900000000000003E-2</v>
      </c>
      <c r="AS15">
        <v>2.6029000000000053</v>
      </c>
      <c r="AT15" s="2">
        <v>45681</v>
      </c>
      <c r="AU15" t="s">
        <v>951</v>
      </c>
      <c r="AV15">
        <v>3</v>
      </c>
      <c r="AW15">
        <v>4.2999999999999997E-2</v>
      </c>
      <c r="AX15">
        <v>8.9421795412185432</v>
      </c>
      <c r="AY15">
        <v>988.61283846163985</v>
      </c>
      <c r="AZ15">
        <v>0.42399999999999999</v>
      </c>
      <c r="BA15">
        <v>4.58E-2</v>
      </c>
      <c r="BB15">
        <v>2.6012999999999806</v>
      </c>
      <c r="BC15" s="2">
        <v>45681</v>
      </c>
      <c r="BD15" t="s">
        <v>1151</v>
      </c>
      <c r="BE15">
        <v>3</v>
      </c>
      <c r="BF15">
        <v>4.2900000000000001E-2</v>
      </c>
      <c r="BG15">
        <v>8.941210060655381</v>
      </c>
      <c r="BH15">
        <v>988.52083475619577</v>
      </c>
      <c r="BI15">
        <v>0.42399999999999999</v>
      </c>
      <c r="BJ15">
        <v>4.58E-2</v>
      </c>
      <c r="BK15">
        <v>2.600400000000036</v>
      </c>
      <c r="BL15" s="2">
        <v>45681</v>
      </c>
      <c r="BM15" t="s">
        <v>1309</v>
      </c>
      <c r="BN15">
        <v>4</v>
      </c>
      <c r="BO15">
        <v>4.3099999999999999E-2</v>
      </c>
      <c r="BP15">
        <v>8.9463546735309105</v>
      </c>
      <c r="BQ15">
        <v>989.00905851808341</v>
      </c>
      <c r="BR15">
        <v>0.42399999999999999</v>
      </c>
      <c r="BS15">
        <v>4.58E-2</v>
      </c>
      <c r="BT15">
        <v>2.6006999999999607</v>
      </c>
      <c r="BU15" s="2">
        <v>45681</v>
      </c>
      <c r="BV15" t="s">
        <v>1507</v>
      </c>
      <c r="BW15">
        <v>5</v>
      </c>
      <c r="BX15">
        <v>4.2999999999999997E-2</v>
      </c>
      <c r="BY15">
        <v>8.9478922186147702</v>
      </c>
      <c r="BZ15">
        <v>989.15497154654179</v>
      </c>
      <c r="CA15">
        <v>0.42399999999999999</v>
      </c>
      <c r="CB15">
        <v>4.5900000000000003E-2</v>
      </c>
      <c r="CC15">
        <v>2.5985999999999763</v>
      </c>
      <c r="CD15" s="2">
        <v>45681</v>
      </c>
      <c r="CE15" t="s">
        <v>1667</v>
      </c>
      <c r="CF15">
        <v>5</v>
      </c>
      <c r="CG15">
        <v>4.3499999999999997E-2</v>
      </c>
      <c r="CH15">
        <v>8.9523122552601144</v>
      </c>
      <c r="CI15">
        <v>989.57443302418494</v>
      </c>
      <c r="CJ15">
        <v>0.42399999999999999</v>
      </c>
      <c r="CK15">
        <v>4.5900000000000003E-2</v>
      </c>
      <c r="CL15">
        <v>2.6000999999999976</v>
      </c>
    </row>
    <row r="16" spans="1:90" x14ac:dyDescent="0.3">
      <c r="A16" s="2">
        <v>45681</v>
      </c>
      <c r="B16" t="s">
        <v>114</v>
      </c>
      <c r="C16">
        <v>0</v>
      </c>
      <c r="D16">
        <v>4.7800000000000002E-2</v>
      </c>
      <c r="E16">
        <v>9.2154599336907754</v>
      </c>
      <c r="F16">
        <v>1014.547147707255</v>
      </c>
      <c r="G16">
        <v>0.42399999999999999</v>
      </c>
      <c r="H16">
        <v>0.05</v>
      </c>
      <c r="I16">
        <v>2.7991399999999942</v>
      </c>
      <c r="J16" s="2">
        <v>45681</v>
      </c>
      <c r="K16" t="s">
        <v>274</v>
      </c>
      <c r="L16">
        <v>0</v>
      </c>
      <c r="M16">
        <v>4.7199999999999999E-2</v>
      </c>
      <c r="N16">
        <v>9.2180460261340418</v>
      </c>
      <c r="O16">
        <v>1014.7925678801211</v>
      </c>
      <c r="P16">
        <v>0.42399999999999999</v>
      </c>
      <c r="Q16">
        <v>5.0099999999999999E-2</v>
      </c>
      <c r="R16">
        <v>2.8009399999999971</v>
      </c>
      <c r="S16" s="2">
        <v>45681</v>
      </c>
      <c r="T16" t="s">
        <v>434</v>
      </c>
      <c r="U16">
        <v>1</v>
      </c>
      <c r="V16">
        <v>4.7800000000000002E-2</v>
      </c>
      <c r="W16">
        <v>9.2172626566451115</v>
      </c>
      <c r="X16">
        <v>1014.718226115621</v>
      </c>
      <c r="Y16">
        <v>0.42399999999999999</v>
      </c>
      <c r="Z16">
        <v>5.0099999999999999E-2</v>
      </c>
      <c r="AA16">
        <v>2.8003000000000071</v>
      </c>
      <c r="AB16" s="2">
        <v>45681</v>
      </c>
      <c r="AC16" t="s">
        <v>634</v>
      </c>
      <c r="AD16">
        <v>2</v>
      </c>
      <c r="AE16">
        <v>4.7600000000000003E-2</v>
      </c>
      <c r="AF16">
        <v>9.2154331726212817</v>
      </c>
      <c r="AG16">
        <v>1014.54460808176</v>
      </c>
      <c r="AH16">
        <v>0.42399999999999999</v>
      </c>
      <c r="AI16">
        <v>0.05</v>
      </c>
      <c r="AJ16">
        <v>2.7992000000000132</v>
      </c>
      <c r="AK16" s="2">
        <v>45681</v>
      </c>
      <c r="AL16" t="s">
        <v>794</v>
      </c>
      <c r="AM16">
        <v>2</v>
      </c>
      <c r="AN16">
        <v>4.7899999999999998E-2</v>
      </c>
      <c r="AO16">
        <v>9.2125709545972896</v>
      </c>
      <c r="AP16">
        <v>1014.272983591283</v>
      </c>
      <c r="AQ16">
        <v>0.42399999999999999</v>
      </c>
      <c r="AR16">
        <v>0.05</v>
      </c>
      <c r="AS16">
        <v>2.7986000000000217</v>
      </c>
      <c r="AT16" s="2">
        <v>45681</v>
      </c>
      <c r="AU16" t="s">
        <v>952</v>
      </c>
      <c r="AV16">
        <v>3</v>
      </c>
      <c r="AW16">
        <v>4.8000000000000001E-2</v>
      </c>
      <c r="AX16">
        <v>9.2284139132105913</v>
      </c>
      <c r="AY16">
        <v>1015.776480363685</v>
      </c>
      <c r="AZ16">
        <v>0.42399999999999999</v>
      </c>
      <c r="BA16">
        <v>5.0200000000000002E-2</v>
      </c>
      <c r="BB16">
        <v>2.8128999999999849</v>
      </c>
      <c r="BC16" s="2">
        <v>45681</v>
      </c>
      <c r="BD16" t="s">
        <v>1152</v>
      </c>
      <c r="BE16">
        <v>3</v>
      </c>
      <c r="BF16">
        <v>4.7899999999999998E-2</v>
      </c>
      <c r="BG16">
        <v>9.2132351156857322</v>
      </c>
      <c r="BH16">
        <v>1014.336012478576</v>
      </c>
      <c r="BI16">
        <v>0.42399999999999999</v>
      </c>
      <c r="BJ16">
        <v>0.05</v>
      </c>
      <c r="BK16">
        <v>2.8008000000000379</v>
      </c>
      <c r="BL16" s="2">
        <v>45681</v>
      </c>
      <c r="BM16" t="s">
        <v>1310</v>
      </c>
      <c r="BN16">
        <v>4</v>
      </c>
      <c r="BO16">
        <v>4.7699999999999999E-2</v>
      </c>
      <c r="BP16">
        <v>9.2161800497427109</v>
      </c>
      <c r="BQ16">
        <v>1014.615486720583</v>
      </c>
      <c r="BR16">
        <v>0.42399999999999999</v>
      </c>
      <c r="BS16">
        <v>0.05</v>
      </c>
      <c r="BT16">
        <v>2.7998000000000047</v>
      </c>
      <c r="BU16" s="2">
        <v>45681</v>
      </c>
      <c r="BV16" t="s">
        <v>1508</v>
      </c>
      <c r="BW16">
        <v>5</v>
      </c>
      <c r="BX16">
        <v>4.7800000000000002E-2</v>
      </c>
      <c r="BY16">
        <v>9.219175262172687</v>
      </c>
      <c r="BZ16">
        <v>1014.899732380188</v>
      </c>
      <c r="CA16">
        <v>0.42399999999999999</v>
      </c>
      <c r="CB16">
        <v>5.0099999999999999E-2</v>
      </c>
      <c r="CC16">
        <v>2.7989000000000033</v>
      </c>
      <c r="CD16" s="2">
        <v>45681</v>
      </c>
      <c r="CE16" t="s">
        <v>1668</v>
      </c>
      <c r="CF16">
        <v>5</v>
      </c>
      <c r="CG16">
        <v>4.7600000000000003E-2</v>
      </c>
      <c r="CH16">
        <v>9.2232847082235612</v>
      </c>
      <c r="CI16">
        <v>1015.289718810416</v>
      </c>
      <c r="CJ16">
        <v>0.42399999999999999</v>
      </c>
      <c r="CK16">
        <v>5.0099999999999999E-2</v>
      </c>
      <c r="CL16">
        <v>2.8004999999999995</v>
      </c>
    </row>
    <row r="17" spans="1:90" x14ac:dyDescent="0.3">
      <c r="A17" s="2">
        <v>45681</v>
      </c>
      <c r="B17" t="s">
        <v>115</v>
      </c>
      <c r="C17">
        <v>0</v>
      </c>
      <c r="D17">
        <v>5.2600000000000001E-2</v>
      </c>
      <c r="E17">
        <v>9.4586937271785114</v>
      </c>
      <c r="F17">
        <v>1037.630034709241</v>
      </c>
      <c r="G17">
        <v>0.42399999999999999</v>
      </c>
      <c r="H17">
        <v>5.3800000000000001E-2</v>
      </c>
      <c r="I17">
        <v>3.0003999999999991</v>
      </c>
      <c r="J17" s="2">
        <v>45681</v>
      </c>
      <c r="K17" t="s">
        <v>275</v>
      </c>
      <c r="L17">
        <v>0</v>
      </c>
      <c r="M17">
        <v>5.2699999999999997E-2</v>
      </c>
      <c r="N17">
        <v>9.4573970317201308</v>
      </c>
      <c r="O17">
        <v>1037.5069783102399</v>
      </c>
      <c r="P17">
        <v>0.42399999999999999</v>
      </c>
      <c r="Q17">
        <v>5.3800000000000001E-2</v>
      </c>
      <c r="R17">
        <v>2.9990399999999937</v>
      </c>
      <c r="S17" s="2">
        <v>45681</v>
      </c>
      <c r="T17" t="s">
        <v>435</v>
      </c>
      <c r="U17">
        <v>1</v>
      </c>
      <c r="V17">
        <v>5.2600000000000001E-2</v>
      </c>
      <c r="W17">
        <v>9.4575977397413631</v>
      </c>
      <c r="X17">
        <v>1037.526025501455</v>
      </c>
      <c r="Y17">
        <v>0.42399999999999999</v>
      </c>
      <c r="Z17">
        <v>5.3800000000000001E-2</v>
      </c>
      <c r="AA17">
        <v>2.9990999999999985</v>
      </c>
      <c r="AB17" s="2">
        <v>45681</v>
      </c>
      <c r="AC17" t="s">
        <v>635</v>
      </c>
      <c r="AD17">
        <v>2</v>
      </c>
      <c r="AE17">
        <v>5.2600000000000001E-2</v>
      </c>
      <c r="AF17">
        <v>9.4559973466912606</v>
      </c>
      <c r="AG17">
        <v>1037.3741482010009</v>
      </c>
      <c r="AH17">
        <v>0.42399999999999999</v>
      </c>
      <c r="AI17">
        <v>5.3800000000000001E-2</v>
      </c>
      <c r="AJ17">
        <v>2.9981000000000222</v>
      </c>
      <c r="AK17" s="2">
        <v>45681</v>
      </c>
      <c r="AL17" t="s">
        <v>795</v>
      </c>
      <c r="AM17">
        <v>2</v>
      </c>
      <c r="AN17">
        <v>5.28E-2</v>
      </c>
      <c r="AO17">
        <v>9.4560557344792535</v>
      </c>
      <c r="AP17">
        <v>1037.379689202081</v>
      </c>
      <c r="AQ17">
        <v>0.42399999999999999</v>
      </c>
      <c r="AR17">
        <v>5.3800000000000001E-2</v>
      </c>
      <c r="AS17">
        <v>2.9998000000000218</v>
      </c>
      <c r="AT17" s="2">
        <v>45681</v>
      </c>
      <c r="AU17" t="s">
        <v>953</v>
      </c>
      <c r="AV17">
        <v>3</v>
      </c>
      <c r="AW17">
        <v>5.2400000000000002E-2</v>
      </c>
      <c r="AX17">
        <v>9.4555233513845529</v>
      </c>
      <c r="AY17">
        <v>1037.329166046394</v>
      </c>
      <c r="AZ17">
        <v>0.42399999999999999</v>
      </c>
      <c r="BA17">
        <v>5.3800000000000001E-2</v>
      </c>
      <c r="BB17">
        <v>3.001199999999983</v>
      </c>
      <c r="BC17" s="2">
        <v>45681</v>
      </c>
      <c r="BD17" t="s">
        <v>1153</v>
      </c>
      <c r="BE17">
        <v>3</v>
      </c>
      <c r="BF17">
        <v>5.2299999999999999E-2</v>
      </c>
      <c r="BG17">
        <v>9.4567888255951864</v>
      </c>
      <c r="BH17">
        <v>1037.449259548983</v>
      </c>
      <c r="BI17">
        <v>0.42399999999999999</v>
      </c>
      <c r="BJ17">
        <v>5.3800000000000001E-2</v>
      </c>
      <c r="BK17">
        <v>3.0020999999999844</v>
      </c>
      <c r="BL17" s="2">
        <v>45681</v>
      </c>
      <c r="BM17" t="s">
        <v>1311</v>
      </c>
      <c r="BN17">
        <v>4</v>
      </c>
      <c r="BO17">
        <v>5.2200000000000003E-2</v>
      </c>
      <c r="BP17">
        <v>9.4581589112593125</v>
      </c>
      <c r="BQ17">
        <v>1037.5792806785089</v>
      </c>
      <c r="BR17">
        <v>0.42399999999999999</v>
      </c>
      <c r="BS17">
        <v>5.3800000000000001E-2</v>
      </c>
      <c r="BT17">
        <v>3</v>
      </c>
      <c r="BU17" s="2">
        <v>45681</v>
      </c>
      <c r="BV17" t="s">
        <v>1509</v>
      </c>
      <c r="BW17">
        <v>5</v>
      </c>
      <c r="BX17">
        <v>5.2600000000000001E-2</v>
      </c>
      <c r="BY17">
        <v>9.4597280830616679</v>
      </c>
      <c r="BZ17">
        <v>1037.728195082552</v>
      </c>
      <c r="CA17">
        <v>0.42399999999999999</v>
      </c>
      <c r="CB17">
        <v>5.3800000000000001E-2</v>
      </c>
      <c r="CC17">
        <v>2.9981999999999971</v>
      </c>
      <c r="CD17" s="2">
        <v>45681</v>
      </c>
      <c r="CE17" t="s">
        <v>1669</v>
      </c>
      <c r="CF17">
        <v>5</v>
      </c>
      <c r="CG17">
        <v>5.2200000000000003E-2</v>
      </c>
      <c r="CH17">
        <v>9.4644493844742357</v>
      </c>
      <c r="CI17">
        <v>1038.176246586605</v>
      </c>
      <c r="CJ17">
        <v>0.42399999999999999</v>
      </c>
      <c r="CK17">
        <v>5.3900000000000003E-2</v>
      </c>
      <c r="CL17">
        <v>3.0009000000000015</v>
      </c>
    </row>
    <row r="18" spans="1:90" x14ac:dyDescent="0.3">
      <c r="A18" s="2">
        <v>45681</v>
      </c>
      <c r="B18" t="s">
        <v>116</v>
      </c>
      <c r="C18">
        <v>0</v>
      </c>
      <c r="D18">
        <v>5.6599999999999998E-2</v>
      </c>
      <c r="E18">
        <v>9.6641903579672022</v>
      </c>
      <c r="F18">
        <v>1057.131664971088</v>
      </c>
      <c r="G18">
        <v>0.42399999999999999</v>
      </c>
      <c r="H18">
        <v>5.7000000000000002E-2</v>
      </c>
      <c r="I18">
        <v>3.1995799999999974</v>
      </c>
      <c r="J18" s="2">
        <v>45681</v>
      </c>
      <c r="K18" t="s">
        <v>276</v>
      </c>
      <c r="L18">
        <v>0</v>
      </c>
      <c r="M18">
        <v>5.6500000000000002E-2</v>
      </c>
      <c r="N18">
        <v>9.6654955683113304</v>
      </c>
      <c r="O18">
        <v>1057.2555294327451</v>
      </c>
      <c r="P18">
        <v>0.42399999999999999</v>
      </c>
      <c r="Q18">
        <v>5.7000000000000002E-2</v>
      </c>
      <c r="R18">
        <v>3.2007699999999915</v>
      </c>
      <c r="S18" s="2">
        <v>45681</v>
      </c>
      <c r="T18" t="s">
        <v>436</v>
      </c>
      <c r="U18">
        <v>1</v>
      </c>
      <c r="V18">
        <v>5.62E-2</v>
      </c>
      <c r="W18">
        <v>9.6646096147226626</v>
      </c>
      <c r="X18">
        <v>1057.171452437181</v>
      </c>
      <c r="Y18">
        <v>0.42399999999999999</v>
      </c>
      <c r="Z18">
        <v>5.7000000000000002E-2</v>
      </c>
      <c r="AA18">
        <v>3.1997999999999962</v>
      </c>
      <c r="AB18" s="2">
        <v>45681</v>
      </c>
      <c r="AC18" t="s">
        <v>636</v>
      </c>
      <c r="AD18">
        <v>2</v>
      </c>
      <c r="AE18">
        <v>5.62E-2</v>
      </c>
      <c r="AF18">
        <v>9.6638801728434789</v>
      </c>
      <c r="AG18">
        <v>1057.1022284028461</v>
      </c>
      <c r="AH18">
        <v>0.42399999999999999</v>
      </c>
      <c r="AI18">
        <v>5.7000000000000002E-2</v>
      </c>
      <c r="AJ18">
        <v>3.1994000000000256</v>
      </c>
      <c r="AK18" s="2">
        <v>45681</v>
      </c>
      <c r="AL18" t="s">
        <v>796</v>
      </c>
      <c r="AM18">
        <v>2</v>
      </c>
      <c r="AN18">
        <v>5.6099999999999997E-2</v>
      </c>
      <c r="AO18">
        <v>9.6651724081236114</v>
      </c>
      <c r="AP18">
        <v>1057.2248615309311</v>
      </c>
      <c r="AQ18">
        <v>0.42399999999999999</v>
      </c>
      <c r="AR18">
        <v>5.7000000000000002E-2</v>
      </c>
      <c r="AS18">
        <v>3.2023000000000081</v>
      </c>
      <c r="AT18" s="2">
        <v>45681</v>
      </c>
      <c r="AU18" t="s">
        <v>954</v>
      </c>
      <c r="AV18">
        <v>3</v>
      </c>
      <c r="AW18">
        <v>5.6099999999999997E-2</v>
      </c>
      <c r="AX18">
        <v>9.6617307723979273</v>
      </c>
      <c r="AY18">
        <v>1056.8982503005629</v>
      </c>
      <c r="AZ18">
        <v>0.42399999999999999</v>
      </c>
      <c r="BA18">
        <v>5.7000000000000002E-2</v>
      </c>
      <c r="BB18">
        <v>3.2005999999999801</v>
      </c>
      <c r="BC18" s="2">
        <v>45681</v>
      </c>
      <c r="BD18" t="s">
        <v>1154</v>
      </c>
      <c r="BE18">
        <v>3</v>
      </c>
      <c r="BF18">
        <v>5.6099999999999997E-2</v>
      </c>
      <c r="BG18">
        <v>9.6632926457267843</v>
      </c>
      <c r="BH18">
        <v>1057.0464720794721</v>
      </c>
      <c r="BI18">
        <v>0.42399999999999999</v>
      </c>
      <c r="BJ18">
        <v>5.7000000000000002E-2</v>
      </c>
      <c r="BK18">
        <v>3.2019999999999982</v>
      </c>
      <c r="BL18" s="2">
        <v>45681</v>
      </c>
      <c r="BM18" t="s">
        <v>1312</v>
      </c>
      <c r="BN18">
        <v>4</v>
      </c>
      <c r="BO18">
        <v>5.62E-2</v>
      </c>
      <c r="BP18">
        <v>9.664976160280629</v>
      </c>
      <c r="BQ18">
        <v>1057.2062376106319</v>
      </c>
      <c r="BR18">
        <v>0.42399999999999999</v>
      </c>
      <c r="BS18">
        <v>5.7000000000000002E-2</v>
      </c>
      <c r="BT18">
        <v>3.2004999999999768</v>
      </c>
      <c r="BU18" s="2">
        <v>45681</v>
      </c>
      <c r="BV18" t="s">
        <v>1510</v>
      </c>
      <c r="BW18">
        <v>5</v>
      </c>
      <c r="BX18">
        <v>5.5800000000000002E-2</v>
      </c>
      <c r="BY18">
        <v>9.667075687823937</v>
      </c>
      <c r="BZ18">
        <v>1057.4054827744919</v>
      </c>
      <c r="CA18">
        <v>0.42399999999999999</v>
      </c>
      <c r="CB18">
        <v>5.7000000000000002E-2</v>
      </c>
      <c r="CC18">
        <v>3.1995999999999754</v>
      </c>
      <c r="CD18" s="2">
        <v>45681</v>
      </c>
      <c r="CE18" t="s">
        <v>1670</v>
      </c>
      <c r="CF18">
        <v>5</v>
      </c>
      <c r="CG18">
        <v>5.5800000000000002E-2</v>
      </c>
      <c r="CH18">
        <v>9.6677029510741299</v>
      </c>
      <c r="CI18">
        <v>1057.4650100569349</v>
      </c>
      <c r="CJ18">
        <v>0.42399999999999999</v>
      </c>
      <c r="CK18">
        <v>5.7099999999999998E-2</v>
      </c>
      <c r="CL18">
        <v>3.198599999999999</v>
      </c>
    </row>
    <row r="19" spans="1:90" x14ac:dyDescent="0.3">
      <c r="A19" s="2">
        <v>45681</v>
      </c>
      <c r="B19" t="s">
        <v>117</v>
      </c>
      <c r="C19">
        <v>0</v>
      </c>
      <c r="D19">
        <v>5.9499999999999997E-2</v>
      </c>
      <c r="E19">
        <v>9.8300879043730145</v>
      </c>
      <c r="F19">
        <v>1072.875342124999</v>
      </c>
      <c r="G19">
        <v>0.42399999999999999</v>
      </c>
      <c r="H19">
        <v>5.96E-2</v>
      </c>
      <c r="I19">
        <v>3.3994299999999953</v>
      </c>
      <c r="J19" s="2">
        <v>45681</v>
      </c>
      <c r="K19" t="s">
        <v>277</v>
      </c>
      <c r="L19">
        <v>0</v>
      </c>
      <c r="M19">
        <v>5.91E-2</v>
      </c>
      <c r="N19">
        <v>9.8308084258956985</v>
      </c>
      <c r="O19">
        <v>1072.943719617502</v>
      </c>
      <c r="P19">
        <v>0.42399999999999999</v>
      </c>
      <c r="Q19">
        <v>5.96E-2</v>
      </c>
      <c r="R19">
        <v>3.4002199999999903</v>
      </c>
      <c r="S19" s="2">
        <v>45681</v>
      </c>
      <c r="T19" t="s">
        <v>437</v>
      </c>
      <c r="U19">
        <v>1</v>
      </c>
      <c r="V19">
        <v>5.9299999999999999E-2</v>
      </c>
      <c r="W19">
        <v>9.8302784756254979</v>
      </c>
      <c r="X19">
        <v>1072.89342733686</v>
      </c>
      <c r="Y19">
        <v>0.42399999999999999</v>
      </c>
      <c r="Z19">
        <v>5.96E-2</v>
      </c>
      <c r="AA19">
        <v>3.3994</v>
      </c>
      <c r="AB19" s="2">
        <v>45681</v>
      </c>
      <c r="AC19" t="s">
        <v>637</v>
      </c>
      <c r="AD19">
        <v>2</v>
      </c>
      <c r="AE19">
        <v>5.8999999999999997E-2</v>
      </c>
      <c r="AF19">
        <v>9.8302760428009996</v>
      </c>
      <c r="AG19">
        <v>1072.893196461815</v>
      </c>
      <c r="AH19">
        <v>0.42399999999999999</v>
      </c>
      <c r="AI19">
        <v>5.96E-2</v>
      </c>
      <c r="AJ19">
        <v>3.3998000000000275</v>
      </c>
      <c r="AK19" s="2">
        <v>45681</v>
      </c>
      <c r="AL19" t="s">
        <v>797</v>
      </c>
      <c r="AM19">
        <v>2</v>
      </c>
      <c r="AN19">
        <v>5.91E-2</v>
      </c>
      <c r="AO19">
        <v>9.8297736645417935</v>
      </c>
      <c r="AP19">
        <v>1072.8455207650161</v>
      </c>
      <c r="AQ19">
        <v>0.42399999999999999</v>
      </c>
      <c r="AR19">
        <v>5.96E-2</v>
      </c>
      <c r="AS19">
        <v>3.4007000000000005</v>
      </c>
      <c r="AT19" s="2">
        <v>45681</v>
      </c>
      <c r="AU19" t="s">
        <v>955</v>
      </c>
      <c r="AV19">
        <v>3</v>
      </c>
      <c r="AW19">
        <v>5.91E-2</v>
      </c>
      <c r="AX19">
        <v>9.8283630318026738</v>
      </c>
      <c r="AY19">
        <v>1072.7116517180741</v>
      </c>
      <c r="AZ19">
        <v>0.42399999999999999</v>
      </c>
      <c r="BA19">
        <v>5.9499999999999997E-2</v>
      </c>
      <c r="BB19">
        <v>3.4007000000000005</v>
      </c>
      <c r="BC19" s="2">
        <v>45681</v>
      </c>
      <c r="BD19" t="s">
        <v>1155</v>
      </c>
      <c r="BE19">
        <v>3</v>
      </c>
      <c r="BF19">
        <v>5.8900000000000001E-2</v>
      </c>
      <c r="BG19">
        <v>9.8295137577910676</v>
      </c>
      <c r="BH19">
        <v>1072.820855614372</v>
      </c>
      <c r="BI19">
        <v>0.42399999999999999</v>
      </c>
      <c r="BJ19">
        <v>5.96E-2</v>
      </c>
      <c r="BK19">
        <v>3.4021000000000186</v>
      </c>
      <c r="BL19" s="2">
        <v>45681</v>
      </c>
      <c r="BM19" t="s">
        <v>1313</v>
      </c>
      <c r="BN19">
        <v>4</v>
      </c>
      <c r="BO19">
        <v>5.8599999999999999E-2</v>
      </c>
      <c r="BP19">
        <v>9.8300287056435209</v>
      </c>
      <c r="BQ19">
        <v>1072.86972416557</v>
      </c>
      <c r="BR19">
        <v>0.42399999999999999</v>
      </c>
      <c r="BS19">
        <v>5.96E-2</v>
      </c>
      <c r="BT19">
        <v>3.3994999999999891</v>
      </c>
      <c r="BU19" s="2">
        <v>45681</v>
      </c>
      <c r="BV19" t="s">
        <v>1511</v>
      </c>
      <c r="BW19">
        <v>5</v>
      </c>
      <c r="BX19">
        <v>5.9200000000000003E-2</v>
      </c>
      <c r="BY19">
        <v>9.831860217021104</v>
      </c>
      <c r="BZ19">
        <v>1073.0435345953031</v>
      </c>
      <c r="CA19">
        <v>0.42399999999999999</v>
      </c>
      <c r="CB19">
        <v>5.96E-2</v>
      </c>
      <c r="CC19">
        <v>3.3987999999999943</v>
      </c>
      <c r="CD19" s="2">
        <v>45681</v>
      </c>
      <c r="CE19" t="s">
        <v>1671</v>
      </c>
      <c r="CF19">
        <v>5</v>
      </c>
      <c r="CG19">
        <v>5.91E-2</v>
      </c>
      <c r="CH19">
        <v>9.8335988755969446</v>
      </c>
      <c r="CI19">
        <v>1073.2085332941499</v>
      </c>
      <c r="CJ19">
        <v>0.42399999999999999</v>
      </c>
      <c r="CK19">
        <v>5.96E-2</v>
      </c>
      <c r="CL19">
        <v>3.3996000000000208</v>
      </c>
    </row>
    <row r="20" spans="1:90" x14ac:dyDescent="0.3">
      <c r="A20" s="2">
        <v>45681</v>
      </c>
      <c r="B20" t="s">
        <v>118</v>
      </c>
      <c r="C20">
        <v>0</v>
      </c>
      <c r="D20">
        <v>6.2700000000000006E-2</v>
      </c>
      <c r="E20">
        <v>9.9518925340741173</v>
      </c>
      <c r="F20">
        <v>1084.434601483634</v>
      </c>
      <c r="G20">
        <v>0.42399999999999999</v>
      </c>
      <c r="H20">
        <v>6.1499999999999999E-2</v>
      </c>
      <c r="I20">
        <v>3.5999599999999958</v>
      </c>
      <c r="J20" s="2">
        <v>45681</v>
      </c>
      <c r="K20" t="s">
        <v>278</v>
      </c>
      <c r="L20">
        <v>0</v>
      </c>
      <c r="M20">
        <v>6.2600000000000003E-2</v>
      </c>
      <c r="N20">
        <v>9.9522010973148376</v>
      </c>
      <c r="O20">
        <v>1084.463884135178</v>
      </c>
      <c r="P20">
        <v>0.42399999999999999</v>
      </c>
      <c r="Q20">
        <v>6.1499999999999999E-2</v>
      </c>
      <c r="R20">
        <v>3.6003800000000012</v>
      </c>
      <c r="S20" s="2">
        <v>45681</v>
      </c>
      <c r="T20" t="s">
        <v>438</v>
      </c>
      <c r="U20">
        <v>1</v>
      </c>
      <c r="V20">
        <v>6.2E-2</v>
      </c>
      <c r="W20">
        <v>9.9522262365013336</v>
      </c>
      <c r="X20">
        <v>1084.466269843977</v>
      </c>
      <c r="Y20">
        <v>0.42399999999999999</v>
      </c>
      <c r="Z20">
        <v>6.1499999999999999E-2</v>
      </c>
      <c r="AA20">
        <v>3.6003999999999934</v>
      </c>
      <c r="AB20" s="2">
        <v>45681</v>
      </c>
      <c r="AC20" t="s">
        <v>638</v>
      </c>
      <c r="AD20">
        <v>2</v>
      </c>
      <c r="AE20">
        <v>6.1899999999999997E-2</v>
      </c>
      <c r="AF20">
        <v>9.9511614703119324</v>
      </c>
      <c r="AG20">
        <v>1084.3652235326031</v>
      </c>
      <c r="AH20">
        <v>0.42399999999999999</v>
      </c>
      <c r="AI20">
        <v>6.1499999999999999E-2</v>
      </c>
      <c r="AJ20">
        <v>3.5986000000000047</v>
      </c>
      <c r="AK20" s="2">
        <v>45681</v>
      </c>
      <c r="AL20" t="s">
        <v>798</v>
      </c>
      <c r="AM20">
        <v>2</v>
      </c>
      <c r="AN20">
        <v>6.1899999999999997E-2</v>
      </c>
      <c r="AO20">
        <v>9.9509287301014542</v>
      </c>
      <c r="AP20">
        <v>1084.3431364866281</v>
      </c>
      <c r="AQ20">
        <v>0.42399999999999999</v>
      </c>
      <c r="AR20">
        <v>6.1499999999999999E-2</v>
      </c>
      <c r="AS20">
        <v>3.5997000000000128</v>
      </c>
      <c r="AT20" s="2">
        <v>45681</v>
      </c>
      <c r="AU20" t="s">
        <v>956</v>
      </c>
      <c r="AV20">
        <v>3</v>
      </c>
      <c r="AW20">
        <v>6.2100000000000002E-2</v>
      </c>
      <c r="AX20">
        <v>9.9503983743605033</v>
      </c>
      <c r="AY20">
        <v>1084.292805726812</v>
      </c>
      <c r="AZ20">
        <v>0.42399999999999999</v>
      </c>
      <c r="BA20">
        <v>6.1400000000000003E-2</v>
      </c>
      <c r="BB20">
        <v>3.6004999999999825</v>
      </c>
      <c r="BC20" s="2">
        <v>45681</v>
      </c>
      <c r="BD20" t="s">
        <v>1156</v>
      </c>
      <c r="BE20">
        <v>3</v>
      </c>
      <c r="BF20">
        <v>6.1400000000000003E-2</v>
      </c>
      <c r="BG20">
        <v>9.9508954814999573</v>
      </c>
      <c r="BH20">
        <v>1084.3399811943459</v>
      </c>
      <c r="BI20">
        <v>0.42399999999999999</v>
      </c>
      <c r="BJ20">
        <v>6.1499999999999999E-2</v>
      </c>
      <c r="BK20">
        <v>3.6013000000000375</v>
      </c>
      <c r="BL20" s="2">
        <v>45681</v>
      </c>
      <c r="BM20" t="s">
        <v>1314</v>
      </c>
      <c r="BN20">
        <v>4</v>
      </c>
      <c r="BO20">
        <v>6.1499999999999999E-2</v>
      </c>
      <c r="BP20">
        <v>9.9519521382743612</v>
      </c>
      <c r="BQ20">
        <v>1084.4402579222369</v>
      </c>
      <c r="BR20">
        <v>0.42399999999999999</v>
      </c>
      <c r="BS20">
        <v>6.1499999999999999E-2</v>
      </c>
      <c r="BT20">
        <v>3.6001999999999725</v>
      </c>
      <c r="BU20" s="2">
        <v>45681</v>
      </c>
      <c r="BV20" t="s">
        <v>1512</v>
      </c>
      <c r="BW20">
        <v>5</v>
      </c>
      <c r="BX20">
        <v>6.25E-2</v>
      </c>
      <c r="BY20">
        <v>9.9528725568767769</v>
      </c>
      <c r="BZ20">
        <v>1084.5276056476059</v>
      </c>
      <c r="CA20">
        <v>0.42399999999999999</v>
      </c>
      <c r="CB20">
        <v>6.1499999999999999E-2</v>
      </c>
      <c r="CC20">
        <v>3.5989000000000146</v>
      </c>
      <c r="CD20" s="2">
        <v>45681</v>
      </c>
      <c r="CE20" t="s">
        <v>1672</v>
      </c>
      <c r="CF20">
        <v>5</v>
      </c>
      <c r="CG20">
        <v>6.1800000000000001E-2</v>
      </c>
      <c r="CH20">
        <v>9.9541076207811638</v>
      </c>
      <c r="CI20">
        <v>1084.644813212132</v>
      </c>
      <c r="CJ20">
        <v>0.42399999999999999</v>
      </c>
      <c r="CK20">
        <v>6.1499999999999999E-2</v>
      </c>
      <c r="CL20">
        <v>3.5998000000000161</v>
      </c>
    </row>
    <row r="21" spans="1:90" x14ac:dyDescent="0.3">
      <c r="A21" s="2">
        <v>45681</v>
      </c>
      <c r="B21" t="s">
        <v>119</v>
      </c>
      <c r="C21">
        <v>0</v>
      </c>
      <c r="D21">
        <v>6.5000000000000002E-2</v>
      </c>
      <c r="E21">
        <v>10.0263580482463</v>
      </c>
      <c r="F21">
        <v>1091.501378778574</v>
      </c>
      <c r="G21">
        <v>0.42399999999999999</v>
      </c>
      <c r="H21">
        <v>6.2600000000000003E-2</v>
      </c>
      <c r="I21">
        <v>3.8021299999999982</v>
      </c>
      <c r="J21" s="2">
        <v>45681</v>
      </c>
      <c r="K21" t="s">
        <v>279</v>
      </c>
      <c r="L21">
        <v>0</v>
      </c>
      <c r="M21">
        <v>6.4500000000000002E-2</v>
      </c>
      <c r="N21">
        <v>10.02585445357485</v>
      </c>
      <c r="O21">
        <v>1091.453587644253</v>
      </c>
      <c r="P21">
        <v>0.42399999999999999</v>
      </c>
      <c r="Q21">
        <v>6.2600000000000003E-2</v>
      </c>
      <c r="R21">
        <v>3.7998799999999875</v>
      </c>
      <c r="S21" s="2">
        <v>45681</v>
      </c>
      <c r="T21" t="s">
        <v>439</v>
      </c>
      <c r="U21">
        <v>1</v>
      </c>
      <c r="V21">
        <v>6.4699999999999994E-2</v>
      </c>
      <c r="W21">
        <v>10.02586013016534</v>
      </c>
      <c r="X21">
        <v>1091.454126352691</v>
      </c>
      <c r="Y21">
        <v>0.42399999999999999</v>
      </c>
      <c r="Z21">
        <v>6.2600000000000003E-2</v>
      </c>
      <c r="AA21">
        <v>3.7998000000000047</v>
      </c>
      <c r="AB21" s="2">
        <v>45681</v>
      </c>
      <c r="AC21" t="s">
        <v>639</v>
      </c>
      <c r="AD21">
        <v>2</v>
      </c>
      <c r="AE21">
        <v>6.4399999999999999E-2</v>
      </c>
      <c r="AF21">
        <v>10.02557751705262</v>
      </c>
      <c r="AG21">
        <v>1091.427306368294</v>
      </c>
      <c r="AH21">
        <v>0.42399999999999999</v>
      </c>
      <c r="AI21">
        <v>6.2600000000000003E-2</v>
      </c>
      <c r="AJ21">
        <v>3.7991000000000099</v>
      </c>
      <c r="AK21" s="2">
        <v>45681</v>
      </c>
      <c r="AL21" t="s">
        <v>799</v>
      </c>
      <c r="AM21">
        <v>2</v>
      </c>
      <c r="AN21">
        <v>6.4699999999999994E-2</v>
      </c>
      <c r="AO21">
        <v>10.02507635520567</v>
      </c>
      <c r="AP21">
        <v>1091.379746109018</v>
      </c>
      <c r="AQ21">
        <v>0.42399999999999999</v>
      </c>
      <c r="AR21">
        <v>6.2600000000000003E-2</v>
      </c>
      <c r="AS21">
        <v>3.7986999999999966</v>
      </c>
      <c r="AT21" s="2">
        <v>45681</v>
      </c>
      <c r="AU21" t="s">
        <v>957</v>
      </c>
      <c r="AV21">
        <v>3</v>
      </c>
      <c r="AW21">
        <v>6.4899999999999999E-2</v>
      </c>
      <c r="AX21">
        <v>10.02699342091149</v>
      </c>
      <c r="AY21">
        <v>1091.5616756445011</v>
      </c>
      <c r="AZ21">
        <v>0.42399999999999999</v>
      </c>
      <c r="BA21">
        <v>6.2600000000000003E-2</v>
      </c>
      <c r="BB21">
        <v>3.8083999999999776</v>
      </c>
      <c r="BC21" s="2">
        <v>45681</v>
      </c>
      <c r="BD21" t="s">
        <v>1157</v>
      </c>
      <c r="BE21">
        <v>3</v>
      </c>
      <c r="BF21">
        <v>6.4699999999999994E-2</v>
      </c>
      <c r="BG21">
        <v>10.02512257887116</v>
      </c>
      <c r="BH21">
        <v>1091.384132734873</v>
      </c>
      <c r="BI21">
        <v>0.42399999999999999</v>
      </c>
      <c r="BJ21">
        <v>6.2600000000000003E-2</v>
      </c>
      <c r="BK21">
        <v>3.8006000000000313</v>
      </c>
      <c r="BL21" s="2">
        <v>45681</v>
      </c>
      <c r="BM21" t="s">
        <v>1315</v>
      </c>
      <c r="BN21">
        <v>4</v>
      </c>
      <c r="BO21">
        <v>6.4799999999999996E-2</v>
      </c>
      <c r="BP21">
        <v>10.02591892342409</v>
      </c>
      <c r="BQ21">
        <v>1091.4597058329459</v>
      </c>
      <c r="BR21">
        <v>0.42399999999999999</v>
      </c>
      <c r="BS21">
        <v>6.2600000000000003E-2</v>
      </c>
      <c r="BT21">
        <v>3.8004999999999995</v>
      </c>
      <c r="BU21" s="2">
        <v>45681</v>
      </c>
      <c r="BV21" t="s">
        <v>1513</v>
      </c>
      <c r="BW21">
        <v>5</v>
      </c>
      <c r="BX21">
        <v>6.4399999999999999E-2</v>
      </c>
      <c r="BY21">
        <v>10.026352371655801</v>
      </c>
      <c r="BZ21">
        <v>1091.5008400701349</v>
      </c>
      <c r="CA21">
        <v>0.42399999999999999</v>
      </c>
      <c r="CB21">
        <v>6.2600000000000003E-2</v>
      </c>
      <c r="CC21">
        <v>3.7989999999999782</v>
      </c>
      <c r="CD21" s="2">
        <v>45681</v>
      </c>
      <c r="CE21" t="s">
        <v>1673</v>
      </c>
      <c r="CF21">
        <v>5</v>
      </c>
      <c r="CG21">
        <v>6.4600000000000005E-2</v>
      </c>
      <c r="CH21">
        <v>10.02651699278028</v>
      </c>
      <c r="CI21">
        <v>1091.5164626148489</v>
      </c>
      <c r="CJ21">
        <v>0.42399999999999999</v>
      </c>
      <c r="CK21">
        <v>6.2600000000000003E-2</v>
      </c>
      <c r="CL21">
        <v>3.7980999999999767</v>
      </c>
    </row>
    <row r="22" spans="1:90" x14ac:dyDescent="0.3">
      <c r="A22" s="2">
        <v>45681</v>
      </c>
      <c r="B22" t="s">
        <v>120</v>
      </c>
      <c r="C22">
        <v>0</v>
      </c>
      <c r="D22">
        <v>6.6100000000000006E-2</v>
      </c>
      <c r="E22">
        <v>10.05044098344035</v>
      </c>
      <c r="F22">
        <v>1093.7868493284891</v>
      </c>
      <c r="G22">
        <v>0.42399999999999999</v>
      </c>
      <c r="H22">
        <v>6.3E-2</v>
      </c>
      <c r="I22">
        <v>3.9989499999999936</v>
      </c>
      <c r="J22" s="2">
        <v>45681</v>
      </c>
      <c r="K22" t="s">
        <v>280</v>
      </c>
      <c r="L22">
        <v>0</v>
      </c>
      <c r="M22">
        <v>6.5699999999999995E-2</v>
      </c>
      <c r="N22">
        <v>10.05044098344035</v>
      </c>
      <c r="O22">
        <v>1093.7868493284891</v>
      </c>
      <c r="P22">
        <v>0.42399999999999999</v>
      </c>
      <c r="Q22">
        <v>6.3E-2</v>
      </c>
      <c r="R22">
        <v>3.9985499999999945</v>
      </c>
      <c r="S22" s="2">
        <v>45681</v>
      </c>
      <c r="T22" t="s">
        <v>440</v>
      </c>
      <c r="U22">
        <v>1</v>
      </c>
      <c r="V22">
        <v>6.5799999999999997E-2</v>
      </c>
      <c r="W22">
        <v>10.050438550615841</v>
      </c>
      <c r="X22">
        <v>1093.7866184534439</v>
      </c>
      <c r="Y22">
        <v>0.42399999999999999</v>
      </c>
      <c r="Z22">
        <v>6.3E-2</v>
      </c>
      <c r="AA22">
        <v>4.0002000000000066</v>
      </c>
      <c r="AB22" s="2">
        <v>45681</v>
      </c>
      <c r="AC22" t="s">
        <v>640</v>
      </c>
      <c r="AD22">
        <v>2</v>
      </c>
      <c r="AE22">
        <v>6.6500000000000004E-2</v>
      </c>
      <c r="AF22">
        <v>10.050440172498851</v>
      </c>
      <c r="AG22">
        <v>1093.7867723701411</v>
      </c>
      <c r="AH22">
        <v>0.42399999999999999</v>
      </c>
      <c r="AI22">
        <v>6.3E-2</v>
      </c>
      <c r="AJ22">
        <v>3.9999000000000251</v>
      </c>
      <c r="AK22" s="2">
        <v>45681</v>
      </c>
      <c r="AL22" t="s">
        <v>800</v>
      </c>
      <c r="AM22">
        <v>2</v>
      </c>
      <c r="AN22">
        <v>6.59E-2</v>
      </c>
      <c r="AO22">
        <v>10.05044057796959</v>
      </c>
      <c r="AP22">
        <v>1093.786810849314</v>
      </c>
      <c r="AQ22">
        <v>0.42399999999999999</v>
      </c>
      <c r="AR22">
        <v>6.3E-2</v>
      </c>
      <c r="AS22">
        <v>3.9993000000000052</v>
      </c>
      <c r="AT22" s="2">
        <v>45681</v>
      </c>
      <c r="AU22" t="s">
        <v>958</v>
      </c>
      <c r="AV22">
        <v>3</v>
      </c>
      <c r="AW22">
        <v>6.6000000000000003E-2</v>
      </c>
      <c r="AX22">
        <v>10.05044057796959</v>
      </c>
      <c r="AY22">
        <v>1093.786810849314</v>
      </c>
      <c r="AZ22">
        <v>0.42399999999999999</v>
      </c>
      <c r="BA22">
        <v>6.3E-2</v>
      </c>
      <c r="BB22">
        <v>4.0015999999999963</v>
      </c>
      <c r="BC22" s="2">
        <v>45681</v>
      </c>
      <c r="BD22" t="s">
        <v>1158</v>
      </c>
      <c r="BE22">
        <v>3</v>
      </c>
      <c r="BF22">
        <v>6.6100000000000006E-2</v>
      </c>
      <c r="BG22">
        <v>10.05044098344035</v>
      </c>
      <c r="BH22">
        <v>1093.7868493284891</v>
      </c>
      <c r="BI22">
        <v>0.42399999999999999</v>
      </c>
      <c r="BJ22">
        <v>6.3E-2</v>
      </c>
      <c r="BK22">
        <v>4.0020000000000095</v>
      </c>
      <c r="BL22" s="2">
        <v>45681</v>
      </c>
      <c r="BM22" t="s">
        <v>1316</v>
      </c>
      <c r="BN22">
        <v>4</v>
      </c>
      <c r="BO22">
        <v>6.5699999999999995E-2</v>
      </c>
      <c r="BP22">
        <v>10.05044098344035</v>
      </c>
      <c r="BQ22">
        <v>1093.7868493284891</v>
      </c>
      <c r="BR22">
        <v>0.42399999999999999</v>
      </c>
      <c r="BS22">
        <v>6.3E-2</v>
      </c>
      <c r="BT22">
        <v>3.9984999999999786</v>
      </c>
      <c r="BU22" s="2">
        <v>45681</v>
      </c>
      <c r="BV22" t="s">
        <v>1514</v>
      </c>
      <c r="BW22">
        <v>5</v>
      </c>
      <c r="BX22">
        <v>6.6100000000000006E-2</v>
      </c>
      <c r="BY22">
        <v>10.05043692873285</v>
      </c>
      <c r="BZ22">
        <v>1093.786464536747</v>
      </c>
      <c r="CA22">
        <v>0.42399999999999999</v>
      </c>
      <c r="CB22">
        <v>6.3E-2</v>
      </c>
      <c r="CC22">
        <v>3.9979000000000156</v>
      </c>
      <c r="CD22" s="2">
        <v>45681</v>
      </c>
      <c r="CE22" t="s">
        <v>1674</v>
      </c>
      <c r="CF22">
        <v>5</v>
      </c>
      <c r="CG22">
        <v>6.59E-2</v>
      </c>
      <c r="CH22">
        <v>10.050423548198101</v>
      </c>
      <c r="CI22">
        <v>1093.785194723999</v>
      </c>
      <c r="CJ22">
        <v>0.42399999999999999</v>
      </c>
      <c r="CK22">
        <v>6.3E-2</v>
      </c>
      <c r="CL22">
        <v>3.9991999999999734</v>
      </c>
    </row>
    <row r="23" spans="1:90" x14ac:dyDescent="0.3">
      <c r="A23" s="2">
        <v>45681</v>
      </c>
      <c r="B23" t="s">
        <v>121</v>
      </c>
      <c r="C23">
        <v>0</v>
      </c>
      <c r="D23">
        <v>6.6100000000000006E-2</v>
      </c>
      <c r="E23">
        <v>10.025353291727891</v>
      </c>
      <c r="F23">
        <v>982.36292678903942</v>
      </c>
      <c r="G23">
        <v>0.42399999999999999</v>
      </c>
      <c r="H23">
        <v>6.2600000000000003E-2</v>
      </c>
      <c r="I23">
        <v>4.1990899999999982</v>
      </c>
      <c r="J23" s="2">
        <v>45681</v>
      </c>
      <c r="K23" t="s">
        <v>281</v>
      </c>
      <c r="L23">
        <v>0</v>
      </c>
      <c r="M23">
        <v>6.59E-2</v>
      </c>
      <c r="N23">
        <v>10.024817259396441</v>
      </c>
      <c r="O23">
        <v>982.3129685757483</v>
      </c>
      <c r="P23">
        <v>0.42399999999999999</v>
      </c>
      <c r="Q23">
        <v>6.2600000000000003E-2</v>
      </c>
      <c r="R23">
        <v>4.2010099999999966</v>
      </c>
      <c r="S23" s="2">
        <v>45681</v>
      </c>
      <c r="T23" t="s">
        <v>441</v>
      </c>
      <c r="U23">
        <v>1</v>
      </c>
      <c r="V23">
        <v>6.5799999999999997E-2</v>
      </c>
      <c r="W23">
        <v>10.025104738158159</v>
      </c>
      <c r="X23">
        <v>982.33976159634096</v>
      </c>
      <c r="Y23">
        <v>0.42399999999999999</v>
      </c>
      <c r="Z23">
        <v>6.2600000000000003E-2</v>
      </c>
      <c r="AA23">
        <v>4.1997999999999962</v>
      </c>
      <c r="AB23" s="2">
        <v>45681</v>
      </c>
      <c r="AC23" t="s">
        <v>641</v>
      </c>
      <c r="AD23">
        <v>2</v>
      </c>
      <c r="AE23">
        <v>6.6600000000000006E-2</v>
      </c>
      <c r="AF23">
        <v>10.02571618804911</v>
      </c>
      <c r="AG23">
        <v>982.39674872617684</v>
      </c>
      <c r="AH23">
        <v>0.42399999999999999</v>
      </c>
      <c r="AI23">
        <v>6.2600000000000003E-2</v>
      </c>
      <c r="AJ23">
        <v>4.1978000000000009</v>
      </c>
      <c r="AK23" s="2">
        <v>45681</v>
      </c>
      <c r="AL23" t="s">
        <v>801</v>
      </c>
      <c r="AM23">
        <v>2</v>
      </c>
      <c r="AN23">
        <v>6.6000000000000003E-2</v>
      </c>
      <c r="AO23">
        <v>10.025563325576369</v>
      </c>
      <c r="AP23">
        <v>982.38250194371801</v>
      </c>
      <c r="AQ23">
        <v>0.42399999999999999</v>
      </c>
      <c r="AR23">
        <v>6.2600000000000003E-2</v>
      </c>
      <c r="AS23">
        <v>4.2000000000000171</v>
      </c>
      <c r="AT23" s="2">
        <v>45681</v>
      </c>
      <c r="AU23" t="s">
        <v>959</v>
      </c>
      <c r="AV23">
        <v>3</v>
      </c>
      <c r="AW23">
        <v>6.6000000000000003E-2</v>
      </c>
      <c r="AX23">
        <v>10.0257916056086</v>
      </c>
      <c r="AY23">
        <v>982.40377764272182</v>
      </c>
      <c r="AZ23">
        <v>0.42399999999999999</v>
      </c>
      <c r="BA23">
        <v>6.2600000000000003E-2</v>
      </c>
      <c r="BB23">
        <v>4.2008999999999901</v>
      </c>
      <c r="BC23" s="2">
        <v>45681</v>
      </c>
      <c r="BD23" t="s">
        <v>1159</v>
      </c>
      <c r="BE23">
        <v>3</v>
      </c>
      <c r="BF23">
        <v>6.6199999999999995E-2</v>
      </c>
      <c r="BG23">
        <v>10.025565758400869</v>
      </c>
      <c r="BH23">
        <v>982.38272868296144</v>
      </c>
      <c r="BI23">
        <v>0.42399999999999999</v>
      </c>
      <c r="BJ23">
        <v>6.2600000000000003E-2</v>
      </c>
      <c r="BK23">
        <v>4.2015999999999849</v>
      </c>
      <c r="BL23" s="2">
        <v>45681</v>
      </c>
      <c r="BM23" t="s">
        <v>1317</v>
      </c>
      <c r="BN23">
        <v>4</v>
      </c>
      <c r="BO23">
        <v>6.5799999999999997E-2</v>
      </c>
      <c r="BP23">
        <v>10.025111225690161</v>
      </c>
      <c r="BQ23">
        <v>982.34036623432337</v>
      </c>
      <c r="BR23">
        <v>0.42399999999999999</v>
      </c>
      <c r="BS23">
        <v>6.2600000000000003E-2</v>
      </c>
      <c r="BT23">
        <v>4.2001999999999953</v>
      </c>
      <c r="BU23" s="2">
        <v>45681</v>
      </c>
      <c r="BV23" t="s">
        <v>1515</v>
      </c>
      <c r="BW23">
        <v>5</v>
      </c>
      <c r="BX23">
        <v>6.6199999999999995E-2</v>
      </c>
      <c r="BY23">
        <v>10.02425162770024</v>
      </c>
      <c r="BZ23">
        <v>982.2602517016627</v>
      </c>
      <c r="CA23">
        <v>0.42399999999999999</v>
      </c>
      <c r="CB23">
        <v>6.2600000000000003E-2</v>
      </c>
      <c r="CC23">
        <v>4.2004000000000019</v>
      </c>
      <c r="CD23" s="2">
        <v>45681</v>
      </c>
      <c r="CE23" t="s">
        <v>1675</v>
      </c>
      <c r="CF23">
        <v>5</v>
      </c>
      <c r="CG23">
        <v>6.6000000000000003E-2</v>
      </c>
      <c r="CH23">
        <v>10.02375046585329</v>
      </c>
      <c r="CI23">
        <v>982.21354341752669</v>
      </c>
      <c r="CJ23">
        <v>0.42399999999999999</v>
      </c>
      <c r="CK23">
        <v>6.2600000000000003E-2</v>
      </c>
      <c r="CL23">
        <v>4.2006999999999834</v>
      </c>
    </row>
    <row r="24" spans="1:90" x14ac:dyDescent="0.3">
      <c r="A24" s="2">
        <v>45681</v>
      </c>
      <c r="B24" t="s">
        <v>122</v>
      </c>
      <c r="C24">
        <v>0</v>
      </c>
      <c r="D24">
        <v>6.4199999999999993E-2</v>
      </c>
      <c r="E24">
        <v>9.9508184420574661</v>
      </c>
      <c r="F24">
        <v>975.4162787997559</v>
      </c>
      <c r="G24">
        <v>0.42399999999999999</v>
      </c>
      <c r="H24">
        <v>6.1499999999999999E-2</v>
      </c>
      <c r="I24">
        <v>4.3993799999999936</v>
      </c>
      <c r="J24" s="2">
        <v>45681</v>
      </c>
      <c r="K24" t="s">
        <v>282</v>
      </c>
      <c r="L24">
        <v>0</v>
      </c>
      <c r="M24">
        <v>6.4399999999999999E-2</v>
      </c>
      <c r="N24">
        <v>9.9502292930577685</v>
      </c>
      <c r="O24">
        <v>975.3613701129841</v>
      </c>
      <c r="P24">
        <v>0.42399999999999999</v>
      </c>
      <c r="Q24">
        <v>6.1400000000000003E-2</v>
      </c>
      <c r="R24">
        <v>4.4003699999999952</v>
      </c>
      <c r="S24" s="2">
        <v>45681</v>
      </c>
      <c r="T24" t="s">
        <v>442</v>
      </c>
      <c r="U24">
        <v>1</v>
      </c>
      <c r="V24">
        <v>6.4199999999999993E-2</v>
      </c>
      <c r="W24">
        <v>9.9512863553029209</v>
      </c>
      <c r="X24">
        <v>975.45988831423222</v>
      </c>
      <c r="Y24">
        <v>0.42399999999999999</v>
      </c>
      <c r="Z24">
        <v>6.1499999999999999E-2</v>
      </c>
      <c r="AA24">
        <v>4.3982000000000028</v>
      </c>
      <c r="AB24" s="2">
        <v>45681</v>
      </c>
      <c r="AC24" t="s">
        <v>642</v>
      </c>
      <c r="AD24">
        <v>2</v>
      </c>
      <c r="AE24">
        <v>6.4000000000000001E-2</v>
      </c>
      <c r="AF24">
        <v>9.9507519448544706</v>
      </c>
      <c r="AG24">
        <v>975.41008126043664</v>
      </c>
      <c r="AH24">
        <v>0.42399999999999999</v>
      </c>
      <c r="AI24">
        <v>6.1499999999999999E-2</v>
      </c>
      <c r="AJ24">
        <v>4.3996000000000208</v>
      </c>
      <c r="AK24" s="2">
        <v>45681</v>
      </c>
      <c r="AL24" t="s">
        <v>802</v>
      </c>
      <c r="AM24">
        <v>2</v>
      </c>
      <c r="AN24">
        <v>6.4000000000000001E-2</v>
      </c>
      <c r="AO24">
        <v>9.9519160513776139</v>
      </c>
      <c r="AP24">
        <v>975.51857598839365</v>
      </c>
      <c r="AQ24">
        <v>0.42399999999999999</v>
      </c>
      <c r="AR24">
        <v>6.1499999999999999E-2</v>
      </c>
      <c r="AS24">
        <v>4.3988999999999976</v>
      </c>
      <c r="AT24" s="2">
        <v>45681</v>
      </c>
      <c r="AU24" t="s">
        <v>960</v>
      </c>
      <c r="AV24">
        <v>3</v>
      </c>
      <c r="AW24">
        <v>6.3899999999999998E-2</v>
      </c>
      <c r="AX24">
        <v>9.9521378438778427</v>
      </c>
      <c r="AY24">
        <v>975.53924704941494</v>
      </c>
      <c r="AZ24">
        <v>0.42399999999999999</v>
      </c>
      <c r="BA24">
        <v>6.1499999999999999E-2</v>
      </c>
      <c r="BB24">
        <v>4.4002999999999872</v>
      </c>
      <c r="BC24" s="2">
        <v>45681</v>
      </c>
      <c r="BD24" t="s">
        <v>1160</v>
      </c>
      <c r="BE24">
        <v>3</v>
      </c>
      <c r="BF24">
        <v>6.4000000000000001E-2</v>
      </c>
      <c r="BG24">
        <v>9.9517108831781318</v>
      </c>
      <c r="BH24">
        <v>975.49945431220192</v>
      </c>
      <c r="BI24">
        <v>0.42399999999999999</v>
      </c>
      <c r="BJ24">
        <v>6.1499999999999999E-2</v>
      </c>
      <c r="BK24">
        <v>4.4010000000000105</v>
      </c>
      <c r="BL24" s="2">
        <v>45681</v>
      </c>
      <c r="BM24" t="s">
        <v>1318</v>
      </c>
      <c r="BN24">
        <v>4</v>
      </c>
      <c r="BO24">
        <v>6.3799999999999996E-2</v>
      </c>
      <c r="BP24">
        <v>9.9491037062558725</v>
      </c>
      <c r="BQ24">
        <v>975.2564654230473</v>
      </c>
      <c r="BR24">
        <v>0.42399999999999999</v>
      </c>
      <c r="BS24">
        <v>6.1400000000000003E-2</v>
      </c>
      <c r="BT24">
        <v>4.4029999999999632</v>
      </c>
      <c r="BU24" s="2">
        <v>45681</v>
      </c>
      <c r="BV24" t="s">
        <v>1516</v>
      </c>
      <c r="BW24">
        <v>5</v>
      </c>
      <c r="BX24">
        <v>6.4199999999999993E-2</v>
      </c>
      <c r="BY24">
        <v>9.9498473396113027</v>
      </c>
      <c r="BZ24">
        <v>975.32577205177347</v>
      </c>
      <c r="CA24">
        <v>0.42399999999999999</v>
      </c>
      <c r="CB24">
        <v>6.1400000000000003E-2</v>
      </c>
      <c r="CC24">
        <v>4.3983000000000061</v>
      </c>
      <c r="CD24" s="2">
        <v>45681</v>
      </c>
      <c r="CE24" t="s">
        <v>1676</v>
      </c>
      <c r="CF24">
        <v>5</v>
      </c>
      <c r="CG24">
        <v>6.3899999999999998E-2</v>
      </c>
      <c r="CH24">
        <v>9.9482177526672029</v>
      </c>
      <c r="CI24">
        <v>975.17389454858335</v>
      </c>
      <c r="CJ24">
        <v>0.42399999999999999</v>
      </c>
      <c r="CK24">
        <v>6.1400000000000003E-2</v>
      </c>
      <c r="CL24">
        <v>4.3999000000000024</v>
      </c>
    </row>
    <row r="25" spans="1:90" x14ac:dyDescent="0.3">
      <c r="A25" s="2">
        <v>45681</v>
      </c>
      <c r="B25" t="s">
        <v>123</v>
      </c>
      <c r="C25">
        <v>0</v>
      </c>
      <c r="D25">
        <v>6.2E-2</v>
      </c>
      <c r="E25">
        <v>9.828349651267926</v>
      </c>
      <c r="F25">
        <v>964.00218749817077</v>
      </c>
      <c r="G25">
        <v>0.42399999999999999</v>
      </c>
      <c r="H25">
        <v>5.9499999999999997E-2</v>
      </c>
      <c r="I25">
        <v>4.6001300000000001</v>
      </c>
      <c r="J25" s="2">
        <v>45681</v>
      </c>
      <c r="K25" t="s">
        <v>283</v>
      </c>
      <c r="L25">
        <v>0</v>
      </c>
      <c r="M25">
        <v>6.1699999999999998E-2</v>
      </c>
      <c r="N25">
        <v>9.8288889273653748</v>
      </c>
      <c r="O25">
        <v>964.05244803045298</v>
      </c>
      <c r="P25">
        <v>0.42399999999999999</v>
      </c>
      <c r="Q25">
        <v>5.96E-2</v>
      </c>
      <c r="R25">
        <v>4.5991700000000009</v>
      </c>
      <c r="S25" s="2">
        <v>45681</v>
      </c>
      <c r="T25" t="s">
        <v>443</v>
      </c>
      <c r="U25">
        <v>1</v>
      </c>
      <c r="V25">
        <v>6.2600000000000003E-2</v>
      </c>
      <c r="W25">
        <v>9.8291536997651008</v>
      </c>
      <c r="X25">
        <v>964.07712481810745</v>
      </c>
      <c r="Y25">
        <v>0.42399999999999999</v>
      </c>
      <c r="Z25">
        <v>5.96E-2</v>
      </c>
      <c r="AA25">
        <v>4.5986999999999938</v>
      </c>
      <c r="AB25" s="2">
        <v>45681</v>
      </c>
      <c r="AC25" t="s">
        <v>643</v>
      </c>
      <c r="AD25">
        <v>2</v>
      </c>
      <c r="AE25">
        <v>6.2300000000000001E-2</v>
      </c>
      <c r="AF25">
        <v>9.8288045894493816</v>
      </c>
      <c r="AG25">
        <v>964.04458773668239</v>
      </c>
      <c r="AH25">
        <v>0.42399999999999999</v>
      </c>
      <c r="AI25">
        <v>5.96E-2</v>
      </c>
      <c r="AJ25">
        <v>4.5996000000000095</v>
      </c>
      <c r="AK25" s="2">
        <v>45681</v>
      </c>
      <c r="AL25" t="s">
        <v>803</v>
      </c>
      <c r="AM25">
        <v>2</v>
      </c>
      <c r="AN25">
        <v>6.2700000000000006E-2</v>
      </c>
      <c r="AO25">
        <v>9.8306198819969683</v>
      </c>
      <c r="AP25">
        <v>964.21377300211748</v>
      </c>
      <c r="AQ25">
        <v>0.42399999999999999</v>
      </c>
      <c r="AR25">
        <v>5.96E-2</v>
      </c>
      <c r="AS25">
        <v>4.598700000000008</v>
      </c>
      <c r="AT25" s="2">
        <v>45681</v>
      </c>
      <c r="AU25" t="s">
        <v>961</v>
      </c>
      <c r="AV25">
        <v>3</v>
      </c>
      <c r="AW25">
        <v>6.2E-2</v>
      </c>
      <c r="AX25">
        <v>9.8294886186045716</v>
      </c>
      <c r="AY25">
        <v>964.10833925394604</v>
      </c>
      <c r="AZ25">
        <v>0.42399999999999999</v>
      </c>
      <c r="BA25">
        <v>5.96E-2</v>
      </c>
      <c r="BB25">
        <v>4.6021999999999821</v>
      </c>
      <c r="BC25" s="2">
        <v>45681</v>
      </c>
      <c r="BD25" t="s">
        <v>1161</v>
      </c>
      <c r="BE25">
        <v>3</v>
      </c>
      <c r="BF25">
        <v>6.2600000000000003E-2</v>
      </c>
      <c r="BG25">
        <v>9.8300522229470193</v>
      </c>
      <c r="BH25">
        <v>964.16086717866222</v>
      </c>
      <c r="BI25">
        <v>0.42399999999999999</v>
      </c>
      <c r="BJ25">
        <v>5.96E-2</v>
      </c>
      <c r="BK25">
        <v>4.6012000000000057</v>
      </c>
      <c r="BL25" s="2">
        <v>45681</v>
      </c>
      <c r="BM25" t="s">
        <v>1319</v>
      </c>
      <c r="BN25">
        <v>4</v>
      </c>
      <c r="BO25">
        <v>6.2199999999999998E-2</v>
      </c>
      <c r="BP25">
        <v>9.8292846668173404</v>
      </c>
      <c r="BQ25">
        <v>964.0893309473762</v>
      </c>
      <c r="BR25">
        <v>0.42399999999999999</v>
      </c>
      <c r="BS25">
        <v>5.96E-2</v>
      </c>
      <c r="BT25">
        <v>4.5989999999999895</v>
      </c>
      <c r="BU25" s="2">
        <v>45681</v>
      </c>
      <c r="BV25" t="s">
        <v>1517</v>
      </c>
      <c r="BW25">
        <v>5</v>
      </c>
      <c r="BX25">
        <v>6.2100000000000002E-2</v>
      </c>
      <c r="BY25">
        <v>9.8265108414168427</v>
      </c>
      <c r="BZ25">
        <v>963.83081042004972</v>
      </c>
      <c r="CA25">
        <v>0.42399999999999999</v>
      </c>
      <c r="CB25">
        <v>5.9499999999999997E-2</v>
      </c>
      <c r="CC25">
        <v>4.5996000000000095</v>
      </c>
      <c r="CD25" s="2">
        <v>45681</v>
      </c>
      <c r="CE25" t="s">
        <v>1677</v>
      </c>
      <c r="CF25">
        <v>5</v>
      </c>
      <c r="CG25">
        <v>6.2199999999999998E-2</v>
      </c>
      <c r="CH25">
        <v>9.8263316233453608</v>
      </c>
      <c r="CI25">
        <v>963.81410729578761</v>
      </c>
      <c r="CJ25">
        <v>0.42399999999999999</v>
      </c>
      <c r="CK25">
        <v>5.9499999999999997E-2</v>
      </c>
      <c r="CL25">
        <v>4.5982000000000198</v>
      </c>
    </row>
    <row r="26" spans="1:90" x14ac:dyDescent="0.3">
      <c r="A26" s="2">
        <v>45681</v>
      </c>
      <c r="B26" t="s">
        <v>124</v>
      </c>
      <c r="C26">
        <v>0</v>
      </c>
      <c r="D26">
        <v>0.06</v>
      </c>
      <c r="E26">
        <v>9.6625056270011047</v>
      </c>
      <c r="F26">
        <v>948.545524436503</v>
      </c>
      <c r="G26">
        <v>0.42399999999999999</v>
      </c>
      <c r="H26">
        <v>5.7000000000000002E-2</v>
      </c>
      <c r="I26">
        <v>4.7993699999999961</v>
      </c>
      <c r="J26" s="2">
        <v>45681</v>
      </c>
      <c r="K26" t="s">
        <v>284</v>
      </c>
      <c r="L26">
        <v>0</v>
      </c>
      <c r="M26">
        <v>6.0900000000000003E-2</v>
      </c>
      <c r="N26">
        <v>9.662274914144378</v>
      </c>
      <c r="O26">
        <v>948.5240219982561</v>
      </c>
      <c r="P26">
        <v>0.42399999999999999</v>
      </c>
      <c r="Q26">
        <v>5.7000000000000002E-2</v>
      </c>
      <c r="R26">
        <v>4.7994099999999946</v>
      </c>
      <c r="S26" s="2">
        <v>45681</v>
      </c>
      <c r="T26" t="s">
        <v>444</v>
      </c>
      <c r="U26">
        <v>1</v>
      </c>
      <c r="V26">
        <v>6.08E-2</v>
      </c>
      <c r="W26">
        <v>9.6618252470826675</v>
      </c>
      <c r="X26">
        <v>948.48211302810466</v>
      </c>
      <c r="Y26">
        <v>0.42399999999999999</v>
      </c>
      <c r="Z26">
        <v>5.7000000000000002E-2</v>
      </c>
      <c r="AA26">
        <v>4.7998000000000047</v>
      </c>
      <c r="AB26" s="2">
        <v>45681</v>
      </c>
      <c r="AC26" t="s">
        <v>644</v>
      </c>
      <c r="AD26">
        <v>2</v>
      </c>
      <c r="AE26">
        <v>6.08E-2</v>
      </c>
      <c r="AF26">
        <v>9.6618556573889158</v>
      </c>
      <c r="AG26">
        <v>948.48494726864703</v>
      </c>
      <c r="AH26">
        <v>0.42399999999999999</v>
      </c>
      <c r="AI26">
        <v>5.7000000000000002E-2</v>
      </c>
      <c r="AJ26">
        <v>4.800200000000018</v>
      </c>
      <c r="AK26" s="2">
        <v>45681</v>
      </c>
      <c r="AL26" t="s">
        <v>804</v>
      </c>
      <c r="AM26">
        <v>2</v>
      </c>
      <c r="AN26">
        <v>6.08E-2</v>
      </c>
      <c r="AO26">
        <v>9.6628174340078257</v>
      </c>
      <c r="AP26">
        <v>948.5745848495294</v>
      </c>
      <c r="AQ26">
        <v>0.42399999999999999</v>
      </c>
      <c r="AR26">
        <v>5.7000000000000002E-2</v>
      </c>
      <c r="AS26">
        <v>4.8008000000000095</v>
      </c>
      <c r="AT26" s="2">
        <v>45681</v>
      </c>
      <c r="AU26" t="s">
        <v>962</v>
      </c>
      <c r="AV26">
        <v>3</v>
      </c>
      <c r="AW26">
        <v>6.0600000000000001E-2</v>
      </c>
      <c r="AX26">
        <v>9.663841247651483</v>
      </c>
      <c r="AY26">
        <v>948.67000428111828</v>
      </c>
      <c r="AZ26">
        <v>0.42399999999999999</v>
      </c>
      <c r="BA26">
        <v>5.7000000000000002E-2</v>
      </c>
      <c r="BB26">
        <v>4.8015999999999792</v>
      </c>
      <c r="BC26" s="2">
        <v>45681</v>
      </c>
      <c r="BD26" t="s">
        <v>1162</v>
      </c>
      <c r="BE26">
        <v>3</v>
      </c>
      <c r="BF26">
        <v>6.0999999999999999E-2</v>
      </c>
      <c r="BG26">
        <v>9.6641352139452064</v>
      </c>
      <c r="BH26">
        <v>948.69740193969324</v>
      </c>
      <c r="BI26">
        <v>0.42399999999999999</v>
      </c>
      <c r="BJ26">
        <v>5.7000000000000002E-2</v>
      </c>
      <c r="BK26">
        <v>4.8009999999999877</v>
      </c>
      <c r="BL26" s="2">
        <v>45681</v>
      </c>
      <c r="BM26" t="s">
        <v>1320</v>
      </c>
      <c r="BN26">
        <v>4</v>
      </c>
      <c r="BO26">
        <v>6.0499999999999998E-2</v>
      </c>
      <c r="BP26">
        <v>9.6609745694492464</v>
      </c>
      <c r="BQ26">
        <v>948.40282987266983</v>
      </c>
      <c r="BR26">
        <v>0.42399999999999999</v>
      </c>
      <c r="BS26">
        <v>5.6899999999999999E-2</v>
      </c>
      <c r="BT26">
        <v>4.8010999999999626</v>
      </c>
      <c r="BU26" s="2">
        <v>45681</v>
      </c>
      <c r="BV26" t="s">
        <v>1518</v>
      </c>
      <c r="BW26">
        <v>5</v>
      </c>
      <c r="BX26">
        <v>6.0499999999999998E-2</v>
      </c>
      <c r="BY26">
        <v>9.6581107295422584</v>
      </c>
      <c r="BZ26">
        <v>948.13591999333846</v>
      </c>
      <c r="CA26">
        <v>0.42399999999999999</v>
      </c>
      <c r="CB26">
        <v>5.6899999999999999E-2</v>
      </c>
      <c r="CC26">
        <v>4.8009999999999877</v>
      </c>
      <c r="CD26" s="2">
        <v>45681</v>
      </c>
      <c r="CE26" t="s">
        <v>1678</v>
      </c>
      <c r="CF26">
        <v>5</v>
      </c>
      <c r="CG26">
        <v>6.08E-2</v>
      </c>
      <c r="CH26">
        <v>9.6588300346526914</v>
      </c>
      <c r="CI26">
        <v>948.20295922963089</v>
      </c>
      <c r="CJ26">
        <v>0.42399999999999999</v>
      </c>
      <c r="CK26">
        <v>5.6899999999999999E-2</v>
      </c>
      <c r="CL26">
        <v>4.7986000000000217</v>
      </c>
    </row>
    <row r="27" spans="1:90" x14ac:dyDescent="0.3">
      <c r="A27" s="2">
        <v>45681</v>
      </c>
      <c r="B27" t="s">
        <v>125</v>
      </c>
      <c r="C27">
        <v>0</v>
      </c>
      <c r="D27">
        <v>5.7799999999999997E-2</v>
      </c>
      <c r="E27">
        <v>9.4560768189582518</v>
      </c>
      <c r="F27">
        <v>929.30635952690909</v>
      </c>
      <c r="G27">
        <v>0.42399999999999999</v>
      </c>
      <c r="H27">
        <v>5.3800000000000001E-2</v>
      </c>
      <c r="I27">
        <v>4.9990799999999993</v>
      </c>
      <c r="J27" s="2">
        <v>45681</v>
      </c>
      <c r="K27" t="s">
        <v>285</v>
      </c>
      <c r="L27">
        <v>0</v>
      </c>
      <c r="M27">
        <v>5.8299999999999998E-2</v>
      </c>
      <c r="N27">
        <v>9.4558598921070232</v>
      </c>
      <c r="O27">
        <v>929.28614194437455</v>
      </c>
      <c r="P27">
        <v>0.42399999999999999</v>
      </c>
      <c r="Q27">
        <v>5.3800000000000001E-2</v>
      </c>
      <c r="R27">
        <v>4.9990600000000001</v>
      </c>
      <c r="S27" s="2">
        <v>45681</v>
      </c>
      <c r="T27" t="s">
        <v>445</v>
      </c>
      <c r="U27">
        <v>1</v>
      </c>
      <c r="V27">
        <v>5.8599999999999999E-2</v>
      </c>
      <c r="W27">
        <v>9.4573982481323817</v>
      </c>
      <c r="X27">
        <v>929.42951672593802</v>
      </c>
      <c r="Y27">
        <v>0.42399999999999999</v>
      </c>
      <c r="Z27">
        <v>5.3800000000000001E-2</v>
      </c>
      <c r="AA27">
        <v>4.9976000000000056</v>
      </c>
      <c r="AB27" s="2">
        <v>45681</v>
      </c>
      <c r="AC27" t="s">
        <v>645</v>
      </c>
      <c r="AD27">
        <v>2</v>
      </c>
      <c r="AE27">
        <v>5.91E-2</v>
      </c>
      <c r="AF27">
        <v>9.4566254208829523</v>
      </c>
      <c r="AG27">
        <v>929.35748922629114</v>
      </c>
      <c r="AH27">
        <v>0.42399999999999999</v>
      </c>
      <c r="AI27">
        <v>5.3800000000000001E-2</v>
      </c>
      <c r="AJ27">
        <v>4.9987000000000137</v>
      </c>
      <c r="AK27" s="2">
        <v>45681</v>
      </c>
      <c r="AL27" t="s">
        <v>805</v>
      </c>
      <c r="AM27">
        <v>2</v>
      </c>
      <c r="AN27">
        <v>5.8999999999999997E-2</v>
      </c>
      <c r="AO27">
        <v>9.4568078827204332</v>
      </c>
      <c r="AP27">
        <v>929.37449466954445</v>
      </c>
      <c r="AQ27">
        <v>0.42399999999999999</v>
      </c>
      <c r="AR27">
        <v>5.3800000000000001E-2</v>
      </c>
      <c r="AS27">
        <v>5.0001000000000033</v>
      </c>
      <c r="AT27" s="2">
        <v>45681</v>
      </c>
      <c r="AU27" t="s">
        <v>963</v>
      </c>
      <c r="AV27">
        <v>3</v>
      </c>
      <c r="AW27">
        <v>5.8799999999999998E-2</v>
      </c>
      <c r="AX27">
        <v>9.4581045781788173</v>
      </c>
      <c r="AY27">
        <v>929.49534668626575</v>
      </c>
      <c r="AZ27">
        <v>0.42399999999999999</v>
      </c>
      <c r="BA27">
        <v>5.3800000000000001E-2</v>
      </c>
      <c r="BB27">
        <v>5.0009000000000015</v>
      </c>
      <c r="BC27" s="2">
        <v>45681</v>
      </c>
      <c r="BD27" t="s">
        <v>1163</v>
      </c>
      <c r="BE27">
        <v>3</v>
      </c>
      <c r="BF27">
        <v>5.8700000000000002E-2</v>
      </c>
      <c r="BG27">
        <v>9.45708076453516</v>
      </c>
      <c r="BH27">
        <v>929.39992725467698</v>
      </c>
      <c r="BI27">
        <v>0.42399999999999999</v>
      </c>
      <c r="BJ27">
        <v>5.3800000000000001E-2</v>
      </c>
      <c r="BK27">
        <v>5.0015999999999963</v>
      </c>
      <c r="BL27" s="2">
        <v>45681</v>
      </c>
      <c r="BM27" t="s">
        <v>1321</v>
      </c>
      <c r="BN27">
        <v>4</v>
      </c>
      <c r="BO27">
        <v>5.8400000000000001E-2</v>
      </c>
      <c r="BP27">
        <v>9.4552938549400736</v>
      </c>
      <c r="BQ27">
        <v>929.23338728041483</v>
      </c>
      <c r="BR27">
        <v>0.42399999999999999</v>
      </c>
      <c r="BS27">
        <v>5.3800000000000001E-2</v>
      </c>
      <c r="BT27">
        <v>4.9998999999999683</v>
      </c>
      <c r="BU27" s="2">
        <v>45681</v>
      </c>
      <c r="BV27" t="s">
        <v>1519</v>
      </c>
      <c r="BW27">
        <v>5</v>
      </c>
      <c r="BX27">
        <v>5.8299999999999998E-2</v>
      </c>
      <c r="BY27">
        <v>9.4521409143883606</v>
      </c>
      <c r="BZ27">
        <v>928.93953322099526</v>
      </c>
      <c r="CA27">
        <v>0.42399999999999999</v>
      </c>
      <c r="CB27">
        <v>5.3699999999999998E-2</v>
      </c>
      <c r="CC27">
        <v>4.9995000000000118</v>
      </c>
      <c r="CD27" s="2">
        <v>45681</v>
      </c>
      <c r="CE27" t="s">
        <v>1679</v>
      </c>
      <c r="CF27">
        <v>5</v>
      </c>
      <c r="CG27">
        <v>5.8599999999999999E-2</v>
      </c>
      <c r="CH27">
        <v>9.4517313889309005</v>
      </c>
      <c r="CI27">
        <v>928.90136544835991</v>
      </c>
      <c r="CJ27">
        <v>0.42399999999999999</v>
      </c>
      <c r="CK27">
        <v>5.3699999999999998E-2</v>
      </c>
      <c r="CL27">
        <v>4.9981999999999971</v>
      </c>
    </row>
    <row r="28" spans="1:90" x14ac:dyDescent="0.3">
      <c r="A28" s="2">
        <v>45681</v>
      </c>
      <c r="B28" t="s">
        <v>126</v>
      </c>
      <c r="C28">
        <v>0</v>
      </c>
      <c r="D28">
        <v>5.4199999999999998E-2</v>
      </c>
      <c r="E28">
        <v>9.2119627484723487</v>
      </c>
      <c r="F28">
        <v>906.55492815762295</v>
      </c>
      <c r="G28">
        <v>0.42399999999999999</v>
      </c>
      <c r="H28">
        <v>0.05</v>
      </c>
      <c r="I28">
        <v>5.2007300000000001</v>
      </c>
      <c r="J28" s="2">
        <v>45681</v>
      </c>
      <c r="K28" t="s">
        <v>286</v>
      </c>
      <c r="L28">
        <v>0</v>
      </c>
      <c r="M28">
        <v>5.5100000000000003E-2</v>
      </c>
      <c r="N28">
        <v>9.2141247185111492</v>
      </c>
      <c r="O28">
        <v>906.75642376523911</v>
      </c>
      <c r="P28">
        <v>0.42399999999999999</v>
      </c>
      <c r="Q28">
        <v>0.05</v>
      </c>
      <c r="R28">
        <v>5.1988399999999899</v>
      </c>
      <c r="S28" s="2">
        <v>45681</v>
      </c>
      <c r="T28" t="s">
        <v>446</v>
      </c>
      <c r="U28">
        <v>1</v>
      </c>
      <c r="V28">
        <v>5.5E-2</v>
      </c>
      <c r="W28">
        <v>9.2156719948930075</v>
      </c>
      <c r="X28">
        <v>906.90062992402829</v>
      </c>
      <c r="Y28">
        <v>0.42399999999999999</v>
      </c>
      <c r="Z28">
        <v>0.05</v>
      </c>
      <c r="AA28">
        <v>5.1975999999999942</v>
      </c>
      <c r="AB28" s="2">
        <v>45681</v>
      </c>
      <c r="AC28" t="s">
        <v>646</v>
      </c>
      <c r="AD28">
        <v>2</v>
      </c>
      <c r="AE28">
        <v>5.5300000000000002E-2</v>
      </c>
      <c r="AF28">
        <v>9.2145249181413647</v>
      </c>
      <c r="AG28">
        <v>906.79372237077519</v>
      </c>
      <c r="AH28">
        <v>0.42399999999999999</v>
      </c>
      <c r="AI28">
        <v>0.05</v>
      </c>
      <c r="AJ28">
        <v>5.1988000000000056</v>
      </c>
      <c r="AK28" s="2">
        <v>45681</v>
      </c>
      <c r="AL28" t="s">
        <v>806</v>
      </c>
      <c r="AM28">
        <v>2</v>
      </c>
      <c r="AN28">
        <v>5.5300000000000002E-2</v>
      </c>
      <c r="AO28">
        <v>9.2140829550239047</v>
      </c>
      <c r="AP28">
        <v>906.75253140822792</v>
      </c>
      <c r="AQ28">
        <v>0.42399999999999999</v>
      </c>
      <c r="AR28">
        <v>0.05</v>
      </c>
      <c r="AS28">
        <v>5.2008000000000152</v>
      </c>
      <c r="AT28" s="2">
        <v>45681</v>
      </c>
      <c r="AU28" t="s">
        <v>964</v>
      </c>
      <c r="AV28">
        <v>3</v>
      </c>
      <c r="AW28">
        <v>5.57E-2</v>
      </c>
      <c r="AX28">
        <v>9.2156176618125123</v>
      </c>
      <c r="AY28">
        <v>906.89556608092619</v>
      </c>
      <c r="AZ28">
        <v>0.42399999999999999</v>
      </c>
      <c r="BA28">
        <v>0.05</v>
      </c>
      <c r="BB28">
        <v>5.2014999999999816</v>
      </c>
      <c r="BC28" s="2">
        <v>45681</v>
      </c>
      <c r="BD28" t="s">
        <v>1164</v>
      </c>
      <c r="BE28">
        <v>3</v>
      </c>
      <c r="BF28">
        <v>5.5800000000000002E-2</v>
      </c>
      <c r="BG28">
        <v>9.2170222124903844</v>
      </c>
      <c r="BH28">
        <v>907.02647020410382</v>
      </c>
      <c r="BI28">
        <v>0.42399999999999999</v>
      </c>
      <c r="BJ28">
        <v>5.0099999999999999E-2</v>
      </c>
      <c r="BK28">
        <v>5.2001999999999953</v>
      </c>
      <c r="BL28" s="2">
        <v>45681</v>
      </c>
      <c r="BM28" t="s">
        <v>1322</v>
      </c>
      <c r="BN28">
        <v>4</v>
      </c>
      <c r="BO28">
        <v>5.5399999999999998E-2</v>
      </c>
      <c r="BP28">
        <v>9.2122246825768244</v>
      </c>
      <c r="BQ28">
        <v>906.57934041616011</v>
      </c>
      <c r="BR28">
        <v>0.42399999999999999</v>
      </c>
      <c r="BS28">
        <v>0.05</v>
      </c>
      <c r="BT28">
        <v>5.2006000000000085</v>
      </c>
      <c r="BU28" s="2">
        <v>45681</v>
      </c>
      <c r="BV28" t="s">
        <v>1520</v>
      </c>
      <c r="BW28">
        <v>5</v>
      </c>
      <c r="BX28">
        <v>5.5599999999999997E-2</v>
      </c>
      <c r="BY28">
        <v>9.2113018311499069</v>
      </c>
      <c r="BZ28">
        <v>906.49333066317138</v>
      </c>
      <c r="CA28">
        <v>0.42399999999999999</v>
      </c>
      <c r="CB28">
        <v>0.05</v>
      </c>
      <c r="CC28">
        <v>5.1981000000000108</v>
      </c>
      <c r="CD28" s="2">
        <v>45681</v>
      </c>
      <c r="CE28" t="s">
        <v>1680</v>
      </c>
      <c r="CF28">
        <v>5</v>
      </c>
      <c r="CG28">
        <v>5.5300000000000002E-2</v>
      </c>
      <c r="CH28">
        <v>9.2068692249113138</v>
      </c>
      <c r="CI28">
        <v>906.08021176173452</v>
      </c>
      <c r="CJ28">
        <v>0.42399999999999999</v>
      </c>
      <c r="CK28">
        <v>4.99E-2</v>
      </c>
      <c r="CL28">
        <v>5.1999999999999886</v>
      </c>
    </row>
    <row r="29" spans="1:90" x14ac:dyDescent="0.3">
      <c r="A29" s="2">
        <v>45681</v>
      </c>
      <c r="B29" t="s">
        <v>127</v>
      </c>
      <c r="C29">
        <v>0</v>
      </c>
      <c r="D29">
        <v>5.0099999999999999E-2</v>
      </c>
      <c r="E29">
        <v>8.9413949553173655</v>
      </c>
      <c r="F29">
        <v>881.33800983557853</v>
      </c>
      <c r="G29">
        <v>0.42399999999999999</v>
      </c>
      <c r="H29">
        <v>4.58E-2</v>
      </c>
      <c r="I29">
        <v>5.4000500000000002</v>
      </c>
      <c r="J29" s="2">
        <v>45681</v>
      </c>
      <c r="K29" t="s">
        <v>287</v>
      </c>
      <c r="L29">
        <v>0</v>
      </c>
      <c r="M29">
        <v>5.0299999999999997E-2</v>
      </c>
      <c r="N29">
        <v>8.9428651922567308</v>
      </c>
      <c r="O29">
        <v>881.47503591832731</v>
      </c>
      <c r="P29">
        <v>0.42399999999999999</v>
      </c>
      <c r="Q29">
        <v>4.58E-2</v>
      </c>
      <c r="R29">
        <v>5.3988099999999974</v>
      </c>
      <c r="S29" s="2">
        <v>45681</v>
      </c>
      <c r="T29" t="s">
        <v>447</v>
      </c>
      <c r="U29">
        <v>1</v>
      </c>
      <c r="V29">
        <v>5.0799999999999998E-2</v>
      </c>
      <c r="W29">
        <v>8.9435082688661716</v>
      </c>
      <c r="X29">
        <v>881.53497065832721</v>
      </c>
      <c r="Y29">
        <v>0.42399999999999999</v>
      </c>
      <c r="Z29">
        <v>4.58E-2</v>
      </c>
      <c r="AA29">
        <v>5.3983000000000061</v>
      </c>
      <c r="AB29" s="2">
        <v>45681</v>
      </c>
      <c r="AC29" t="s">
        <v>647</v>
      </c>
      <c r="AD29">
        <v>2</v>
      </c>
      <c r="AE29">
        <v>5.0799999999999998E-2</v>
      </c>
      <c r="AF29">
        <v>8.9433472969784358</v>
      </c>
      <c r="AG29">
        <v>881.51996807839021</v>
      </c>
      <c r="AH29">
        <v>0.42399999999999999</v>
      </c>
      <c r="AI29">
        <v>4.58E-2</v>
      </c>
      <c r="AJ29">
        <v>5.3988000000000227</v>
      </c>
      <c r="AK29" s="2">
        <v>45681</v>
      </c>
      <c r="AL29" t="s">
        <v>807</v>
      </c>
      <c r="AM29">
        <v>2</v>
      </c>
      <c r="AN29">
        <v>5.0799999999999998E-2</v>
      </c>
      <c r="AO29">
        <v>8.9452578751522616</v>
      </c>
      <c r="AP29">
        <v>881.69803396419081</v>
      </c>
      <c r="AQ29">
        <v>0.42399999999999999</v>
      </c>
      <c r="AR29">
        <v>4.58E-2</v>
      </c>
      <c r="AS29">
        <v>5.3990000000000009</v>
      </c>
      <c r="AT29" s="2">
        <v>45681</v>
      </c>
      <c r="AU29" t="s">
        <v>965</v>
      </c>
      <c r="AV29">
        <v>3</v>
      </c>
      <c r="AW29">
        <v>5.0999999999999997E-2</v>
      </c>
      <c r="AX29">
        <v>8.9434758312061735</v>
      </c>
      <c r="AY29">
        <v>881.53194746841541</v>
      </c>
      <c r="AZ29">
        <v>0.42399999999999999</v>
      </c>
      <c r="BA29">
        <v>4.58E-2</v>
      </c>
      <c r="BB29">
        <v>5.4021999999999935</v>
      </c>
      <c r="BC29" s="2">
        <v>45681</v>
      </c>
      <c r="BD29" t="s">
        <v>1165</v>
      </c>
      <c r="BE29">
        <v>3</v>
      </c>
      <c r="BF29">
        <v>5.0999999999999997E-2</v>
      </c>
      <c r="BG29">
        <v>8.9422395508895391</v>
      </c>
      <c r="BH29">
        <v>881.41672614290508</v>
      </c>
      <c r="BI29">
        <v>0.42399999999999999</v>
      </c>
      <c r="BJ29">
        <v>4.58E-2</v>
      </c>
      <c r="BK29">
        <v>5.4028999999999883</v>
      </c>
      <c r="BL29" s="2">
        <v>45681</v>
      </c>
      <c r="BM29" t="s">
        <v>1323</v>
      </c>
      <c r="BN29">
        <v>4</v>
      </c>
      <c r="BO29">
        <v>5.0999999999999997E-2</v>
      </c>
      <c r="BP29">
        <v>8.9414492883978607</v>
      </c>
      <c r="BQ29">
        <v>881.34307367868064</v>
      </c>
      <c r="BR29">
        <v>0.42399999999999999</v>
      </c>
      <c r="BS29">
        <v>4.58E-2</v>
      </c>
      <c r="BT29">
        <v>5.400100000000009</v>
      </c>
      <c r="BU29" s="2">
        <v>45681</v>
      </c>
      <c r="BV29" t="s">
        <v>1521</v>
      </c>
      <c r="BW29">
        <v>5</v>
      </c>
      <c r="BX29">
        <v>5.0900000000000001E-2</v>
      </c>
      <c r="BY29">
        <v>8.9374521577447243</v>
      </c>
      <c r="BZ29">
        <v>880.97054110180829</v>
      </c>
      <c r="CA29">
        <v>0.42399999999999999</v>
      </c>
      <c r="CB29">
        <v>4.5699999999999998E-2</v>
      </c>
      <c r="CC29">
        <v>5.3996999999999957</v>
      </c>
      <c r="CD29" s="2">
        <v>45681</v>
      </c>
      <c r="CE29" t="s">
        <v>1681</v>
      </c>
      <c r="CF29">
        <v>5</v>
      </c>
      <c r="CG29">
        <v>5.0900000000000001E-2</v>
      </c>
      <c r="CH29">
        <v>8.9363845532600727</v>
      </c>
      <c r="CI29">
        <v>880.8710403638388</v>
      </c>
      <c r="CJ29">
        <v>0.42399999999999999</v>
      </c>
      <c r="CK29">
        <v>4.5699999999999998E-2</v>
      </c>
      <c r="CL29">
        <v>5.3988999999999692</v>
      </c>
    </row>
    <row r="30" spans="1:90" x14ac:dyDescent="0.3">
      <c r="A30" s="2">
        <v>45681</v>
      </c>
      <c r="B30" t="s">
        <v>128</v>
      </c>
      <c r="C30">
        <v>0</v>
      </c>
      <c r="D30">
        <v>4.5900000000000003E-2</v>
      </c>
      <c r="E30">
        <v>8.6473889254607776</v>
      </c>
      <c r="F30">
        <v>853.93664785294447</v>
      </c>
      <c r="G30">
        <v>0.42399999999999999</v>
      </c>
      <c r="H30">
        <v>4.1200000000000001E-2</v>
      </c>
      <c r="I30">
        <v>5.6000199999999936</v>
      </c>
      <c r="J30" s="2">
        <v>45681</v>
      </c>
      <c r="K30" t="s">
        <v>288</v>
      </c>
      <c r="L30">
        <v>0</v>
      </c>
      <c r="M30">
        <v>4.58E-2</v>
      </c>
      <c r="N30">
        <v>8.6471411828325504</v>
      </c>
      <c r="O30">
        <v>853.91355823999368</v>
      </c>
      <c r="P30">
        <v>0.42399999999999999</v>
      </c>
      <c r="Q30">
        <v>4.1200000000000001E-2</v>
      </c>
      <c r="R30">
        <v>5.599979999999988</v>
      </c>
      <c r="S30" s="2">
        <v>45681</v>
      </c>
      <c r="T30" t="s">
        <v>448</v>
      </c>
      <c r="U30">
        <v>1</v>
      </c>
      <c r="V30">
        <v>4.5999999999999999E-2</v>
      </c>
      <c r="W30">
        <v>8.649784446651557</v>
      </c>
      <c r="X30">
        <v>854.15991042792518</v>
      </c>
      <c r="Y30">
        <v>0.42399999999999999</v>
      </c>
      <c r="Z30">
        <v>4.1200000000000001E-2</v>
      </c>
      <c r="AA30">
        <v>5.5982000000000056</v>
      </c>
      <c r="AB30" s="2">
        <v>45681</v>
      </c>
      <c r="AC30" t="s">
        <v>648</v>
      </c>
      <c r="AD30">
        <v>2</v>
      </c>
      <c r="AE30">
        <v>4.5900000000000003E-2</v>
      </c>
      <c r="AF30">
        <v>8.6490833877248736</v>
      </c>
      <c r="AG30">
        <v>854.0945717359582</v>
      </c>
      <c r="AH30">
        <v>0.42399999999999999</v>
      </c>
      <c r="AI30">
        <v>4.1200000000000001E-2</v>
      </c>
      <c r="AJ30">
        <v>5.599000000000018</v>
      </c>
      <c r="AK30" s="2">
        <v>45681</v>
      </c>
      <c r="AL30" t="s">
        <v>808</v>
      </c>
      <c r="AM30">
        <v>2</v>
      </c>
      <c r="AN30">
        <v>4.6100000000000002E-2</v>
      </c>
      <c r="AO30">
        <v>8.6517992308081233</v>
      </c>
      <c r="AP30">
        <v>854.34768831131714</v>
      </c>
      <c r="AQ30">
        <v>0.42399999999999999</v>
      </c>
      <c r="AR30">
        <v>4.1300000000000003E-2</v>
      </c>
      <c r="AS30">
        <v>5.5988000000000113</v>
      </c>
      <c r="AT30" s="2">
        <v>45681</v>
      </c>
      <c r="AU30" t="s">
        <v>966</v>
      </c>
      <c r="AV30">
        <v>3</v>
      </c>
      <c r="AW30">
        <v>4.6300000000000001E-2</v>
      </c>
      <c r="AX30">
        <v>8.6505734927309845</v>
      </c>
      <c r="AY30">
        <v>854.23344952252774</v>
      </c>
      <c r="AZ30">
        <v>0.42399999999999999</v>
      </c>
      <c r="BA30">
        <v>4.1200000000000001E-2</v>
      </c>
      <c r="BB30">
        <v>5.6014999999999873</v>
      </c>
      <c r="BC30" s="2">
        <v>45681</v>
      </c>
      <c r="BD30" t="s">
        <v>1166</v>
      </c>
      <c r="BE30">
        <v>3</v>
      </c>
      <c r="BF30">
        <v>4.6399999999999997E-2</v>
      </c>
      <c r="BG30">
        <v>8.6514606627319033</v>
      </c>
      <c r="BH30">
        <v>854.31613376661346</v>
      </c>
      <c r="BI30">
        <v>0.42399999999999999</v>
      </c>
      <c r="BJ30">
        <v>4.1300000000000003E-2</v>
      </c>
      <c r="BK30">
        <v>5.6007999999999925</v>
      </c>
      <c r="BL30" s="2">
        <v>45681</v>
      </c>
      <c r="BM30" t="s">
        <v>1324</v>
      </c>
      <c r="BN30">
        <v>4</v>
      </c>
      <c r="BO30">
        <v>4.65E-2</v>
      </c>
      <c r="BP30">
        <v>8.6465568994818529</v>
      </c>
      <c r="BQ30">
        <v>853.85910303170874</v>
      </c>
      <c r="BR30">
        <v>0.42399999999999999</v>
      </c>
      <c r="BS30">
        <v>4.1200000000000001E-2</v>
      </c>
      <c r="BT30">
        <v>5.6006999999999607</v>
      </c>
      <c r="BU30" s="2">
        <v>45681</v>
      </c>
      <c r="BV30" t="s">
        <v>1522</v>
      </c>
      <c r="BW30">
        <v>5</v>
      </c>
      <c r="BX30">
        <v>4.6199999999999998E-2</v>
      </c>
      <c r="BY30">
        <v>8.6437940217916065</v>
      </c>
      <c r="BZ30">
        <v>853.60160283097775</v>
      </c>
      <c r="CA30">
        <v>0.42399999999999999</v>
      </c>
      <c r="CB30">
        <v>4.1099999999999998E-2</v>
      </c>
      <c r="CC30">
        <v>5.5992999999999711</v>
      </c>
      <c r="CD30" s="2">
        <v>45681</v>
      </c>
      <c r="CE30" t="s">
        <v>1682</v>
      </c>
      <c r="CF30">
        <v>5</v>
      </c>
      <c r="CG30">
        <v>4.6199999999999998E-2</v>
      </c>
      <c r="CH30">
        <v>8.6418891202082797</v>
      </c>
      <c r="CI30">
        <v>853.42406600341167</v>
      </c>
      <c r="CJ30">
        <v>0.42399999999999999</v>
      </c>
      <c r="CK30">
        <v>4.1099999999999998E-2</v>
      </c>
      <c r="CL30">
        <v>5.5989999999999895</v>
      </c>
    </row>
    <row r="31" spans="1:90" x14ac:dyDescent="0.3">
      <c r="A31" s="2">
        <v>45681</v>
      </c>
      <c r="B31" t="s">
        <v>129</v>
      </c>
      <c r="C31">
        <v>0</v>
      </c>
      <c r="D31">
        <v>4.1200000000000001E-2</v>
      </c>
      <c r="E31">
        <v>8.3372747591204153</v>
      </c>
      <c r="F31">
        <v>825.03400755002269</v>
      </c>
      <c r="G31">
        <v>0.42399999999999999</v>
      </c>
      <c r="H31">
        <v>3.6400000000000002E-2</v>
      </c>
      <c r="I31">
        <v>5.800459999999994</v>
      </c>
      <c r="J31" s="2">
        <v>45681</v>
      </c>
      <c r="K31" t="s">
        <v>289</v>
      </c>
      <c r="L31">
        <v>0</v>
      </c>
      <c r="M31">
        <v>4.1799999999999997E-2</v>
      </c>
      <c r="N31">
        <v>8.3376133271966335</v>
      </c>
      <c r="O31">
        <v>825.06556209472626</v>
      </c>
      <c r="P31">
        <v>0.42399999999999999</v>
      </c>
      <c r="Q31">
        <v>3.6400000000000002E-2</v>
      </c>
      <c r="R31">
        <v>5.8000399999999956</v>
      </c>
      <c r="S31" s="2">
        <v>45681</v>
      </c>
      <c r="T31" t="s">
        <v>449</v>
      </c>
      <c r="U31">
        <v>1</v>
      </c>
      <c r="V31">
        <v>4.1500000000000002E-2</v>
      </c>
      <c r="W31">
        <v>8.3380512356065939</v>
      </c>
      <c r="X31">
        <v>825.10637515853455</v>
      </c>
      <c r="Y31">
        <v>0.42399999999999999</v>
      </c>
      <c r="Z31">
        <v>3.6400000000000002E-2</v>
      </c>
      <c r="AA31">
        <v>5.7997000000000014</v>
      </c>
      <c r="AB31" s="2">
        <v>45681</v>
      </c>
      <c r="AC31" t="s">
        <v>649</v>
      </c>
      <c r="AD31">
        <v>2</v>
      </c>
      <c r="AE31">
        <v>4.1700000000000001E-2</v>
      </c>
      <c r="AF31">
        <v>8.3415703162455213</v>
      </c>
      <c r="AG31">
        <v>825.43435347408263</v>
      </c>
      <c r="AH31">
        <v>0.42399999999999999</v>
      </c>
      <c r="AI31">
        <v>3.6400000000000002E-2</v>
      </c>
      <c r="AJ31">
        <v>5.7978000000000236</v>
      </c>
      <c r="AK31" s="2">
        <v>45681</v>
      </c>
      <c r="AL31" t="s">
        <v>809</v>
      </c>
      <c r="AM31">
        <v>2</v>
      </c>
      <c r="AN31">
        <v>4.1700000000000001E-2</v>
      </c>
      <c r="AO31">
        <v>8.340694093954852</v>
      </c>
      <c r="AP31">
        <v>825.35268955659228</v>
      </c>
      <c r="AQ31">
        <v>0.42399999999999999</v>
      </c>
      <c r="AR31">
        <v>3.6400000000000002E-2</v>
      </c>
      <c r="AS31">
        <v>5.8000000000000114</v>
      </c>
      <c r="AT31" s="2">
        <v>45681</v>
      </c>
      <c r="AU31" t="s">
        <v>967</v>
      </c>
      <c r="AV31">
        <v>3</v>
      </c>
      <c r="AW31">
        <v>4.1599999999999998E-2</v>
      </c>
      <c r="AX31">
        <v>8.3429343198483963</v>
      </c>
      <c r="AY31">
        <v>825.56147860987051</v>
      </c>
      <c r="AZ31">
        <v>0.42399999999999999</v>
      </c>
      <c r="BA31">
        <v>3.6499999999999998E-2</v>
      </c>
      <c r="BB31">
        <v>5.8004999999999995</v>
      </c>
      <c r="BC31" s="2">
        <v>45681</v>
      </c>
      <c r="BD31" t="s">
        <v>1167</v>
      </c>
      <c r="BE31">
        <v>3</v>
      </c>
      <c r="BF31">
        <v>4.1599999999999998E-2</v>
      </c>
      <c r="BG31">
        <v>8.3415034135717789</v>
      </c>
      <c r="BH31">
        <v>825.42811814488982</v>
      </c>
      <c r="BI31">
        <v>0.42399999999999999</v>
      </c>
      <c r="BJ31">
        <v>3.6400000000000002E-2</v>
      </c>
      <c r="BK31">
        <v>5.8011999999999944</v>
      </c>
      <c r="BL31" s="2">
        <v>45681</v>
      </c>
      <c r="BM31" t="s">
        <v>1325</v>
      </c>
      <c r="BN31">
        <v>4</v>
      </c>
      <c r="BO31">
        <v>4.1700000000000001E-2</v>
      </c>
      <c r="BP31">
        <v>8.3393442818282235</v>
      </c>
      <c r="BQ31">
        <v>825.22688706639042</v>
      </c>
      <c r="BR31">
        <v>0.42399999999999999</v>
      </c>
      <c r="BS31">
        <v>3.6400000000000002E-2</v>
      </c>
      <c r="BT31">
        <v>5.7992999999999597</v>
      </c>
      <c r="BU31" s="2">
        <v>45681</v>
      </c>
      <c r="BV31" t="s">
        <v>1523</v>
      </c>
      <c r="BW31">
        <v>5</v>
      </c>
      <c r="BX31">
        <v>4.1599999999999998E-2</v>
      </c>
      <c r="BY31">
        <v>8.333450359006763</v>
      </c>
      <c r="BZ31">
        <v>824.67757345943039</v>
      </c>
      <c r="CA31">
        <v>0.42399999999999999</v>
      </c>
      <c r="CB31">
        <v>3.6299999999999999E-2</v>
      </c>
      <c r="CC31">
        <v>5.7998000000000047</v>
      </c>
      <c r="CD31" s="2">
        <v>45681</v>
      </c>
      <c r="CE31" t="s">
        <v>1683</v>
      </c>
      <c r="CF31">
        <v>5</v>
      </c>
      <c r="CG31">
        <v>4.1399999999999999E-2</v>
      </c>
      <c r="CH31">
        <v>8.3303724305437967</v>
      </c>
      <c r="CI31">
        <v>824.39071052668191</v>
      </c>
      <c r="CJ31">
        <v>0.42399999999999999</v>
      </c>
      <c r="CK31">
        <v>3.6299999999999999E-2</v>
      </c>
      <c r="CL31">
        <v>5.800200000000018</v>
      </c>
    </row>
    <row r="32" spans="1:90" x14ac:dyDescent="0.3">
      <c r="A32" s="2">
        <v>45681</v>
      </c>
      <c r="B32" t="s">
        <v>130</v>
      </c>
      <c r="C32">
        <v>0</v>
      </c>
      <c r="D32">
        <v>3.6999999999999998E-2</v>
      </c>
      <c r="E32">
        <v>8.019351631606515</v>
      </c>
      <c r="F32">
        <v>795.40357206572719</v>
      </c>
      <c r="G32">
        <v>0.42399999999999999</v>
      </c>
      <c r="H32">
        <v>3.1399999999999997E-2</v>
      </c>
      <c r="I32">
        <v>6.0009199999999936</v>
      </c>
      <c r="J32" s="2">
        <v>45681</v>
      </c>
      <c r="K32" t="s">
        <v>290</v>
      </c>
      <c r="L32">
        <v>0</v>
      </c>
      <c r="M32">
        <v>3.6900000000000002E-2</v>
      </c>
      <c r="N32">
        <v>8.0234606721866388</v>
      </c>
      <c r="O32">
        <v>795.78653464779472</v>
      </c>
      <c r="P32">
        <v>0.42399999999999999</v>
      </c>
      <c r="Q32">
        <v>3.15E-2</v>
      </c>
      <c r="R32">
        <v>5.9981299999999891</v>
      </c>
      <c r="S32" s="2">
        <v>45681</v>
      </c>
      <c r="T32" t="s">
        <v>450</v>
      </c>
      <c r="U32">
        <v>1</v>
      </c>
      <c r="V32">
        <v>3.6600000000000001E-2</v>
      </c>
      <c r="W32">
        <v>8.0234399931783926</v>
      </c>
      <c r="X32">
        <v>795.78460736422619</v>
      </c>
      <c r="Y32">
        <v>0.42399999999999999</v>
      </c>
      <c r="Z32">
        <v>3.15E-2</v>
      </c>
      <c r="AA32">
        <v>5.9980999999999938</v>
      </c>
      <c r="AB32" s="2">
        <v>45681</v>
      </c>
      <c r="AC32" t="s">
        <v>650</v>
      </c>
      <c r="AD32">
        <v>2</v>
      </c>
      <c r="AE32">
        <v>3.6600000000000001E-2</v>
      </c>
      <c r="AF32">
        <v>8.0224084755904883</v>
      </c>
      <c r="AG32">
        <v>795.68846992503359</v>
      </c>
      <c r="AH32">
        <v>0.42399999999999999</v>
      </c>
      <c r="AI32">
        <v>3.15E-2</v>
      </c>
      <c r="AJ32">
        <v>5.999100000000027</v>
      </c>
      <c r="AK32" s="2">
        <v>45681</v>
      </c>
      <c r="AL32" t="s">
        <v>810</v>
      </c>
      <c r="AM32">
        <v>2</v>
      </c>
      <c r="AN32">
        <v>3.6700000000000003E-2</v>
      </c>
      <c r="AO32">
        <v>8.0229757291696853</v>
      </c>
      <c r="AP32">
        <v>795.74133795861474</v>
      </c>
      <c r="AQ32">
        <v>0.42399999999999999</v>
      </c>
      <c r="AR32">
        <v>3.15E-2</v>
      </c>
      <c r="AS32">
        <v>6.0004000000000133</v>
      </c>
      <c r="AT32" s="2">
        <v>45681</v>
      </c>
      <c r="AU32" t="s">
        <v>968</v>
      </c>
      <c r="AV32">
        <v>3</v>
      </c>
      <c r="AW32">
        <v>3.6499999999999998E-2</v>
      </c>
      <c r="AX32">
        <v>8.0260483865129029</v>
      </c>
      <c r="AY32">
        <v>796.02770962300258</v>
      </c>
      <c r="AZ32">
        <v>0.42399999999999999</v>
      </c>
      <c r="BA32">
        <v>3.15E-2</v>
      </c>
      <c r="BB32">
        <v>6.0002999999999815</v>
      </c>
      <c r="BC32" s="2">
        <v>45681</v>
      </c>
      <c r="BD32" t="s">
        <v>1168</v>
      </c>
      <c r="BE32">
        <v>3</v>
      </c>
      <c r="BF32">
        <v>3.6900000000000002E-2</v>
      </c>
      <c r="BG32">
        <v>8.024568418275539</v>
      </c>
      <c r="BH32">
        <v>795.88977658328031</v>
      </c>
      <c r="BI32">
        <v>0.42399999999999999</v>
      </c>
      <c r="BJ32">
        <v>3.15E-2</v>
      </c>
      <c r="BK32">
        <v>6.0011000000000081</v>
      </c>
      <c r="BL32" s="2">
        <v>45681</v>
      </c>
      <c r="BM32" t="s">
        <v>1326</v>
      </c>
      <c r="BN32">
        <v>4</v>
      </c>
      <c r="BO32">
        <v>3.6900000000000002E-2</v>
      </c>
      <c r="BP32">
        <v>8.022877199777442</v>
      </c>
      <c r="BQ32">
        <v>795.73215501925756</v>
      </c>
      <c r="BR32">
        <v>0.42399999999999999</v>
      </c>
      <c r="BS32">
        <v>3.15E-2</v>
      </c>
      <c r="BT32">
        <v>5.9987999999999602</v>
      </c>
      <c r="BU32" s="2">
        <v>45681</v>
      </c>
      <c r="BV32" t="s">
        <v>1524</v>
      </c>
      <c r="BW32">
        <v>5</v>
      </c>
      <c r="BX32">
        <v>3.6499999999999998E-2</v>
      </c>
      <c r="BY32">
        <v>8.0170972142367205</v>
      </c>
      <c r="BZ32">
        <v>795.19346036686238</v>
      </c>
      <c r="CA32">
        <v>0.42399999999999999</v>
      </c>
      <c r="CB32">
        <v>3.1399999999999997E-2</v>
      </c>
      <c r="CC32">
        <v>5.9993000000000052</v>
      </c>
      <c r="CD32" s="2">
        <v>45681</v>
      </c>
      <c r="CE32" t="s">
        <v>1684</v>
      </c>
      <c r="CF32">
        <v>5</v>
      </c>
      <c r="CG32">
        <v>3.6700000000000003E-2</v>
      </c>
      <c r="CH32">
        <v>8.0120032852049388</v>
      </c>
      <c r="CI32">
        <v>794.71870618110029</v>
      </c>
      <c r="CJ32">
        <v>0.42399999999999999</v>
      </c>
      <c r="CK32">
        <v>3.1300000000000001E-2</v>
      </c>
      <c r="CL32">
        <v>6.0009000000000015</v>
      </c>
    </row>
    <row r="33" spans="1:90" x14ac:dyDescent="0.3">
      <c r="A33" s="2">
        <v>45681</v>
      </c>
      <c r="B33" t="s">
        <v>131</v>
      </c>
      <c r="C33">
        <v>0</v>
      </c>
      <c r="D33">
        <v>3.1300000000000001E-2</v>
      </c>
      <c r="E33">
        <v>7.7049804278622931</v>
      </c>
      <c r="F33">
        <v>766.10417587676579</v>
      </c>
      <c r="G33">
        <v>0.42399999999999999</v>
      </c>
      <c r="H33">
        <v>2.6599999999999999E-2</v>
      </c>
      <c r="I33">
        <v>6.1991899999999944</v>
      </c>
      <c r="J33" s="2">
        <v>45681</v>
      </c>
      <c r="K33" t="s">
        <v>291</v>
      </c>
      <c r="L33">
        <v>0</v>
      </c>
      <c r="M33">
        <v>3.1699999999999999E-2</v>
      </c>
      <c r="N33">
        <v>7.7035239769284267</v>
      </c>
      <c r="O33">
        <v>765.96843464972937</v>
      </c>
      <c r="P33">
        <v>0.42399999999999999</v>
      </c>
      <c r="Q33">
        <v>2.6499999999999999E-2</v>
      </c>
      <c r="R33">
        <v>6.1998999999999995</v>
      </c>
      <c r="S33" s="2">
        <v>45681</v>
      </c>
      <c r="T33" t="s">
        <v>451</v>
      </c>
      <c r="U33">
        <v>1</v>
      </c>
      <c r="V33">
        <v>3.1600000000000003E-2</v>
      </c>
      <c r="W33">
        <v>7.7062990187411744</v>
      </c>
      <c r="X33">
        <v>766.2270685466774</v>
      </c>
      <c r="Y33">
        <v>0.42399999999999999</v>
      </c>
      <c r="Z33">
        <v>2.6599999999999999E-2</v>
      </c>
      <c r="AA33">
        <v>6.1980999999999966</v>
      </c>
      <c r="AB33" s="2">
        <v>45681</v>
      </c>
      <c r="AC33" t="s">
        <v>651</v>
      </c>
      <c r="AD33">
        <v>2</v>
      </c>
      <c r="AE33">
        <v>3.1199999999999999E-2</v>
      </c>
      <c r="AF33">
        <v>7.7070523833946032</v>
      </c>
      <c r="AG33">
        <v>766.29728213237706</v>
      </c>
      <c r="AH33">
        <v>0.42399999999999999</v>
      </c>
      <c r="AI33">
        <v>2.6599999999999999E-2</v>
      </c>
      <c r="AJ33">
        <v>6.1980000000000075</v>
      </c>
      <c r="AK33" s="2">
        <v>45681</v>
      </c>
      <c r="AL33" t="s">
        <v>811</v>
      </c>
      <c r="AM33">
        <v>2</v>
      </c>
      <c r="AN33">
        <v>3.1699999999999999E-2</v>
      </c>
      <c r="AO33">
        <v>7.7072766087193338</v>
      </c>
      <c r="AP33">
        <v>766.3181799326419</v>
      </c>
      <c r="AQ33">
        <v>0.42399999999999999</v>
      </c>
      <c r="AR33">
        <v>2.6599999999999999E-2</v>
      </c>
      <c r="AS33">
        <v>6.1993999999999971</v>
      </c>
      <c r="AT33" s="2">
        <v>45681</v>
      </c>
      <c r="AU33" t="s">
        <v>969</v>
      </c>
      <c r="AV33">
        <v>3</v>
      </c>
      <c r="AW33">
        <v>3.1699999999999999E-2</v>
      </c>
      <c r="AX33">
        <v>7.7075308388795598</v>
      </c>
      <c r="AY33">
        <v>766.34187418357499</v>
      </c>
      <c r="AZ33">
        <v>0.42399999999999999</v>
      </c>
      <c r="BA33">
        <v>2.6599999999999999E-2</v>
      </c>
      <c r="BB33">
        <v>6.2012</v>
      </c>
      <c r="BC33" s="2">
        <v>45681</v>
      </c>
      <c r="BD33" t="s">
        <v>1169</v>
      </c>
      <c r="BE33">
        <v>3</v>
      </c>
      <c r="BF33">
        <v>3.1800000000000002E-2</v>
      </c>
      <c r="BG33">
        <v>7.7085441102837162</v>
      </c>
      <c r="BH33">
        <v>766.43631107844237</v>
      </c>
      <c r="BI33">
        <v>0.42399999999999999</v>
      </c>
      <c r="BJ33">
        <v>2.6599999999999999E-2</v>
      </c>
      <c r="BK33">
        <v>6.200300000000027</v>
      </c>
      <c r="BL33" s="2">
        <v>45681</v>
      </c>
      <c r="BM33" t="s">
        <v>1327</v>
      </c>
      <c r="BN33">
        <v>4</v>
      </c>
      <c r="BO33">
        <v>3.1699999999999999E-2</v>
      </c>
      <c r="BP33">
        <v>7.7000004361112504</v>
      </c>
      <c r="BQ33">
        <v>765.64004064556843</v>
      </c>
      <c r="BR33">
        <v>0.42399999999999999</v>
      </c>
      <c r="BS33">
        <v>2.6499999999999999E-2</v>
      </c>
      <c r="BT33">
        <v>6.2024999999999864</v>
      </c>
      <c r="BU33" s="2">
        <v>45681</v>
      </c>
      <c r="BV33" t="s">
        <v>1525</v>
      </c>
      <c r="BW33">
        <v>5</v>
      </c>
      <c r="BX33">
        <v>3.1699999999999999E-2</v>
      </c>
      <c r="BY33">
        <v>7.6983258419139009</v>
      </c>
      <c r="BZ33">
        <v>765.48396846637559</v>
      </c>
      <c r="CA33">
        <v>0.42399999999999999</v>
      </c>
      <c r="CB33">
        <v>2.6499999999999999E-2</v>
      </c>
      <c r="CC33">
        <v>6.2002999999999702</v>
      </c>
      <c r="CD33" s="2">
        <v>45681</v>
      </c>
      <c r="CE33" t="s">
        <v>1685</v>
      </c>
      <c r="CF33">
        <v>5</v>
      </c>
      <c r="CG33">
        <v>3.1600000000000003E-2</v>
      </c>
      <c r="CH33">
        <v>7.6945805085964958</v>
      </c>
      <c r="CI33">
        <v>765.13490340119347</v>
      </c>
      <c r="CJ33">
        <v>0.42399999999999999</v>
      </c>
      <c r="CK33">
        <v>2.64E-2</v>
      </c>
      <c r="CL33">
        <v>6.2010999999999967</v>
      </c>
    </row>
    <row r="34" spans="1:90" x14ac:dyDescent="0.3">
      <c r="A34" s="2">
        <v>45681</v>
      </c>
      <c r="B34" t="s">
        <v>132</v>
      </c>
      <c r="C34">
        <v>0</v>
      </c>
      <c r="D34">
        <v>2.58E-2</v>
      </c>
      <c r="E34">
        <v>7.3932249159260799</v>
      </c>
      <c r="F34">
        <v>737.04856216431062</v>
      </c>
      <c r="G34">
        <v>0.42399999999999999</v>
      </c>
      <c r="H34">
        <v>2.1700000000000001E-2</v>
      </c>
      <c r="I34">
        <v>6.4008099999999999</v>
      </c>
      <c r="J34" s="2">
        <v>45681</v>
      </c>
      <c r="K34" t="s">
        <v>292</v>
      </c>
      <c r="L34">
        <v>0</v>
      </c>
      <c r="M34">
        <v>2.63E-2</v>
      </c>
      <c r="N34">
        <v>7.3966389796407679</v>
      </c>
      <c r="O34">
        <v>737.36675290251958</v>
      </c>
      <c r="P34">
        <v>0.42399999999999999</v>
      </c>
      <c r="Q34">
        <v>2.18E-2</v>
      </c>
      <c r="R34">
        <v>6.3983399999999904</v>
      </c>
      <c r="S34" s="2">
        <v>45681</v>
      </c>
      <c r="T34" t="s">
        <v>452</v>
      </c>
      <c r="U34">
        <v>1</v>
      </c>
      <c r="V34">
        <v>2.58E-2</v>
      </c>
      <c r="W34">
        <v>7.3944867408999642</v>
      </c>
      <c r="X34">
        <v>737.16616425187669</v>
      </c>
      <c r="Y34">
        <v>0.42399999999999999</v>
      </c>
      <c r="Z34">
        <v>2.1700000000000001E-2</v>
      </c>
      <c r="AA34">
        <v>6.3996999999999957</v>
      </c>
      <c r="AB34" s="2">
        <v>45681</v>
      </c>
      <c r="AC34" t="s">
        <v>652</v>
      </c>
      <c r="AD34">
        <v>2</v>
      </c>
      <c r="AE34">
        <v>2.7E-2</v>
      </c>
      <c r="AF34">
        <v>7.397359501163451</v>
      </c>
      <c r="AG34">
        <v>737.43390550843367</v>
      </c>
      <c r="AH34">
        <v>0.42399999999999999</v>
      </c>
      <c r="AI34">
        <v>2.18E-2</v>
      </c>
      <c r="AJ34">
        <v>6.3982000000000028</v>
      </c>
      <c r="AK34" s="2">
        <v>45681</v>
      </c>
      <c r="AL34" t="s">
        <v>812</v>
      </c>
      <c r="AM34">
        <v>2</v>
      </c>
      <c r="AN34">
        <v>2.6700000000000002E-2</v>
      </c>
      <c r="AO34">
        <v>7.3961041637215663</v>
      </c>
      <c r="AP34">
        <v>737.31690805885</v>
      </c>
      <c r="AQ34">
        <v>0.42399999999999999</v>
      </c>
      <c r="AR34">
        <v>2.18E-2</v>
      </c>
      <c r="AS34">
        <v>6.4005999999999972</v>
      </c>
      <c r="AT34" s="2">
        <v>45681</v>
      </c>
      <c r="AU34" t="s">
        <v>970</v>
      </c>
      <c r="AV34">
        <v>3</v>
      </c>
      <c r="AW34">
        <v>2.6700000000000002E-2</v>
      </c>
      <c r="AX34">
        <v>7.3957315361023506</v>
      </c>
      <c r="AY34">
        <v>737.28217916473909</v>
      </c>
      <c r="AZ34">
        <v>0.42399999999999999</v>
      </c>
      <c r="BA34">
        <v>2.18E-2</v>
      </c>
      <c r="BB34">
        <v>6.4027999999999849</v>
      </c>
      <c r="BC34" s="2">
        <v>45681</v>
      </c>
      <c r="BD34" t="s">
        <v>1170</v>
      </c>
      <c r="BE34">
        <v>3</v>
      </c>
      <c r="BF34">
        <v>2.6599999999999999E-2</v>
      </c>
      <c r="BG34">
        <v>7.3977661883256634</v>
      </c>
      <c r="BH34">
        <v>737.47180875195181</v>
      </c>
      <c r="BI34">
        <v>0.42399999999999999</v>
      </c>
      <c r="BJ34">
        <v>2.18E-2</v>
      </c>
      <c r="BK34">
        <v>6.4012000000000171</v>
      </c>
      <c r="BL34" s="2">
        <v>45681</v>
      </c>
      <c r="BM34" t="s">
        <v>1328</v>
      </c>
      <c r="BN34">
        <v>4</v>
      </c>
      <c r="BO34">
        <v>2.63E-2</v>
      </c>
      <c r="BP34">
        <v>7.3938635323572726</v>
      </c>
      <c r="BQ34">
        <v>737.10808121569789</v>
      </c>
      <c r="BR34">
        <v>0.42399999999999999</v>
      </c>
      <c r="BS34">
        <v>2.1700000000000001E-2</v>
      </c>
      <c r="BT34">
        <v>6.4004999999999654</v>
      </c>
      <c r="BU34" s="2">
        <v>45681</v>
      </c>
      <c r="BV34" t="s">
        <v>1526</v>
      </c>
      <c r="BW34">
        <v>5</v>
      </c>
      <c r="BX34">
        <v>2.64E-2</v>
      </c>
      <c r="BY34">
        <v>7.3915162621857373</v>
      </c>
      <c r="BZ34">
        <v>736.88931563571077</v>
      </c>
      <c r="CA34">
        <v>0.42399999999999999</v>
      </c>
      <c r="CB34">
        <v>2.1700000000000001E-2</v>
      </c>
      <c r="CC34">
        <v>6.3988999999999692</v>
      </c>
      <c r="CD34" s="2">
        <v>45681</v>
      </c>
      <c r="CE34" t="s">
        <v>1686</v>
      </c>
      <c r="CF34">
        <v>5</v>
      </c>
      <c r="CG34">
        <v>2.6700000000000002E-2</v>
      </c>
      <c r="CH34">
        <v>7.3877936352303282</v>
      </c>
      <c r="CI34">
        <v>736.54236680346662</v>
      </c>
      <c r="CJ34">
        <v>0.42399999999999999</v>
      </c>
      <c r="CK34">
        <v>2.1600000000000001E-2</v>
      </c>
      <c r="CL34">
        <v>6.3996999999999957</v>
      </c>
    </row>
    <row r="35" spans="1:90" x14ac:dyDescent="0.3">
      <c r="A35" s="2">
        <v>45681</v>
      </c>
      <c r="B35" t="s">
        <v>133</v>
      </c>
      <c r="C35">
        <v>0</v>
      </c>
      <c r="D35">
        <v>2.2100000000000002E-2</v>
      </c>
      <c r="E35">
        <v>7.0996876102564492</v>
      </c>
      <c r="F35">
        <v>709.69088527590111</v>
      </c>
      <c r="G35">
        <v>0.42399999999999999</v>
      </c>
      <c r="H35">
        <v>1.72E-2</v>
      </c>
      <c r="I35">
        <v>6.6006999999999962</v>
      </c>
      <c r="J35" s="2">
        <v>45681</v>
      </c>
      <c r="K35" t="s">
        <v>293</v>
      </c>
      <c r="L35">
        <v>0</v>
      </c>
      <c r="M35">
        <v>2.12E-2</v>
      </c>
      <c r="N35">
        <v>7.1024310253506986</v>
      </c>
      <c r="O35">
        <v>709.94657156268511</v>
      </c>
      <c r="P35">
        <v>0.42399999999999999</v>
      </c>
      <c r="Q35">
        <v>1.72E-2</v>
      </c>
      <c r="R35">
        <v>6.5985499999999888</v>
      </c>
      <c r="S35" s="2">
        <v>45681</v>
      </c>
      <c r="T35" t="s">
        <v>453</v>
      </c>
      <c r="U35">
        <v>1</v>
      </c>
      <c r="V35">
        <v>2.1499999999999998E-2</v>
      </c>
      <c r="W35">
        <v>7.1009798455365818</v>
      </c>
      <c r="X35">
        <v>709.81132160400944</v>
      </c>
      <c r="Y35">
        <v>0.42399999999999999</v>
      </c>
      <c r="Z35">
        <v>1.72E-2</v>
      </c>
      <c r="AA35">
        <v>6.5995000000000061</v>
      </c>
      <c r="AB35" s="2">
        <v>45681</v>
      </c>
      <c r="AC35" t="s">
        <v>653</v>
      </c>
      <c r="AD35">
        <v>2</v>
      </c>
      <c r="AE35">
        <v>2.1399999999999999E-2</v>
      </c>
      <c r="AF35">
        <v>7.1013974804090454</v>
      </c>
      <c r="AG35">
        <v>709.85024517412296</v>
      </c>
      <c r="AH35">
        <v>0.42399999999999999</v>
      </c>
      <c r="AI35">
        <v>1.72E-2</v>
      </c>
      <c r="AJ35">
        <v>6.5996000000000095</v>
      </c>
      <c r="AK35" s="2">
        <v>45681</v>
      </c>
      <c r="AL35" t="s">
        <v>813</v>
      </c>
      <c r="AM35">
        <v>2</v>
      </c>
      <c r="AN35">
        <v>2.1000000000000001E-2</v>
      </c>
      <c r="AO35">
        <v>7.1037767827698248</v>
      </c>
      <c r="AP35">
        <v>710.07199615414766</v>
      </c>
      <c r="AQ35">
        <v>0.42399999999999999</v>
      </c>
      <c r="AR35">
        <v>1.72E-2</v>
      </c>
      <c r="AS35">
        <v>6.5995000000000061</v>
      </c>
      <c r="AT35" s="2">
        <v>45681</v>
      </c>
      <c r="AU35" t="s">
        <v>971</v>
      </c>
      <c r="AV35">
        <v>3</v>
      </c>
      <c r="AW35">
        <v>2.1399999999999999E-2</v>
      </c>
      <c r="AX35">
        <v>7.1011951505048128</v>
      </c>
      <c r="AY35">
        <v>709.83138802704855</v>
      </c>
      <c r="AZ35">
        <v>0.42399999999999999</v>
      </c>
      <c r="BA35">
        <v>1.72E-2</v>
      </c>
      <c r="BB35">
        <v>6.6031999999999869</v>
      </c>
      <c r="BC35" s="2">
        <v>45681</v>
      </c>
      <c r="BD35" t="s">
        <v>1171</v>
      </c>
      <c r="BE35">
        <v>3</v>
      </c>
      <c r="BF35">
        <v>2.1100000000000001E-2</v>
      </c>
      <c r="BG35">
        <v>7.1046177291052466</v>
      </c>
      <c r="BH35">
        <v>710.15037235260911</v>
      </c>
      <c r="BI35">
        <v>0.42399999999999999</v>
      </c>
      <c r="BJ35">
        <v>1.72E-2</v>
      </c>
      <c r="BK35">
        <v>6.6005999999999858</v>
      </c>
      <c r="BL35" s="2">
        <v>45681</v>
      </c>
      <c r="BM35" t="s">
        <v>1329</v>
      </c>
      <c r="BN35">
        <v>4</v>
      </c>
      <c r="BO35">
        <v>2.1700000000000001E-2</v>
      </c>
      <c r="BP35">
        <v>7.0998862909239326</v>
      </c>
      <c r="BQ35">
        <v>709.70940231411055</v>
      </c>
      <c r="BR35">
        <v>0.42399999999999999</v>
      </c>
      <c r="BS35">
        <v>1.72E-2</v>
      </c>
      <c r="BT35">
        <v>6.6006999999999607</v>
      </c>
      <c r="BU35" s="2">
        <v>45681</v>
      </c>
      <c r="BV35" t="s">
        <v>1527</v>
      </c>
      <c r="BW35">
        <v>5</v>
      </c>
      <c r="BX35">
        <v>2.1399999999999999E-2</v>
      </c>
      <c r="BY35">
        <v>7.0970552941476894</v>
      </c>
      <c r="BZ35">
        <v>709.44555341456464</v>
      </c>
      <c r="CA35">
        <v>0.42399999999999999</v>
      </c>
      <c r="CB35">
        <v>1.7100000000000001E-2</v>
      </c>
      <c r="CC35">
        <v>6.5994999999999777</v>
      </c>
      <c r="CD35" s="2">
        <v>45681</v>
      </c>
      <c r="CE35" t="s">
        <v>1687</v>
      </c>
      <c r="CF35">
        <v>5</v>
      </c>
      <c r="CG35">
        <v>2.1299999999999999E-2</v>
      </c>
      <c r="CH35">
        <v>7.094120902330209</v>
      </c>
      <c r="CI35">
        <v>709.1720680971755</v>
      </c>
      <c r="CJ35">
        <v>0.42399999999999999</v>
      </c>
      <c r="CK35">
        <v>1.7100000000000001E-2</v>
      </c>
      <c r="CL35">
        <v>6.599899999999991</v>
      </c>
    </row>
    <row r="36" spans="1:90" x14ac:dyDescent="0.3">
      <c r="A36" s="2">
        <v>45681</v>
      </c>
      <c r="B36" t="s">
        <v>134</v>
      </c>
      <c r="C36">
        <v>0</v>
      </c>
      <c r="D36">
        <v>1.66E-2</v>
      </c>
      <c r="E36">
        <v>6.8305811336843334</v>
      </c>
      <c r="F36">
        <v>684.61016165937986</v>
      </c>
      <c r="G36">
        <v>0.42399999999999999</v>
      </c>
      <c r="H36">
        <v>1.2999999999999999E-2</v>
      </c>
      <c r="I36">
        <v>6.7992399999999975</v>
      </c>
      <c r="J36" s="2">
        <v>45681</v>
      </c>
      <c r="K36" t="s">
        <v>294</v>
      </c>
      <c r="L36">
        <v>0</v>
      </c>
      <c r="M36">
        <v>1.61E-2</v>
      </c>
      <c r="N36">
        <v>6.8302016130623668</v>
      </c>
      <c r="O36">
        <v>684.57479033741265</v>
      </c>
      <c r="P36">
        <v>0.42399999999999999</v>
      </c>
      <c r="Q36">
        <v>1.2999999999999999E-2</v>
      </c>
      <c r="R36">
        <v>6.7993299999999977</v>
      </c>
      <c r="S36" s="2">
        <v>45681</v>
      </c>
      <c r="T36" t="s">
        <v>454</v>
      </c>
      <c r="U36">
        <v>1</v>
      </c>
      <c r="V36">
        <v>1.7000000000000001E-2</v>
      </c>
      <c r="W36">
        <v>6.8311102730130342</v>
      </c>
      <c r="X36">
        <v>684.6594774448148</v>
      </c>
      <c r="Y36">
        <v>0.42399999999999999</v>
      </c>
      <c r="Z36">
        <v>1.2999999999999999E-2</v>
      </c>
      <c r="AA36">
        <v>6.7985000000000042</v>
      </c>
      <c r="AB36" s="2">
        <v>45681</v>
      </c>
      <c r="AC36" t="s">
        <v>654</v>
      </c>
      <c r="AD36">
        <v>2</v>
      </c>
      <c r="AE36">
        <v>1.6E-2</v>
      </c>
      <c r="AF36">
        <v>6.8313020606777677</v>
      </c>
      <c r="AG36">
        <v>684.67735205516794</v>
      </c>
      <c r="AH36">
        <v>0.42399999999999999</v>
      </c>
      <c r="AI36">
        <v>1.2999999999999999E-2</v>
      </c>
      <c r="AJ36">
        <v>6.7988</v>
      </c>
      <c r="AK36" s="2">
        <v>45681</v>
      </c>
      <c r="AL36" t="s">
        <v>814</v>
      </c>
      <c r="AM36">
        <v>2</v>
      </c>
      <c r="AN36">
        <v>1.6799999999999999E-2</v>
      </c>
      <c r="AO36">
        <v>6.8325119853956577</v>
      </c>
      <c r="AP36">
        <v>684.79011703887534</v>
      </c>
      <c r="AQ36">
        <v>0.42399999999999999</v>
      </c>
      <c r="AR36">
        <v>1.2999999999999999E-2</v>
      </c>
      <c r="AS36">
        <v>6.7995000000000232</v>
      </c>
      <c r="AT36" s="2">
        <v>45681</v>
      </c>
      <c r="AU36" t="s">
        <v>972</v>
      </c>
      <c r="AV36">
        <v>3</v>
      </c>
      <c r="AW36">
        <v>1.66E-2</v>
      </c>
      <c r="AX36">
        <v>6.8315939996177413</v>
      </c>
      <c r="AY36">
        <v>684.70456076437347</v>
      </c>
      <c r="AZ36">
        <v>0.42399999999999999</v>
      </c>
      <c r="BA36">
        <v>1.2999999999999999E-2</v>
      </c>
      <c r="BB36">
        <v>6.8020999999999958</v>
      </c>
      <c r="BC36" s="2">
        <v>45681</v>
      </c>
      <c r="BD36" t="s">
        <v>1172</v>
      </c>
      <c r="BE36">
        <v>3</v>
      </c>
      <c r="BF36">
        <v>1.67E-2</v>
      </c>
      <c r="BG36">
        <v>6.8309724129580482</v>
      </c>
      <c r="BH36">
        <v>684.6466288876901</v>
      </c>
      <c r="BI36">
        <v>0.42399999999999999</v>
      </c>
      <c r="BJ36">
        <v>1.2999999999999999E-2</v>
      </c>
      <c r="BK36">
        <v>6.8024000000000342</v>
      </c>
      <c r="BL36" s="2">
        <v>45681</v>
      </c>
      <c r="BM36" t="s">
        <v>1330</v>
      </c>
      <c r="BN36">
        <v>4</v>
      </c>
      <c r="BO36">
        <v>1.66E-2</v>
      </c>
      <c r="BP36">
        <v>6.8307802198225653</v>
      </c>
      <c r="BQ36">
        <v>684.62871648746307</v>
      </c>
      <c r="BR36">
        <v>0.42399999999999999</v>
      </c>
      <c r="BS36">
        <v>1.2999999999999999E-2</v>
      </c>
      <c r="BT36">
        <v>6.7991999999999848</v>
      </c>
      <c r="BU36" s="2">
        <v>45681</v>
      </c>
      <c r="BV36" t="s">
        <v>1528</v>
      </c>
      <c r="BW36">
        <v>5</v>
      </c>
      <c r="BX36">
        <v>1.6799999999999999E-2</v>
      </c>
      <c r="BY36">
        <v>6.827534020998363</v>
      </c>
      <c r="BZ36">
        <v>684.32617075704741</v>
      </c>
      <c r="CA36">
        <v>0.42399999999999999</v>
      </c>
      <c r="CB36">
        <v>1.29E-2</v>
      </c>
      <c r="CC36">
        <v>6.79849999999999</v>
      </c>
      <c r="CD36" s="2">
        <v>45681</v>
      </c>
      <c r="CE36" t="s">
        <v>1688</v>
      </c>
      <c r="CF36">
        <v>5</v>
      </c>
      <c r="CG36">
        <v>1.6299999999999999E-2</v>
      </c>
      <c r="CH36">
        <v>6.8230746536902691</v>
      </c>
      <c r="CI36">
        <v>683.91055772393315</v>
      </c>
      <c r="CJ36">
        <v>0.42399999999999999</v>
      </c>
      <c r="CK36">
        <v>1.29E-2</v>
      </c>
      <c r="CL36">
        <v>6.8004000000000246</v>
      </c>
    </row>
    <row r="37" spans="1:90" x14ac:dyDescent="0.3">
      <c r="A37" s="2">
        <v>45681</v>
      </c>
      <c r="B37" t="s">
        <v>135</v>
      </c>
      <c r="C37">
        <v>0</v>
      </c>
      <c r="D37">
        <v>1.15E-2</v>
      </c>
      <c r="E37">
        <v>6.5879924441597888</v>
      </c>
      <c r="F37">
        <v>662.00089579569237</v>
      </c>
      <c r="G37">
        <v>0.42399999999999999</v>
      </c>
      <c r="H37">
        <v>9.1999999999999998E-3</v>
      </c>
      <c r="I37">
        <v>6.9999499999999983</v>
      </c>
      <c r="J37" s="2">
        <v>45681</v>
      </c>
      <c r="K37" t="s">
        <v>295</v>
      </c>
      <c r="L37">
        <v>0</v>
      </c>
      <c r="M37">
        <v>1.17E-2</v>
      </c>
      <c r="N37">
        <v>6.5889505715419521</v>
      </c>
      <c r="O37">
        <v>662.09019326770999</v>
      </c>
      <c r="P37">
        <v>0.42399999999999999</v>
      </c>
      <c r="Q37">
        <v>9.1999999999999998E-3</v>
      </c>
      <c r="R37">
        <v>6.9988799999999998</v>
      </c>
      <c r="S37" s="2">
        <v>45681</v>
      </c>
      <c r="T37" t="s">
        <v>455</v>
      </c>
      <c r="U37">
        <v>1</v>
      </c>
      <c r="V37">
        <v>1.1599999999999999E-2</v>
      </c>
      <c r="W37">
        <v>6.5900076337871054</v>
      </c>
      <c r="X37">
        <v>662.18871146895822</v>
      </c>
      <c r="Y37">
        <v>0.42399999999999999</v>
      </c>
      <c r="Z37">
        <v>9.1999999999999998E-3</v>
      </c>
      <c r="AA37">
        <v>6.9979000000000013</v>
      </c>
      <c r="AB37" s="2">
        <v>45681</v>
      </c>
      <c r="AC37" t="s">
        <v>655</v>
      </c>
      <c r="AD37">
        <v>2</v>
      </c>
      <c r="AE37">
        <v>1.21E-2</v>
      </c>
      <c r="AF37">
        <v>6.5887206696267224</v>
      </c>
      <c r="AG37">
        <v>662.06876640921041</v>
      </c>
      <c r="AH37">
        <v>0.42399999999999999</v>
      </c>
      <c r="AI37">
        <v>9.1999999999999998E-3</v>
      </c>
      <c r="AJ37">
        <v>6.9994000000000085</v>
      </c>
      <c r="AK37" s="2">
        <v>45681</v>
      </c>
      <c r="AL37" t="s">
        <v>815</v>
      </c>
      <c r="AM37">
        <v>2</v>
      </c>
      <c r="AN37">
        <v>1.1599999999999999E-2</v>
      </c>
      <c r="AO37">
        <v>6.5903247119135759</v>
      </c>
      <c r="AP37">
        <v>662.21826315034525</v>
      </c>
      <c r="AQ37">
        <v>0.42399999999999999</v>
      </c>
      <c r="AR37">
        <v>9.1999999999999998E-3</v>
      </c>
      <c r="AS37">
        <v>6.9996000000000151</v>
      </c>
      <c r="AT37" s="2">
        <v>45681</v>
      </c>
      <c r="AU37" t="s">
        <v>973</v>
      </c>
      <c r="AV37">
        <v>3</v>
      </c>
      <c r="AW37">
        <v>1.18E-2</v>
      </c>
      <c r="AX37">
        <v>6.5915143630939674</v>
      </c>
      <c r="AY37">
        <v>662.32913864035777</v>
      </c>
      <c r="AZ37">
        <v>0.42399999999999999</v>
      </c>
      <c r="BA37">
        <v>9.2999999999999992E-3</v>
      </c>
      <c r="BB37">
        <v>7.0003999999999849</v>
      </c>
      <c r="BC37" s="2">
        <v>45681</v>
      </c>
      <c r="BD37" t="s">
        <v>1173</v>
      </c>
      <c r="BE37">
        <v>3</v>
      </c>
      <c r="BF37">
        <v>1.18E-2</v>
      </c>
      <c r="BG37">
        <v>6.588454275343997</v>
      </c>
      <c r="BH37">
        <v>662.04393846206051</v>
      </c>
      <c r="BI37">
        <v>0.42399999999999999</v>
      </c>
      <c r="BJ37">
        <v>9.1999999999999998E-3</v>
      </c>
      <c r="BK37">
        <v>7.002900000000011</v>
      </c>
      <c r="BL37" s="2">
        <v>45681</v>
      </c>
      <c r="BM37" t="s">
        <v>1331</v>
      </c>
      <c r="BN37">
        <v>4</v>
      </c>
      <c r="BO37">
        <v>1.18E-2</v>
      </c>
      <c r="BP37">
        <v>6.5884615738174972</v>
      </c>
      <c r="BQ37">
        <v>662.0446186797908</v>
      </c>
      <c r="BR37">
        <v>0.42399999999999999</v>
      </c>
      <c r="BS37">
        <v>9.1999999999999998E-3</v>
      </c>
      <c r="BT37">
        <v>6.9995999999999867</v>
      </c>
      <c r="BU37" s="2">
        <v>45681</v>
      </c>
      <c r="BV37" t="s">
        <v>1529</v>
      </c>
      <c r="BW37">
        <v>5</v>
      </c>
      <c r="BX37">
        <v>1.1900000000000001E-2</v>
      </c>
      <c r="BY37">
        <v>6.5854302744907738</v>
      </c>
      <c r="BZ37">
        <v>661.76210158254014</v>
      </c>
      <c r="CA37">
        <v>0.42399999999999999</v>
      </c>
      <c r="CB37">
        <v>9.1999999999999998E-3</v>
      </c>
      <c r="CC37">
        <v>6.9990999999999985</v>
      </c>
      <c r="CD37" s="2">
        <v>45681</v>
      </c>
      <c r="CE37" t="s">
        <v>1689</v>
      </c>
      <c r="CF37">
        <v>5</v>
      </c>
      <c r="CG37">
        <v>1.1599999999999999E-2</v>
      </c>
      <c r="CH37">
        <v>6.5819298455063446</v>
      </c>
      <c r="CI37">
        <v>661.43586160119139</v>
      </c>
      <c r="CJ37">
        <v>0.42399999999999999</v>
      </c>
      <c r="CK37">
        <v>9.1000000000000004E-3</v>
      </c>
      <c r="CL37">
        <v>7.0006000000000199</v>
      </c>
    </row>
    <row r="38" spans="1:90" x14ac:dyDescent="0.3">
      <c r="A38" s="2">
        <v>45681</v>
      </c>
      <c r="B38" t="s">
        <v>136</v>
      </c>
      <c r="C38">
        <v>0</v>
      </c>
      <c r="D38">
        <v>7.1000000000000004E-3</v>
      </c>
      <c r="E38">
        <v>6.3827547469920267</v>
      </c>
      <c r="F38">
        <v>642.8727424196569</v>
      </c>
      <c r="G38">
        <v>0.42399999999999999</v>
      </c>
      <c r="H38">
        <v>6.0000000000000001E-3</v>
      </c>
      <c r="I38">
        <v>7.19876</v>
      </c>
      <c r="J38" s="2">
        <v>45681</v>
      </c>
      <c r="K38" t="s">
        <v>296</v>
      </c>
      <c r="L38">
        <v>0</v>
      </c>
      <c r="M38">
        <v>7.3000000000000001E-3</v>
      </c>
      <c r="N38">
        <v>6.3806952799588146</v>
      </c>
      <c r="O38">
        <v>642.68080009216158</v>
      </c>
      <c r="P38">
        <v>0.42399999999999999</v>
      </c>
      <c r="Q38">
        <v>6.0000000000000001E-3</v>
      </c>
      <c r="R38">
        <v>7.2007499999999993</v>
      </c>
      <c r="S38" s="2">
        <v>45681</v>
      </c>
      <c r="T38" t="s">
        <v>456</v>
      </c>
      <c r="U38">
        <v>1</v>
      </c>
      <c r="V38">
        <v>7.3000000000000001E-3</v>
      </c>
      <c r="W38">
        <v>6.3821352282331576</v>
      </c>
      <c r="X38">
        <v>642.8150032713304</v>
      </c>
      <c r="Y38">
        <v>0.42399999999999999</v>
      </c>
      <c r="Z38">
        <v>6.0000000000000001E-3</v>
      </c>
      <c r="AA38">
        <v>7.1991000000000014</v>
      </c>
      <c r="AB38" s="2">
        <v>45681</v>
      </c>
      <c r="AC38" t="s">
        <v>656</v>
      </c>
      <c r="AD38">
        <v>2</v>
      </c>
      <c r="AE38">
        <v>7.4000000000000003E-3</v>
      </c>
      <c r="AF38">
        <v>6.3830925041267461</v>
      </c>
      <c r="AG38">
        <v>642.90422138461281</v>
      </c>
      <c r="AH38">
        <v>0.42399999999999999</v>
      </c>
      <c r="AI38">
        <v>6.0000000000000001E-3</v>
      </c>
      <c r="AJ38">
        <v>7.1985000000000241</v>
      </c>
      <c r="AK38" s="2">
        <v>45681</v>
      </c>
      <c r="AL38" t="s">
        <v>816</v>
      </c>
      <c r="AM38">
        <v>2</v>
      </c>
      <c r="AN38">
        <v>7.1999999999999998E-3</v>
      </c>
      <c r="AO38">
        <v>6.3747549307364837</v>
      </c>
      <c r="AP38">
        <v>642.12715954464034</v>
      </c>
      <c r="AQ38">
        <v>0.42399999999999999</v>
      </c>
      <c r="AR38">
        <v>5.8999999999999999E-3</v>
      </c>
      <c r="AS38">
        <v>7.2091000000000065</v>
      </c>
      <c r="AT38" s="2">
        <v>45681</v>
      </c>
      <c r="AU38" t="s">
        <v>974</v>
      </c>
      <c r="AV38">
        <v>3</v>
      </c>
      <c r="AW38">
        <v>7.3000000000000001E-3</v>
      </c>
      <c r="AX38">
        <v>6.3842145227860421</v>
      </c>
      <c r="AY38">
        <v>643.00879352365916</v>
      </c>
      <c r="AZ38">
        <v>0.42399999999999999</v>
      </c>
      <c r="BA38">
        <v>6.0000000000000001E-3</v>
      </c>
      <c r="BB38">
        <v>7.2007999999999868</v>
      </c>
      <c r="BC38" s="2">
        <v>45681</v>
      </c>
      <c r="BD38" t="s">
        <v>1174</v>
      </c>
      <c r="BE38">
        <v>3</v>
      </c>
      <c r="BF38">
        <v>7.1000000000000004E-3</v>
      </c>
      <c r="BG38">
        <v>6.3828163785460204</v>
      </c>
      <c r="BH38">
        <v>642.87848648048907</v>
      </c>
      <c r="BI38">
        <v>0.42399999999999999</v>
      </c>
      <c r="BJ38">
        <v>6.0000000000000001E-3</v>
      </c>
      <c r="BK38">
        <v>7.2021000000000299</v>
      </c>
      <c r="BL38" s="2">
        <v>45681</v>
      </c>
      <c r="BM38" t="s">
        <v>1332</v>
      </c>
      <c r="BN38">
        <v>4</v>
      </c>
      <c r="BO38">
        <v>7.3000000000000001E-3</v>
      </c>
      <c r="BP38">
        <v>6.3823134731748414</v>
      </c>
      <c r="BQ38">
        <v>642.83161569989522</v>
      </c>
      <c r="BR38">
        <v>0.42399999999999999</v>
      </c>
      <c r="BS38">
        <v>6.0000000000000001E-3</v>
      </c>
      <c r="BT38">
        <v>7.1993999999999687</v>
      </c>
      <c r="BU38" s="2">
        <v>45681</v>
      </c>
      <c r="BV38" t="s">
        <v>1530</v>
      </c>
      <c r="BW38">
        <v>5</v>
      </c>
      <c r="BX38">
        <v>7.4999999999999997E-3</v>
      </c>
      <c r="BY38">
        <v>6.3782196377478408</v>
      </c>
      <c r="BZ38">
        <v>642.45007023809876</v>
      </c>
      <c r="CA38">
        <v>0.42399999999999999</v>
      </c>
      <c r="CB38">
        <v>5.8999999999999999E-3</v>
      </c>
      <c r="CC38">
        <v>7.2004999999999768</v>
      </c>
      <c r="CD38" s="2">
        <v>45681</v>
      </c>
      <c r="CE38" t="s">
        <v>1690</v>
      </c>
      <c r="CF38">
        <v>5</v>
      </c>
      <c r="CG38">
        <v>7.4000000000000003E-3</v>
      </c>
      <c r="CH38">
        <v>6.3783884757681264</v>
      </c>
      <c r="CI38">
        <v>642.46580594158934</v>
      </c>
      <c r="CJ38">
        <v>0.42399999999999999</v>
      </c>
      <c r="CK38">
        <v>5.8999999999999999E-3</v>
      </c>
      <c r="CL38">
        <v>7.1988000000000056</v>
      </c>
    </row>
    <row r="39" spans="1:90" x14ac:dyDescent="0.3">
      <c r="A39" s="2">
        <v>45681</v>
      </c>
      <c r="B39" t="s">
        <v>137</v>
      </c>
      <c r="C39">
        <v>0</v>
      </c>
      <c r="D39">
        <v>3.5000000000000001E-3</v>
      </c>
      <c r="E39">
        <v>6.2160504759820858</v>
      </c>
      <c r="F39">
        <v>627.33590436153042</v>
      </c>
      <c r="G39">
        <v>0.42399999999999999</v>
      </c>
      <c r="H39">
        <v>3.3999999999999998E-3</v>
      </c>
      <c r="I39">
        <v>7.3994799999999969</v>
      </c>
      <c r="J39" s="2">
        <v>45681</v>
      </c>
      <c r="K39" t="s">
        <v>297</v>
      </c>
      <c r="L39">
        <v>0</v>
      </c>
      <c r="M39">
        <v>3.5999999999999999E-3</v>
      </c>
      <c r="N39">
        <v>6.2150638034591257</v>
      </c>
      <c r="O39">
        <v>627.24394648239058</v>
      </c>
      <c r="P39">
        <v>0.42399999999999999</v>
      </c>
      <c r="Q39">
        <v>3.3999999999999998E-3</v>
      </c>
      <c r="R39">
        <v>7.4006399999999957</v>
      </c>
      <c r="S39" s="2">
        <v>45681</v>
      </c>
      <c r="T39" t="s">
        <v>457</v>
      </c>
      <c r="U39">
        <v>1</v>
      </c>
      <c r="V39">
        <v>3.5999999999999999E-3</v>
      </c>
      <c r="W39">
        <v>6.2167368568676231</v>
      </c>
      <c r="X39">
        <v>627.39987506006253</v>
      </c>
      <c r="Y39">
        <v>0.42399999999999999</v>
      </c>
      <c r="Z39">
        <v>3.3999999999999998E-3</v>
      </c>
      <c r="AA39">
        <v>7.3982000000000028</v>
      </c>
      <c r="AB39" s="2">
        <v>45681</v>
      </c>
      <c r="AC39" t="s">
        <v>657</v>
      </c>
      <c r="AD39">
        <v>2</v>
      </c>
      <c r="AE39">
        <v>3.8E-3</v>
      </c>
      <c r="AF39">
        <v>6.2173434816566422</v>
      </c>
      <c r="AG39">
        <v>627.45641249039909</v>
      </c>
      <c r="AH39">
        <v>0.42399999999999999</v>
      </c>
      <c r="AI39">
        <v>3.3999999999999998E-3</v>
      </c>
      <c r="AJ39">
        <v>7.3978000000000179</v>
      </c>
      <c r="AK39" s="2">
        <v>45681</v>
      </c>
      <c r="AL39" t="s">
        <v>817</v>
      </c>
      <c r="AM39">
        <v>2</v>
      </c>
      <c r="AN39">
        <v>3.7000000000000002E-3</v>
      </c>
      <c r="AO39">
        <v>6.2167859188283687</v>
      </c>
      <c r="AP39">
        <v>627.404447634804</v>
      </c>
      <c r="AQ39">
        <v>0.42399999999999999</v>
      </c>
      <c r="AR39">
        <v>3.3999999999999998E-3</v>
      </c>
      <c r="AS39">
        <v>7.4002000000000123</v>
      </c>
      <c r="AT39" s="2">
        <v>45681</v>
      </c>
      <c r="AU39" t="s">
        <v>975</v>
      </c>
      <c r="AV39">
        <v>3</v>
      </c>
      <c r="AW39">
        <v>3.5999999999999999E-3</v>
      </c>
      <c r="AX39">
        <v>6.2173246272667697</v>
      </c>
      <c r="AY39">
        <v>627.45465526126293</v>
      </c>
      <c r="AZ39">
        <v>0.42399999999999999</v>
      </c>
      <c r="BA39">
        <v>3.3999999999999998E-3</v>
      </c>
      <c r="BB39">
        <v>7.401299999999992</v>
      </c>
      <c r="BC39" s="2">
        <v>45681</v>
      </c>
      <c r="BD39" t="s">
        <v>1175</v>
      </c>
      <c r="BE39">
        <v>3</v>
      </c>
      <c r="BF39">
        <v>3.7000000000000002E-3</v>
      </c>
      <c r="BG39">
        <v>6.2176222427972414</v>
      </c>
      <c r="BH39">
        <v>627.48239302870297</v>
      </c>
      <c r="BI39">
        <v>0.42399999999999999</v>
      </c>
      <c r="BJ39">
        <v>3.3999999999999998E-3</v>
      </c>
      <c r="BK39">
        <v>7.4007000000000289</v>
      </c>
      <c r="BL39" s="2">
        <v>45681</v>
      </c>
      <c r="BM39" t="s">
        <v>1333</v>
      </c>
      <c r="BN39">
        <v>4</v>
      </c>
      <c r="BO39">
        <v>3.5999999999999999E-3</v>
      </c>
      <c r="BP39">
        <v>6.2166289205539824</v>
      </c>
      <c r="BQ39">
        <v>627.38981539563122</v>
      </c>
      <c r="BR39">
        <v>0.42399999999999999</v>
      </c>
      <c r="BS39">
        <v>3.3999999999999998E-3</v>
      </c>
      <c r="BT39">
        <v>7.3987999999999943</v>
      </c>
      <c r="BU39" s="2">
        <v>45681</v>
      </c>
      <c r="BV39" t="s">
        <v>1531</v>
      </c>
      <c r="BW39">
        <v>5</v>
      </c>
      <c r="BX39">
        <v>3.8E-3</v>
      </c>
      <c r="BY39">
        <v>6.2133568526959317</v>
      </c>
      <c r="BZ39">
        <v>627.0848586712608</v>
      </c>
      <c r="CA39">
        <v>0.42399999999999999</v>
      </c>
      <c r="CB39">
        <v>3.3999999999999998E-3</v>
      </c>
      <c r="CC39">
        <v>7.400100000000009</v>
      </c>
      <c r="CD39" s="2">
        <v>45681</v>
      </c>
      <c r="CE39" t="s">
        <v>1691</v>
      </c>
      <c r="CF39">
        <v>5</v>
      </c>
      <c r="CG39">
        <v>3.5999999999999999E-3</v>
      </c>
      <c r="CH39">
        <v>6.2115662533170219</v>
      </c>
      <c r="CI39">
        <v>626.91797480914647</v>
      </c>
      <c r="CJ39">
        <v>0.42399999999999999</v>
      </c>
      <c r="CK39">
        <v>3.3999999999999998E-3</v>
      </c>
      <c r="CL39">
        <v>7.4010000000000105</v>
      </c>
    </row>
    <row r="40" spans="1:90" x14ac:dyDescent="0.3">
      <c r="A40" s="2">
        <v>45681</v>
      </c>
      <c r="B40" t="s">
        <v>138</v>
      </c>
      <c r="C40">
        <v>0</v>
      </c>
      <c r="D40">
        <v>5.9999999999999995E-4</v>
      </c>
      <c r="E40">
        <v>6.0943742183204233</v>
      </c>
      <c r="F40">
        <v>615.99567714746343</v>
      </c>
      <c r="G40">
        <v>0.42399999999999999</v>
      </c>
      <c r="H40">
        <v>1.5E-3</v>
      </c>
      <c r="I40">
        <v>7.5997699999999995</v>
      </c>
      <c r="J40" s="2">
        <v>45681</v>
      </c>
      <c r="K40" t="s">
        <v>298</v>
      </c>
      <c r="L40">
        <v>0</v>
      </c>
      <c r="M40">
        <v>8.0000000000000004E-4</v>
      </c>
      <c r="N40">
        <v>6.0944869391889123</v>
      </c>
      <c r="O40">
        <v>616.00618273240661</v>
      </c>
      <c r="P40">
        <v>0.42399999999999999</v>
      </c>
      <c r="Q40">
        <v>1.5E-3</v>
      </c>
      <c r="R40">
        <v>7.5993299999999948</v>
      </c>
      <c r="S40" s="2">
        <v>45681</v>
      </c>
      <c r="T40" t="s">
        <v>458</v>
      </c>
      <c r="U40">
        <v>1</v>
      </c>
      <c r="V40">
        <v>8.0000000000000004E-4</v>
      </c>
      <c r="W40">
        <v>6.0951300563454298</v>
      </c>
      <c r="X40">
        <v>616.06612125139407</v>
      </c>
      <c r="Y40">
        <v>0.42399999999999999</v>
      </c>
      <c r="Z40">
        <v>1.5E-3</v>
      </c>
      <c r="AA40">
        <v>7.5978999999999957</v>
      </c>
      <c r="AB40" s="2">
        <v>45681</v>
      </c>
      <c r="AC40" t="s">
        <v>658</v>
      </c>
      <c r="AD40">
        <v>2</v>
      </c>
      <c r="AE40">
        <v>1.1000000000000001E-3</v>
      </c>
      <c r="AF40">
        <v>6.0951603855575271</v>
      </c>
      <c r="AG40">
        <v>616.06894793396157</v>
      </c>
      <c r="AH40">
        <v>0.42399999999999999</v>
      </c>
      <c r="AI40">
        <v>1.5E-3</v>
      </c>
      <c r="AJ40">
        <v>7.5983000000000231</v>
      </c>
      <c r="AK40" s="2">
        <v>45681</v>
      </c>
      <c r="AL40" t="s">
        <v>818</v>
      </c>
      <c r="AM40">
        <v>2</v>
      </c>
      <c r="AN40">
        <v>1E-3</v>
      </c>
      <c r="AO40">
        <v>6.0956040921992116</v>
      </c>
      <c r="AP40">
        <v>616.11030139296656</v>
      </c>
      <c r="AQ40">
        <v>0.42399999999999999</v>
      </c>
      <c r="AR40">
        <v>1.6000000000000001E-3</v>
      </c>
      <c r="AS40">
        <v>7.599000000000018</v>
      </c>
      <c r="AT40" s="2">
        <v>45681</v>
      </c>
      <c r="AU40" t="s">
        <v>976</v>
      </c>
      <c r="AV40">
        <v>3</v>
      </c>
      <c r="AW40">
        <v>8.0000000000000004E-4</v>
      </c>
      <c r="AX40">
        <v>6.0949658406916951</v>
      </c>
      <c r="AY40">
        <v>616.05081635246597</v>
      </c>
      <c r="AZ40">
        <v>0.42399999999999999</v>
      </c>
      <c r="BA40">
        <v>1.5E-3</v>
      </c>
      <c r="BB40">
        <v>7.6021999999999821</v>
      </c>
      <c r="BC40" s="2">
        <v>45681</v>
      </c>
      <c r="BD40" t="s">
        <v>1176</v>
      </c>
      <c r="BE40">
        <v>3</v>
      </c>
      <c r="BF40">
        <v>1E-3</v>
      </c>
      <c r="BG40">
        <v>6.0954747064828982</v>
      </c>
      <c r="BH40">
        <v>616.09824264420615</v>
      </c>
      <c r="BI40">
        <v>0.42399999999999999</v>
      </c>
      <c r="BJ40">
        <v>1.5E-3</v>
      </c>
      <c r="BK40">
        <v>7.6009000000000242</v>
      </c>
      <c r="BL40" s="2">
        <v>45681</v>
      </c>
      <c r="BM40" t="s">
        <v>1334</v>
      </c>
      <c r="BN40">
        <v>4</v>
      </c>
      <c r="BO40">
        <v>1E-3</v>
      </c>
      <c r="BP40">
        <v>6.0945311760477354</v>
      </c>
      <c r="BQ40">
        <v>616.01030560764889</v>
      </c>
      <c r="BR40">
        <v>0.42399999999999999</v>
      </c>
      <c r="BS40">
        <v>1.5E-3</v>
      </c>
      <c r="BT40">
        <v>7.5996000000000095</v>
      </c>
      <c r="BU40" s="2">
        <v>45681</v>
      </c>
      <c r="BV40" t="s">
        <v>1532</v>
      </c>
      <c r="BW40">
        <v>5</v>
      </c>
      <c r="BX40">
        <v>1E-3</v>
      </c>
      <c r="BY40">
        <v>6.0931637664905596</v>
      </c>
      <c r="BZ40">
        <v>615.8828630369203</v>
      </c>
      <c r="CA40">
        <v>0.42399999999999999</v>
      </c>
      <c r="CB40">
        <v>1.5E-3</v>
      </c>
      <c r="CC40">
        <v>7.5990999999999644</v>
      </c>
      <c r="CD40" s="2">
        <v>45681</v>
      </c>
      <c r="CE40" t="s">
        <v>1692</v>
      </c>
      <c r="CF40">
        <v>5</v>
      </c>
      <c r="CG40">
        <v>8.9999999999999998E-4</v>
      </c>
      <c r="CH40">
        <v>6.0924764124752224</v>
      </c>
      <c r="CI40">
        <v>615.8188016426908</v>
      </c>
      <c r="CJ40">
        <v>0.42399999999999999</v>
      </c>
      <c r="CK40">
        <v>1.5E-3</v>
      </c>
      <c r="CL40">
        <v>7.5989999999999895</v>
      </c>
    </row>
    <row r="41" spans="1:90" x14ac:dyDescent="0.3">
      <c r="A41" s="2">
        <v>45681</v>
      </c>
      <c r="B41" t="s">
        <v>139</v>
      </c>
      <c r="C41">
        <v>0</v>
      </c>
      <c r="D41">
        <v>-1.8E-3</v>
      </c>
      <c r="E41">
        <v>6.0202710733574829</v>
      </c>
      <c r="F41">
        <v>609.08926403691737</v>
      </c>
      <c r="G41">
        <v>0.42399999999999999</v>
      </c>
      <c r="H41">
        <v>4.0000000000000002E-4</v>
      </c>
      <c r="I41">
        <v>7.8002799999999937</v>
      </c>
      <c r="J41" s="2">
        <v>45681</v>
      </c>
      <c r="K41" t="s">
        <v>299</v>
      </c>
      <c r="L41">
        <v>0</v>
      </c>
      <c r="M41">
        <v>-1.6000000000000001E-3</v>
      </c>
      <c r="N41">
        <v>6.0206132906704513</v>
      </c>
      <c r="O41">
        <v>609.12115869048603</v>
      </c>
      <c r="P41">
        <v>0.42399999999999999</v>
      </c>
      <c r="Q41">
        <v>4.0000000000000002E-4</v>
      </c>
      <c r="R41">
        <v>7.7986899999999935</v>
      </c>
      <c r="S41" s="2">
        <v>45681</v>
      </c>
      <c r="T41" t="s">
        <v>459</v>
      </c>
      <c r="U41">
        <v>1</v>
      </c>
      <c r="V41">
        <v>-1.6999999999999999E-3</v>
      </c>
      <c r="W41">
        <v>6.0204292515517492</v>
      </c>
      <c r="X41">
        <v>609.10400624462306</v>
      </c>
      <c r="Y41">
        <v>0.42399999999999999</v>
      </c>
      <c r="Z41">
        <v>4.0000000000000002E-4</v>
      </c>
      <c r="AA41">
        <v>7.7994000000000057</v>
      </c>
      <c r="AB41" s="2">
        <v>45681</v>
      </c>
      <c r="AC41" t="s">
        <v>659</v>
      </c>
      <c r="AD41">
        <v>2</v>
      </c>
      <c r="AE41">
        <v>-1.4E-3</v>
      </c>
      <c r="AF41">
        <v>6.0205312396094879</v>
      </c>
      <c r="AG41">
        <v>609.11351153160433</v>
      </c>
      <c r="AH41">
        <v>0.42399999999999999</v>
      </c>
      <c r="AI41">
        <v>4.0000000000000002E-4</v>
      </c>
      <c r="AJ41">
        <v>7.7993000000000166</v>
      </c>
      <c r="AK41" s="2">
        <v>45681</v>
      </c>
      <c r="AL41" t="s">
        <v>819</v>
      </c>
      <c r="AM41">
        <v>2</v>
      </c>
      <c r="AN41">
        <v>-1.2999999999999999E-3</v>
      </c>
      <c r="AO41">
        <v>6.0211442586722344</v>
      </c>
      <c r="AP41">
        <v>609.17064490825226</v>
      </c>
      <c r="AQ41">
        <v>0.42399999999999999</v>
      </c>
      <c r="AR41">
        <v>4.0000000000000002E-4</v>
      </c>
      <c r="AS41">
        <v>7.7985000000000184</v>
      </c>
      <c r="AT41" s="2">
        <v>45681</v>
      </c>
      <c r="AU41" t="s">
        <v>977</v>
      </c>
      <c r="AV41">
        <v>3</v>
      </c>
      <c r="AW41">
        <v>-1.1000000000000001E-3</v>
      </c>
      <c r="AX41">
        <v>6.0206696024482058</v>
      </c>
      <c r="AY41">
        <v>609.12640694817276</v>
      </c>
      <c r="AZ41">
        <v>0.42399999999999999</v>
      </c>
      <c r="BA41">
        <v>4.0000000000000002E-4</v>
      </c>
      <c r="BB41">
        <v>7.802299999999974</v>
      </c>
      <c r="BC41" s="2">
        <v>45681</v>
      </c>
      <c r="BD41" t="s">
        <v>1177</v>
      </c>
      <c r="BE41">
        <v>3</v>
      </c>
      <c r="BF41">
        <v>-1.6999999999999999E-3</v>
      </c>
      <c r="BG41">
        <v>6.0209323069471061</v>
      </c>
      <c r="BH41">
        <v>609.15089100747036</v>
      </c>
      <c r="BI41">
        <v>0.42399999999999999</v>
      </c>
      <c r="BJ41">
        <v>4.0000000000000002E-4</v>
      </c>
      <c r="BK41">
        <v>7.8009999999999877</v>
      </c>
      <c r="BL41" s="2">
        <v>45681</v>
      </c>
      <c r="BM41" t="s">
        <v>1335</v>
      </c>
      <c r="BN41">
        <v>4</v>
      </c>
      <c r="BO41">
        <v>-1.4E-3</v>
      </c>
      <c r="BP41">
        <v>6.0206575194198573</v>
      </c>
      <c r="BQ41">
        <v>609.1252808099307</v>
      </c>
      <c r="BR41">
        <v>0.42399999999999999</v>
      </c>
      <c r="BS41">
        <v>4.0000000000000002E-4</v>
      </c>
      <c r="BT41">
        <v>7.7987999999999715</v>
      </c>
      <c r="BU41" s="2">
        <v>45681</v>
      </c>
      <c r="BV41" t="s">
        <v>1533</v>
      </c>
      <c r="BW41">
        <v>5</v>
      </c>
      <c r="BX41">
        <v>-1.1000000000000001E-3</v>
      </c>
      <c r="BY41">
        <v>6.0199429907548581</v>
      </c>
      <c r="BZ41">
        <v>609.05868673835278</v>
      </c>
      <c r="CA41">
        <v>0.42399999999999999</v>
      </c>
      <c r="CB41">
        <v>4.0000000000000002E-4</v>
      </c>
      <c r="CC41">
        <v>7.79849999999999</v>
      </c>
      <c r="CD41" s="2">
        <v>45681</v>
      </c>
      <c r="CE41" t="s">
        <v>1693</v>
      </c>
      <c r="CF41">
        <v>5</v>
      </c>
      <c r="CG41">
        <v>-8.9999999999999998E-4</v>
      </c>
      <c r="CH41">
        <v>6.019578902349636</v>
      </c>
      <c r="CI41">
        <v>609.02475369898605</v>
      </c>
      <c r="CJ41">
        <v>0.42399999999999999</v>
      </c>
      <c r="CK41">
        <v>4.0000000000000002E-4</v>
      </c>
      <c r="CL41">
        <v>7.7984000000000151</v>
      </c>
    </row>
    <row r="42" spans="1:90" x14ac:dyDescent="0.3">
      <c r="A42" s="2">
        <v>45681</v>
      </c>
      <c r="B42" t="s">
        <v>140</v>
      </c>
      <c r="C42">
        <v>0</v>
      </c>
      <c r="D42">
        <v>-3.0999999999999999E-3</v>
      </c>
      <c r="E42">
        <v>5.9957395257960231</v>
      </c>
      <c r="F42">
        <v>606.80292380418939</v>
      </c>
      <c r="G42">
        <v>0.42399999999999999</v>
      </c>
      <c r="H42">
        <v>0</v>
      </c>
      <c r="I42">
        <v>8.0016699999999972</v>
      </c>
      <c r="J42" s="2">
        <v>45681</v>
      </c>
      <c r="K42" t="s">
        <v>300</v>
      </c>
      <c r="L42">
        <v>0</v>
      </c>
      <c r="M42">
        <v>-3.0999999999999999E-3</v>
      </c>
      <c r="N42">
        <v>5.995734813048017</v>
      </c>
      <c r="O42">
        <v>606.80248457607524</v>
      </c>
      <c r="P42">
        <v>0.42399999999999999</v>
      </c>
      <c r="Q42">
        <v>0</v>
      </c>
      <c r="R42">
        <v>7.9998599999999982</v>
      </c>
      <c r="S42" s="2">
        <v>45681</v>
      </c>
      <c r="T42" t="s">
        <v>460</v>
      </c>
      <c r="U42">
        <v>1</v>
      </c>
      <c r="V42">
        <v>-2.5999999999999999E-3</v>
      </c>
      <c r="W42">
        <v>5.995734208849564</v>
      </c>
      <c r="X42">
        <v>606.80242826477934</v>
      </c>
      <c r="Y42">
        <v>0.42399999999999999</v>
      </c>
      <c r="Z42">
        <v>0</v>
      </c>
      <c r="AA42">
        <v>7.9993999999999943</v>
      </c>
      <c r="AB42" s="2">
        <v>45681</v>
      </c>
      <c r="AC42" t="s">
        <v>660</v>
      </c>
      <c r="AD42">
        <v>2</v>
      </c>
      <c r="AE42">
        <v>-2.3999999999999998E-3</v>
      </c>
      <c r="AF42">
        <v>5.9957336046511944</v>
      </c>
      <c r="AG42">
        <v>606.80237195349127</v>
      </c>
      <c r="AH42">
        <v>0.42399999999999999</v>
      </c>
      <c r="AI42">
        <v>0</v>
      </c>
      <c r="AJ42">
        <v>7.9990000000000236</v>
      </c>
      <c r="AK42" s="2">
        <v>45681</v>
      </c>
      <c r="AL42" t="s">
        <v>820</v>
      </c>
      <c r="AM42">
        <v>2</v>
      </c>
      <c r="AN42">
        <v>-2.8E-3</v>
      </c>
      <c r="AO42">
        <v>5.9957343296895793</v>
      </c>
      <c r="AP42">
        <v>606.80243952706883</v>
      </c>
      <c r="AQ42">
        <v>0.42399999999999999</v>
      </c>
      <c r="AR42">
        <v>0</v>
      </c>
      <c r="AS42">
        <v>8.0015000000000214</v>
      </c>
      <c r="AT42" s="2">
        <v>45681</v>
      </c>
      <c r="AU42" t="s">
        <v>978</v>
      </c>
      <c r="AV42">
        <v>3</v>
      </c>
      <c r="AW42">
        <v>-2.5999999999999999E-3</v>
      </c>
      <c r="AX42">
        <v>5.995735900605311</v>
      </c>
      <c r="AY42">
        <v>606.80258593641497</v>
      </c>
      <c r="AZ42">
        <v>0.42399999999999999</v>
      </c>
      <c r="BA42">
        <v>0</v>
      </c>
      <c r="BB42">
        <v>8.0001999999999782</v>
      </c>
      <c r="BC42" s="2">
        <v>45681</v>
      </c>
      <c r="BD42" t="s">
        <v>1178</v>
      </c>
      <c r="BE42">
        <v>3</v>
      </c>
      <c r="BF42">
        <v>-2.8E-3</v>
      </c>
      <c r="BG42">
        <v>5.9957340880099554</v>
      </c>
      <c r="BH42">
        <v>606.80241700252782</v>
      </c>
      <c r="BI42">
        <v>0.42399999999999999</v>
      </c>
      <c r="BJ42">
        <v>0</v>
      </c>
      <c r="BK42">
        <v>8.0011000000000081</v>
      </c>
      <c r="BL42" s="2">
        <v>45681</v>
      </c>
      <c r="BM42" t="s">
        <v>1336</v>
      </c>
      <c r="BN42">
        <v>4</v>
      </c>
      <c r="BO42">
        <v>-2.8E-3</v>
      </c>
      <c r="BP42">
        <v>5.9957396466344166</v>
      </c>
      <c r="BQ42">
        <v>606.80293506632768</v>
      </c>
      <c r="BR42">
        <v>0.42399999999999999</v>
      </c>
      <c r="BS42">
        <v>0</v>
      </c>
      <c r="BT42">
        <v>8.0018000000000029</v>
      </c>
      <c r="BU42" s="2">
        <v>45681</v>
      </c>
      <c r="BV42" t="s">
        <v>1534</v>
      </c>
      <c r="BW42">
        <v>5</v>
      </c>
      <c r="BX42">
        <v>-2.8E-3</v>
      </c>
      <c r="BY42">
        <v>5.9957517306075134</v>
      </c>
      <c r="BZ42">
        <v>606.8040612926203</v>
      </c>
      <c r="CA42">
        <v>0.42399999999999999</v>
      </c>
      <c r="CB42">
        <v>0</v>
      </c>
      <c r="CC42">
        <v>8.0009000000000015</v>
      </c>
      <c r="CD42" s="2">
        <v>45681</v>
      </c>
      <c r="CE42" t="s">
        <v>1694</v>
      </c>
      <c r="CF42">
        <v>5</v>
      </c>
      <c r="CG42">
        <v>-2.8E-3</v>
      </c>
      <c r="CH42">
        <v>5.9957493138112703</v>
      </c>
      <c r="CI42">
        <v>606.80383604721044</v>
      </c>
      <c r="CJ42">
        <v>0.42399999999999999</v>
      </c>
      <c r="CK42">
        <v>0</v>
      </c>
      <c r="CL42">
        <v>7.9988999999999919</v>
      </c>
    </row>
    <row r="43" spans="1:90" x14ac:dyDescent="0.3">
      <c r="A43" s="2">
        <v>45681</v>
      </c>
      <c r="B43" t="s">
        <v>141</v>
      </c>
      <c r="C43">
        <v>0</v>
      </c>
      <c r="D43">
        <v>-3.0999999999999999E-3</v>
      </c>
      <c r="E43">
        <v>6.0213372424756786</v>
      </c>
      <c r="F43">
        <v>711.424904310942</v>
      </c>
      <c r="G43">
        <v>0.42399999999999999</v>
      </c>
      <c r="H43">
        <v>4.0000000000000002E-4</v>
      </c>
      <c r="I43">
        <v>8.2011499999999984</v>
      </c>
      <c r="J43" s="2">
        <v>45681</v>
      </c>
      <c r="K43" t="s">
        <v>301</v>
      </c>
      <c r="L43">
        <v>0</v>
      </c>
      <c r="M43">
        <v>-3.0999999999999999E-3</v>
      </c>
      <c r="N43">
        <v>6.0206855536675086</v>
      </c>
      <c r="O43">
        <v>711.36305904304663</v>
      </c>
      <c r="P43">
        <v>0.42399999999999999</v>
      </c>
      <c r="Q43">
        <v>4.0000000000000002E-4</v>
      </c>
      <c r="R43">
        <v>8.1983399999999875</v>
      </c>
      <c r="S43" s="2">
        <v>45681</v>
      </c>
      <c r="T43" t="s">
        <v>461</v>
      </c>
      <c r="U43">
        <v>1</v>
      </c>
      <c r="V43">
        <v>-3.0000000000000001E-3</v>
      </c>
      <c r="W43">
        <v>6.0211066796431281</v>
      </c>
      <c r="X43">
        <v>711.40302389813291</v>
      </c>
      <c r="Y43">
        <v>0.42399999999999999</v>
      </c>
      <c r="Z43">
        <v>4.0000000000000002E-4</v>
      </c>
      <c r="AA43">
        <v>8.2000000000000028</v>
      </c>
      <c r="AB43" s="2">
        <v>45681</v>
      </c>
      <c r="AC43" t="s">
        <v>661</v>
      </c>
      <c r="AD43">
        <v>2</v>
      </c>
      <c r="AE43">
        <v>-3.0999999999999999E-3</v>
      </c>
      <c r="AF43">
        <v>6.0208965403722523</v>
      </c>
      <c r="AG43">
        <v>711.38308168132676</v>
      </c>
      <c r="AH43">
        <v>0.42399999999999999</v>
      </c>
      <c r="AI43">
        <v>4.0000000000000002E-4</v>
      </c>
      <c r="AJ43">
        <v>8.1995000000000005</v>
      </c>
      <c r="AK43" s="2">
        <v>45681</v>
      </c>
      <c r="AL43" t="s">
        <v>821</v>
      </c>
      <c r="AM43">
        <v>2</v>
      </c>
      <c r="AN43">
        <v>-2.8999999999999998E-3</v>
      </c>
      <c r="AO43">
        <v>6.0203296800996808</v>
      </c>
      <c r="AP43">
        <v>711.3292866414597</v>
      </c>
      <c r="AQ43">
        <v>0.42399999999999999</v>
      </c>
      <c r="AR43">
        <v>4.0000000000000002E-4</v>
      </c>
      <c r="AS43">
        <v>8.1988000000000056</v>
      </c>
      <c r="AT43" s="2">
        <v>45681</v>
      </c>
      <c r="AU43" t="s">
        <v>979</v>
      </c>
      <c r="AV43">
        <v>3</v>
      </c>
      <c r="AW43">
        <v>-2.8E-3</v>
      </c>
      <c r="AX43">
        <v>6.0203232736618322</v>
      </c>
      <c r="AY43">
        <v>711.32867867050788</v>
      </c>
      <c r="AZ43">
        <v>0.42399999999999999</v>
      </c>
      <c r="BA43">
        <v>4.0000000000000002E-4</v>
      </c>
      <c r="BB43">
        <v>8.2006999999999834</v>
      </c>
      <c r="BC43" s="2">
        <v>45681</v>
      </c>
      <c r="BD43" t="s">
        <v>1179</v>
      </c>
      <c r="BE43">
        <v>3</v>
      </c>
      <c r="BF43">
        <v>-3.0999999999999999E-3</v>
      </c>
      <c r="BG43">
        <v>6.0207663964256364</v>
      </c>
      <c r="BH43">
        <v>711.37073102079296</v>
      </c>
      <c r="BI43">
        <v>0.42399999999999999</v>
      </c>
      <c r="BJ43">
        <v>4.0000000000000002E-4</v>
      </c>
      <c r="BK43">
        <v>8.2023000000000366</v>
      </c>
      <c r="BL43" s="2">
        <v>45681</v>
      </c>
      <c r="BM43" t="s">
        <v>1337</v>
      </c>
      <c r="BN43">
        <v>4</v>
      </c>
      <c r="BO43">
        <v>-3.0999999999999999E-3</v>
      </c>
      <c r="BP43">
        <v>6.0213007460534751</v>
      </c>
      <c r="BQ43">
        <v>711.42144080047478</v>
      </c>
      <c r="BR43">
        <v>0.42399999999999999</v>
      </c>
      <c r="BS43">
        <v>4.0000000000000002E-4</v>
      </c>
      <c r="BT43">
        <v>8.2010999999999967</v>
      </c>
      <c r="BU43" s="2">
        <v>45681</v>
      </c>
      <c r="BV43" t="s">
        <v>1535</v>
      </c>
      <c r="BW43">
        <v>5</v>
      </c>
      <c r="BX43">
        <v>-3.0999999999999999E-3</v>
      </c>
      <c r="BY43">
        <v>6.0213635859103043</v>
      </c>
      <c r="BZ43">
        <v>711.42740430288791</v>
      </c>
      <c r="CA43">
        <v>0.42399999999999999</v>
      </c>
      <c r="CB43">
        <v>4.0000000000000002E-4</v>
      </c>
      <c r="CC43">
        <v>8.1981999999999857</v>
      </c>
      <c r="CD43" s="2">
        <v>45681</v>
      </c>
      <c r="CE43" t="s">
        <v>1695</v>
      </c>
      <c r="CF43">
        <v>5</v>
      </c>
      <c r="CG43">
        <v>-3.0999999999999999E-3</v>
      </c>
      <c r="CH43">
        <v>6.0218992654822019</v>
      </c>
      <c r="CI43">
        <v>711.47824029426101</v>
      </c>
      <c r="CJ43">
        <v>0.42399999999999999</v>
      </c>
      <c r="CK43">
        <v>4.0000000000000002E-4</v>
      </c>
      <c r="CL43">
        <v>8.1986999999999739</v>
      </c>
    </row>
    <row r="44" spans="1:90" x14ac:dyDescent="0.3">
      <c r="A44" s="2">
        <v>45681</v>
      </c>
      <c r="B44" t="s">
        <v>142</v>
      </c>
      <c r="C44">
        <v>0</v>
      </c>
      <c r="D44">
        <v>-1.2999999999999999E-3</v>
      </c>
      <c r="E44">
        <v>6.0953018948492641</v>
      </c>
      <c r="F44">
        <v>718.4441498211952</v>
      </c>
      <c r="G44">
        <v>0.42399999999999999</v>
      </c>
      <c r="H44">
        <v>1.5E-3</v>
      </c>
      <c r="I44">
        <v>8.3992699999999942</v>
      </c>
      <c r="J44" s="2">
        <v>45681</v>
      </c>
      <c r="K44" t="s">
        <v>302</v>
      </c>
      <c r="L44">
        <v>0</v>
      </c>
      <c r="M44">
        <v>-1.6999999999999999E-3</v>
      </c>
      <c r="N44">
        <v>6.0954232116976534</v>
      </c>
      <c r="O44">
        <v>718.45566279010723</v>
      </c>
      <c r="P44">
        <v>0.42399999999999999</v>
      </c>
      <c r="Q44">
        <v>1.5E-3</v>
      </c>
      <c r="R44">
        <v>8.3993099999999998</v>
      </c>
      <c r="S44" s="2">
        <v>45681</v>
      </c>
      <c r="T44" t="s">
        <v>462</v>
      </c>
      <c r="U44">
        <v>1</v>
      </c>
      <c r="V44">
        <v>-5.9999999999999995E-4</v>
      </c>
      <c r="W44">
        <v>6.0960821422134179</v>
      </c>
      <c r="X44">
        <v>718.51819529605336</v>
      </c>
      <c r="Y44">
        <v>0.42399999999999999</v>
      </c>
      <c r="Z44">
        <v>1.6000000000000001E-3</v>
      </c>
      <c r="AA44">
        <v>8.4005999999999972</v>
      </c>
      <c r="AB44" s="2">
        <v>45681</v>
      </c>
      <c r="AC44" t="s">
        <v>662</v>
      </c>
      <c r="AD44">
        <v>2</v>
      </c>
      <c r="AE44">
        <v>-1.6000000000000001E-3</v>
      </c>
      <c r="AF44">
        <v>6.0949925612141174</v>
      </c>
      <c r="AG44">
        <v>718.41479405921973</v>
      </c>
      <c r="AH44">
        <v>0.42399999999999999</v>
      </c>
      <c r="AI44">
        <v>1.5E-3</v>
      </c>
      <c r="AJ44">
        <v>8.3988000000000227</v>
      </c>
      <c r="AK44" s="2">
        <v>45681</v>
      </c>
      <c r="AL44" t="s">
        <v>822</v>
      </c>
      <c r="AM44">
        <v>2</v>
      </c>
      <c r="AN44">
        <v>-8.0000000000000004E-4</v>
      </c>
      <c r="AO44">
        <v>6.0942260593083866</v>
      </c>
      <c r="AP44">
        <v>718.34205302836597</v>
      </c>
      <c r="AQ44">
        <v>0.42399999999999999</v>
      </c>
      <c r="AR44">
        <v>1.5E-3</v>
      </c>
      <c r="AS44">
        <v>8.3988000000000227</v>
      </c>
      <c r="AT44" s="2">
        <v>45681</v>
      </c>
      <c r="AU44" t="s">
        <v>980</v>
      </c>
      <c r="AV44">
        <v>3</v>
      </c>
      <c r="AW44">
        <v>-8.0000000000000004E-4</v>
      </c>
      <c r="AX44">
        <v>6.0941085944321216</v>
      </c>
      <c r="AY44">
        <v>718.3309056116085</v>
      </c>
      <c r="AZ44">
        <v>0.42399999999999999</v>
      </c>
      <c r="BA44">
        <v>1.5E-3</v>
      </c>
      <c r="BB44">
        <v>8.4004999999999939</v>
      </c>
      <c r="BC44" s="2">
        <v>45681</v>
      </c>
      <c r="BD44" t="s">
        <v>1180</v>
      </c>
      <c r="BE44">
        <v>3</v>
      </c>
      <c r="BF44">
        <v>1E-3</v>
      </c>
      <c r="BG44">
        <v>6.3818864313809813</v>
      </c>
      <c r="BH44">
        <v>745.64102233805511</v>
      </c>
      <c r="BI44">
        <v>0.42399999999999999</v>
      </c>
      <c r="BJ44">
        <v>6.0000000000000001E-3</v>
      </c>
      <c r="BK44">
        <v>8.8009000000000128</v>
      </c>
      <c r="BL44" s="2">
        <v>45681</v>
      </c>
      <c r="BM44" t="s">
        <v>1338</v>
      </c>
      <c r="BN44">
        <v>4</v>
      </c>
      <c r="BO44">
        <v>-1E-3</v>
      </c>
      <c r="BP44">
        <v>6.095786229660094</v>
      </c>
      <c r="BQ44">
        <v>718.490113194743</v>
      </c>
      <c r="BR44">
        <v>0.42399999999999999</v>
      </c>
      <c r="BS44">
        <v>1.6000000000000001E-3</v>
      </c>
      <c r="BT44">
        <v>8.4003999999999905</v>
      </c>
      <c r="BU44" s="2">
        <v>45681</v>
      </c>
      <c r="BV44" t="s">
        <v>1536</v>
      </c>
      <c r="BW44">
        <v>5</v>
      </c>
      <c r="BX44">
        <v>-5.9999999999999995E-4</v>
      </c>
      <c r="BY44">
        <v>6.0971425293187211</v>
      </c>
      <c r="BZ44">
        <v>718.61882603234665</v>
      </c>
      <c r="CA44">
        <v>0.42399999999999999</v>
      </c>
      <c r="CB44">
        <v>1.6000000000000001E-3</v>
      </c>
      <c r="CC44">
        <v>8.3999000000000024</v>
      </c>
      <c r="CD44" s="2">
        <v>45681</v>
      </c>
      <c r="CE44" t="s">
        <v>1696</v>
      </c>
      <c r="CF44">
        <v>5</v>
      </c>
      <c r="CG44">
        <v>-1.1000000000000001E-3</v>
      </c>
      <c r="CH44">
        <v>6.0977101072745192</v>
      </c>
      <c r="CI44">
        <v>718.67268918035188</v>
      </c>
      <c r="CJ44">
        <v>0.42399999999999999</v>
      </c>
      <c r="CK44">
        <v>1.6000000000000001E-3</v>
      </c>
      <c r="CL44">
        <v>8.3994000000000142</v>
      </c>
    </row>
    <row r="45" spans="1:90" x14ac:dyDescent="0.3">
      <c r="A45" s="2">
        <v>45681</v>
      </c>
      <c r="B45" t="s">
        <v>143</v>
      </c>
      <c r="C45">
        <v>0</v>
      </c>
      <c r="D45">
        <v>2.3E-3</v>
      </c>
      <c r="E45">
        <v>6.2179173444090656</v>
      </c>
      <c r="F45">
        <v>730.08035598442041</v>
      </c>
      <c r="G45">
        <v>0.42399999999999999</v>
      </c>
      <c r="H45">
        <v>3.5000000000000001E-3</v>
      </c>
      <c r="I45">
        <v>8.6002599999999987</v>
      </c>
      <c r="J45" s="2">
        <v>45681</v>
      </c>
      <c r="K45" t="s">
        <v>303</v>
      </c>
      <c r="L45">
        <v>0</v>
      </c>
      <c r="M45">
        <v>2.3E-3</v>
      </c>
      <c r="N45">
        <v>6.2169913303103002</v>
      </c>
      <c r="O45">
        <v>729.99247724644749</v>
      </c>
      <c r="P45">
        <v>0.42399999999999999</v>
      </c>
      <c r="Q45">
        <v>3.3999999999999998E-3</v>
      </c>
      <c r="R45">
        <v>8.5987699999999876</v>
      </c>
      <c r="S45" s="2">
        <v>45681</v>
      </c>
      <c r="T45" t="s">
        <v>463</v>
      </c>
      <c r="U45">
        <v>1</v>
      </c>
      <c r="V45">
        <v>2.3E-3</v>
      </c>
      <c r="W45">
        <v>6.2168391976849131</v>
      </c>
      <c r="X45">
        <v>729.97803986029828</v>
      </c>
      <c r="Y45">
        <v>0.42399999999999999</v>
      </c>
      <c r="Z45">
        <v>3.3999999999999998E-3</v>
      </c>
      <c r="AA45">
        <v>8.5985000000000014</v>
      </c>
      <c r="AB45" s="2">
        <v>45681</v>
      </c>
      <c r="AC45" t="s">
        <v>663</v>
      </c>
      <c r="AD45">
        <v>2</v>
      </c>
      <c r="AE45">
        <v>2E-3</v>
      </c>
      <c r="AF45">
        <v>6.2167034866249011</v>
      </c>
      <c r="AG45">
        <v>729.96516088070314</v>
      </c>
      <c r="AH45">
        <v>0.42399999999999999</v>
      </c>
      <c r="AI45">
        <v>3.3999999999999998E-3</v>
      </c>
      <c r="AJ45">
        <v>8.598700000000008</v>
      </c>
      <c r="AK45" s="2">
        <v>45681</v>
      </c>
      <c r="AL45" t="s">
        <v>823</v>
      </c>
      <c r="AM45">
        <v>2</v>
      </c>
      <c r="AN45">
        <v>1.6000000000000001E-3</v>
      </c>
      <c r="AO45">
        <v>6.2161093097879059</v>
      </c>
      <c r="AP45">
        <v>729.90877349887228</v>
      </c>
      <c r="AQ45">
        <v>0.42399999999999999</v>
      </c>
      <c r="AR45">
        <v>3.3999999999999998E-3</v>
      </c>
      <c r="AS45">
        <v>8.5995000000000061</v>
      </c>
      <c r="AT45" s="2">
        <v>45681</v>
      </c>
      <c r="AU45" t="s">
        <v>981</v>
      </c>
      <c r="AV45">
        <v>3</v>
      </c>
      <c r="AW45">
        <v>2.0999999999999999E-3</v>
      </c>
      <c r="AX45">
        <v>6.217551690886749</v>
      </c>
      <c r="AY45">
        <v>730.04565546515255</v>
      </c>
      <c r="AZ45">
        <v>0.42399999999999999</v>
      </c>
      <c r="BA45">
        <v>3.3999999999999998E-3</v>
      </c>
      <c r="BB45">
        <v>8.6033999999999935</v>
      </c>
      <c r="BC45" s="2">
        <v>45681</v>
      </c>
      <c r="BD45" t="s">
        <v>1181</v>
      </c>
      <c r="BE45">
        <v>3</v>
      </c>
      <c r="BF45">
        <v>1.1000000000000001E-3</v>
      </c>
      <c r="BG45">
        <v>6.5894124027261602</v>
      </c>
      <c r="BH45">
        <v>765.33523701871263</v>
      </c>
      <c r="BI45">
        <v>0.42399999999999999</v>
      </c>
      <c r="BJ45">
        <v>9.1999999999999998E-3</v>
      </c>
      <c r="BK45">
        <v>9.0019000000000347</v>
      </c>
      <c r="BL45" s="2">
        <v>45681</v>
      </c>
      <c r="BM45" t="s">
        <v>1339</v>
      </c>
      <c r="BN45">
        <v>4</v>
      </c>
      <c r="BO45">
        <v>2.3E-3</v>
      </c>
      <c r="BP45">
        <v>6.2176573971112639</v>
      </c>
      <c r="BQ45">
        <v>730.05568698585898</v>
      </c>
      <c r="BR45">
        <v>0.42399999999999999</v>
      </c>
      <c r="BS45">
        <v>3.3999999999999998E-3</v>
      </c>
      <c r="BT45">
        <v>8.5999999999999659</v>
      </c>
      <c r="BU45" s="2">
        <v>45681</v>
      </c>
      <c r="BV45" t="s">
        <v>1537</v>
      </c>
      <c r="BW45">
        <v>5</v>
      </c>
      <c r="BX45">
        <v>2.0999999999999999E-3</v>
      </c>
      <c r="BY45">
        <v>6.2192761579863411</v>
      </c>
      <c r="BZ45">
        <v>730.20930739290384</v>
      </c>
      <c r="CA45">
        <v>0.42399999999999999</v>
      </c>
      <c r="CB45">
        <v>3.5000000000000001E-3</v>
      </c>
      <c r="CC45">
        <v>8.5989999999999895</v>
      </c>
      <c r="CD45" s="2">
        <v>45681</v>
      </c>
      <c r="CE45" t="s">
        <v>1697</v>
      </c>
      <c r="CF45">
        <v>5</v>
      </c>
      <c r="CG45">
        <v>2E-3</v>
      </c>
      <c r="CH45">
        <v>6.2213802268020473</v>
      </c>
      <c r="CI45">
        <v>730.40898352351428</v>
      </c>
      <c r="CJ45">
        <v>0.42399999999999999</v>
      </c>
      <c r="CK45">
        <v>3.5000000000000001E-3</v>
      </c>
      <c r="CL45">
        <v>8.6003000000000043</v>
      </c>
    </row>
    <row r="46" spans="1:90" x14ac:dyDescent="0.3">
      <c r="A46" s="2">
        <v>45681</v>
      </c>
      <c r="B46" t="s">
        <v>144</v>
      </c>
      <c r="C46">
        <v>0</v>
      </c>
      <c r="D46">
        <v>4.0000000000000001E-3</v>
      </c>
      <c r="E46">
        <v>6.3840756490541803</v>
      </c>
      <c r="F46">
        <v>745.84877909524175</v>
      </c>
      <c r="G46">
        <v>0.42399999999999999</v>
      </c>
      <c r="H46">
        <v>6.0000000000000001E-3</v>
      </c>
      <c r="I46">
        <v>8.7998099999999937</v>
      </c>
      <c r="J46" s="2">
        <v>45681</v>
      </c>
      <c r="K46" t="s">
        <v>304</v>
      </c>
      <c r="L46">
        <v>0</v>
      </c>
      <c r="M46">
        <v>4.1999999999999997E-3</v>
      </c>
      <c r="N46">
        <v>6.3826461213781114</v>
      </c>
      <c r="O46">
        <v>745.71311691878282</v>
      </c>
      <c r="P46">
        <v>0.42399999999999999</v>
      </c>
      <c r="Q46">
        <v>6.0000000000000001E-3</v>
      </c>
      <c r="R46">
        <v>8.7980699999999956</v>
      </c>
      <c r="S46" s="2">
        <v>45681</v>
      </c>
      <c r="T46" t="s">
        <v>464</v>
      </c>
      <c r="U46">
        <v>1</v>
      </c>
      <c r="V46">
        <v>4.1999999999999997E-3</v>
      </c>
      <c r="W46">
        <v>6.3844050940385246</v>
      </c>
      <c r="X46">
        <v>745.88004342425597</v>
      </c>
      <c r="Y46">
        <v>0.42399999999999999</v>
      </c>
      <c r="Z46">
        <v>6.0000000000000001E-3</v>
      </c>
      <c r="AA46">
        <v>8.7998999999999938</v>
      </c>
      <c r="AB46" s="2">
        <v>45681</v>
      </c>
      <c r="AC46" t="s">
        <v>664</v>
      </c>
      <c r="AD46">
        <v>2</v>
      </c>
      <c r="AE46">
        <v>3.8E-3</v>
      </c>
      <c r="AF46">
        <v>6.3830826106404457</v>
      </c>
      <c r="AG46">
        <v>745.75453974977836</v>
      </c>
      <c r="AH46">
        <v>0.42399999999999999</v>
      </c>
      <c r="AI46">
        <v>6.0000000000000001E-3</v>
      </c>
      <c r="AJ46">
        <v>8.7989000000000033</v>
      </c>
      <c r="AK46" s="2">
        <v>45681</v>
      </c>
      <c r="AL46" t="s">
        <v>824</v>
      </c>
      <c r="AM46">
        <v>2</v>
      </c>
      <c r="AN46">
        <v>4.3E-3</v>
      </c>
      <c r="AO46">
        <v>6.3820950866289117</v>
      </c>
      <c r="AP46">
        <v>745.66082372108372</v>
      </c>
      <c r="AQ46">
        <v>0.42399999999999999</v>
      </c>
      <c r="AR46">
        <v>6.0000000000000001E-3</v>
      </c>
      <c r="AS46">
        <v>8.7994000000000199</v>
      </c>
      <c r="AT46" s="2">
        <v>45681</v>
      </c>
      <c r="AU46" t="s">
        <v>982</v>
      </c>
      <c r="AV46">
        <v>3</v>
      </c>
      <c r="AW46">
        <v>4.1999999999999997E-3</v>
      </c>
      <c r="AX46">
        <v>6.3845996389043567</v>
      </c>
      <c r="AY46">
        <v>745.89850573202352</v>
      </c>
      <c r="AZ46">
        <v>0.42399999999999999</v>
      </c>
      <c r="BA46">
        <v>6.0000000000000001E-3</v>
      </c>
      <c r="BB46">
        <v>8.8039999999999736</v>
      </c>
      <c r="BC46" s="2">
        <v>45681</v>
      </c>
      <c r="BD46" t="s">
        <v>1182</v>
      </c>
      <c r="BE46">
        <v>3</v>
      </c>
      <c r="BF46">
        <v>8.6999999999999994E-3</v>
      </c>
      <c r="BG46">
        <v>6.8295670513386746</v>
      </c>
      <c r="BH46">
        <v>788.12591317204033</v>
      </c>
      <c r="BI46">
        <v>0.42399999999999999</v>
      </c>
      <c r="BJ46">
        <v>1.2999999999999999E-2</v>
      </c>
      <c r="BK46">
        <v>9.2005000000000337</v>
      </c>
      <c r="BL46" s="2">
        <v>45681</v>
      </c>
      <c r="BM46" t="s">
        <v>1340</v>
      </c>
      <c r="BN46">
        <v>4</v>
      </c>
      <c r="BO46">
        <v>4.1000000000000003E-3</v>
      </c>
      <c r="BP46">
        <v>6.3838258790722042</v>
      </c>
      <c r="BQ46">
        <v>745.82507592395223</v>
      </c>
      <c r="BR46">
        <v>0.42399999999999999</v>
      </c>
      <c r="BS46">
        <v>6.0000000000000001E-3</v>
      </c>
      <c r="BT46">
        <v>8.799699999999973</v>
      </c>
      <c r="BU46" s="2">
        <v>45681</v>
      </c>
      <c r="BV46" t="s">
        <v>1538</v>
      </c>
      <c r="BW46">
        <v>5</v>
      </c>
      <c r="BX46">
        <v>4.0000000000000001E-3</v>
      </c>
      <c r="BY46">
        <v>6.3867219539038134</v>
      </c>
      <c r="BZ46">
        <v>746.09991342547187</v>
      </c>
      <c r="CA46">
        <v>0.42399999999999999</v>
      </c>
      <c r="CB46">
        <v>6.1000000000000004E-3</v>
      </c>
      <c r="CC46">
        <v>8.7994999999999663</v>
      </c>
      <c r="CD46" s="2">
        <v>45681</v>
      </c>
      <c r="CE46" t="s">
        <v>1698</v>
      </c>
      <c r="CF46">
        <v>5</v>
      </c>
      <c r="CG46">
        <v>4.4999999999999997E-3</v>
      </c>
      <c r="CH46">
        <v>6.3874649790531199</v>
      </c>
      <c r="CI46">
        <v>746.17042651214115</v>
      </c>
      <c r="CJ46">
        <v>0.42399999999999999</v>
      </c>
      <c r="CK46">
        <v>6.1000000000000004E-3</v>
      </c>
      <c r="CL46">
        <v>8.7986999999999966</v>
      </c>
    </row>
    <row r="47" spans="1:90" x14ac:dyDescent="0.3">
      <c r="A47" s="2">
        <v>45681</v>
      </c>
      <c r="B47" t="s">
        <v>145</v>
      </c>
      <c r="C47">
        <v>0</v>
      </c>
      <c r="D47">
        <v>7.0000000000000001E-3</v>
      </c>
      <c r="E47">
        <v>6.5935226597185341</v>
      </c>
      <c r="F47">
        <v>765.72530040728896</v>
      </c>
      <c r="G47">
        <v>0.42399999999999999</v>
      </c>
      <c r="H47">
        <v>9.2999999999999992E-3</v>
      </c>
      <c r="I47">
        <v>9.0021199999999979</v>
      </c>
      <c r="J47" s="2">
        <v>45681</v>
      </c>
      <c r="K47" t="s">
        <v>305</v>
      </c>
      <c r="L47">
        <v>0</v>
      </c>
      <c r="M47">
        <v>7.0000000000000001E-3</v>
      </c>
      <c r="N47">
        <v>6.5905242035225573</v>
      </c>
      <c r="O47">
        <v>765.44074691429068</v>
      </c>
      <c r="P47">
        <v>0.42399999999999999</v>
      </c>
      <c r="Q47">
        <v>9.1999999999999998E-3</v>
      </c>
      <c r="R47">
        <v>8.9992499999999893</v>
      </c>
      <c r="S47" s="2">
        <v>45681</v>
      </c>
      <c r="T47" t="s">
        <v>465</v>
      </c>
      <c r="U47">
        <v>1</v>
      </c>
      <c r="V47">
        <v>7.3000000000000001E-3</v>
      </c>
      <c r="W47">
        <v>6.5891277622596851</v>
      </c>
      <c r="X47">
        <v>765.30822463844413</v>
      </c>
      <c r="Y47">
        <v>0.42399999999999999</v>
      </c>
      <c r="Z47">
        <v>9.1999999999999998E-3</v>
      </c>
      <c r="AA47">
        <v>8.9979000000000013</v>
      </c>
      <c r="AB47" s="2">
        <v>45681</v>
      </c>
      <c r="AC47" t="s">
        <v>665</v>
      </c>
      <c r="AD47">
        <v>2</v>
      </c>
      <c r="AE47">
        <v>6.7999999999999996E-3</v>
      </c>
      <c r="AF47">
        <v>6.5889055642887069</v>
      </c>
      <c r="AG47">
        <v>765.28713805099835</v>
      </c>
      <c r="AH47">
        <v>0.42399999999999999</v>
      </c>
      <c r="AI47">
        <v>9.1999999999999998E-3</v>
      </c>
      <c r="AJ47">
        <v>8.9981000000000222</v>
      </c>
      <c r="AK47" s="2">
        <v>45681</v>
      </c>
      <c r="AL47" t="s">
        <v>825</v>
      </c>
      <c r="AM47">
        <v>2</v>
      </c>
      <c r="AN47">
        <v>7.1000000000000004E-3</v>
      </c>
      <c r="AO47">
        <v>6.5897732716936268</v>
      </c>
      <c r="AP47">
        <v>765.36948348372528</v>
      </c>
      <c r="AQ47">
        <v>0.42399999999999999</v>
      </c>
      <c r="AR47">
        <v>9.1999999999999998E-3</v>
      </c>
      <c r="AS47">
        <v>9.0005000000000166</v>
      </c>
      <c r="AT47" s="2">
        <v>45681</v>
      </c>
      <c r="AU47" t="s">
        <v>983</v>
      </c>
      <c r="AV47">
        <v>3</v>
      </c>
      <c r="AW47">
        <v>6.7999999999999996E-3</v>
      </c>
      <c r="AX47">
        <v>6.5876019758275746</v>
      </c>
      <c r="AY47">
        <v>765.1634275060369</v>
      </c>
      <c r="AZ47">
        <v>0.42399999999999999</v>
      </c>
      <c r="BA47">
        <v>9.1999999999999998E-3</v>
      </c>
      <c r="BB47">
        <v>9.0004999999999882</v>
      </c>
      <c r="BC47" s="2">
        <v>45681</v>
      </c>
      <c r="BD47" t="s">
        <v>1183</v>
      </c>
      <c r="BE47">
        <v>3</v>
      </c>
      <c r="BF47">
        <v>1.3899999999999999E-2</v>
      </c>
      <c r="BG47">
        <v>7.1006988543068594</v>
      </c>
      <c r="BH47">
        <v>813.85632127372094</v>
      </c>
      <c r="BI47">
        <v>0.42399999999999999</v>
      </c>
      <c r="BJ47">
        <v>1.72E-2</v>
      </c>
      <c r="BK47">
        <v>9.4005999999999972</v>
      </c>
      <c r="BL47" s="2">
        <v>45681</v>
      </c>
      <c r="BM47" t="s">
        <v>1341</v>
      </c>
      <c r="BN47">
        <v>4</v>
      </c>
      <c r="BO47">
        <v>6.8999999999999999E-3</v>
      </c>
      <c r="BP47">
        <v>6.5899958751353562</v>
      </c>
      <c r="BQ47">
        <v>765.39060855034529</v>
      </c>
      <c r="BR47">
        <v>0.42399999999999999</v>
      </c>
      <c r="BS47">
        <v>9.1999999999999998E-3</v>
      </c>
      <c r="BT47">
        <v>8.9990999999999985</v>
      </c>
      <c r="BU47" s="2">
        <v>45681</v>
      </c>
      <c r="BV47" t="s">
        <v>1539</v>
      </c>
      <c r="BW47">
        <v>5</v>
      </c>
      <c r="BX47">
        <v>7.1000000000000004E-3</v>
      </c>
      <c r="BY47">
        <v>6.5929493240780852</v>
      </c>
      <c r="BZ47">
        <v>765.67089085501027</v>
      </c>
      <c r="CA47">
        <v>0.42399999999999999</v>
      </c>
      <c r="CB47">
        <v>9.2999999999999992E-3</v>
      </c>
      <c r="CC47">
        <v>8.9984999999999786</v>
      </c>
      <c r="CD47" s="2">
        <v>45681</v>
      </c>
      <c r="CE47" t="s">
        <v>1699</v>
      </c>
      <c r="CF47">
        <v>5</v>
      </c>
      <c r="CG47">
        <v>7.1999999999999998E-3</v>
      </c>
      <c r="CH47">
        <v>6.597443967341424</v>
      </c>
      <c r="CI47">
        <v>766.09743250070119</v>
      </c>
      <c r="CJ47">
        <v>0.42399999999999999</v>
      </c>
      <c r="CK47">
        <v>9.2999999999999992E-3</v>
      </c>
      <c r="CL47">
        <v>9.0009000000000015</v>
      </c>
    </row>
    <row r="48" spans="1:90" x14ac:dyDescent="0.3">
      <c r="A48" s="2">
        <v>45681</v>
      </c>
      <c r="B48" t="s">
        <v>146</v>
      </c>
      <c r="C48">
        <v>0</v>
      </c>
      <c r="D48">
        <v>1.03E-2</v>
      </c>
      <c r="E48">
        <v>6.8339319439620256</v>
      </c>
      <c r="F48">
        <v>788.54014148199622</v>
      </c>
      <c r="G48">
        <v>0.42399999999999999</v>
      </c>
      <c r="H48">
        <v>1.2999999999999999E-2</v>
      </c>
      <c r="I48">
        <v>9.2005099999999942</v>
      </c>
      <c r="J48" s="2">
        <v>45681</v>
      </c>
      <c r="K48" t="s">
        <v>306</v>
      </c>
      <c r="L48">
        <v>0</v>
      </c>
      <c r="M48">
        <v>1.04E-2</v>
      </c>
      <c r="N48">
        <v>6.8331035672198519</v>
      </c>
      <c r="O48">
        <v>788.46152852916396</v>
      </c>
      <c r="P48">
        <v>0.42399999999999999</v>
      </c>
      <c r="Q48">
        <v>1.2999999999999999E-2</v>
      </c>
      <c r="R48">
        <v>9.1996599999999944</v>
      </c>
      <c r="S48" s="2">
        <v>45681</v>
      </c>
      <c r="T48" t="s">
        <v>466</v>
      </c>
      <c r="U48">
        <v>1</v>
      </c>
      <c r="V48">
        <v>1.0200000000000001E-2</v>
      </c>
      <c r="W48">
        <v>6.8354881407003836</v>
      </c>
      <c r="X48">
        <v>788.68782455246651</v>
      </c>
      <c r="Y48">
        <v>0.42399999999999999</v>
      </c>
      <c r="Z48">
        <v>1.2999999999999999E-2</v>
      </c>
      <c r="AA48">
        <v>9.2014000000000067</v>
      </c>
      <c r="AB48" s="2">
        <v>45681</v>
      </c>
      <c r="AC48" t="s">
        <v>666</v>
      </c>
      <c r="AD48">
        <v>2</v>
      </c>
      <c r="AE48">
        <v>1.0500000000000001E-2</v>
      </c>
      <c r="AF48">
        <v>6.8435590359783944</v>
      </c>
      <c r="AG48">
        <v>789.45375251434962</v>
      </c>
      <c r="AH48">
        <v>0.42399999999999999</v>
      </c>
      <c r="AI48">
        <v>1.32E-2</v>
      </c>
      <c r="AJ48">
        <v>9.2081000000000017</v>
      </c>
      <c r="AK48" s="2">
        <v>45681</v>
      </c>
      <c r="AL48" t="s">
        <v>826</v>
      </c>
      <c r="AM48">
        <v>2</v>
      </c>
      <c r="AN48">
        <v>1.03E-2</v>
      </c>
      <c r="AO48">
        <v>6.8292041550174591</v>
      </c>
      <c r="AP48">
        <v>788.09147431115696</v>
      </c>
      <c r="AQ48">
        <v>0.42399999999999999</v>
      </c>
      <c r="AR48">
        <v>1.2999999999999999E-2</v>
      </c>
      <c r="AS48">
        <v>9.198599999999999</v>
      </c>
      <c r="AT48" s="2">
        <v>45681</v>
      </c>
      <c r="AU48" t="s">
        <v>984</v>
      </c>
      <c r="AV48">
        <v>3</v>
      </c>
      <c r="AW48">
        <v>1.01E-2</v>
      </c>
      <c r="AX48">
        <v>6.8298460152146498</v>
      </c>
      <c r="AY48">
        <v>788.15238684387032</v>
      </c>
      <c r="AZ48">
        <v>0.42399999999999999</v>
      </c>
      <c r="BA48">
        <v>1.2999999999999999E-2</v>
      </c>
      <c r="BB48">
        <v>9.2009999999999934</v>
      </c>
      <c r="BC48" s="2">
        <v>45681</v>
      </c>
      <c r="BD48" t="s">
        <v>1184</v>
      </c>
      <c r="BE48">
        <v>3</v>
      </c>
      <c r="BF48">
        <v>1.8499999999999999E-2</v>
      </c>
      <c r="BG48">
        <v>7.3973489589239518</v>
      </c>
      <c r="BH48">
        <v>842.00841620188305</v>
      </c>
      <c r="BI48">
        <v>0.42399999999999999</v>
      </c>
      <c r="BJ48">
        <v>2.18E-2</v>
      </c>
      <c r="BK48">
        <v>9.6025000000000205</v>
      </c>
      <c r="BL48" s="2">
        <v>45681</v>
      </c>
      <c r="BM48" t="s">
        <v>1342</v>
      </c>
      <c r="BN48">
        <v>4</v>
      </c>
      <c r="BO48">
        <v>1.04E-2</v>
      </c>
      <c r="BP48">
        <v>6.8360695857558316</v>
      </c>
      <c r="BQ48">
        <v>788.74300368822844</v>
      </c>
      <c r="BR48">
        <v>0.42399999999999999</v>
      </c>
      <c r="BS48">
        <v>1.3100000000000001E-2</v>
      </c>
      <c r="BT48">
        <v>9.2022999999999797</v>
      </c>
      <c r="BU48" s="2">
        <v>45681</v>
      </c>
      <c r="BV48" t="s">
        <v>1540</v>
      </c>
      <c r="BW48">
        <v>5</v>
      </c>
      <c r="BX48">
        <v>1.03E-2</v>
      </c>
      <c r="BY48">
        <v>6.8379473207989081</v>
      </c>
      <c r="BZ48">
        <v>788.92120074381637</v>
      </c>
      <c r="CA48">
        <v>0.42399999999999999</v>
      </c>
      <c r="CB48">
        <v>1.3100000000000001E-2</v>
      </c>
      <c r="CC48">
        <v>9.2004999999999768</v>
      </c>
      <c r="CD48" s="2">
        <v>45681</v>
      </c>
      <c r="CE48" t="s">
        <v>1700</v>
      </c>
      <c r="CF48">
        <v>5</v>
      </c>
      <c r="CG48">
        <v>1.06E-2</v>
      </c>
      <c r="CH48">
        <v>6.8386167530070976</v>
      </c>
      <c r="CI48">
        <v>788.9847298603737</v>
      </c>
      <c r="CJ48">
        <v>0.42399999999999999</v>
      </c>
      <c r="CK48">
        <v>1.3100000000000001E-2</v>
      </c>
      <c r="CL48">
        <v>9.1993999999999687</v>
      </c>
    </row>
    <row r="49" spans="1:90" x14ac:dyDescent="0.3">
      <c r="A49" s="2">
        <v>45681</v>
      </c>
      <c r="B49" t="s">
        <v>147</v>
      </c>
      <c r="C49">
        <v>0</v>
      </c>
      <c r="D49">
        <v>1.4200000000000001E-2</v>
      </c>
      <c r="E49">
        <v>7.1059545661678767</v>
      </c>
      <c r="F49">
        <v>814.35508832933158</v>
      </c>
      <c r="G49">
        <v>0.42399999999999999</v>
      </c>
      <c r="H49">
        <v>1.7299999999999999E-2</v>
      </c>
      <c r="I49">
        <v>9.4008799999999937</v>
      </c>
      <c r="J49" s="2">
        <v>45681</v>
      </c>
      <c r="K49" t="s">
        <v>307</v>
      </c>
      <c r="L49">
        <v>0</v>
      </c>
      <c r="M49">
        <v>1.43E-2</v>
      </c>
      <c r="N49">
        <v>7.1050349585069617</v>
      </c>
      <c r="O49">
        <v>814.26781756231071</v>
      </c>
      <c r="P49">
        <v>0.42399999999999999</v>
      </c>
      <c r="Q49">
        <v>1.72E-2</v>
      </c>
      <c r="R49">
        <v>9.4000199999999978</v>
      </c>
      <c r="S49" s="2">
        <v>45681</v>
      </c>
      <c r="T49" t="s">
        <v>467</v>
      </c>
      <c r="U49">
        <v>1</v>
      </c>
      <c r="V49">
        <v>1.4200000000000001E-2</v>
      </c>
      <c r="W49">
        <v>7.103591888107843</v>
      </c>
      <c r="X49">
        <v>814.13087018143437</v>
      </c>
      <c r="Y49">
        <v>0.42399999999999999</v>
      </c>
      <c r="Z49">
        <v>1.72E-2</v>
      </c>
      <c r="AA49">
        <v>9.3988999999999976</v>
      </c>
      <c r="AB49" s="2">
        <v>45681</v>
      </c>
      <c r="AC49" t="s">
        <v>667</v>
      </c>
      <c r="AD49">
        <v>2</v>
      </c>
      <c r="AE49">
        <v>1.41E-2</v>
      </c>
      <c r="AF49">
        <v>7.1045248763035076</v>
      </c>
      <c r="AG49">
        <v>814.21941076120299</v>
      </c>
      <c r="AH49">
        <v>0.42399999999999999</v>
      </c>
      <c r="AI49">
        <v>1.72E-2</v>
      </c>
      <c r="AJ49">
        <v>9.4000000000000057</v>
      </c>
      <c r="AK49" s="2">
        <v>45681</v>
      </c>
      <c r="AL49" t="s">
        <v>827</v>
      </c>
      <c r="AM49">
        <v>2</v>
      </c>
      <c r="AN49">
        <v>1.4200000000000001E-2</v>
      </c>
      <c r="AO49">
        <v>7.1004916587536258</v>
      </c>
      <c r="AP49">
        <v>813.83665841571917</v>
      </c>
      <c r="AQ49">
        <v>0.42399999999999999</v>
      </c>
      <c r="AR49">
        <v>1.72E-2</v>
      </c>
      <c r="AS49">
        <v>9.3988000000000227</v>
      </c>
      <c r="AT49" s="2">
        <v>45681</v>
      </c>
      <c r="AU49" t="s">
        <v>985</v>
      </c>
      <c r="AV49">
        <v>3</v>
      </c>
      <c r="AW49">
        <v>1.41E-2</v>
      </c>
      <c r="AX49">
        <v>7.1009234851023377</v>
      </c>
      <c r="AY49">
        <v>813.87763873621191</v>
      </c>
      <c r="AZ49">
        <v>0.42399999999999999</v>
      </c>
      <c r="BA49">
        <v>1.72E-2</v>
      </c>
      <c r="BB49">
        <v>9.400999999999982</v>
      </c>
      <c r="BC49" s="2">
        <v>45681</v>
      </c>
      <c r="BD49" t="s">
        <v>1185</v>
      </c>
      <c r="BE49">
        <v>3</v>
      </c>
      <c r="BF49">
        <v>2.23E-2</v>
      </c>
      <c r="BG49">
        <v>7.7044443955308406</v>
      </c>
      <c r="BH49">
        <v>871.15177313587685</v>
      </c>
      <c r="BI49">
        <v>0.42399999999999999</v>
      </c>
      <c r="BJ49">
        <v>2.6499999999999999E-2</v>
      </c>
      <c r="BK49">
        <v>9.8009999999999877</v>
      </c>
      <c r="BL49" s="2">
        <v>45681</v>
      </c>
      <c r="BM49" t="s">
        <v>1343</v>
      </c>
      <c r="BN49">
        <v>4</v>
      </c>
      <c r="BO49">
        <v>1.4E-2</v>
      </c>
      <c r="BP49">
        <v>7.1029492169691508</v>
      </c>
      <c r="BQ49">
        <v>814.06988069037243</v>
      </c>
      <c r="BR49">
        <v>0.42399999999999999</v>
      </c>
      <c r="BS49">
        <v>1.72E-2</v>
      </c>
      <c r="BT49">
        <v>9.3988999999999692</v>
      </c>
      <c r="BU49" s="2">
        <v>45681</v>
      </c>
      <c r="BV49" t="s">
        <v>1541</v>
      </c>
      <c r="BW49">
        <v>5</v>
      </c>
      <c r="BX49">
        <v>1.4200000000000001E-2</v>
      </c>
      <c r="BY49">
        <v>7.1074685939482372</v>
      </c>
      <c r="BZ49">
        <v>814.49876956568778</v>
      </c>
      <c r="CA49">
        <v>0.42399999999999999</v>
      </c>
      <c r="CB49">
        <v>1.7299999999999999E-2</v>
      </c>
      <c r="CC49">
        <v>9.3988999999999692</v>
      </c>
      <c r="CD49" s="2">
        <v>45681</v>
      </c>
      <c r="CE49" t="s">
        <v>1701</v>
      </c>
      <c r="CF49">
        <v>5</v>
      </c>
      <c r="CG49">
        <v>1.3599999999999999E-2</v>
      </c>
      <c r="CH49">
        <v>7.110800752571433</v>
      </c>
      <c r="CI49">
        <v>814.81499141902907</v>
      </c>
      <c r="CJ49">
        <v>0.42399999999999999</v>
      </c>
      <c r="CK49">
        <v>1.7299999999999999E-2</v>
      </c>
      <c r="CL49">
        <v>9.3996000000000208</v>
      </c>
    </row>
    <row r="50" spans="1:90" x14ac:dyDescent="0.3">
      <c r="A50" s="2">
        <v>45681</v>
      </c>
      <c r="B50" t="s">
        <v>148</v>
      </c>
      <c r="C50">
        <v>0</v>
      </c>
      <c r="D50">
        <v>1.8499999999999999E-2</v>
      </c>
      <c r="E50">
        <v>7.3982434273983699</v>
      </c>
      <c r="F50">
        <v>842.09330126010536</v>
      </c>
      <c r="G50">
        <v>0.42399999999999999</v>
      </c>
      <c r="H50">
        <v>2.18E-2</v>
      </c>
      <c r="I50">
        <v>9.5996600000000001</v>
      </c>
      <c r="J50" s="2">
        <v>45681</v>
      </c>
      <c r="K50" t="s">
        <v>308</v>
      </c>
      <c r="L50">
        <v>1</v>
      </c>
      <c r="M50">
        <v>1.8499999999999999E-2</v>
      </c>
      <c r="N50">
        <v>7.3963871823050393</v>
      </c>
      <c r="O50">
        <v>841.91714360074832</v>
      </c>
      <c r="P50">
        <v>0.42399999999999999</v>
      </c>
      <c r="Q50">
        <v>2.18E-2</v>
      </c>
      <c r="R50">
        <v>9.5982199999999978</v>
      </c>
      <c r="S50" s="2">
        <v>45681</v>
      </c>
      <c r="T50" t="s">
        <v>468</v>
      </c>
      <c r="U50">
        <v>1</v>
      </c>
      <c r="V50">
        <v>1.8499999999999999E-2</v>
      </c>
      <c r="W50">
        <v>7.3978193049939076</v>
      </c>
      <c r="X50">
        <v>842.05305204392198</v>
      </c>
      <c r="Y50">
        <v>0.42399999999999999</v>
      </c>
      <c r="Z50">
        <v>2.18E-2</v>
      </c>
      <c r="AA50">
        <v>9.5991000000000071</v>
      </c>
      <c r="AB50" s="2">
        <v>45681</v>
      </c>
      <c r="AC50" t="s">
        <v>668</v>
      </c>
      <c r="AD50">
        <v>2</v>
      </c>
      <c r="AE50">
        <v>1.8599999999999998E-2</v>
      </c>
      <c r="AF50">
        <v>7.3966081638637711</v>
      </c>
      <c r="AG50">
        <v>841.93811475067196</v>
      </c>
      <c r="AH50">
        <v>0.42399999999999999</v>
      </c>
      <c r="AI50">
        <v>2.18E-2</v>
      </c>
      <c r="AJ50">
        <v>9.598700000000008</v>
      </c>
      <c r="AK50" s="2">
        <v>45681</v>
      </c>
      <c r="AL50" t="s">
        <v>828</v>
      </c>
      <c r="AM50">
        <v>2</v>
      </c>
      <c r="AN50">
        <v>1.8599999999999998E-2</v>
      </c>
      <c r="AO50">
        <v>7.3974519484944423</v>
      </c>
      <c r="AP50">
        <v>842.01818991212258</v>
      </c>
      <c r="AQ50">
        <v>0.42399999999999999</v>
      </c>
      <c r="AR50">
        <v>2.18E-2</v>
      </c>
      <c r="AS50">
        <v>9.6008999999999958</v>
      </c>
      <c r="AT50" s="2">
        <v>45681</v>
      </c>
      <c r="AU50" t="s">
        <v>986</v>
      </c>
      <c r="AV50">
        <v>3</v>
      </c>
      <c r="AW50">
        <v>1.84E-2</v>
      </c>
      <c r="AX50">
        <v>7.3938825894825211</v>
      </c>
      <c r="AY50">
        <v>841.67945774189127</v>
      </c>
      <c r="AZ50">
        <v>0.42399999999999999</v>
      </c>
      <c r="BA50">
        <v>2.1700000000000001E-2</v>
      </c>
      <c r="BB50">
        <v>9.6003999999999792</v>
      </c>
      <c r="BC50" s="2">
        <v>45681</v>
      </c>
      <c r="BD50" t="s">
        <v>1186</v>
      </c>
      <c r="BE50">
        <v>3</v>
      </c>
      <c r="BF50">
        <v>2.7799999999999998E-2</v>
      </c>
      <c r="BG50">
        <v>8.0240680673700844</v>
      </c>
      <c r="BH50">
        <v>901.48405959342108</v>
      </c>
      <c r="BI50">
        <v>0.42399999999999999</v>
      </c>
      <c r="BJ50">
        <v>3.15E-2</v>
      </c>
      <c r="BK50">
        <v>10.002600000000029</v>
      </c>
      <c r="BL50" s="2">
        <v>45681</v>
      </c>
      <c r="BM50" t="s">
        <v>1344</v>
      </c>
      <c r="BN50">
        <v>4</v>
      </c>
      <c r="BO50">
        <v>1.8200000000000001E-2</v>
      </c>
      <c r="BP50">
        <v>7.3978099791666594</v>
      </c>
      <c r="BQ50">
        <v>842.05216702291602</v>
      </c>
      <c r="BR50">
        <v>0.42399999999999999</v>
      </c>
      <c r="BS50">
        <v>2.18E-2</v>
      </c>
      <c r="BT50">
        <v>9.5994999999999777</v>
      </c>
      <c r="BU50" s="2">
        <v>45681</v>
      </c>
      <c r="BV50" t="s">
        <v>1542</v>
      </c>
      <c r="BW50">
        <v>5</v>
      </c>
      <c r="BX50">
        <v>1.83E-2</v>
      </c>
      <c r="BY50">
        <v>7.4018679304322879</v>
      </c>
      <c r="BZ50">
        <v>842.43726659802417</v>
      </c>
      <c r="CA50">
        <v>0.42399999999999999</v>
      </c>
      <c r="CB50">
        <v>2.18E-2</v>
      </c>
      <c r="CC50">
        <v>9.5989999999999895</v>
      </c>
      <c r="CD50" s="2">
        <v>45681</v>
      </c>
      <c r="CE50" t="s">
        <v>1702</v>
      </c>
      <c r="CF50">
        <v>5</v>
      </c>
      <c r="CG50">
        <v>1.8100000000000002E-2</v>
      </c>
      <c r="CH50">
        <v>7.4038312198036103</v>
      </c>
      <c r="CI50">
        <v>842.62358275936265</v>
      </c>
      <c r="CJ50">
        <v>0.42399999999999999</v>
      </c>
      <c r="CK50">
        <v>2.1899999999999999E-2</v>
      </c>
      <c r="CL50">
        <v>9.598700000000008</v>
      </c>
    </row>
    <row r="51" spans="1:90" x14ac:dyDescent="0.3">
      <c r="A51" s="2">
        <v>45681</v>
      </c>
      <c r="B51" t="s">
        <v>149</v>
      </c>
      <c r="C51">
        <v>0</v>
      </c>
      <c r="D51">
        <v>2.3099999999999999E-2</v>
      </c>
      <c r="E51">
        <v>7.7091543437624104</v>
      </c>
      <c r="F51">
        <v>871.59874722305278</v>
      </c>
      <c r="G51">
        <v>0.42399999999999999</v>
      </c>
      <c r="H51">
        <v>2.6599999999999999E-2</v>
      </c>
      <c r="I51">
        <v>9.800619999999995</v>
      </c>
      <c r="J51" s="2">
        <v>45681</v>
      </c>
      <c r="K51" t="s">
        <v>309</v>
      </c>
      <c r="L51">
        <v>1</v>
      </c>
      <c r="M51">
        <v>2.3E-2</v>
      </c>
      <c r="N51">
        <v>7.7089763421031767</v>
      </c>
      <c r="O51">
        <v>871.58185486559148</v>
      </c>
      <c r="P51">
        <v>0.42399999999999999</v>
      </c>
      <c r="Q51">
        <v>2.6599999999999999E-2</v>
      </c>
      <c r="R51">
        <v>9.8002999999999929</v>
      </c>
      <c r="S51" s="2">
        <v>45681</v>
      </c>
      <c r="T51" t="s">
        <v>469</v>
      </c>
      <c r="U51">
        <v>1</v>
      </c>
      <c r="V51">
        <v>2.3E-2</v>
      </c>
      <c r="W51">
        <v>7.7059559904867054</v>
      </c>
      <c r="X51">
        <v>871.29522349718832</v>
      </c>
      <c r="Y51">
        <v>0.42399999999999999</v>
      </c>
      <c r="Z51">
        <v>2.6599999999999999E-2</v>
      </c>
      <c r="AA51">
        <v>9.7982999999999976</v>
      </c>
      <c r="AB51" s="2">
        <v>45681</v>
      </c>
      <c r="AC51" t="s">
        <v>669</v>
      </c>
      <c r="AD51">
        <v>2</v>
      </c>
      <c r="AE51">
        <v>2.3199999999999998E-2</v>
      </c>
      <c r="AF51">
        <v>7.7070665748708516</v>
      </c>
      <c r="AG51">
        <v>871.40061795524389</v>
      </c>
      <c r="AH51">
        <v>0.42399999999999999</v>
      </c>
      <c r="AI51">
        <v>2.6599999999999999E-2</v>
      </c>
      <c r="AJ51">
        <v>9.7994000000000199</v>
      </c>
      <c r="AK51" s="2">
        <v>45681</v>
      </c>
      <c r="AL51" t="s">
        <v>829</v>
      </c>
      <c r="AM51">
        <v>2</v>
      </c>
      <c r="AN51">
        <v>2.2499999999999999E-2</v>
      </c>
      <c r="AO51">
        <v>7.7038791693053934</v>
      </c>
      <c r="AP51">
        <v>871.09813316708187</v>
      </c>
      <c r="AQ51">
        <v>0.42399999999999999</v>
      </c>
      <c r="AR51">
        <v>2.6499999999999999E-2</v>
      </c>
      <c r="AS51">
        <v>9.7990000000000066</v>
      </c>
      <c r="AT51" s="2">
        <v>45681</v>
      </c>
      <c r="AU51" t="s">
        <v>987</v>
      </c>
      <c r="AV51">
        <v>3</v>
      </c>
      <c r="AW51">
        <v>2.2599999999999999E-2</v>
      </c>
      <c r="AX51">
        <v>7.7032579881164516</v>
      </c>
      <c r="AY51">
        <v>871.03918307225126</v>
      </c>
      <c r="AZ51">
        <v>0.42399999999999999</v>
      </c>
      <c r="BA51">
        <v>2.6499999999999999E-2</v>
      </c>
      <c r="BB51">
        <v>9.8004999999999995</v>
      </c>
      <c r="BC51" s="2">
        <v>45681</v>
      </c>
      <c r="BD51" t="s">
        <v>1187</v>
      </c>
      <c r="BE51">
        <v>3</v>
      </c>
      <c r="BF51">
        <v>3.2800000000000003E-2</v>
      </c>
      <c r="BG51">
        <v>8.3399399183599208</v>
      </c>
      <c r="BH51">
        <v>931.46029825235655</v>
      </c>
      <c r="BI51">
        <v>0.42399999999999999</v>
      </c>
      <c r="BJ51">
        <v>3.6400000000000002E-2</v>
      </c>
      <c r="BK51">
        <v>10.201799999999992</v>
      </c>
      <c r="BL51" s="2">
        <v>45681</v>
      </c>
      <c r="BM51" t="s">
        <v>1345</v>
      </c>
      <c r="BN51">
        <v>4</v>
      </c>
      <c r="BO51">
        <v>2.2700000000000001E-2</v>
      </c>
      <c r="BP51">
        <v>7.7074590705568156</v>
      </c>
      <c r="BQ51">
        <v>871.43786579584184</v>
      </c>
      <c r="BR51">
        <v>0.42399999999999999</v>
      </c>
      <c r="BS51">
        <v>2.6599999999999999E-2</v>
      </c>
      <c r="BT51">
        <v>9.799699999999973</v>
      </c>
      <c r="BU51" s="2">
        <v>45681</v>
      </c>
      <c r="BV51" t="s">
        <v>1543</v>
      </c>
      <c r="BW51">
        <v>5</v>
      </c>
      <c r="BX51">
        <v>2.2599999999999999E-2</v>
      </c>
      <c r="BY51">
        <v>7.7153710213008422</v>
      </c>
      <c r="BZ51">
        <v>872.18870992144991</v>
      </c>
      <c r="CA51">
        <v>0.42399999999999999</v>
      </c>
      <c r="CB51">
        <v>2.6700000000000002E-2</v>
      </c>
      <c r="CC51">
        <v>9.8014999999999759</v>
      </c>
      <c r="CD51" s="2">
        <v>45681</v>
      </c>
      <c r="CE51" t="s">
        <v>1703</v>
      </c>
      <c r="CF51">
        <v>5</v>
      </c>
      <c r="CG51">
        <v>2.3E-2</v>
      </c>
      <c r="CH51">
        <v>7.7150247492803734</v>
      </c>
      <c r="CI51">
        <v>872.1558487067075</v>
      </c>
      <c r="CJ51">
        <v>0.42399999999999999</v>
      </c>
      <c r="CK51">
        <v>2.6700000000000002E-2</v>
      </c>
      <c r="CL51">
        <v>9.799699999999973</v>
      </c>
    </row>
    <row r="52" spans="1:90" x14ac:dyDescent="0.3">
      <c r="A52" s="2">
        <v>45681</v>
      </c>
      <c r="B52" t="s">
        <v>150</v>
      </c>
      <c r="C52">
        <v>0</v>
      </c>
      <c r="D52">
        <v>2.7699999999999999E-2</v>
      </c>
      <c r="E52">
        <v>8.0239253416660983</v>
      </c>
      <c r="F52">
        <v>901.47051492411276</v>
      </c>
      <c r="G52">
        <v>0.42399999999999999</v>
      </c>
      <c r="H52">
        <v>3.15E-2</v>
      </c>
      <c r="I52">
        <v>9.9991099999999946</v>
      </c>
      <c r="J52" s="2">
        <v>45681</v>
      </c>
      <c r="K52" t="s">
        <v>310</v>
      </c>
      <c r="L52">
        <v>1</v>
      </c>
      <c r="M52">
        <v>2.8000000000000001E-2</v>
      </c>
      <c r="N52">
        <v>8.0269237978620733</v>
      </c>
      <c r="O52">
        <v>901.75506841711081</v>
      </c>
      <c r="P52">
        <v>0.42399999999999999</v>
      </c>
      <c r="Q52">
        <v>3.1600000000000003E-2</v>
      </c>
      <c r="R52">
        <v>10.000779999999992</v>
      </c>
      <c r="S52" s="2">
        <v>45681</v>
      </c>
      <c r="T52" t="s">
        <v>470</v>
      </c>
      <c r="U52">
        <v>1</v>
      </c>
      <c r="V52">
        <v>2.7799999999999998E-2</v>
      </c>
      <c r="W52">
        <v>8.0225670146537222</v>
      </c>
      <c r="X52">
        <v>901.34160969063828</v>
      </c>
      <c r="Y52">
        <v>0.42399999999999999</v>
      </c>
      <c r="Z52">
        <v>3.15E-2</v>
      </c>
      <c r="AA52">
        <v>9.9980000000000047</v>
      </c>
      <c r="AB52" s="2">
        <v>45681</v>
      </c>
      <c r="AC52" t="s">
        <v>670</v>
      </c>
      <c r="AD52">
        <v>2</v>
      </c>
      <c r="AE52">
        <v>2.8000000000000001E-2</v>
      </c>
      <c r="AF52">
        <v>8.0257637460464313</v>
      </c>
      <c r="AG52">
        <v>901.64497949980637</v>
      </c>
      <c r="AH52">
        <v>0.42399999999999999</v>
      </c>
      <c r="AI52">
        <v>3.15E-2</v>
      </c>
      <c r="AJ52">
        <v>10.000400000000013</v>
      </c>
      <c r="AK52" s="2">
        <v>45681</v>
      </c>
      <c r="AL52" t="s">
        <v>830</v>
      </c>
      <c r="AM52">
        <v>2</v>
      </c>
      <c r="AN52">
        <v>2.75E-2</v>
      </c>
      <c r="AO52">
        <v>8.0220415245617698</v>
      </c>
      <c r="AP52">
        <v>901.29174068091197</v>
      </c>
      <c r="AQ52">
        <v>0.42399999999999999</v>
      </c>
      <c r="AR52">
        <v>3.15E-2</v>
      </c>
      <c r="AS52">
        <v>9.9996000000000151</v>
      </c>
      <c r="AT52" s="2">
        <v>45681</v>
      </c>
      <c r="AU52" t="s">
        <v>988</v>
      </c>
      <c r="AV52">
        <v>3</v>
      </c>
      <c r="AW52">
        <v>2.7799999999999998E-2</v>
      </c>
      <c r="AX52">
        <v>8.0216291608090575</v>
      </c>
      <c r="AY52">
        <v>901.25260736077962</v>
      </c>
      <c r="AZ52">
        <v>0.42399999999999999</v>
      </c>
      <c r="BA52">
        <v>3.15E-2</v>
      </c>
      <c r="BB52">
        <v>10.001299999999986</v>
      </c>
      <c r="BC52" s="2">
        <v>45681</v>
      </c>
      <c r="BD52" t="s">
        <v>1188</v>
      </c>
      <c r="BE52">
        <v>3</v>
      </c>
      <c r="BF52">
        <v>3.7900000000000003E-2</v>
      </c>
      <c r="BG52">
        <v>8.6514261977181555</v>
      </c>
      <c r="BH52">
        <v>961.02034616345304</v>
      </c>
      <c r="BI52">
        <v>0.42399999999999999</v>
      </c>
      <c r="BJ52">
        <v>4.1300000000000003E-2</v>
      </c>
      <c r="BK52">
        <v>10.403200000000027</v>
      </c>
      <c r="BL52" s="2">
        <v>45681</v>
      </c>
      <c r="BM52" t="s">
        <v>1346</v>
      </c>
      <c r="BN52">
        <v>4</v>
      </c>
      <c r="BO52">
        <v>2.7699999999999999E-2</v>
      </c>
      <c r="BP52">
        <v>8.0271204511758043</v>
      </c>
      <c r="BQ52">
        <v>901.77373081658391</v>
      </c>
      <c r="BR52">
        <v>0.42399999999999999</v>
      </c>
      <c r="BS52">
        <v>3.1600000000000003E-2</v>
      </c>
      <c r="BT52">
        <v>10.001199999999983</v>
      </c>
      <c r="BU52" s="2">
        <v>45681</v>
      </c>
      <c r="BV52" t="s">
        <v>1544</v>
      </c>
      <c r="BW52">
        <v>5</v>
      </c>
      <c r="BX52">
        <v>2.7799999999999998E-2</v>
      </c>
      <c r="BY52">
        <v>8.0282290082062033</v>
      </c>
      <c r="BZ52">
        <v>901.87893287876875</v>
      </c>
      <c r="CA52">
        <v>0.42399999999999999</v>
      </c>
      <c r="CB52">
        <v>3.1600000000000003E-2</v>
      </c>
      <c r="CC52">
        <v>9.9986999999999853</v>
      </c>
      <c r="CD52" s="2">
        <v>45681</v>
      </c>
      <c r="CE52" t="s">
        <v>1704</v>
      </c>
      <c r="CF52">
        <v>5</v>
      </c>
      <c r="CG52">
        <v>2.81E-2</v>
      </c>
      <c r="CH52">
        <v>8.0327041888735451</v>
      </c>
      <c r="CI52">
        <v>902.30362752409951</v>
      </c>
      <c r="CJ52">
        <v>0.42399999999999999</v>
      </c>
      <c r="CK52">
        <v>3.1600000000000003E-2</v>
      </c>
      <c r="CL52">
        <v>9.9998999999999683</v>
      </c>
    </row>
    <row r="53" spans="1:90" x14ac:dyDescent="0.3">
      <c r="A53" s="2">
        <v>45681</v>
      </c>
      <c r="B53" t="s">
        <v>151</v>
      </c>
      <c r="C53">
        <v>0</v>
      </c>
      <c r="D53">
        <v>3.3000000000000002E-2</v>
      </c>
      <c r="E53">
        <v>8.3433199225316113</v>
      </c>
      <c r="F53">
        <v>931.78106064824999</v>
      </c>
      <c r="G53">
        <v>0.42399999999999999</v>
      </c>
      <c r="H53">
        <v>3.6499999999999998E-2</v>
      </c>
      <c r="I53">
        <v>10.200539999999997</v>
      </c>
      <c r="J53" s="2">
        <v>45681</v>
      </c>
      <c r="K53" t="s">
        <v>311</v>
      </c>
      <c r="L53">
        <v>1</v>
      </c>
      <c r="M53">
        <v>3.32E-2</v>
      </c>
      <c r="N53">
        <v>8.342363011561698</v>
      </c>
      <c r="O53">
        <v>931.69024979720518</v>
      </c>
      <c r="P53">
        <v>0.42399999999999999</v>
      </c>
      <c r="Q53">
        <v>3.6499999999999998E-2</v>
      </c>
      <c r="R53">
        <v>10.199719999999999</v>
      </c>
      <c r="S53" s="2">
        <v>45681</v>
      </c>
      <c r="T53" t="s">
        <v>471</v>
      </c>
      <c r="U53">
        <v>1</v>
      </c>
      <c r="V53">
        <v>3.3000000000000002E-2</v>
      </c>
      <c r="W53">
        <v>8.3419101007339904</v>
      </c>
      <c r="X53">
        <v>931.64726855965569</v>
      </c>
      <c r="Y53">
        <v>0.42399999999999999</v>
      </c>
      <c r="Z53">
        <v>3.6499999999999998E-2</v>
      </c>
      <c r="AA53">
        <v>10.199399999999997</v>
      </c>
      <c r="AB53" s="2">
        <v>45681</v>
      </c>
      <c r="AC53" t="s">
        <v>671</v>
      </c>
      <c r="AD53">
        <v>2</v>
      </c>
      <c r="AE53">
        <v>3.27E-2</v>
      </c>
      <c r="AF53">
        <v>8.3395064701282102</v>
      </c>
      <c r="AG53">
        <v>931.41916401516721</v>
      </c>
      <c r="AH53">
        <v>0.42399999999999999</v>
      </c>
      <c r="AI53">
        <v>3.6400000000000002E-2</v>
      </c>
      <c r="AJ53">
        <v>10.198200000000014</v>
      </c>
      <c r="AK53" s="2">
        <v>45681</v>
      </c>
      <c r="AL53" t="s">
        <v>831</v>
      </c>
      <c r="AM53">
        <v>2</v>
      </c>
      <c r="AN53">
        <v>3.2599999999999997E-2</v>
      </c>
      <c r="AO53">
        <v>8.3398324686111813</v>
      </c>
      <c r="AP53">
        <v>931.45010127120111</v>
      </c>
      <c r="AQ53">
        <v>0.42399999999999999</v>
      </c>
      <c r="AR53">
        <v>3.6400000000000002E-2</v>
      </c>
      <c r="AS53">
        <v>10.200000000000017</v>
      </c>
      <c r="AT53" s="2">
        <v>45681</v>
      </c>
      <c r="AU53" t="s">
        <v>989</v>
      </c>
      <c r="AV53">
        <v>3</v>
      </c>
      <c r="AW53">
        <v>3.2599999999999997E-2</v>
      </c>
      <c r="AX53">
        <v>8.3373473383846584</v>
      </c>
      <c r="AY53">
        <v>931.2142624127041</v>
      </c>
      <c r="AZ53">
        <v>0.42399999999999999</v>
      </c>
      <c r="BA53">
        <v>3.6400000000000002E-2</v>
      </c>
      <c r="BB53">
        <v>10.200400000000002</v>
      </c>
      <c r="BC53" s="2">
        <v>45681</v>
      </c>
      <c r="BD53" t="s">
        <v>1189</v>
      </c>
      <c r="BE53">
        <v>3</v>
      </c>
      <c r="BF53">
        <v>4.2900000000000001E-2</v>
      </c>
      <c r="BG53">
        <v>8.942951557526472</v>
      </c>
      <c r="BH53">
        <v>988.68610280926225</v>
      </c>
      <c r="BI53">
        <v>0.42399999999999999</v>
      </c>
      <c r="BJ53">
        <v>4.58E-2</v>
      </c>
      <c r="BK53">
        <v>10.601600000000019</v>
      </c>
      <c r="BL53" s="2">
        <v>45681</v>
      </c>
      <c r="BM53" t="s">
        <v>1347</v>
      </c>
      <c r="BN53">
        <v>4</v>
      </c>
      <c r="BO53">
        <v>3.2800000000000003E-2</v>
      </c>
      <c r="BP53">
        <v>8.345306323735679</v>
      </c>
      <c r="BQ53">
        <v>931.96957012251596</v>
      </c>
      <c r="BR53">
        <v>0.42399999999999999</v>
      </c>
      <c r="BS53">
        <v>3.6499999999999998E-2</v>
      </c>
      <c r="BT53">
        <v>10.201899999999966</v>
      </c>
      <c r="BU53" s="2">
        <v>45681</v>
      </c>
      <c r="BV53" t="s">
        <v>1545</v>
      </c>
      <c r="BW53">
        <v>5</v>
      </c>
      <c r="BX53">
        <v>3.2800000000000003E-2</v>
      </c>
      <c r="BY53">
        <v>8.3501869751529831</v>
      </c>
      <c r="BZ53">
        <v>932.43274394201819</v>
      </c>
      <c r="CA53">
        <v>0.42399999999999999</v>
      </c>
      <c r="CB53">
        <v>3.6600000000000001E-2</v>
      </c>
      <c r="CC53">
        <v>10.201799999999992</v>
      </c>
      <c r="CD53" s="2">
        <v>45681</v>
      </c>
      <c r="CE53" t="s">
        <v>1705</v>
      </c>
      <c r="CF53">
        <v>5</v>
      </c>
      <c r="CG53">
        <v>3.2800000000000003E-2</v>
      </c>
      <c r="CH53">
        <v>8.3483145112296526</v>
      </c>
      <c r="CI53">
        <v>932.25504711569408</v>
      </c>
      <c r="CJ53">
        <v>0.42399999999999999</v>
      </c>
      <c r="CK53">
        <v>3.6600000000000001E-2</v>
      </c>
      <c r="CL53">
        <v>10.199000000000012</v>
      </c>
    </row>
    <row r="54" spans="1:90" x14ac:dyDescent="0.3">
      <c r="A54" s="2">
        <v>45681</v>
      </c>
      <c r="B54" t="s">
        <v>152</v>
      </c>
      <c r="C54">
        <v>0</v>
      </c>
      <c r="D54">
        <v>3.7900000000000003E-2</v>
      </c>
      <c r="E54">
        <v>8.6501801861035226</v>
      </c>
      <c r="F54">
        <v>960.90209966122438</v>
      </c>
      <c r="G54">
        <v>0.42399999999999999</v>
      </c>
      <c r="H54">
        <v>4.1200000000000001E-2</v>
      </c>
      <c r="I54">
        <v>10.398980000000002</v>
      </c>
      <c r="J54" s="2">
        <v>45681</v>
      </c>
      <c r="K54" t="s">
        <v>312</v>
      </c>
      <c r="L54">
        <v>1</v>
      </c>
      <c r="M54">
        <v>3.7999999999999999E-2</v>
      </c>
      <c r="N54">
        <v>8.6518912726683652</v>
      </c>
      <c r="O54">
        <v>961.06448177622792</v>
      </c>
      <c r="P54">
        <v>0.42399999999999999</v>
      </c>
      <c r="Q54">
        <v>4.1300000000000003E-2</v>
      </c>
      <c r="R54">
        <v>10.399899999999988</v>
      </c>
      <c r="S54" s="2">
        <v>45681</v>
      </c>
      <c r="T54" t="s">
        <v>472</v>
      </c>
      <c r="U54">
        <v>1</v>
      </c>
      <c r="V54">
        <v>3.7499999999999999E-2</v>
      </c>
      <c r="W54">
        <v>8.6495869823963272</v>
      </c>
      <c r="X54">
        <v>960.84580462941153</v>
      </c>
      <c r="Y54">
        <v>0.42399999999999999</v>
      </c>
      <c r="Z54">
        <v>4.1200000000000001E-2</v>
      </c>
      <c r="AA54">
        <v>10.398300000000006</v>
      </c>
      <c r="AB54" s="2">
        <v>45681</v>
      </c>
      <c r="AC54" t="s">
        <v>672</v>
      </c>
      <c r="AD54">
        <v>2</v>
      </c>
      <c r="AE54">
        <v>3.8300000000000001E-2</v>
      </c>
      <c r="AF54">
        <v>8.6504206302582496</v>
      </c>
      <c r="AG54">
        <v>960.92491781150795</v>
      </c>
      <c r="AH54">
        <v>0.42399999999999999</v>
      </c>
      <c r="AI54">
        <v>4.1200000000000001E-2</v>
      </c>
      <c r="AJ54">
        <v>10.399300000000011</v>
      </c>
      <c r="AK54" s="2">
        <v>45681</v>
      </c>
      <c r="AL54" t="s">
        <v>832</v>
      </c>
      <c r="AM54">
        <v>2</v>
      </c>
      <c r="AN54">
        <v>3.78E-2</v>
      </c>
      <c r="AO54">
        <v>8.6475271909865139</v>
      </c>
      <c r="AP54">
        <v>960.65033042462017</v>
      </c>
      <c r="AQ54">
        <v>0.42399999999999999</v>
      </c>
      <c r="AR54">
        <v>4.1200000000000001E-2</v>
      </c>
      <c r="AS54">
        <v>10.398899999999998</v>
      </c>
      <c r="AT54" s="2">
        <v>45681</v>
      </c>
      <c r="AU54" t="s">
        <v>990</v>
      </c>
      <c r="AV54">
        <v>3</v>
      </c>
      <c r="AW54">
        <v>3.78E-2</v>
      </c>
      <c r="AX54">
        <v>8.6474590719005207</v>
      </c>
      <c r="AY54">
        <v>960.6438659233595</v>
      </c>
      <c r="AZ54">
        <v>0.42399999999999999</v>
      </c>
      <c r="BA54">
        <v>4.1200000000000001E-2</v>
      </c>
      <c r="BB54">
        <v>10.400799999999975</v>
      </c>
      <c r="BC54" s="2">
        <v>45681</v>
      </c>
      <c r="BD54" t="s">
        <v>1190</v>
      </c>
      <c r="BE54">
        <v>3</v>
      </c>
      <c r="BF54">
        <v>4.8099999999999997E-2</v>
      </c>
      <c r="BG54">
        <v>9.2137151930536874</v>
      </c>
      <c r="BH54">
        <v>1014.381571820795</v>
      </c>
      <c r="BI54">
        <v>0.42399999999999999</v>
      </c>
      <c r="BJ54">
        <v>0.05</v>
      </c>
      <c r="BK54">
        <v>10.801199999999994</v>
      </c>
      <c r="BL54" s="2">
        <v>45681</v>
      </c>
      <c r="BM54" t="s">
        <v>1348</v>
      </c>
      <c r="BN54">
        <v>4</v>
      </c>
      <c r="BO54">
        <v>3.7999999999999999E-2</v>
      </c>
      <c r="BP54">
        <v>8.6511808879144301</v>
      </c>
      <c r="BQ54">
        <v>960.99706626307943</v>
      </c>
      <c r="BR54">
        <v>0.42399999999999999</v>
      </c>
      <c r="BS54">
        <v>4.1300000000000003E-2</v>
      </c>
      <c r="BT54">
        <v>10.399799999999971</v>
      </c>
      <c r="BU54" s="2">
        <v>45681</v>
      </c>
      <c r="BV54" t="s">
        <v>1546</v>
      </c>
      <c r="BW54">
        <v>5</v>
      </c>
      <c r="BX54">
        <v>3.8100000000000002E-2</v>
      </c>
      <c r="BY54">
        <v>8.6564390325999483</v>
      </c>
      <c r="BZ54">
        <v>961.49606419373515</v>
      </c>
      <c r="CA54">
        <v>0.42399999999999999</v>
      </c>
      <c r="CB54">
        <v>4.1300000000000003E-2</v>
      </c>
      <c r="CC54">
        <v>10.399999999999977</v>
      </c>
      <c r="CD54" s="2">
        <v>45681</v>
      </c>
      <c r="CE54" t="s">
        <v>1706</v>
      </c>
      <c r="CF54">
        <v>5</v>
      </c>
      <c r="CG54">
        <v>3.7699999999999997E-2</v>
      </c>
      <c r="CH54">
        <v>8.6582214820167849</v>
      </c>
      <c r="CI54">
        <v>961.6652186433929</v>
      </c>
      <c r="CJ54">
        <v>0.42399999999999999</v>
      </c>
      <c r="CK54">
        <v>4.1399999999999999E-2</v>
      </c>
      <c r="CL54">
        <v>10.399600000000021</v>
      </c>
    </row>
    <row r="55" spans="1:90" x14ac:dyDescent="0.3">
      <c r="A55" s="2">
        <v>45681</v>
      </c>
      <c r="B55" t="s">
        <v>153</v>
      </c>
      <c r="C55">
        <v>0</v>
      </c>
      <c r="D55">
        <v>4.2999999999999997E-2</v>
      </c>
      <c r="E55">
        <v>8.9464957773518972</v>
      </c>
      <c r="F55">
        <v>989.02244927069512</v>
      </c>
      <c r="G55">
        <v>0.42399999999999999</v>
      </c>
      <c r="H55">
        <v>4.58E-2</v>
      </c>
      <c r="I55">
        <v>10.600699999999996</v>
      </c>
      <c r="J55" s="2">
        <v>45681</v>
      </c>
      <c r="K55" t="s">
        <v>313</v>
      </c>
      <c r="L55">
        <v>1</v>
      </c>
      <c r="M55">
        <v>4.2999999999999997E-2</v>
      </c>
      <c r="N55">
        <v>8.9436765392274058</v>
      </c>
      <c r="O55">
        <v>988.75490357268086</v>
      </c>
      <c r="P55">
        <v>0.42399999999999999</v>
      </c>
      <c r="Q55">
        <v>4.58E-2</v>
      </c>
      <c r="R55">
        <v>10.59850999999999</v>
      </c>
      <c r="S55" s="2">
        <v>45681</v>
      </c>
      <c r="T55" t="s">
        <v>473</v>
      </c>
      <c r="U55">
        <v>1</v>
      </c>
      <c r="V55">
        <v>4.2900000000000001E-2</v>
      </c>
      <c r="W55">
        <v>8.9436538328654063</v>
      </c>
      <c r="X55">
        <v>988.75274873892715</v>
      </c>
      <c r="Y55">
        <v>0.42399999999999999</v>
      </c>
      <c r="Z55">
        <v>4.58E-2</v>
      </c>
      <c r="AA55">
        <v>10.598399999999998</v>
      </c>
      <c r="AB55" s="2">
        <v>45681</v>
      </c>
      <c r="AC55" t="s">
        <v>673</v>
      </c>
      <c r="AD55">
        <v>2</v>
      </c>
      <c r="AE55">
        <v>4.2799999999999998E-2</v>
      </c>
      <c r="AF55">
        <v>8.9443520534968446</v>
      </c>
      <c r="AG55">
        <v>988.8190098768506</v>
      </c>
      <c r="AH55">
        <v>0.42399999999999999</v>
      </c>
      <c r="AI55">
        <v>4.58E-2</v>
      </c>
      <c r="AJ55">
        <v>10.599299999999999</v>
      </c>
      <c r="AK55" s="2">
        <v>45681</v>
      </c>
      <c r="AL55" t="s">
        <v>833</v>
      </c>
      <c r="AM55">
        <v>2</v>
      </c>
      <c r="AN55">
        <v>4.2999999999999997E-2</v>
      </c>
      <c r="AO55">
        <v>8.9439019809643838</v>
      </c>
      <c r="AP55">
        <v>988.77629799352007</v>
      </c>
      <c r="AQ55">
        <v>0.42399999999999999</v>
      </c>
      <c r="AR55">
        <v>4.58E-2</v>
      </c>
      <c r="AS55">
        <v>10.600600000000014</v>
      </c>
      <c r="AT55" s="2">
        <v>45681</v>
      </c>
      <c r="AU55" t="s">
        <v>991</v>
      </c>
      <c r="AV55">
        <v>3</v>
      </c>
      <c r="AW55">
        <v>4.2900000000000001E-2</v>
      </c>
      <c r="AX55">
        <v>8.9427354416167422</v>
      </c>
      <c r="AY55">
        <v>988.66559340942888</v>
      </c>
      <c r="AZ55">
        <v>0.42399999999999999</v>
      </c>
      <c r="BA55">
        <v>4.58E-2</v>
      </c>
      <c r="BB55">
        <v>10.601699999999994</v>
      </c>
      <c r="BC55" s="2">
        <v>45681</v>
      </c>
      <c r="BD55" t="s">
        <v>1191</v>
      </c>
      <c r="BE55">
        <v>3</v>
      </c>
      <c r="BF55">
        <v>5.1999999999999998E-2</v>
      </c>
      <c r="BG55">
        <v>9.4561802139994935</v>
      </c>
      <c r="BH55">
        <v>1037.3915023085519</v>
      </c>
      <c r="BI55">
        <v>0.42399999999999999</v>
      </c>
      <c r="BJ55">
        <v>5.3800000000000001E-2</v>
      </c>
      <c r="BK55">
        <v>11.001599999999996</v>
      </c>
      <c r="BL55" s="2">
        <v>45681</v>
      </c>
      <c r="BM55" t="s">
        <v>1349</v>
      </c>
      <c r="BN55">
        <v>4</v>
      </c>
      <c r="BO55">
        <v>4.2999999999999997E-2</v>
      </c>
      <c r="BP55">
        <v>8.9467171643813792</v>
      </c>
      <c r="BQ55">
        <v>989.04345889979288</v>
      </c>
      <c r="BR55">
        <v>0.42399999999999999</v>
      </c>
      <c r="BS55">
        <v>4.5900000000000003E-2</v>
      </c>
      <c r="BT55">
        <v>10.600999999999999</v>
      </c>
      <c r="BU55" s="2">
        <v>45681</v>
      </c>
      <c r="BV55" t="s">
        <v>1547</v>
      </c>
      <c r="BW55">
        <v>5</v>
      </c>
      <c r="BX55">
        <v>4.3099999999999999E-2</v>
      </c>
      <c r="BY55">
        <v>8.9492452745073958</v>
      </c>
      <c r="BZ55">
        <v>989.28337655075188</v>
      </c>
      <c r="CA55">
        <v>0.42399999999999999</v>
      </c>
      <c r="CB55">
        <v>4.5900000000000003E-2</v>
      </c>
      <c r="CC55">
        <v>10.599600000000009</v>
      </c>
      <c r="CD55" s="2">
        <v>45681</v>
      </c>
      <c r="CE55" t="s">
        <v>1707</v>
      </c>
      <c r="CF55">
        <v>5</v>
      </c>
      <c r="CG55">
        <v>4.2999999999999997E-2</v>
      </c>
      <c r="CH55">
        <v>8.951189506753467</v>
      </c>
      <c r="CI55">
        <v>989.4678841909041</v>
      </c>
      <c r="CJ55">
        <v>0.42399999999999999</v>
      </c>
      <c r="CK55">
        <v>4.5900000000000003E-2</v>
      </c>
      <c r="CL55">
        <v>10.599299999999971</v>
      </c>
    </row>
    <row r="56" spans="1:90" x14ac:dyDescent="0.3">
      <c r="A56" s="2">
        <v>45681</v>
      </c>
      <c r="B56" t="s">
        <v>154</v>
      </c>
      <c r="C56">
        <v>0</v>
      </c>
      <c r="D56">
        <v>4.7800000000000002E-2</v>
      </c>
      <c r="E56">
        <v>9.2162960143771997</v>
      </c>
      <c r="F56">
        <v>1014.626491764396</v>
      </c>
      <c r="G56">
        <v>0.42399999999999999</v>
      </c>
      <c r="H56">
        <v>0.05</v>
      </c>
      <c r="I56">
        <v>10.799789999999994</v>
      </c>
      <c r="J56" s="2">
        <v>45681</v>
      </c>
      <c r="K56" t="s">
        <v>314</v>
      </c>
      <c r="L56">
        <v>1</v>
      </c>
      <c r="M56">
        <v>4.8000000000000001E-2</v>
      </c>
      <c r="N56">
        <v>9.2163126386779499</v>
      </c>
      <c r="O56">
        <v>1014.628069410537</v>
      </c>
      <c r="P56">
        <v>0.42399999999999999</v>
      </c>
      <c r="Q56">
        <v>0.05</v>
      </c>
      <c r="R56">
        <v>10.799589999999995</v>
      </c>
      <c r="S56" s="2">
        <v>45681</v>
      </c>
      <c r="T56" t="s">
        <v>474</v>
      </c>
      <c r="U56">
        <v>1</v>
      </c>
      <c r="V56">
        <v>4.7699999999999999E-2</v>
      </c>
      <c r="W56">
        <v>9.2138396725739256</v>
      </c>
      <c r="X56">
        <v>1014.393384927266</v>
      </c>
      <c r="Y56">
        <v>0.42399999999999999</v>
      </c>
      <c r="Z56">
        <v>0.05</v>
      </c>
      <c r="AA56">
        <v>10.797599999999989</v>
      </c>
      <c r="AB56" s="2">
        <v>45681</v>
      </c>
      <c r="AC56" t="s">
        <v>674</v>
      </c>
      <c r="AD56">
        <v>2</v>
      </c>
      <c r="AE56">
        <v>4.7899999999999998E-2</v>
      </c>
      <c r="AF56">
        <v>9.2161877536869614</v>
      </c>
      <c r="AG56">
        <v>1014.6162178248931</v>
      </c>
      <c r="AH56">
        <v>0.42399999999999999</v>
      </c>
      <c r="AI56">
        <v>0.05</v>
      </c>
      <c r="AJ56">
        <v>10.799800000000005</v>
      </c>
      <c r="AK56" s="2">
        <v>45681</v>
      </c>
      <c r="AL56" t="s">
        <v>834</v>
      </c>
      <c r="AM56">
        <v>2</v>
      </c>
      <c r="AN56">
        <v>4.82E-2</v>
      </c>
      <c r="AO56">
        <v>9.2148788941060804</v>
      </c>
      <c r="AP56">
        <v>1014.492007050667</v>
      </c>
      <c r="AQ56">
        <v>0.42399999999999999</v>
      </c>
      <c r="AR56">
        <v>0.05</v>
      </c>
      <c r="AS56">
        <v>10.800399999999996</v>
      </c>
      <c r="AT56" s="2">
        <v>45681</v>
      </c>
      <c r="AU56" t="s">
        <v>992</v>
      </c>
      <c r="AV56">
        <v>3</v>
      </c>
      <c r="AW56">
        <v>4.7699999999999999E-2</v>
      </c>
      <c r="AX56">
        <v>9.2143951675013742</v>
      </c>
      <c r="AY56">
        <v>1014.44610139588</v>
      </c>
      <c r="AZ56">
        <v>0.42399999999999999</v>
      </c>
      <c r="BA56">
        <v>0.05</v>
      </c>
      <c r="BB56">
        <v>10.801899999999989</v>
      </c>
      <c r="BC56" s="2">
        <v>45681</v>
      </c>
      <c r="BD56" t="s">
        <v>1192</v>
      </c>
      <c r="BE56">
        <v>3</v>
      </c>
      <c r="BF56">
        <v>5.5899999999999998E-2</v>
      </c>
      <c r="BG56">
        <v>9.662477244048608</v>
      </c>
      <c r="BH56">
        <v>1056.969090460213</v>
      </c>
      <c r="BI56">
        <v>0.42399999999999999</v>
      </c>
      <c r="BJ56">
        <v>5.7000000000000002E-2</v>
      </c>
      <c r="BK56">
        <v>11.201200000000028</v>
      </c>
      <c r="BL56" s="2">
        <v>45681</v>
      </c>
      <c r="BM56" t="s">
        <v>1350</v>
      </c>
      <c r="BN56">
        <v>4</v>
      </c>
      <c r="BO56">
        <v>4.7800000000000002E-2</v>
      </c>
      <c r="BP56">
        <v>9.2175594612340852</v>
      </c>
      <c r="BQ56">
        <v>1014.7463928711149</v>
      </c>
      <c r="BR56">
        <v>0.42399999999999999</v>
      </c>
      <c r="BS56">
        <v>5.0099999999999999E-2</v>
      </c>
      <c r="BT56">
        <v>10.800900000000013</v>
      </c>
      <c r="BU56" s="2">
        <v>45681</v>
      </c>
      <c r="BV56" t="s">
        <v>1548</v>
      </c>
      <c r="BW56">
        <v>5</v>
      </c>
      <c r="BX56">
        <v>4.7899999999999998E-2</v>
      </c>
      <c r="BY56">
        <v>9.2223492872033983</v>
      </c>
      <c r="BZ56">
        <v>1015.200947355603</v>
      </c>
      <c r="CA56">
        <v>0.42399999999999999</v>
      </c>
      <c r="CB56">
        <v>5.0099999999999999E-2</v>
      </c>
      <c r="CC56">
        <v>10.801400000000001</v>
      </c>
      <c r="CD56" s="2">
        <v>45681</v>
      </c>
      <c r="CE56" t="s">
        <v>1708</v>
      </c>
      <c r="CF56">
        <v>5</v>
      </c>
      <c r="CG56">
        <v>4.7600000000000003E-2</v>
      </c>
      <c r="CH56">
        <v>9.2211685563795047</v>
      </c>
      <c r="CI56">
        <v>1015.088896000415</v>
      </c>
      <c r="CJ56">
        <v>0.42399999999999999</v>
      </c>
      <c r="CK56">
        <v>5.0099999999999999E-2</v>
      </c>
      <c r="CL56">
        <v>10.798900000000003</v>
      </c>
    </row>
    <row r="57" spans="1:90" x14ac:dyDescent="0.3">
      <c r="A57" s="2">
        <v>45681</v>
      </c>
      <c r="B57" t="s">
        <v>155</v>
      </c>
      <c r="C57">
        <v>0</v>
      </c>
      <c r="D57">
        <v>5.2900000000000003E-2</v>
      </c>
      <c r="E57">
        <v>9.4576484235851073</v>
      </c>
      <c r="F57">
        <v>1037.5308353982271</v>
      </c>
      <c r="G57">
        <v>0.42399999999999999</v>
      </c>
      <c r="H57">
        <v>5.3800000000000001E-2</v>
      </c>
      <c r="I57">
        <v>10.999469999999995</v>
      </c>
      <c r="J57" s="2">
        <v>45681</v>
      </c>
      <c r="K57" t="s">
        <v>315</v>
      </c>
      <c r="L57">
        <v>1</v>
      </c>
      <c r="M57">
        <v>5.2699999999999997E-2</v>
      </c>
      <c r="N57">
        <v>9.457750602214098</v>
      </c>
      <c r="O57">
        <v>1037.540532150118</v>
      </c>
      <c r="P57">
        <v>0.42399999999999999</v>
      </c>
      <c r="Q57">
        <v>5.3800000000000001E-2</v>
      </c>
      <c r="R57">
        <v>10.999349999999993</v>
      </c>
      <c r="S57" s="2">
        <v>45681</v>
      </c>
      <c r="T57" t="s">
        <v>475</v>
      </c>
      <c r="U57">
        <v>1</v>
      </c>
      <c r="V57">
        <v>5.2400000000000002E-2</v>
      </c>
      <c r="W57">
        <v>9.458191348919307</v>
      </c>
      <c r="X57">
        <v>1037.5823590124421</v>
      </c>
      <c r="Y57">
        <v>0.42399999999999999</v>
      </c>
      <c r="Z57">
        <v>5.3800000000000001E-2</v>
      </c>
      <c r="AA57">
        <v>10.99969999999999</v>
      </c>
      <c r="AB57" s="2">
        <v>45681</v>
      </c>
      <c r="AC57" t="s">
        <v>675</v>
      </c>
      <c r="AD57">
        <v>2</v>
      </c>
      <c r="AE57">
        <v>5.2600000000000001E-2</v>
      </c>
      <c r="AF57">
        <v>9.4553664342043167</v>
      </c>
      <c r="AG57">
        <v>1037.31427460599</v>
      </c>
      <c r="AH57">
        <v>0.42399999999999999</v>
      </c>
      <c r="AI57">
        <v>5.3800000000000001E-2</v>
      </c>
      <c r="AJ57">
        <v>10.997600000000006</v>
      </c>
      <c r="AK57" s="2">
        <v>45681</v>
      </c>
      <c r="AL57" t="s">
        <v>835</v>
      </c>
      <c r="AM57">
        <v>2</v>
      </c>
      <c r="AN57">
        <v>5.2200000000000003E-2</v>
      </c>
      <c r="AO57">
        <v>9.4571095529584071</v>
      </c>
      <c r="AP57">
        <v>1037.479696575753</v>
      </c>
      <c r="AQ57">
        <v>0.42399999999999999</v>
      </c>
      <c r="AR57">
        <v>5.3800000000000001E-2</v>
      </c>
      <c r="AS57">
        <v>11.000700000000023</v>
      </c>
      <c r="AT57" s="2">
        <v>45681</v>
      </c>
      <c r="AU57" t="s">
        <v>993</v>
      </c>
      <c r="AV57">
        <v>3</v>
      </c>
      <c r="AW57">
        <v>5.2299999999999999E-2</v>
      </c>
      <c r="AX57">
        <v>9.4546949746423792</v>
      </c>
      <c r="AY57">
        <v>1037.2505530935621</v>
      </c>
      <c r="AZ57">
        <v>0.42399999999999999</v>
      </c>
      <c r="BA57">
        <v>5.3699999999999998E-2</v>
      </c>
      <c r="BB57">
        <v>11.000499999999988</v>
      </c>
      <c r="BC57" s="2">
        <v>45681</v>
      </c>
      <c r="BD57" t="s">
        <v>1193</v>
      </c>
      <c r="BE57">
        <v>3</v>
      </c>
      <c r="BF57">
        <v>5.8799999999999998E-2</v>
      </c>
      <c r="BG57">
        <v>9.8292773683438384</v>
      </c>
      <c r="BH57">
        <v>1072.79842225583</v>
      </c>
      <c r="BI57">
        <v>0.42399999999999999</v>
      </c>
      <c r="BJ57">
        <v>5.96E-2</v>
      </c>
      <c r="BK57">
        <v>11.401700000000005</v>
      </c>
      <c r="BL57" s="2">
        <v>45681</v>
      </c>
      <c r="BM57" t="s">
        <v>1351</v>
      </c>
      <c r="BN57">
        <v>4</v>
      </c>
      <c r="BO57">
        <v>5.2200000000000003E-2</v>
      </c>
      <c r="BP57">
        <v>9.4578787309710872</v>
      </c>
      <c r="BQ57">
        <v>1037.552691569156</v>
      </c>
      <c r="BR57">
        <v>0.42399999999999999</v>
      </c>
      <c r="BS57">
        <v>5.3800000000000001E-2</v>
      </c>
      <c r="BT57">
        <v>10.999799999999993</v>
      </c>
      <c r="BU57" s="2">
        <v>45681</v>
      </c>
      <c r="BV57" t="s">
        <v>1549</v>
      </c>
      <c r="BW57">
        <v>5</v>
      </c>
      <c r="BX57">
        <v>5.2200000000000003E-2</v>
      </c>
      <c r="BY57">
        <v>9.4635026102730713</v>
      </c>
      <c r="BZ57">
        <v>1038.086397714914</v>
      </c>
      <c r="CA57">
        <v>0.42399999999999999</v>
      </c>
      <c r="CB57">
        <v>5.3900000000000003E-2</v>
      </c>
      <c r="CC57">
        <v>11.001599999999996</v>
      </c>
      <c r="CD57" s="2">
        <v>45681</v>
      </c>
      <c r="CE57" t="s">
        <v>1709</v>
      </c>
      <c r="CF57">
        <v>5</v>
      </c>
      <c r="CG57">
        <v>5.2699999999999997E-2</v>
      </c>
      <c r="CH57">
        <v>9.4635605925903175</v>
      </c>
      <c r="CI57">
        <v>1038.0919002368209</v>
      </c>
      <c r="CJ57">
        <v>0.42399999999999999</v>
      </c>
      <c r="CK57">
        <v>5.3900000000000003E-2</v>
      </c>
      <c r="CL57">
        <v>11</v>
      </c>
    </row>
    <row r="58" spans="1:90" x14ac:dyDescent="0.3">
      <c r="A58" s="2">
        <v>45681</v>
      </c>
      <c r="B58" t="s">
        <v>156</v>
      </c>
      <c r="C58">
        <v>0</v>
      </c>
      <c r="D58">
        <v>5.6899999999999999E-2</v>
      </c>
      <c r="E58">
        <v>9.6658357582705516</v>
      </c>
      <c r="F58">
        <v>1057.287813459875</v>
      </c>
      <c r="G58">
        <v>0.42399999999999999</v>
      </c>
      <c r="H58">
        <v>5.7000000000000002E-2</v>
      </c>
      <c r="I58">
        <v>11.201349999999998</v>
      </c>
      <c r="J58" s="2">
        <v>45681</v>
      </c>
      <c r="K58" t="s">
        <v>316</v>
      </c>
      <c r="L58">
        <v>1</v>
      </c>
      <c r="M58">
        <v>5.62E-2</v>
      </c>
      <c r="N58">
        <v>9.6634106377150228</v>
      </c>
      <c r="O58">
        <v>1057.057669519156</v>
      </c>
      <c r="P58">
        <v>0.42399999999999999</v>
      </c>
      <c r="Q58">
        <v>5.7000000000000002E-2</v>
      </c>
      <c r="R58">
        <v>11.198539999999994</v>
      </c>
      <c r="S58" s="2">
        <v>45681</v>
      </c>
      <c r="T58" t="s">
        <v>476</v>
      </c>
      <c r="U58">
        <v>1</v>
      </c>
      <c r="V58">
        <v>5.6300000000000003E-2</v>
      </c>
      <c r="W58">
        <v>9.664576771591916</v>
      </c>
      <c r="X58">
        <v>1057.1683356240731</v>
      </c>
      <c r="Y58">
        <v>0.42399999999999999</v>
      </c>
      <c r="Z58">
        <v>5.7000000000000002E-2</v>
      </c>
      <c r="AA58">
        <v>11.199700000000007</v>
      </c>
      <c r="AB58" s="2">
        <v>45681</v>
      </c>
      <c r="AC58" t="s">
        <v>676</v>
      </c>
      <c r="AD58">
        <v>2</v>
      </c>
      <c r="AE58">
        <v>5.6099999999999997E-2</v>
      </c>
      <c r="AF58">
        <v>9.6628016206485778</v>
      </c>
      <c r="AG58">
        <v>1056.99987379955</v>
      </c>
      <c r="AH58">
        <v>0.42399999999999999</v>
      </c>
      <c r="AI58">
        <v>5.7000000000000002E-2</v>
      </c>
      <c r="AJ58">
        <v>11.198200000000014</v>
      </c>
      <c r="AK58" s="2">
        <v>45681</v>
      </c>
      <c r="AL58" t="s">
        <v>836</v>
      </c>
      <c r="AM58">
        <v>2</v>
      </c>
      <c r="AN58">
        <v>5.6099999999999997E-2</v>
      </c>
      <c r="AO58">
        <v>9.6622858618546275</v>
      </c>
      <c r="AP58">
        <v>1056.950928290004</v>
      </c>
      <c r="AQ58">
        <v>0.42399999999999999</v>
      </c>
      <c r="AR58">
        <v>5.7000000000000002E-2</v>
      </c>
      <c r="AS58">
        <v>11.199300000000022</v>
      </c>
      <c r="AT58" s="2">
        <v>45681</v>
      </c>
      <c r="AU58" t="s">
        <v>994</v>
      </c>
      <c r="AV58">
        <v>3</v>
      </c>
      <c r="AW58">
        <v>5.62E-2</v>
      </c>
      <c r="AX58">
        <v>9.6613877441434575</v>
      </c>
      <c r="AY58">
        <v>1056.8656969192141</v>
      </c>
      <c r="AZ58">
        <v>0.42399999999999999</v>
      </c>
      <c r="BA58">
        <v>5.7000000000000002E-2</v>
      </c>
      <c r="BB58">
        <v>11.200199999999995</v>
      </c>
      <c r="BC58" s="2">
        <v>45681</v>
      </c>
      <c r="BD58" t="s">
        <v>1194</v>
      </c>
      <c r="BE58">
        <v>3</v>
      </c>
      <c r="BF58">
        <v>6.1699999999999998E-2</v>
      </c>
      <c r="BG58">
        <v>9.9510118516051964</v>
      </c>
      <c r="BH58">
        <v>1084.3510247173331</v>
      </c>
      <c r="BI58">
        <v>0.42399999999999999</v>
      </c>
      <c r="BJ58">
        <v>6.1499999999999999E-2</v>
      </c>
      <c r="BK58">
        <v>11.601600000000019</v>
      </c>
      <c r="BL58" s="2">
        <v>45681</v>
      </c>
      <c r="BM58" t="s">
        <v>1352</v>
      </c>
      <c r="BN58">
        <v>4</v>
      </c>
      <c r="BO58">
        <v>5.5899999999999998E-2</v>
      </c>
      <c r="BP58">
        <v>9.6662124405972669</v>
      </c>
      <c r="BQ58">
        <v>1057.3235606126809</v>
      </c>
      <c r="BR58">
        <v>0.42399999999999999</v>
      </c>
      <c r="BS58">
        <v>5.7000000000000002E-2</v>
      </c>
      <c r="BT58">
        <v>11.201899999999966</v>
      </c>
      <c r="BU58" s="2">
        <v>45681</v>
      </c>
      <c r="BV58" t="s">
        <v>1550</v>
      </c>
      <c r="BW58">
        <v>5</v>
      </c>
      <c r="BX58">
        <v>5.6000000000000001E-2</v>
      </c>
      <c r="BY58">
        <v>9.6674588576826537</v>
      </c>
      <c r="BZ58">
        <v>1057.441845594084</v>
      </c>
      <c r="CA58">
        <v>0.42399999999999999</v>
      </c>
      <c r="CB58">
        <v>5.7000000000000002E-2</v>
      </c>
      <c r="CC58">
        <v>11.199999999999989</v>
      </c>
      <c r="CD58" s="2">
        <v>45681</v>
      </c>
      <c r="CE58" t="s">
        <v>1710</v>
      </c>
      <c r="CF58">
        <v>5</v>
      </c>
      <c r="CG58">
        <v>5.5899999999999998E-2</v>
      </c>
      <c r="CH58">
        <v>9.6702890435173945</v>
      </c>
      <c r="CI58">
        <v>1057.710430229801</v>
      </c>
      <c r="CJ58">
        <v>0.42399999999999999</v>
      </c>
      <c r="CK58">
        <v>5.7099999999999998E-2</v>
      </c>
      <c r="CL58">
        <v>11.20150000000001</v>
      </c>
    </row>
    <row r="59" spans="1:90" x14ac:dyDescent="0.3">
      <c r="A59" s="2">
        <v>45681</v>
      </c>
      <c r="B59" t="s">
        <v>157</v>
      </c>
      <c r="C59">
        <v>0</v>
      </c>
      <c r="D59">
        <v>5.96E-2</v>
      </c>
      <c r="E59">
        <v>9.831060223231427</v>
      </c>
      <c r="F59">
        <v>1072.967615184662</v>
      </c>
      <c r="G59">
        <v>0.42399999999999999</v>
      </c>
      <c r="H59">
        <v>5.96E-2</v>
      </c>
      <c r="I59">
        <v>11.40077999999999</v>
      </c>
      <c r="J59" s="2">
        <v>45681</v>
      </c>
      <c r="K59" t="s">
        <v>317</v>
      </c>
      <c r="L59">
        <v>1</v>
      </c>
      <c r="M59">
        <v>5.9299999999999999E-2</v>
      </c>
      <c r="N59">
        <v>9.8312236279436629</v>
      </c>
      <c r="O59">
        <v>1072.983122291854</v>
      </c>
      <c r="P59">
        <v>0.42399999999999999</v>
      </c>
      <c r="Q59">
        <v>5.96E-2</v>
      </c>
      <c r="R59">
        <v>11.400790000000001</v>
      </c>
      <c r="S59" s="2">
        <v>45681</v>
      </c>
      <c r="T59" t="s">
        <v>477</v>
      </c>
      <c r="U59">
        <v>1</v>
      </c>
      <c r="V59">
        <v>5.91E-2</v>
      </c>
      <c r="W59">
        <v>9.8297335229375484</v>
      </c>
      <c r="X59">
        <v>1072.8417113267731</v>
      </c>
      <c r="Y59">
        <v>0.42399999999999999</v>
      </c>
      <c r="Z59">
        <v>5.96E-2</v>
      </c>
      <c r="AA59">
        <v>11.398699999999991</v>
      </c>
      <c r="AB59" s="2">
        <v>45681</v>
      </c>
      <c r="AC59" t="s">
        <v>677</v>
      </c>
      <c r="AD59">
        <v>2</v>
      </c>
      <c r="AE59">
        <v>5.8999999999999997E-2</v>
      </c>
      <c r="AF59">
        <v>9.8287826940288863</v>
      </c>
      <c r="AG59">
        <v>1072.7514776633409</v>
      </c>
      <c r="AH59">
        <v>0.42399999999999999</v>
      </c>
      <c r="AI59">
        <v>5.96E-2</v>
      </c>
      <c r="AJ59">
        <v>11.397700000000015</v>
      </c>
      <c r="AK59" s="2">
        <v>45681</v>
      </c>
      <c r="AL59" t="s">
        <v>837</v>
      </c>
      <c r="AM59">
        <v>2</v>
      </c>
      <c r="AN59">
        <v>5.8999999999999997E-2</v>
      </c>
      <c r="AO59">
        <v>9.8288483802903794</v>
      </c>
      <c r="AP59">
        <v>1072.7577112895569</v>
      </c>
      <c r="AQ59">
        <v>0.42399999999999999</v>
      </c>
      <c r="AR59">
        <v>5.96E-2</v>
      </c>
      <c r="AS59">
        <v>11.399400000000014</v>
      </c>
      <c r="AT59" s="2">
        <v>45681</v>
      </c>
      <c r="AU59" t="s">
        <v>995</v>
      </c>
      <c r="AV59">
        <v>3</v>
      </c>
      <c r="AW59">
        <v>5.8700000000000002E-2</v>
      </c>
      <c r="AX59">
        <v>9.8282811267111807</v>
      </c>
      <c r="AY59">
        <v>1072.7038789248909</v>
      </c>
      <c r="AZ59">
        <v>0.42399999999999999</v>
      </c>
      <c r="BA59">
        <v>5.9499999999999997E-2</v>
      </c>
      <c r="BB59">
        <v>11.400499999999994</v>
      </c>
      <c r="BC59" s="2">
        <v>45681</v>
      </c>
      <c r="BD59" t="s">
        <v>1195</v>
      </c>
      <c r="BE59">
        <v>3</v>
      </c>
      <c r="BF59">
        <v>6.4199999999999993E-2</v>
      </c>
      <c r="BG59">
        <v>10.025059730904919</v>
      </c>
      <c r="BH59">
        <v>1091.3781684628771</v>
      </c>
      <c r="BI59">
        <v>0.42399999999999999</v>
      </c>
      <c r="BJ59">
        <v>6.2600000000000003E-2</v>
      </c>
      <c r="BK59">
        <v>11.800299999999993</v>
      </c>
      <c r="BL59" s="2">
        <v>45681</v>
      </c>
      <c r="BM59" t="s">
        <v>1353</v>
      </c>
      <c r="BN59">
        <v>4</v>
      </c>
      <c r="BO59">
        <v>5.8799999999999998E-2</v>
      </c>
      <c r="BP59">
        <v>9.8310119722121794</v>
      </c>
      <c r="BQ59">
        <v>1072.9630361629361</v>
      </c>
      <c r="BR59">
        <v>0.42399999999999999</v>
      </c>
      <c r="BS59">
        <v>5.96E-2</v>
      </c>
      <c r="BT59">
        <v>11.400800000000004</v>
      </c>
      <c r="BU59" s="2">
        <v>45681</v>
      </c>
      <c r="BV59" t="s">
        <v>1551</v>
      </c>
      <c r="BW59">
        <v>5</v>
      </c>
      <c r="BX59">
        <v>5.9400000000000001E-2</v>
      </c>
      <c r="BY59">
        <v>9.8331046067527392</v>
      </c>
      <c r="BZ59">
        <v>1073.161627180835</v>
      </c>
      <c r="CA59">
        <v>0.42399999999999999</v>
      </c>
      <c r="CB59">
        <v>5.96E-2</v>
      </c>
      <c r="CC59">
        <v>11.400499999999965</v>
      </c>
      <c r="CD59" s="2">
        <v>45681</v>
      </c>
      <c r="CE59" t="s">
        <v>1711</v>
      </c>
      <c r="CF59">
        <v>5</v>
      </c>
      <c r="CG59">
        <v>5.8900000000000001E-2</v>
      </c>
      <c r="CH59">
        <v>9.8331974595544818</v>
      </c>
      <c r="CI59">
        <v>1073.1704389117201</v>
      </c>
      <c r="CJ59">
        <v>0.42399999999999999</v>
      </c>
      <c r="CK59">
        <v>5.96E-2</v>
      </c>
      <c r="CL59">
        <v>11.399099999999976</v>
      </c>
    </row>
    <row r="60" spans="1:90" x14ac:dyDescent="0.3">
      <c r="A60" s="2">
        <v>45681</v>
      </c>
      <c r="B60" t="s">
        <v>158</v>
      </c>
      <c r="C60">
        <v>0</v>
      </c>
      <c r="D60">
        <v>6.2799999999999995E-2</v>
      </c>
      <c r="E60">
        <v>9.9512952756594206</v>
      </c>
      <c r="F60">
        <v>1084.377921660079</v>
      </c>
      <c r="G60">
        <v>0.42399999999999999</v>
      </c>
      <c r="H60">
        <v>6.1499999999999999E-2</v>
      </c>
      <c r="I60">
        <v>11.598739999999999</v>
      </c>
      <c r="J60" s="2">
        <v>45681</v>
      </c>
      <c r="K60" t="s">
        <v>318</v>
      </c>
      <c r="L60">
        <v>1</v>
      </c>
      <c r="M60">
        <v>6.2199999999999998E-2</v>
      </c>
      <c r="N60">
        <v>9.9513686658651643</v>
      </c>
      <c r="O60">
        <v>1084.3848863906039</v>
      </c>
      <c r="P60">
        <v>0.42399999999999999</v>
      </c>
      <c r="Q60">
        <v>6.1499999999999999E-2</v>
      </c>
      <c r="R60">
        <v>11.598679999999987</v>
      </c>
      <c r="S60" s="2">
        <v>45681</v>
      </c>
      <c r="T60" t="s">
        <v>478</v>
      </c>
      <c r="U60">
        <v>1</v>
      </c>
      <c r="V60">
        <v>6.1800000000000001E-2</v>
      </c>
      <c r="W60">
        <v>9.9518045469213749</v>
      </c>
      <c r="X60">
        <v>1084.426251502839</v>
      </c>
      <c r="Y60">
        <v>0.42399999999999999</v>
      </c>
      <c r="Z60">
        <v>6.1499999999999999E-2</v>
      </c>
      <c r="AA60">
        <v>11.599500000000006</v>
      </c>
      <c r="AB60" s="2">
        <v>45681</v>
      </c>
      <c r="AC60" t="s">
        <v>678</v>
      </c>
      <c r="AD60">
        <v>2</v>
      </c>
      <c r="AE60">
        <v>6.1800000000000001E-2</v>
      </c>
      <c r="AF60">
        <v>9.9512968975424201</v>
      </c>
      <c r="AG60">
        <v>1084.3780755767759</v>
      </c>
      <c r="AH60">
        <v>0.42399999999999999</v>
      </c>
      <c r="AI60">
        <v>6.1499999999999999E-2</v>
      </c>
      <c r="AJ60">
        <v>11.598900000000015</v>
      </c>
      <c r="AK60" s="2">
        <v>45681</v>
      </c>
      <c r="AL60" t="s">
        <v>838</v>
      </c>
      <c r="AM60">
        <v>2</v>
      </c>
      <c r="AN60">
        <v>6.1600000000000002E-2</v>
      </c>
      <c r="AO60">
        <v>9.950729238492471</v>
      </c>
      <c r="AP60">
        <v>1084.324204732935</v>
      </c>
      <c r="AQ60">
        <v>0.42399999999999999</v>
      </c>
      <c r="AR60">
        <v>6.1499999999999999E-2</v>
      </c>
      <c r="AS60">
        <v>11.599299999999999</v>
      </c>
      <c r="AT60" s="2">
        <v>45681</v>
      </c>
      <c r="AU60" t="s">
        <v>996</v>
      </c>
      <c r="AV60">
        <v>3</v>
      </c>
      <c r="AW60">
        <v>6.1699999999999998E-2</v>
      </c>
      <c r="AX60">
        <v>9.9501311691362773</v>
      </c>
      <c r="AY60">
        <v>1084.2674479510331</v>
      </c>
      <c r="AZ60">
        <v>0.42399999999999999</v>
      </c>
      <c r="BA60">
        <v>6.1400000000000003E-2</v>
      </c>
      <c r="BB60">
        <v>11.599999999999994</v>
      </c>
      <c r="BC60" s="2">
        <v>45681</v>
      </c>
      <c r="BD60" t="s">
        <v>1196</v>
      </c>
      <c r="BE60">
        <v>3</v>
      </c>
      <c r="BF60">
        <v>6.6199999999999995E-2</v>
      </c>
      <c r="BG60">
        <v>10.05044057796959</v>
      </c>
      <c r="BH60">
        <v>1093.786810849314</v>
      </c>
      <c r="BI60">
        <v>0.42399999999999999</v>
      </c>
      <c r="BJ60">
        <v>6.3E-2</v>
      </c>
      <c r="BK60">
        <v>12.002700000000004</v>
      </c>
      <c r="BL60" s="2">
        <v>45681</v>
      </c>
      <c r="BM60" t="s">
        <v>1354</v>
      </c>
      <c r="BN60">
        <v>4</v>
      </c>
      <c r="BO60">
        <v>6.1600000000000002E-2</v>
      </c>
      <c r="BP60">
        <v>9.9514485436029076</v>
      </c>
      <c r="BQ60">
        <v>1084.392466787916</v>
      </c>
      <c r="BR60">
        <v>0.42399999999999999</v>
      </c>
      <c r="BS60">
        <v>6.1499999999999999E-2</v>
      </c>
      <c r="BT60">
        <v>11.599199999999996</v>
      </c>
      <c r="BU60" s="2">
        <v>45681</v>
      </c>
      <c r="BV60" t="s">
        <v>1552</v>
      </c>
      <c r="BW60">
        <v>5</v>
      </c>
      <c r="BX60">
        <v>6.2100000000000002E-2</v>
      </c>
      <c r="BY60">
        <v>9.9531300308030044</v>
      </c>
      <c r="BZ60">
        <v>1084.552039923205</v>
      </c>
      <c r="CA60">
        <v>0.42399999999999999</v>
      </c>
      <c r="CB60">
        <v>6.1499999999999999E-2</v>
      </c>
      <c r="CC60">
        <v>11.599400000000003</v>
      </c>
      <c r="CD60" s="2">
        <v>45681</v>
      </c>
      <c r="CE60" t="s">
        <v>1712</v>
      </c>
      <c r="CF60">
        <v>5</v>
      </c>
      <c r="CG60">
        <v>6.1800000000000001E-2</v>
      </c>
      <c r="CH60">
        <v>9.95458891456137</v>
      </c>
      <c r="CI60">
        <v>1084.6904879918741</v>
      </c>
      <c r="CJ60">
        <v>0.42399999999999999</v>
      </c>
      <c r="CK60">
        <v>6.1499999999999999E-2</v>
      </c>
      <c r="CL60">
        <v>11.600799999999992</v>
      </c>
    </row>
    <row r="61" spans="1:90" x14ac:dyDescent="0.3">
      <c r="A61" s="2">
        <v>45681</v>
      </c>
      <c r="B61" t="s">
        <v>159</v>
      </c>
      <c r="C61">
        <v>0</v>
      </c>
      <c r="D61">
        <v>6.5000000000000002E-2</v>
      </c>
      <c r="E61">
        <v>10.02577984695685</v>
      </c>
      <c r="F61">
        <v>1091.4465074762049</v>
      </c>
      <c r="G61">
        <v>0.42399999999999999</v>
      </c>
      <c r="H61">
        <v>6.2600000000000003E-2</v>
      </c>
      <c r="I61">
        <v>11.799779999999991</v>
      </c>
      <c r="J61" s="2">
        <v>45681</v>
      </c>
      <c r="K61" t="s">
        <v>319</v>
      </c>
      <c r="L61">
        <v>1</v>
      </c>
      <c r="M61">
        <v>6.4500000000000002E-2</v>
      </c>
      <c r="N61">
        <v>10.02594406261059</v>
      </c>
      <c r="O61">
        <v>1091.4620915417449</v>
      </c>
      <c r="P61">
        <v>0.42399999999999999</v>
      </c>
      <c r="Q61">
        <v>6.2600000000000003E-2</v>
      </c>
      <c r="R61">
        <v>11.800229999999999</v>
      </c>
      <c r="S61" s="2">
        <v>45681</v>
      </c>
      <c r="T61" t="s">
        <v>479</v>
      </c>
      <c r="U61">
        <v>1</v>
      </c>
      <c r="V61">
        <v>6.4699999999999994E-2</v>
      </c>
      <c r="W61">
        <v>10.025971229150841</v>
      </c>
      <c r="X61">
        <v>1091.464669646414</v>
      </c>
      <c r="Y61">
        <v>0.42399999999999999</v>
      </c>
      <c r="Z61">
        <v>6.2600000000000003E-2</v>
      </c>
      <c r="AA61">
        <v>11.800299999999993</v>
      </c>
      <c r="AB61" s="2">
        <v>45681</v>
      </c>
      <c r="AC61" t="s">
        <v>679</v>
      </c>
      <c r="AD61">
        <v>2</v>
      </c>
      <c r="AE61">
        <v>6.4699999999999994E-2</v>
      </c>
      <c r="AF61">
        <v>10.02537518714839</v>
      </c>
      <c r="AG61">
        <v>1091.4081052603819</v>
      </c>
      <c r="AH61">
        <v>0.42399999999999999</v>
      </c>
      <c r="AI61">
        <v>6.2600000000000003E-2</v>
      </c>
      <c r="AJ61">
        <v>11.798300000000012</v>
      </c>
      <c r="AK61" s="2">
        <v>45681</v>
      </c>
      <c r="AL61" t="s">
        <v>839</v>
      </c>
      <c r="AM61">
        <v>2</v>
      </c>
      <c r="AN61">
        <v>6.4600000000000005E-2</v>
      </c>
      <c r="AO61">
        <v>10.025480204072631</v>
      </c>
      <c r="AP61">
        <v>1091.418071366493</v>
      </c>
      <c r="AQ61">
        <v>0.42399999999999999</v>
      </c>
      <c r="AR61">
        <v>6.2600000000000003E-2</v>
      </c>
      <c r="AS61">
        <v>11.800300000000021</v>
      </c>
      <c r="AT61" s="2">
        <v>45681</v>
      </c>
      <c r="AU61" t="s">
        <v>997</v>
      </c>
      <c r="AV61">
        <v>3</v>
      </c>
      <c r="AW61">
        <v>6.4600000000000005E-2</v>
      </c>
      <c r="AX61">
        <v>10.025546295804871</v>
      </c>
      <c r="AY61">
        <v>1091.424343471883</v>
      </c>
      <c r="AZ61">
        <v>0.42399999999999999</v>
      </c>
      <c r="BA61">
        <v>6.2600000000000003E-2</v>
      </c>
      <c r="BB61">
        <v>11.802399999999977</v>
      </c>
      <c r="BC61" s="2">
        <v>45681</v>
      </c>
      <c r="BD61" t="s">
        <v>1197</v>
      </c>
      <c r="BE61">
        <v>3</v>
      </c>
      <c r="BF61">
        <v>6.6299999999999998E-2</v>
      </c>
      <c r="BG61">
        <v>10.025468445420881</v>
      </c>
      <c r="BH61">
        <v>982.37365911322615</v>
      </c>
      <c r="BI61">
        <v>0.42399999999999999</v>
      </c>
      <c r="BJ61">
        <v>6.2600000000000003E-2</v>
      </c>
      <c r="BK61">
        <v>12.201999999999998</v>
      </c>
      <c r="BL61" s="2">
        <v>45681</v>
      </c>
      <c r="BM61" t="s">
        <v>1355</v>
      </c>
      <c r="BN61">
        <v>4</v>
      </c>
      <c r="BO61">
        <v>6.4699999999999994E-2</v>
      </c>
      <c r="BP61">
        <v>10.02591932889484</v>
      </c>
      <c r="BQ61">
        <v>1091.4597443121199</v>
      </c>
      <c r="BR61">
        <v>0.42399999999999999</v>
      </c>
      <c r="BS61">
        <v>6.2600000000000003E-2</v>
      </c>
      <c r="BT61">
        <v>11.8005</v>
      </c>
      <c r="BU61" s="2">
        <v>45681</v>
      </c>
      <c r="BV61" t="s">
        <v>1553</v>
      </c>
      <c r="BW61">
        <v>5</v>
      </c>
      <c r="BX61">
        <v>6.4899999999999999E-2</v>
      </c>
      <c r="BY61">
        <v>10.026652014540019</v>
      </c>
      <c r="BZ61">
        <v>1091.529276179848</v>
      </c>
      <c r="CA61">
        <v>0.42399999999999999</v>
      </c>
      <c r="CB61">
        <v>6.2600000000000003E-2</v>
      </c>
      <c r="CC61">
        <v>11.800200000000018</v>
      </c>
      <c r="CD61" s="2">
        <v>45681</v>
      </c>
      <c r="CE61" t="s">
        <v>1713</v>
      </c>
      <c r="CF61">
        <v>5</v>
      </c>
      <c r="CG61">
        <v>6.4199999999999993E-2</v>
      </c>
      <c r="CH61">
        <v>10.027209131350469</v>
      </c>
      <c r="CI61">
        <v>1091.58214656516</v>
      </c>
      <c r="CJ61">
        <v>0.42399999999999999</v>
      </c>
      <c r="CK61">
        <v>6.2600000000000003E-2</v>
      </c>
      <c r="CL61">
        <v>11.800999999999988</v>
      </c>
    </row>
    <row r="62" spans="1:90" x14ac:dyDescent="0.3">
      <c r="A62" s="2">
        <v>45681</v>
      </c>
      <c r="B62" t="s">
        <v>160</v>
      </c>
      <c r="C62">
        <v>0</v>
      </c>
      <c r="D62">
        <v>6.59E-2</v>
      </c>
      <c r="E62">
        <v>10.05044057796959</v>
      </c>
      <c r="F62">
        <v>1093.786810849314</v>
      </c>
      <c r="G62">
        <v>0.42399999999999999</v>
      </c>
      <c r="H62">
        <v>6.3E-2</v>
      </c>
      <c r="I62">
        <v>11.999369999999992</v>
      </c>
      <c r="J62" s="2">
        <v>45681</v>
      </c>
      <c r="K62" t="s">
        <v>320</v>
      </c>
      <c r="L62">
        <v>1</v>
      </c>
      <c r="M62">
        <v>6.6199999999999995E-2</v>
      </c>
      <c r="N62">
        <v>10.05044098344035</v>
      </c>
      <c r="O62">
        <v>1093.7868493284891</v>
      </c>
      <c r="P62">
        <v>0.42399999999999999</v>
      </c>
      <c r="Q62">
        <v>6.3E-2</v>
      </c>
      <c r="R62">
        <v>11.99857999999999</v>
      </c>
      <c r="S62" s="2">
        <v>45681</v>
      </c>
      <c r="T62" t="s">
        <v>480</v>
      </c>
      <c r="U62">
        <v>1</v>
      </c>
      <c r="V62">
        <v>6.6299999999999998E-2</v>
      </c>
      <c r="W62">
        <v>10.05044098344035</v>
      </c>
      <c r="X62">
        <v>1093.7868493284891</v>
      </c>
      <c r="Y62">
        <v>0.42399999999999999</v>
      </c>
      <c r="Z62">
        <v>6.3E-2</v>
      </c>
      <c r="AA62">
        <v>11.998199999999997</v>
      </c>
      <c r="AB62" s="2">
        <v>45681</v>
      </c>
      <c r="AC62" t="s">
        <v>680</v>
      </c>
      <c r="AD62">
        <v>2</v>
      </c>
      <c r="AE62">
        <v>6.6500000000000004E-2</v>
      </c>
      <c r="AF62">
        <v>10.050440172498851</v>
      </c>
      <c r="AG62">
        <v>1093.7867723701411</v>
      </c>
      <c r="AH62">
        <v>0.42399999999999999</v>
      </c>
      <c r="AI62">
        <v>6.3E-2</v>
      </c>
      <c r="AJ62">
        <v>11.999800000000022</v>
      </c>
      <c r="AK62" s="2">
        <v>45681</v>
      </c>
      <c r="AL62" t="s">
        <v>840</v>
      </c>
      <c r="AM62">
        <v>2</v>
      </c>
      <c r="AN62">
        <v>6.59E-2</v>
      </c>
      <c r="AO62">
        <v>10.05044057796959</v>
      </c>
      <c r="AP62">
        <v>1093.786810849314</v>
      </c>
      <c r="AQ62">
        <v>0.42399999999999999</v>
      </c>
      <c r="AR62">
        <v>6.3E-2</v>
      </c>
      <c r="AS62">
        <v>11.999600000000015</v>
      </c>
      <c r="AT62" s="2">
        <v>45681</v>
      </c>
      <c r="AU62" t="s">
        <v>998</v>
      </c>
      <c r="AV62">
        <v>3</v>
      </c>
      <c r="AW62">
        <v>6.6199999999999995E-2</v>
      </c>
      <c r="AX62">
        <v>10.05044057796959</v>
      </c>
      <c r="AY62">
        <v>1093.786810849314</v>
      </c>
      <c r="AZ62">
        <v>0.42399999999999999</v>
      </c>
      <c r="BA62">
        <v>6.3E-2</v>
      </c>
      <c r="BB62">
        <v>12.001499999999993</v>
      </c>
      <c r="BC62" s="2">
        <v>45681</v>
      </c>
      <c r="BD62" t="s">
        <v>1198</v>
      </c>
      <c r="BE62">
        <v>3</v>
      </c>
      <c r="BF62">
        <v>6.4100000000000004E-2</v>
      </c>
      <c r="BG62">
        <v>9.9518617182971187</v>
      </c>
      <c r="BH62">
        <v>975.51351214529154</v>
      </c>
      <c r="BI62">
        <v>0.42399999999999999</v>
      </c>
      <c r="BJ62">
        <v>6.1499999999999999E-2</v>
      </c>
      <c r="BK62">
        <v>12.400700000000029</v>
      </c>
      <c r="BL62" s="2">
        <v>45681</v>
      </c>
      <c r="BM62" t="s">
        <v>1356</v>
      </c>
      <c r="BN62">
        <v>4</v>
      </c>
      <c r="BO62">
        <v>6.6199999999999995E-2</v>
      </c>
      <c r="BP62">
        <v>10.050436117791341</v>
      </c>
      <c r="BQ62">
        <v>1093.7863875783989</v>
      </c>
      <c r="BR62">
        <v>0.42399999999999999</v>
      </c>
      <c r="BS62">
        <v>6.3E-2</v>
      </c>
      <c r="BT62">
        <v>12.00139999999999</v>
      </c>
      <c r="BU62" s="2">
        <v>45681</v>
      </c>
      <c r="BV62" t="s">
        <v>1554</v>
      </c>
      <c r="BW62">
        <v>5</v>
      </c>
      <c r="BX62">
        <v>6.54E-2</v>
      </c>
      <c r="BY62">
        <v>10.050417466136849</v>
      </c>
      <c r="BZ62">
        <v>1093.784617536387</v>
      </c>
      <c r="CA62">
        <v>0.42399999999999999</v>
      </c>
      <c r="CB62">
        <v>6.3E-2</v>
      </c>
      <c r="CC62">
        <v>12.001599999999996</v>
      </c>
      <c r="CD62" s="2">
        <v>45681</v>
      </c>
      <c r="CE62" t="s">
        <v>1714</v>
      </c>
      <c r="CF62">
        <v>5</v>
      </c>
      <c r="CG62">
        <v>6.6100000000000006E-2</v>
      </c>
      <c r="CH62">
        <v>10.05041097860485</v>
      </c>
      <c r="CI62">
        <v>1093.7840018695999</v>
      </c>
      <c r="CJ62">
        <v>0.42399999999999999</v>
      </c>
      <c r="CK62">
        <v>6.3E-2</v>
      </c>
      <c r="CL62">
        <v>12.00079999999997</v>
      </c>
    </row>
    <row r="63" spans="1:90" x14ac:dyDescent="0.3">
      <c r="A63" s="2">
        <v>45681</v>
      </c>
      <c r="B63" t="s">
        <v>161</v>
      </c>
      <c r="C63">
        <v>0</v>
      </c>
      <c r="D63">
        <v>6.6100000000000006E-2</v>
      </c>
      <c r="E63">
        <v>10.025022427595919</v>
      </c>
      <c r="F63">
        <v>982.33209025193992</v>
      </c>
      <c r="G63">
        <v>0.42399999999999999</v>
      </c>
      <c r="H63">
        <v>6.2600000000000003E-2</v>
      </c>
      <c r="I63">
        <v>12.200409999999998</v>
      </c>
      <c r="J63" s="2">
        <v>45681</v>
      </c>
      <c r="K63" t="s">
        <v>321</v>
      </c>
      <c r="L63">
        <v>1</v>
      </c>
      <c r="M63">
        <v>6.6500000000000004E-2</v>
      </c>
      <c r="N63">
        <v>10.02519231984015</v>
      </c>
      <c r="O63">
        <v>982.34792420910242</v>
      </c>
      <c r="P63">
        <v>0.42399999999999999</v>
      </c>
      <c r="Q63">
        <v>6.2600000000000003E-2</v>
      </c>
      <c r="R63">
        <v>12.199519999999993</v>
      </c>
      <c r="S63" s="2">
        <v>45681</v>
      </c>
      <c r="T63" t="s">
        <v>481</v>
      </c>
      <c r="U63">
        <v>1</v>
      </c>
      <c r="V63">
        <v>6.6500000000000004E-2</v>
      </c>
      <c r="W63">
        <v>10.02502607683267</v>
      </c>
      <c r="X63">
        <v>982.33243036080489</v>
      </c>
      <c r="Y63">
        <v>0.42399999999999999</v>
      </c>
      <c r="Z63">
        <v>6.2600000000000003E-2</v>
      </c>
      <c r="AA63">
        <v>12.200099999999992</v>
      </c>
      <c r="AB63" s="2">
        <v>45681</v>
      </c>
      <c r="AC63" t="s">
        <v>681</v>
      </c>
      <c r="AD63">
        <v>2</v>
      </c>
      <c r="AE63">
        <v>6.6699999999999995E-2</v>
      </c>
      <c r="AF63">
        <v>10.025299364118149</v>
      </c>
      <c r="AG63">
        <v>982.35790073581143</v>
      </c>
      <c r="AH63">
        <v>0.42399999999999999</v>
      </c>
      <c r="AI63">
        <v>6.2600000000000003E-2</v>
      </c>
      <c r="AJ63">
        <v>12.199400000000026</v>
      </c>
      <c r="AK63" s="2">
        <v>45681</v>
      </c>
      <c r="AL63" t="s">
        <v>841</v>
      </c>
      <c r="AM63">
        <v>2</v>
      </c>
      <c r="AN63">
        <v>6.59E-2</v>
      </c>
      <c r="AO63">
        <v>10.02581309555835</v>
      </c>
      <c r="AP63">
        <v>982.40578050603847</v>
      </c>
      <c r="AQ63">
        <v>0.42399999999999999</v>
      </c>
      <c r="AR63">
        <v>6.2600000000000003E-2</v>
      </c>
      <c r="AS63">
        <v>12.199000000000012</v>
      </c>
      <c r="AT63" s="2">
        <v>45681</v>
      </c>
      <c r="AU63" t="s">
        <v>999</v>
      </c>
      <c r="AV63">
        <v>3</v>
      </c>
      <c r="AW63">
        <v>6.6199999999999995E-2</v>
      </c>
      <c r="AX63">
        <v>10.025597790590121</v>
      </c>
      <c r="AY63">
        <v>982.38571408299924</v>
      </c>
      <c r="AZ63">
        <v>0.42399999999999999</v>
      </c>
      <c r="BA63">
        <v>6.2600000000000003E-2</v>
      </c>
      <c r="BB63">
        <v>12.201699999999988</v>
      </c>
      <c r="BC63" s="2">
        <v>45681</v>
      </c>
      <c r="BD63" t="s">
        <v>1199</v>
      </c>
      <c r="BE63">
        <v>3</v>
      </c>
      <c r="BF63">
        <v>6.2600000000000003E-2</v>
      </c>
      <c r="BG63">
        <v>9.8290811205008595</v>
      </c>
      <c r="BH63">
        <v>964.07036043068013</v>
      </c>
      <c r="BI63">
        <v>0.42399999999999999</v>
      </c>
      <c r="BJ63">
        <v>5.96E-2</v>
      </c>
      <c r="BK63">
        <v>12.60250000000002</v>
      </c>
      <c r="BL63" s="2">
        <v>45681</v>
      </c>
      <c r="BM63" t="s">
        <v>1357</v>
      </c>
      <c r="BN63">
        <v>4</v>
      </c>
      <c r="BO63">
        <v>6.6400000000000001E-2</v>
      </c>
      <c r="BP63">
        <v>10.025193130781661</v>
      </c>
      <c r="BQ63">
        <v>982.34799978885053</v>
      </c>
      <c r="BR63">
        <v>0.42399999999999999</v>
      </c>
      <c r="BS63">
        <v>6.2600000000000003E-2</v>
      </c>
      <c r="BT63">
        <v>12.199799999999982</v>
      </c>
      <c r="BU63" s="2">
        <v>45681</v>
      </c>
      <c r="BV63" t="s">
        <v>1555</v>
      </c>
      <c r="BW63">
        <v>5</v>
      </c>
      <c r="BX63">
        <v>6.6600000000000006E-2</v>
      </c>
      <c r="BY63">
        <v>10.02457194959271</v>
      </c>
      <c r="BZ63">
        <v>982.29010570204093</v>
      </c>
      <c r="CA63">
        <v>0.42399999999999999</v>
      </c>
      <c r="CB63">
        <v>6.2600000000000003E-2</v>
      </c>
      <c r="CC63">
        <v>12.199099999999987</v>
      </c>
      <c r="CD63" s="2">
        <v>45681</v>
      </c>
      <c r="CE63" t="s">
        <v>1715</v>
      </c>
      <c r="CF63">
        <v>5</v>
      </c>
      <c r="CG63">
        <v>6.6100000000000006E-2</v>
      </c>
      <c r="CH63">
        <v>10.023554218010309</v>
      </c>
      <c r="CI63">
        <v>982.19525311856069</v>
      </c>
      <c r="CJ63">
        <v>0.42399999999999999</v>
      </c>
      <c r="CK63">
        <v>6.2600000000000003E-2</v>
      </c>
      <c r="CL63">
        <v>12.20150000000001</v>
      </c>
    </row>
    <row r="64" spans="1:90" x14ac:dyDescent="0.3">
      <c r="A64" s="2">
        <v>45681</v>
      </c>
      <c r="B64" t="s">
        <v>162</v>
      </c>
      <c r="C64">
        <v>0</v>
      </c>
      <c r="D64">
        <v>6.4399999999999999E-2</v>
      </c>
      <c r="E64">
        <v>9.9503302552745083</v>
      </c>
      <c r="F64">
        <v>975.37077979158425</v>
      </c>
      <c r="G64">
        <v>0.42399999999999999</v>
      </c>
      <c r="H64">
        <v>6.1400000000000003E-2</v>
      </c>
      <c r="I64">
        <v>12.400370000000002</v>
      </c>
      <c r="J64" s="2">
        <v>45681</v>
      </c>
      <c r="K64" t="s">
        <v>322</v>
      </c>
      <c r="L64">
        <v>1</v>
      </c>
      <c r="M64">
        <v>6.4799999999999996E-2</v>
      </c>
      <c r="N64">
        <v>9.9509372449872036</v>
      </c>
      <c r="O64">
        <v>975.42735123280738</v>
      </c>
      <c r="P64">
        <v>0.42399999999999999</v>
      </c>
      <c r="Q64">
        <v>6.1499999999999999E-2</v>
      </c>
      <c r="R64">
        <v>12.398939999999996</v>
      </c>
      <c r="S64" s="2">
        <v>45681</v>
      </c>
      <c r="T64" t="s">
        <v>482</v>
      </c>
      <c r="U64">
        <v>1</v>
      </c>
      <c r="V64">
        <v>6.4299999999999996E-2</v>
      </c>
      <c r="W64">
        <v>9.9510791597496908</v>
      </c>
      <c r="X64">
        <v>975.44057768867117</v>
      </c>
      <c r="Y64">
        <v>0.42399999999999999</v>
      </c>
      <c r="Z64">
        <v>6.1499999999999999E-2</v>
      </c>
      <c r="AA64">
        <v>12.398599999999988</v>
      </c>
      <c r="AB64" s="2">
        <v>45681</v>
      </c>
      <c r="AC64" t="s">
        <v>682</v>
      </c>
      <c r="AD64">
        <v>2</v>
      </c>
      <c r="AE64">
        <v>6.4500000000000002E-2</v>
      </c>
      <c r="AF64">
        <v>9.9507937083417168</v>
      </c>
      <c r="AG64">
        <v>975.41397361744805</v>
      </c>
      <c r="AH64">
        <v>0.42399999999999999</v>
      </c>
      <c r="AI64">
        <v>6.1499999999999999E-2</v>
      </c>
      <c r="AJ64">
        <v>12.399500000000018</v>
      </c>
      <c r="AK64" s="2">
        <v>45681</v>
      </c>
      <c r="AL64" t="s">
        <v>842</v>
      </c>
      <c r="AM64">
        <v>2</v>
      </c>
      <c r="AN64">
        <v>6.3799999999999996E-2</v>
      </c>
      <c r="AO64">
        <v>9.9516378984431402</v>
      </c>
      <c r="AP64">
        <v>975.49265213490071</v>
      </c>
      <c r="AQ64">
        <v>0.42399999999999999</v>
      </c>
      <c r="AR64">
        <v>6.1499999999999999E-2</v>
      </c>
      <c r="AS64">
        <v>12.399400000000014</v>
      </c>
      <c r="AT64" s="2">
        <v>45681</v>
      </c>
      <c r="AU64" t="s">
        <v>1000</v>
      </c>
      <c r="AV64">
        <v>3</v>
      </c>
      <c r="AW64">
        <v>6.4199999999999993E-2</v>
      </c>
      <c r="AX64">
        <v>9.951774542085877</v>
      </c>
      <c r="AY64">
        <v>975.50538732240375</v>
      </c>
      <c r="AZ64">
        <v>0.42399999999999999</v>
      </c>
      <c r="BA64">
        <v>6.1499999999999999E-2</v>
      </c>
      <c r="BB64">
        <v>12.401099999999985</v>
      </c>
      <c r="BC64" s="2">
        <v>45681</v>
      </c>
      <c r="BD64" t="s">
        <v>1200</v>
      </c>
      <c r="BE64">
        <v>3</v>
      </c>
      <c r="BF64">
        <v>6.0900000000000003E-2</v>
      </c>
      <c r="BG64">
        <v>9.6632054695155425</v>
      </c>
      <c r="BH64">
        <v>948.61074975884856</v>
      </c>
      <c r="BI64">
        <v>0.42399999999999999</v>
      </c>
      <c r="BJ64">
        <v>5.7000000000000002E-2</v>
      </c>
      <c r="BK64">
        <v>12.802000000000021</v>
      </c>
      <c r="BL64" s="2">
        <v>45681</v>
      </c>
      <c r="BM64" t="s">
        <v>1358</v>
      </c>
      <c r="BN64">
        <v>4</v>
      </c>
      <c r="BO64">
        <v>6.4199999999999993E-2</v>
      </c>
      <c r="BP64">
        <v>9.9504879833962452</v>
      </c>
      <c r="BQ64">
        <v>975.38548005253006</v>
      </c>
      <c r="BR64">
        <v>0.42399999999999999</v>
      </c>
      <c r="BS64">
        <v>6.1400000000000003E-2</v>
      </c>
      <c r="BT64">
        <v>12.400199999999984</v>
      </c>
      <c r="BU64" s="2">
        <v>45681</v>
      </c>
      <c r="BV64" t="s">
        <v>1556</v>
      </c>
      <c r="BW64">
        <v>5</v>
      </c>
      <c r="BX64">
        <v>6.4699999999999994E-2</v>
      </c>
      <c r="BY64">
        <v>9.9484845524206769</v>
      </c>
      <c r="BZ64">
        <v>975.19876028560714</v>
      </c>
      <c r="CA64">
        <v>0.42399999999999999</v>
      </c>
      <c r="CB64">
        <v>6.1400000000000003E-2</v>
      </c>
      <c r="CC64">
        <v>12.40100000000001</v>
      </c>
      <c r="CD64" s="2">
        <v>45681</v>
      </c>
      <c r="CE64" t="s">
        <v>1716</v>
      </c>
      <c r="CF64">
        <v>5</v>
      </c>
      <c r="CG64">
        <v>6.3799999999999996E-2</v>
      </c>
      <c r="CH64">
        <v>9.9483426376581914</v>
      </c>
      <c r="CI64">
        <v>975.18553382974346</v>
      </c>
      <c r="CJ64">
        <v>0.42399999999999999</v>
      </c>
      <c r="CK64">
        <v>6.1400000000000003E-2</v>
      </c>
      <c r="CL64">
        <v>12.399699999999996</v>
      </c>
    </row>
    <row r="65" spans="1:90" x14ac:dyDescent="0.3">
      <c r="A65" s="2">
        <v>45681</v>
      </c>
      <c r="B65" t="s">
        <v>163</v>
      </c>
      <c r="C65">
        <v>0</v>
      </c>
      <c r="D65">
        <v>6.1899999999999997E-2</v>
      </c>
      <c r="E65">
        <v>9.8289979989971155</v>
      </c>
      <c r="F65">
        <v>964.06261350653119</v>
      </c>
      <c r="G65">
        <v>0.42399999999999999</v>
      </c>
      <c r="H65">
        <v>5.96E-2</v>
      </c>
      <c r="I65">
        <v>12.599229999999999</v>
      </c>
      <c r="J65" s="2">
        <v>45681</v>
      </c>
      <c r="K65" t="s">
        <v>323</v>
      </c>
      <c r="L65">
        <v>1</v>
      </c>
      <c r="M65">
        <v>6.2399999999999997E-2</v>
      </c>
      <c r="N65">
        <v>9.828028112963203</v>
      </c>
      <c r="O65">
        <v>963.97222012817053</v>
      </c>
      <c r="P65">
        <v>0.42399999999999999</v>
      </c>
      <c r="Q65">
        <v>5.9499999999999997E-2</v>
      </c>
      <c r="R65">
        <v>12.600359999999995</v>
      </c>
      <c r="S65" s="2">
        <v>45681</v>
      </c>
      <c r="T65" t="s">
        <v>483</v>
      </c>
      <c r="U65">
        <v>1</v>
      </c>
      <c r="V65">
        <v>6.2799999999999995E-2</v>
      </c>
      <c r="W65">
        <v>9.8292777738145904</v>
      </c>
      <c r="X65">
        <v>964.08868851951991</v>
      </c>
      <c r="Y65">
        <v>0.42399999999999999</v>
      </c>
      <c r="Z65">
        <v>5.96E-2</v>
      </c>
      <c r="AA65">
        <v>12.598600000000005</v>
      </c>
      <c r="AB65" s="2">
        <v>45681</v>
      </c>
      <c r="AC65" t="s">
        <v>683</v>
      </c>
      <c r="AD65">
        <v>2</v>
      </c>
      <c r="AE65">
        <v>6.3E-2</v>
      </c>
      <c r="AF65">
        <v>9.8288585170591283</v>
      </c>
      <c r="AG65">
        <v>964.04961378991084</v>
      </c>
      <c r="AH65">
        <v>0.42399999999999999</v>
      </c>
      <c r="AI65">
        <v>5.96E-2</v>
      </c>
      <c r="AJ65">
        <v>12.599500000000006</v>
      </c>
      <c r="AK65" s="2">
        <v>45681</v>
      </c>
      <c r="AL65" t="s">
        <v>843</v>
      </c>
      <c r="AM65">
        <v>2</v>
      </c>
      <c r="AN65">
        <v>6.1899999999999997E-2</v>
      </c>
      <c r="AO65">
        <v>9.8295238945598182</v>
      </c>
      <c r="AP65">
        <v>964.11162697297505</v>
      </c>
      <c r="AQ65">
        <v>0.42399999999999999</v>
      </c>
      <c r="AR65">
        <v>5.96E-2</v>
      </c>
      <c r="AS65">
        <v>12.600200000000001</v>
      </c>
      <c r="AT65" s="2">
        <v>45681</v>
      </c>
      <c r="AU65" t="s">
        <v>1001</v>
      </c>
      <c r="AV65">
        <v>3</v>
      </c>
      <c r="AW65">
        <v>6.2199999999999998E-2</v>
      </c>
      <c r="AX65">
        <v>9.8294440168220749</v>
      </c>
      <c r="AY65">
        <v>964.10418236781743</v>
      </c>
      <c r="AZ65">
        <v>0.42399999999999999</v>
      </c>
      <c r="BA65">
        <v>5.96E-2</v>
      </c>
      <c r="BB65">
        <v>12.602199999999982</v>
      </c>
      <c r="BC65" s="2">
        <v>45681</v>
      </c>
      <c r="BD65" t="s">
        <v>1201</v>
      </c>
      <c r="BE65">
        <v>3</v>
      </c>
      <c r="BF65">
        <v>5.8900000000000001E-2</v>
      </c>
      <c r="BG65">
        <v>9.4576236898693598</v>
      </c>
      <c r="BH65">
        <v>929.45052789582439</v>
      </c>
      <c r="BI65">
        <v>0.42399999999999999</v>
      </c>
      <c r="BJ65">
        <v>5.3800000000000001E-2</v>
      </c>
      <c r="BK65">
        <v>13.001100000000008</v>
      </c>
      <c r="BL65" s="2">
        <v>45681</v>
      </c>
      <c r="BM65" t="s">
        <v>1359</v>
      </c>
      <c r="BN65">
        <v>4</v>
      </c>
      <c r="BO65">
        <v>6.2300000000000001E-2</v>
      </c>
      <c r="BP65">
        <v>9.8292258735585953</v>
      </c>
      <c r="BQ65">
        <v>964.08385141566112</v>
      </c>
      <c r="BR65">
        <v>0.42399999999999999</v>
      </c>
      <c r="BS65">
        <v>5.96E-2</v>
      </c>
      <c r="BT65">
        <v>12.59899999999999</v>
      </c>
      <c r="BU65" s="2">
        <v>45681</v>
      </c>
      <c r="BV65" t="s">
        <v>1557</v>
      </c>
      <c r="BW65">
        <v>5</v>
      </c>
      <c r="BX65">
        <v>6.2300000000000001E-2</v>
      </c>
      <c r="BY65">
        <v>9.8262399869558692</v>
      </c>
      <c r="BZ65">
        <v>963.80556678428707</v>
      </c>
      <c r="CA65">
        <v>0.42399999999999999</v>
      </c>
      <c r="CB65">
        <v>5.9499999999999997E-2</v>
      </c>
      <c r="CC65">
        <v>12.599899999999991</v>
      </c>
      <c r="CD65" s="2">
        <v>45681</v>
      </c>
      <c r="CE65" t="s">
        <v>1717</v>
      </c>
      <c r="CF65">
        <v>5</v>
      </c>
      <c r="CG65">
        <v>6.2399999999999997E-2</v>
      </c>
      <c r="CH65">
        <v>9.8253811999074454</v>
      </c>
      <c r="CI65">
        <v>963.72552783137394</v>
      </c>
      <c r="CJ65">
        <v>0.42399999999999999</v>
      </c>
      <c r="CK65">
        <v>5.9499999999999997E-2</v>
      </c>
      <c r="CL65">
        <v>12.599499999999978</v>
      </c>
    </row>
    <row r="66" spans="1:90" x14ac:dyDescent="0.3">
      <c r="A66" s="2">
        <v>45681</v>
      </c>
      <c r="B66" t="s">
        <v>164</v>
      </c>
      <c r="C66">
        <v>0</v>
      </c>
      <c r="D66">
        <v>5.9900000000000002E-2</v>
      </c>
      <c r="E66">
        <v>9.6629617815948148</v>
      </c>
      <c r="F66">
        <v>948.58803804463673</v>
      </c>
      <c r="G66">
        <v>0.42399999999999999</v>
      </c>
      <c r="H66">
        <v>5.7000000000000002E-2</v>
      </c>
      <c r="I66">
        <v>12.798889999999993</v>
      </c>
      <c r="J66" s="2">
        <v>45681</v>
      </c>
      <c r="K66" t="s">
        <v>324</v>
      </c>
      <c r="L66">
        <v>1</v>
      </c>
      <c r="M66">
        <v>6.13E-2</v>
      </c>
      <c r="N66">
        <v>9.6625627983768521</v>
      </c>
      <c r="O66">
        <v>948.55085280872265</v>
      </c>
      <c r="P66">
        <v>0.42399999999999999</v>
      </c>
      <c r="Q66">
        <v>5.7000000000000002E-2</v>
      </c>
      <c r="R66">
        <v>12.799099999999996</v>
      </c>
      <c r="S66" s="2">
        <v>45681</v>
      </c>
      <c r="T66" t="s">
        <v>484</v>
      </c>
      <c r="U66">
        <v>1</v>
      </c>
      <c r="V66">
        <v>6.08E-2</v>
      </c>
      <c r="W66">
        <v>9.6632691284232859</v>
      </c>
      <c r="X66">
        <v>948.61668276905027</v>
      </c>
      <c r="Y66">
        <v>0.42399999999999999</v>
      </c>
      <c r="Z66">
        <v>5.7000000000000002E-2</v>
      </c>
      <c r="AA66">
        <v>12.798300000000012</v>
      </c>
      <c r="AB66" s="2">
        <v>45681</v>
      </c>
      <c r="AC66" t="s">
        <v>684</v>
      </c>
      <c r="AD66">
        <v>2</v>
      </c>
      <c r="AE66">
        <v>6.0999999999999999E-2</v>
      </c>
      <c r="AF66">
        <v>9.6638627376012316</v>
      </c>
      <c r="AG66">
        <v>948.67200714443482</v>
      </c>
      <c r="AH66">
        <v>0.42399999999999999</v>
      </c>
      <c r="AI66">
        <v>5.7000000000000002E-2</v>
      </c>
      <c r="AJ66">
        <v>12.798000000000002</v>
      </c>
      <c r="AK66" s="2">
        <v>45681</v>
      </c>
      <c r="AL66" t="s">
        <v>844</v>
      </c>
      <c r="AM66">
        <v>2</v>
      </c>
      <c r="AN66">
        <v>6.08E-2</v>
      </c>
      <c r="AO66">
        <v>9.6644498592471777</v>
      </c>
      <c r="AP66">
        <v>948.72672688183695</v>
      </c>
      <c r="AQ66">
        <v>0.42399999999999999</v>
      </c>
      <c r="AR66">
        <v>5.7000000000000002E-2</v>
      </c>
      <c r="AS66">
        <v>12.799000000000007</v>
      </c>
      <c r="AT66" s="2">
        <v>45681</v>
      </c>
      <c r="AU66" t="s">
        <v>1002</v>
      </c>
      <c r="AV66">
        <v>3</v>
      </c>
      <c r="AW66">
        <v>6.0699999999999997E-2</v>
      </c>
      <c r="AX66">
        <v>9.6640747988034637</v>
      </c>
      <c r="AY66">
        <v>948.69177124848284</v>
      </c>
      <c r="AZ66">
        <v>0.42399999999999999</v>
      </c>
      <c r="BA66">
        <v>5.7000000000000002E-2</v>
      </c>
      <c r="BB66">
        <v>12.801299999999998</v>
      </c>
      <c r="BC66" s="2">
        <v>45681</v>
      </c>
      <c r="BD66" t="s">
        <v>1202</v>
      </c>
      <c r="BE66">
        <v>3</v>
      </c>
      <c r="BF66">
        <v>5.6000000000000001E-2</v>
      </c>
      <c r="BG66">
        <v>9.2148667299835836</v>
      </c>
      <c r="BH66">
        <v>906.82557923447007</v>
      </c>
      <c r="BI66">
        <v>0.42399999999999999</v>
      </c>
      <c r="BJ66">
        <v>0.05</v>
      </c>
      <c r="BK66">
        <v>13.201900000000023</v>
      </c>
      <c r="BL66" s="2">
        <v>45681</v>
      </c>
      <c r="BM66" t="s">
        <v>1360</v>
      </c>
      <c r="BN66">
        <v>4</v>
      </c>
      <c r="BO66">
        <v>6.0699999999999997E-2</v>
      </c>
      <c r="BP66">
        <v>9.6617737522974245</v>
      </c>
      <c r="BQ66">
        <v>948.47731371411999</v>
      </c>
      <c r="BR66">
        <v>0.42399999999999999</v>
      </c>
      <c r="BS66">
        <v>5.7000000000000002E-2</v>
      </c>
      <c r="BT66">
        <v>12.800299999999993</v>
      </c>
      <c r="BU66" s="2">
        <v>45681</v>
      </c>
      <c r="BV66" t="s">
        <v>1558</v>
      </c>
      <c r="BW66">
        <v>5</v>
      </c>
      <c r="BX66">
        <v>6.1100000000000002E-2</v>
      </c>
      <c r="BY66">
        <v>9.6590035761336761</v>
      </c>
      <c r="BZ66">
        <v>948.21913329565859</v>
      </c>
      <c r="CA66">
        <v>0.42399999999999999</v>
      </c>
      <c r="CB66">
        <v>5.6899999999999999E-2</v>
      </c>
      <c r="CC66">
        <v>12.800000000000011</v>
      </c>
      <c r="CD66" s="2">
        <v>45681</v>
      </c>
      <c r="CE66" t="s">
        <v>1718</v>
      </c>
      <c r="CF66">
        <v>5</v>
      </c>
      <c r="CG66">
        <v>6.0900000000000003E-2</v>
      </c>
      <c r="CH66">
        <v>9.6575284735453106</v>
      </c>
      <c r="CI66">
        <v>948.08165373442296</v>
      </c>
      <c r="CJ66">
        <v>0.42399999999999999</v>
      </c>
      <c r="CK66">
        <v>5.6899999999999999E-2</v>
      </c>
      <c r="CL66">
        <v>12.800000000000011</v>
      </c>
    </row>
    <row r="67" spans="1:90" x14ac:dyDescent="0.3">
      <c r="A67" s="2">
        <v>45681</v>
      </c>
      <c r="B67" t="s">
        <v>165</v>
      </c>
      <c r="C67">
        <v>0</v>
      </c>
      <c r="D67">
        <v>5.7700000000000001E-2</v>
      </c>
      <c r="E67">
        <v>9.4553672451458155</v>
      </c>
      <c r="F67">
        <v>929.24022724759004</v>
      </c>
      <c r="G67">
        <v>0.42399999999999999</v>
      </c>
      <c r="H67">
        <v>5.3800000000000001E-2</v>
      </c>
      <c r="I67">
        <v>12.99971</v>
      </c>
      <c r="J67" s="2">
        <v>45681</v>
      </c>
      <c r="K67" t="s">
        <v>325</v>
      </c>
      <c r="L67">
        <v>1</v>
      </c>
      <c r="M67">
        <v>5.8700000000000002E-2</v>
      </c>
      <c r="N67">
        <v>9.4552979096475713</v>
      </c>
      <c r="O67">
        <v>929.23376517915369</v>
      </c>
      <c r="P67">
        <v>0.42399999999999999</v>
      </c>
      <c r="Q67">
        <v>5.3800000000000001E-2</v>
      </c>
      <c r="R67">
        <v>12.999559999999988</v>
      </c>
      <c r="S67" s="2">
        <v>45681</v>
      </c>
      <c r="T67" t="s">
        <v>485</v>
      </c>
      <c r="U67">
        <v>1</v>
      </c>
      <c r="V67">
        <v>5.8599999999999999E-2</v>
      </c>
      <c r="W67">
        <v>9.4521490238033614</v>
      </c>
      <c r="X67">
        <v>928.94028901847332</v>
      </c>
      <c r="Y67">
        <v>0.42399999999999999</v>
      </c>
      <c r="Z67">
        <v>5.3699999999999998E-2</v>
      </c>
      <c r="AA67">
        <v>13.002299999999991</v>
      </c>
      <c r="AB67" s="2">
        <v>45681</v>
      </c>
      <c r="AC67" t="s">
        <v>685</v>
      </c>
      <c r="AD67">
        <v>2</v>
      </c>
      <c r="AE67">
        <v>5.8900000000000001E-2</v>
      </c>
      <c r="AF67">
        <v>9.4556591840857891</v>
      </c>
      <c r="AG67">
        <v>929.26743595679557</v>
      </c>
      <c r="AH67">
        <v>0.42399999999999999</v>
      </c>
      <c r="AI67">
        <v>5.3800000000000001E-2</v>
      </c>
      <c r="AJ67">
        <v>12.999600000000015</v>
      </c>
      <c r="AK67" s="2">
        <v>45681</v>
      </c>
      <c r="AL67" t="s">
        <v>845</v>
      </c>
      <c r="AM67">
        <v>2</v>
      </c>
      <c r="AN67">
        <v>5.8799999999999998E-2</v>
      </c>
      <c r="AO67">
        <v>9.4583125846735463</v>
      </c>
      <c r="AP67">
        <v>929.51473289157457</v>
      </c>
      <c r="AQ67">
        <v>0.42399999999999999</v>
      </c>
      <c r="AR67">
        <v>5.3800000000000001E-2</v>
      </c>
      <c r="AS67">
        <v>12.998800000000017</v>
      </c>
      <c r="AT67" s="2">
        <v>45681</v>
      </c>
      <c r="AU67" t="s">
        <v>1003</v>
      </c>
      <c r="AV67">
        <v>3</v>
      </c>
      <c r="AW67">
        <v>5.8500000000000003E-2</v>
      </c>
      <c r="AX67">
        <v>9.4568768127479288</v>
      </c>
      <c r="AY67">
        <v>929.38091894810702</v>
      </c>
      <c r="AZ67">
        <v>0.42399999999999999</v>
      </c>
      <c r="BA67">
        <v>5.3800000000000001E-2</v>
      </c>
      <c r="BB67">
        <v>13.001999999999981</v>
      </c>
      <c r="BC67" s="2">
        <v>45681</v>
      </c>
      <c r="BD67" t="s">
        <v>1203</v>
      </c>
      <c r="BE67">
        <v>3</v>
      </c>
      <c r="BF67">
        <v>5.11E-2</v>
      </c>
      <c r="BG67">
        <v>8.9443573246165951</v>
      </c>
      <c r="BH67">
        <v>881.61410265426673</v>
      </c>
      <c r="BI67">
        <v>0.42399999999999999</v>
      </c>
      <c r="BJ67">
        <v>4.58E-2</v>
      </c>
      <c r="BK67">
        <v>13.401400000000024</v>
      </c>
      <c r="BL67" s="2">
        <v>45681</v>
      </c>
      <c r="BM67" t="s">
        <v>1361</v>
      </c>
      <c r="BN67">
        <v>4</v>
      </c>
      <c r="BO67">
        <v>5.8999999999999997E-2</v>
      </c>
      <c r="BP67">
        <v>9.4541950292076731</v>
      </c>
      <c r="BQ67">
        <v>929.1309767221552</v>
      </c>
      <c r="BR67">
        <v>0.42399999999999999</v>
      </c>
      <c r="BS67">
        <v>5.3699999999999998E-2</v>
      </c>
      <c r="BT67">
        <v>13.000900000000001</v>
      </c>
      <c r="BU67" s="2">
        <v>45681</v>
      </c>
      <c r="BV67" t="s">
        <v>1559</v>
      </c>
      <c r="BW67">
        <v>5</v>
      </c>
      <c r="BX67">
        <v>5.8599999999999999E-2</v>
      </c>
      <c r="BY67">
        <v>9.4513251072394358</v>
      </c>
      <c r="BZ67">
        <v>928.86349999471543</v>
      </c>
      <c r="CA67">
        <v>0.42399999999999999</v>
      </c>
      <c r="CB67">
        <v>5.3699999999999998E-2</v>
      </c>
      <c r="CC67">
        <v>13.000200000000007</v>
      </c>
      <c r="CD67" s="2">
        <v>45681</v>
      </c>
      <c r="CE67" t="s">
        <v>1719</v>
      </c>
      <c r="CF67">
        <v>5</v>
      </c>
      <c r="CG67">
        <v>5.8599999999999999E-2</v>
      </c>
      <c r="CH67">
        <v>9.4511787322987004</v>
      </c>
      <c r="CI67">
        <v>928.84985785023889</v>
      </c>
      <c r="CJ67">
        <v>0.42399999999999999</v>
      </c>
      <c r="CK67">
        <v>5.3699999999999998E-2</v>
      </c>
      <c r="CL67">
        <v>12.998699999999985</v>
      </c>
    </row>
    <row r="68" spans="1:90" x14ac:dyDescent="0.3">
      <c r="A68" s="2">
        <v>45681</v>
      </c>
      <c r="B68" t="s">
        <v>166</v>
      </c>
      <c r="C68">
        <v>0</v>
      </c>
      <c r="D68">
        <v>5.5399999999999998E-2</v>
      </c>
      <c r="E68">
        <v>9.2115511956611353</v>
      </c>
      <c r="F68">
        <v>906.51657143561783</v>
      </c>
      <c r="G68">
        <v>0.42399999999999999</v>
      </c>
      <c r="H68">
        <v>0.05</v>
      </c>
      <c r="I68">
        <v>13.201050000000002</v>
      </c>
      <c r="J68" s="2">
        <v>45681</v>
      </c>
      <c r="K68" t="s">
        <v>326</v>
      </c>
      <c r="L68">
        <v>1</v>
      </c>
      <c r="M68">
        <v>5.45E-2</v>
      </c>
      <c r="N68">
        <v>9.2133567569107218</v>
      </c>
      <c r="O68">
        <v>906.68484974407932</v>
      </c>
      <c r="P68">
        <v>0.42399999999999999</v>
      </c>
      <c r="Q68">
        <v>0.05</v>
      </c>
      <c r="R68">
        <v>13.199439999999996</v>
      </c>
      <c r="S68" s="2">
        <v>45681</v>
      </c>
      <c r="T68" t="s">
        <v>486</v>
      </c>
      <c r="U68">
        <v>1</v>
      </c>
      <c r="V68">
        <v>5.4899999999999997E-2</v>
      </c>
      <c r="W68">
        <v>9.2154051951395335</v>
      </c>
      <c r="X68">
        <v>906.87576418700451</v>
      </c>
      <c r="Y68">
        <v>0.42399999999999999</v>
      </c>
      <c r="Z68">
        <v>0.05</v>
      </c>
      <c r="AA68">
        <v>13.197800000000001</v>
      </c>
      <c r="AB68" s="2">
        <v>45681</v>
      </c>
      <c r="AC68" t="s">
        <v>686</v>
      </c>
      <c r="AD68">
        <v>2</v>
      </c>
      <c r="AE68">
        <v>5.5199999999999999E-2</v>
      </c>
      <c r="AF68">
        <v>9.2149964806235705</v>
      </c>
      <c r="AG68">
        <v>906.83767199411682</v>
      </c>
      <c r="AH68">
        <v>0.42399999999999999</v>
      </c>
      <c r="AI68">
        <v>0.05</v>
      </c>
      <c r="AJ68">
        <v>13.198500000000024</v>
      </c>
      <c r="AK68" s="2">
        <v>45681</v>
      </c>
      <c r="AL68" t="s">
        <v>846</v>
      </c>
      <c r="AM68">
        <v>2</v>
      </c>
      <c r="AN68">
        <v>5.5599999999999997E-2</v>
      </c>
      <c r="AO68">
        <v>9.215555219317018</v>
      </c>
      <c r="AP68">
        <v>906.88974644034613</v>
      </c>
      <c r="AQ68">
        <v>0.42399999999999999</v>
      </c>
      <c r="AR68">
        <v>0.05</v>
      </c>
      <c r="AS68">
        <v>13.199700000000007</v>
      </c>
      <c r="AT68" s="2">
        <v>45681</v>
      </c>
      <c r="AU68" t="s">
        <v>1004</v>
      </c>
      <c r="AV68">
        <v>3</v>
      </c>
      <c r="AW68">
        <v>5.5399999999999998E-2</v>
      </c>
      <c r="AX68">
        <v>9.2150629778265625</v>
      </c>
      <c r="AY68">
        <v>906.84386953343562</v>
      </c>
      <c r="AZ68">
        <v>0.42399999999999999</v>
      </c>
      <c r="BA68">
        <v>0.05</v>
      </c>
      <c r="BB68">
        <v>13.201899999999995</v>
      </c>
      <c r="BC68" s="2">
        <v>45681</v>
      </c>
      <c r="BD68" t="s">
        <v>1204</v>
      </c>
      <c r="BE68">
        <v>4</v>
      </c>
      <c r="BF68">
        <v>4.6899999999999997E-2</v>
      </c>
      <c r="BG68">
        <v>8.6479841565217228</v>
      </c>
      <c r="BH68">
        <v>853.99212338782456</v>
      </c>
      <c r="BI68">
        <v>0.42399999999999999</v>
      </c>
      <c r="BJ68">
        <v>4.1200000000000001E-2</v>
      </c>
      <c r="BK68">
        <v>13.603000000000009</v>
      </c>
      <c r="BL68" s="2">
        <v>45681</v>
      </c>
      <c r="BM68" t="s">
        <v>1362</v>
      </c>
      <c r="BN68">
        <v>4</v>
      </c>
      <c r="BO68">
        <v>5.5800000000000002E-2</v>
      </c>
      <c r="BP68">
        <v>9.2135984174776979</v>
      </c>
      <c r="BQ68">
        <v>906.70737250892148</v>
      </c>
      <c r="BR68">
        <v>0.42399999999999999</v>
      </c>
      <c r="BS68">
        <v>0.05</v>
      </c>
      <c r="BT68">
        <v>13.199599999999975</v>
      </c>
      <c r="BU68" s="2">
        <v>45681</v>
      </c>
      <c r="BV68" t="s">
        <v>1560</v>
      </c>
      <c r="BW68">
        <v>5</v>
      </c>
      <c r="BX68">
        <v>5.5E-2</v>
      </c>
      <c r="BY68">
        <v>9.2067565040428239</v>
      </c>
      <c r="BZ68">
        <v>906.06970617679121</v>
      </c>
      <c r="CA68">
        <v>0.42399999999999999</v>
      </c>
      <c r="CB68">
        <v>4.99E-2</v>
      </c>
      <c r="CC68">
        <v>13.201700000000017</v>
      </c>
      <c r="CD68" s="2">
        <v>45681</v>
      </c>
      <c r="CE68" t="s">
        <v>1720</v>
      </c>
      <c r="CF68">
        <v>5</v>
      </c>
      <c r="CG68">
        <v>5.5300000000000002E-2</v>
      </c>
      <c r="CH68">
        <v>9.2064884878770989</v>
      </c>
      <c r="CI68">
        <v>906.04472707014565</v>
      </c>
      <c r="CJ68">
        <v>0.42399999999999999</v>
      </c>
      <c r="CK68">
        <v>4.99E-2</v>
      </c>
      <c r="CL68">
        <v>13.20029999999997</v>
      </c>
    </row>
    <row r="69" spans="1:90" x14ac:dyDescent="0.3">
      <c r="A69" s="2">
        <v>45681</v>
      </c>
      <c r="B69" t="s">
        <v>167</v>
      </c>
      <c r="C69">
        <v>0</v>
      </c>
      <c r="D69">
        <v>5.0299999999999997E-2</v>
      </c>
      <c r="E69">
        <v>8.9418174558388266</v>
      </c>
      <c r="F69">
        <v>881.37738688417869</v>
      </c>
      <c r="G69">
        <v>0.42399999999999999</v>
      </c>
      <c r="H69">
        <v>4.58E-2</v>
      </c>
      <c r="I69">
        <v>13.399759999999993</v>
      </c>
      <c r="J69" s="2">
        <v>45681</v>
      </c>
      <c r="K69" t="s">
        <v>327</v>
      </c>
      <c r="L69">
        <v>1</v>
      </c>
      <c r="M69">
        <v>5.0500000000000003E-2</v>
      </c>
      <c r="N69">
        <v>8.9420197857430583</v>
      </c>
      <c r="O69">
        <v>881.3962440312531</v>
      </c>
      <c r="P69">
        <v>0.42399999999999999</v>
      </c>
      <c r="Q69">
        <v>4.58E-2</v>
      </c>
      <c r="R69">
        <v>13.3994</v>
      </c>
      <c r="S69" s="2">
        <v>45681</v>
      </c>
      <c r="T69" t="s">
        <v>487</v>
      </c>
      <c r="U69">
        <v>1</v>
      </c>
      <c r="V69">
        <v>5.0900000000000001E-2</v>
      </c>
      <c r="W69">
        <v>8.9419046320500684</v>
      </c>
      <c r="X69">
        <v>881.38551170706637</v>
      </c>
      <c r="Y69">
        <v>0.42399999999999999</v>
      </c>
      <c r="Z69">
        <v>4.58E-2</v>
      </c>
      <c r="AA69">
        <v>13.399400000000014</v>
      </c>
      <c r="AB69" s="2">
        <v>45681</v>
      </c>
      <c r="AC69" t="s">
        <v>687</v>
      </c>
      <c r="AD69">
        <v>2</v>
      </c>
      <c r="AE69">
        <v>5.0999999999999997E-2</v>
      </c>
      <c r="AF69">
        <v>8.9424881044592635</v>
      </c>
      <c r="AG69">
        <v>881.43989133560342</v>
      </c>
      <c r="AH69">
        <v>0.42399999999999999</v>
      </c>
      <c r="AI69">
        <v>4.58E-2</v>
      </c>
      <c r="AJ69">
        <v>13.399400000000014</v>
      </c>
      <c r="AK69" s="2">
        <v>45681</v>
      </c>
      <c r="AL69" t="s">
        <v>847</v>
      </c>
      <c r="AM69">
        <v>2</v>
      </c>
      <c r="AN69">
        <v>5.0799999999999998E-2</v>
      </c>
      <c r="AO69">
        <v>8.9455011576022372</v>
      </c>
      <c r="AP69">
        <v>881.72070788852852</v>
      </c>
      <c r="AQ69">
        <v>0.42399999999999999</v>
      </c>
      <c r="AR69">
        <v>4.58E-2</v>
      </c>
      <c r="AS69">
        <v>13.398899999999998</v>
      </c>
      <c r="AT69" s="2">
        <v>45681</v>
      </c>
      <c r="AU69" t="s">
        <v>1005</v>
      </c>
      <c r="AV69">
        <v>3</v>
      </c>
      <c r="AW69">
        <v>5.1200000000000002E-2</v>
      </c>
      <c r="AX69">
        <v>8.9452347633195135</v>
      </c>
      <c r="AY69">
        <v>881.69587994137873</v>
      </c>
      <c r="AZ69">
        <v>0.42399999999999999</v>
      </c>
      <c r="BA69">
        <v>4.58E-2</v>
      </c>
      <c r="BB69">
        <v>13.400999999999982</v>
      </c>
      <c r="BC69" s="2">
        <v>45681</v>
      </c>
      <c r="BD69" t="s">
        <v>1205</v>
      </c>
      <c r="BE69">
        <v>4</v>
      </c>
      <c r="BF69">
        <v>4.1500000000000002E-2</v>
      </c>
      <c r="BG69">
        <v>8.3405817785571106</v>
      </c>
      <c r="BH69">
        <v>825.34222176152275</v>
      </c>
      <c r="BI69">
        <v>0.42399999999999999</v>
      </c>
      <c r="BJ69">
        <v>3.6400000000000002E-2</v>
      </c>
      <c r="BK69">
        <v>13.801800000000014</v>
      </c>
      <c r="BL69" s="2">
        <v>45681</v>
      </c>
      <c r="BM69" t="s">
        <v>1363</v>
      </c>
      <c r="BN69">
        <v>4</v>
      </c>
      <c r="BO69">
        <v>5.1200000000000002E-2</v>
      </c>
      <c r="BP69">
        <v>8.9413617067158686</v>
      </c>
      <c r="BQ69">
        <v>881.33491106591896</v>
      </c>
      <c r="BR69">
        <v>0.42399999999999999</v>
      </c>
      <c r="BS69">
        <v>4.58E-2</v>
      </c>
      <c r="BT69">
        <v>13.400199999999984</v>
      </c>
      <c r="BU69" s="2">
        <v>45681</v>
      </c>
      <c r="BV69" t="s">
        <v>1561</v>
      </c>
      <c r="BW69">
        <v>5</v>
      </c>
      <c r="BX69">
        <v>5.0799999999999998E-2</v>
      </c>
      <c r="BY69">
        <v>8.9369230184160227</v>
      </c>
      <c r="BZ69">
        <v>880.92122531637335</v>
      </c>
      <c r="CA69">
        <v>0.42399999999999999</v>
      </c>
      <c r="CB69">
        <v>4.5699999999999998E-2</v>
      </c>
      <c r="CC69">
        <v>13.400100000000009</v>
      </c>
      <c r="CD69" s="2">
        <v>45681</v>
      </c>
      <c r="CE69" t="s">
        <v>1721</v>
      </c>
      <c r="CF69">
        <v>5</v>
      </c>
      <c r="CG69">
        <v>5.0500000000000003E-2</v>
      </c>
      <c r="CH69">
        <v>8.9323176816379437</v>
      </c>
      <c r="CI69">
        <v>880.49200792865634</v>
      </c>
      <c r="CJ69">
        <v>0.42399999999999999</v>
      </c>
      <c r="CK69">
        <v>4.5600000000000002E-2</v>
      </c>
      <c r="CL69">
        <v>13.40179999999998</v>
      </c>
    </row>
    <row r="70" spans="1:90" x14ac:dyDescent="0.3">
      <c r="A70" s="2">
        <v>45681</v>
      </c>
      <c r="B70" t="s">
        <v>168</v>
      </c>
      <c r="C70">
        <v>0</v>
      </c>
      <c r="D70">
        <v>4.58E-2</v>
      </c>
      <c r="E70">
        <v>8.6492232751336076</v>
      </c>
      <c r="F70">
        <v>854.10760924245221</v>
      </c>
      <c r="G70">
        <v>0.42399999999999999</v>
      </c>
      <c r="H70">
        <v>4.1200000000000001E-2</v>
      </c>
      <c r="I70">
        <v>13.598809999999993</v>
      </c>
      <c r="J70" s="2">
        <v>45681</v>
      </c>
      <c r="K70" t="s">
        <v>328</v>
      </c>
      <c r="L70">
        <v>1</v>
      </c>
      <c r="M70">
        <v>4.6399999999999997E-2</v>
      </c>
      <c r="N70">
        <v>8.6469595319365649</v>
      </c>
      <c r="O70">
        <v>853.89662837648791</v>
      </c>
      <c r="P70">
        <v>0.42399999999999999</v>
      </c>
      <c r="Q70">
        <v>4.1200000000000001E-2</v>
      </c>
      <c r="R70">
        <v>13.600089999999994</v>
      </c>
      <c r="S70" s="2">
        <v>45681</v>
      </c>
      <c r="T70" t="s">
        <v>488</v>
      </c>
      <c r="U70">
        <v>1</v>
      </c>
      <c r="V70">
        <v>4.6300000000000001E-2</v>
      </c>
      <c r="W70">
        <v>8.64867629509191</v>
      </c>
      <c r="X70">
        <v>854.05663070256605</v>
      </c>
      <c r="Y70">
        <v>0.42399999999999999</v>
      </c>
      <c r="Z70">
        <v>4.1200000000000001E-2</v>
      </c>
      <c r="AA70">
        <v>13.598899999999986</v>
      </c>
      <c r="AB70" s="2">
        <v>45681</v>
      </c>
      <c r="AC70" t="s">
        <v>688</v>
      </c>
      <c r="AD70">
        <v>2</v>
      </c>
      <c r="AE70">
        <v>4.58E-2</v>
      </c>
      <c r="AF70">
        <v>8.6514610682026554</v>
      </c>
      <c r="AG70">
        <v>854.31617155648746</v>
      </c>
      <c r="AH70">
        <v>0.42399999999999999</v>
      </c>
      <c r="AI70">
        <v>4.1300000000000003E-2</v>
      </c>
      <c r="AJ70">
        <v>13.597500000000025</v>
      </c>
      <c r="AK70" s="2">
        <v>45681</v>
      </c>
      <c r="AL70" t="s">
        <v>848</v>
      </c>
      <c r="AM70">
        <v>2</v>
      </c>
      <c r="AN70">
        <v>4.65E-2</v>
      </c>
      <c r="AO70">
        <v>8.6513828123479115</v>
      </c>
      <c r="AP70">
        <v>854.30887811082539</v>
      </c>
      <c r="AQ70">
        <v>0.42399999999999999</v>
      </c>
      <c r="AR70">
        <v>4.1300000000000003E-2</v>
      </c>
      <c r="AS70">
        <v>13.599100000000021</v>
      </c>
      <c r="AT70" s="2">
        <v>45681</v>
      </c>
      <c r="AU70" t="s">
        <v>1006</v>
      </c>
      <c r="AV70">
        <v>3</v>
      </c>
      <c r="AW70">
        <v>4.5999999999999999E-2</v>
      </c>
      <c r="AX70">
        <v>8.6528919744792727</v>
      </c>
      <c r="AY70">
        <v>854.44953202146826</v>
      </c>
      <c r="AZ70">
        <v>0.42399999999999999</v>
      </c>
      <c r="BA70">
        <v>4.1300000000000003E-2</v>
      </c>
      <c r="BB70">
        <v>13.599999999999994</v>
      </c>
      <c r="BC70" s="2">
        <v>45681</v>
      </c>
      <c r="BD70" t="s">
        <v>1206</v>
      </c>
      <c r="BE70">
        <v>4</v>
      </c>
      <c r="BF70">
        <v>3.7100000000000001E-2</v>
      </c>
      <c r="BG70">
        <v>8.0170153091452292</v>
      </c>
      <c r="BH70">
        <v>795.18582681233534</v>
      </c>
      <c r="BI70">
        <v>0.42399999999999999</v>
      </c>
      <c r="BJ70">
        <v>3.1399999999999997E-2</v>
      </c>
      <c r="BK70">
        <v>14.005800000000022</v>
      </c>
      <c r="BL70" s="2">
        <v>45681</v>
      </c>
      <c r="BM70" t="s">
        <v>1364</v>
      </c>
      <c r="BN70">
        <v>4</v>
      </c>
      <c r="BO70">
        <v>4.6399999999999997E-2</v>
      </c>
      <c r="BP70">
        <v>8.6486706185014093</v>
      </c>
      <c r="BQ70">
        <v>854.05610164433142</v>
      </c>
      <c r="BR70">
        <v>0.42399999999999999</v>
      </c>
      <c r="BS70">
        <v>4.1200000000000001E-2</v>
      </c>
      <c r="BT70">
        <v>13.599299999999971</v>
      </c>
      <c r="BU70" s="2">
        <v>45681</v>
      </c>
      <c r="BV70" t="s">
        <v>1562</v>
      </c>
      <c r="BW70">
        <v>5</v>
      </c>
      <c r="BX70">
        <v>4.6199999999999998E-2</v>
      </c>
      <c r="BY70">
        <v>8.6415797460260571</v>
      </c>
      <c r="BZ70">
        <v>853.39523232962858</v>
      </c>
      <c r="CA70">
        <v>0.42399999999999999</v>
      </c>
      <c r="CB70">
        <v>4.1099999999999998E-2</v>
      </c>
      <c r="CC70">
        <v>13.600799999999992</v>
      </c>
      <c r="CD70" s="2">
        <v>45681</v>
      </c>
      <c r="CE70" t="s">
        <v>1722</v>
      </c>
      <c r="CF70">
        <v>5</v>
      </c>
      <c r="CG70">
        <v>4.6600000000000003E-2</v>
      </c>
      <c r="CH70">
        <v>8.6402635879716811</v>
      </c>
      <c r="CI70">
        <v>853.27256639896075</v>
      </c>
      <c r="CJ70">
        <v>0.42399999999999999</v>
      </c>
      <c r="CK70">
        <v>4.1099999999999998E-2</v>
      </c>
      <c r="CL70">
        <v>13.600000000000023</v>
      </c>
    </row>
    <row r="71" spans="1:90" x14ac:dyDescent="0.3">
      <c r="A71" s="2">
        <v>45681</v>
      </c>
      <c r="B71" t="s">
        <v>169</v>
      </c>
      <c r="C71">
        <v>0</v>
      </c>
      <c r="D71">
        <v>4.1500000000000002E-2</v>
      </c>
      <c r="E71">
        <v>8.3365209889962344</v>
      </c>
      <c r="F71">
        <v>824.96375617444903</v>
      </c>
      <c r="G71">
        <v>0.42399999999999999</v>
      </c>
      <c r="H71">
        <v>3.6400000000000002E-2</v>
      </c>
      <c r="I71">
        <v>13.80093999999999</v>
      </c>
      <c r="J71" s="2">
        <v>45681</v>
      </c>
      <c r="K71" t="s">
        <v>329</v>
      </c>
      <c r="L71">
        <v>1</v>
      </c>
      <c r="M71">
        <v>4.1599999999999998E-2</v>
      </c>
      <c r="N71">
        <v>8.339273729917732</v>
      </c>
      <c r="O71">
        <v>825.22031162833264</v>
      </c>
      <c r="P71">
        <v>0.42399999999999999</v>
      </c>
      <c r="Q71">
        <v>3.6400000000000002E-2</v>
      </c>
      <c r="R71">
        <v>13.79898</v>
      </c>
      <c r="S71" s="2">
        <v>45681</v>
      </c>
      <c r="T71" t="s">
        <v>489</v>
      </c>
      <c r="U71">
        <v>1</v>
      </c>
      <c r="V71">
        <v>4.1599999999999998E-2</v>
      </c>
      <c r="W71">
        <v>8.3407504543890969</v>
      </c>
      <c r="X71">
        <v>825.35794234906382</v>
      </c>
      <c r="Y71">
        <v>0.42399999999999999</v>
      </c>
      <c r="Z71">
        <v>3.6400000000000002E-2</v>
      </c>
      <c r="AA71">
        <v>13.798000000000002</v>
      </c>
      <c r="AB71" s="2">
        <v>45681</v>
      </c>
      <c r="AC71" t="s">
        <v>689</v>
      </c>
      <c r="AD71">
        <v>2</v>
      </c>
      <c r="AE71">
        <v>4.1599999999999998E-2</v>
      </c>
      <c r="AF71">
        <v>8.3420232270732289</v>
      </c>
      <c r="AG71">
        <v>825.47656476322493</v>
      </c>
      <c r="AH71">
        <v>0.42399999999999999</v>
      </c>
      <c r="AI71">
        <v>3.6499999999999998E-2</v>
      </c>
      <c r="AJ71">
        <v>13.797600000000017</v>
      </c>
      <c r="AK71" s="2">
        <v>45681</v>
      </c>
      <c r="AL71" t="s">
        <v>849</v>
      </c>
      <c r="AM71">
        <v>2</v>
      </c>
      <c r="AN71">
        <v>4.19E-2</v>
      </c>
      <c r="AO71">
        <v>8.3431938211283718</v>
      </c>
      <c r="AP71">
        <v>825.58566412916423</v>
      </c>
      <c r="AQ71">
        <v>0.42399999999999999</v>
      </c>
      <c r="AR71">
        <v>3.6499999999999998E-2</v>
      </c>
      <c r="AS71">
        <v>13.798400000000015</v>
      </c>
      <c r="AT71" s="2">
        <v>45681</v>
      </c>
      <c r="AU71" t="s">
        <v>1007</v>
      </c>
      <c r="AV71">
        <v>3</v>
      </c>
      <c r="AW71">
        <v>4.19E-2</v>
      </c>
      <c r="AX71">
        <v>8.3427457759496644</v>
      </c>
      <c r="AY71">
        <v>825.54390631850879</v>
      </c>
      <c r="AZ71">
        <v>0.42399999999999999</v>
      </c>
      <c r="BA71">
        <v>3.6499999999999998E-2</v>
      </c>
      <c r="BB71">
        <v>13.800599999999974</v>
      </c>
      <c r="BC71" s="2">
        <v>45681</v>
      </c>
      <c r="BD71" t="s">
        <v>1207</v>
      </c>
      <c r="BE71">
        <v>4</v>
      </c>
      <c r="BF71">
        <v>3.1699999999999999E-2</v>
      </c>
      <c r="BG71">
        <v>7.7049029829490507</v>
      </c>
      <c r="BH71">
        <v>766.09695801085149</v>
      </c>
      <c r="BI71">
        <v>0.42399999999999999</v>
      </c>
      <c r="BJ71">
        <v>2.6599999999999999E-2</v>
      </c>
      <c r="BK71">
        <v>14.202699999999993</v>
      </c>
      <c r="BL71" s="2">
        <v>45681</v>
      </c>
      <c r="BM71" t="s">
        <v>1365</v>
      </c>
      <c r="BN71">
        <v>4</v>
      </c>
      <c r="BO71">
        <v>4.1700000000000001E-2</v>
      </c>
      <c r="BP71">
        <v>8.3387583765945266</v>
      </c>
      <c r="BQ71">
        <v>825.17228069860994</v>
      </c>
      <c r="BR71">
        <v>0.42399999999999999</v>
      </c>
      <c r="BS71">
        <v>3.6400000000000002E-2</v>
      </c>
      <c r="BT71">
        <v>13.799599999999998</v>
      </c>
      <c r="BU71" s="2">
        <v>45681</v>
      </c>
      <c r="BV71" t="s">
        <v>1563</v>
      </c>
      <c r="BW71">
        <v>5</v>
      </c>
      <c r="BX71">
        <v>4.1300000000000003E-2</v>
      </c>
      <c r="BY71">
        <v>8.3326807755233343</v>
      </c>
      <c r="BZ71">
        <v>824.60584827877483</v>
      </c>
      <c r="CA71">
        <v>0.42399999999999999</v>
      </c>
      <c r="CB71">
        <v>3.6299999999999999E-2</v>
      </c>
      <c r="CC71">
        <v>13.800299999999993</v>
      </c>
      <c r="CD71" s="2">
        <v>45681</v>
      </c>
      <c r="CE71" t="s">
        <v>1723</v>
      </c>
      <c r="CF71">
        <v>5</v>
      </c>
      <c r="CG71">
        <v>4.2000000000000003E-2</v>
      </c>
      <c r="CH71">
        <v>8.3266060127473907</v>
      </c>
      <c r="CI71">
        <v>824.03968038805681</v>
      </c>
      <c r="CJ71">
        <v>0.42399999999999999</v>
      </c>
      <c r="CK71">
        <v>3.6200000000000003E-2</v>
      </c>
      <c r="CL71">
        <v>13.802599999999984</v>
      </c>
    </row>
    <row r="72" spans="1:90" x14ac:dyDescent="0.3">
      <c r="A72" s="2">
        <v>45681</v>
      </c>
      <c r="B72" t="s">
        <v>170</v>
      </c>
      <c r="C72">
        <v>0</v>
      </c>
      <c r="D72">
        <v>3.6700000000000003E-2</v>
      </c>
      <c r="E72">
        <v>8.0206998218501422</v>
      </c>
      <c r="F72">
        <v>795.52922339643328</v>
      </c>
      <c r="G72">
        <v>0.42399999999999999</v>
      </c>
      <c r="H72">
        <v>3.15E-2</v>
      </c>
      <c r="I72">
        <v>14.00007999999999</v>
      </c>
      <c r="J72" s="2">
        <v>45681</v>
      </c>
      <c r="K72" t="s">
        <v>330</v>
      </c>
      <c r="L72">
        <v>1</v>
      </c>
      <c r="M72">
        <v>3.6499999999999998E-2</v>
      </c>
      <c r="N72">
        <v>8.0206556255383976</v>
      </c>
      <c r="O72">
        <v>795.52510430017867</v>
      </c>
      <c r="P72">
        <v>0.42399999999999999</v>
      </c>
      <c r="Q72">
        <v>3.15E-2</v>
      </c>
      <c r="R72">
        <v>13.999869999999987</v>
      </c>
      <c r="S72" s="2">
        <v>45681</v>
      </c>
      <c r="T72" t="s">
        <v>490</v>
      </c>
      <c r="U72">
        <v>1</v>
      </c>
      <c r="V72">
        <v>3.6499999999999998E-2</v>
      </c>
      <c r="W72">
        <v>8.0211300263158538</v>
      </c>
      <c r="X72">
        <v>795.56931845263762</v>
      </c>
      <c r="Y72">
        <v>0.42399999999999999</v>
      </c>
      <c r="Z72">
        <v>3.15E-2</v>
      </c>
      <c r="AA72">
        <v>13.999500000000012</v>
      </c>
      <c r="AB72" s="2">
        <v>45681</v>
      </c>
      <c r="AC72" t="s">
        <v>690</v>
      </c>
      <c r="AD72">
        <v>2</v>
      </c>
      <c r="AE72">
        <v>3.61E-2</v>
      </c>
      <c r="AF72">
        <v>8.0242286337870699</v>
      </c>
      <c r="AG72">
        <v>795.85810866895497</v>
      </c>
      <c r="AH72">
        <v>0.42399999999999999</v>
      </c>
      <c r="AI72">
        <v>3.15E-2</v>
      </c>
      <c r="AJ72">
        <v>13.998000000000019</v>
      </c>
      <c r="AK72" s="2">
        <v>45681</v>
      </c>
      <c r="AL72" t="s">
        <v>850</v>
      </c>
      <c r="AM72">
        <v>2</v>
      </c>
      <c r="AN72">
        <v>3.6799999999999999E-2</v>
      </c>
      <c r="AO72">
        <v>8.0231869794304131</v>
      </c>
      <c r="AP72">
        <v>795.76102648291453</v>
      </c>
      <c r="AQ72">
        <v>0.42399999999999999</v>
      </c>
      <c r="AR72">
        <v>3.15E-2</v>
      </c>
      <c r="AS72">
        <v>14.000200000000007</v>
      </c>
      <c r="AT72" s="2">
        <v>45681</v>
      </c>
      <c r="AU72" t="s">
        <v>1008</v>
      </c>
      <c r="AV72">
        <v>3</v>
      </c>
      <c r="AW72">
        <v>3.6999999999999998E-2</v>
      </c>
      <c r="AX72">
        <v>8.0237230117618665</v>
      </c>
      <c r="AY72">
        <v>795.81098469620599</v>
      </c>
      <c r="AZ72">
        <v>0.42399999999999999</v>
      </c>
      <c r="BA72">
        <v>3.15E-2</v>
      </c>
      <c r="BB72">
        <v>14.001799999999974</v>
      </c>
      <c r="BC72" s="2">
        <v>45681</v>
      </c>
      <c r="BD72" t="s">
        <v>1208</v>
      </c>
      <c r="BE72">
        <v>4</v>
      </c>
      <c r="BF72">
        <v>2.6599999999999999E-2</v>
      </c>
      <c r="BG72">
        <v>7.3957607299963488</v>
      </c>
      <c r="BH72">
        <v>737.28490003565969</v>
      </c>
      <c r="BI72">
        <v>0.42399999999999999</v>
      </c>
      <c r="BJ72">
        <v>2.18E-2</v>
      </c>
      <c r="BK72">
        <v>14.402500000000032</v>
      </c>
      <c r="BL72" s="2">
        <v>45681</v>
      </c>
      <c r="BM72" t="s">
        <v>1366</v>
      </c>
      <c r="BN72">
        <v>4</v>
      </c>
      <c r="BO72">
        <v>3.6900000000000002E-2</v>
      </c>
      <c r="BP72">
        <v>8.0175821572536776</v>
      </c>
      <c r="BQ72">
        <v>795.23865705604283</v>
      </c>
      <c r="BR72">
        <v>0.42399999999999999</v>
      </c>
      <c r="BS72">
        <v>3.1399999999999997E-2</v>
      </c>
      <c r="BT72">
        <v>14.002099999999984</v>
      </c>
      <c r="BU72" s="2">
        <v>45681</v>
      </c>
      <c r="BV72" t="s">
        <v>1564</v>
      </c>
      <c r="BW72">
        <v>5</v>
      </c>
      <c r="BX72">
        <v>3.6999999999999998E-2</v>
      </c>
      <c r="BY72">
        <v>8.0169374587612356</v>
      </c>
      <c r="BZ72">
        <v>795.17857115654715</v>
      </c>
      <c r="CA72">
        <v>0.42399999999999999</v>
      </c>
      <c r="CB72">
        <v>3.1399999999999997E-2</v>
      </c>
      <c r="CC72">
        <v>13.999300000000005</v>
      </c>
      <c r="CD72" s="2">
        <v>45681</v>
      </c>
      <c r="CE72" t="s">
        <v>1724</v>
      </c>
      <c r="CF72">
        <v>5</v>
      </c>
      <c r="CG72">
        <v>3.7100000000000001E-2</v>
      </c>
      <c r="CH72">
        <v>8.0141944491377366</v>
      </c>
      <c r="CI72">
        <v>794.92292265963704</v>
      </c>
      <c r="CJ72">
        <v>0.42399999999999999</v>
      </c>
      <c r="CK72">
        <v>3.1399999999999997E-2</v>
      </c>
      <c r="CL72">
        <v>13.999500000000012</v>
      </c>
    </row>
    <row r="73" spans="1:90" x14ac:dyDescent="0.3">
      <c r="A73" s="2">
        <v>45681</v>
      </c>
      <c r="B73" t="s">
        <v>171</v>
      </c>
      <c r="C73">
        <v>0</v>
      </c>
      <c r="D73">
        <v>3.1399999999999997E-2</v>
      </c>
      <c r="E73">
        <v>7.7044861590180878</v>
      </c>
      <c r="F73">
        <v>766.05811002048586</v>
      </c>
      <c r="G73">
        <v>0.42399999999999999</v>
      </c>
      <c r="H73">
        <v>2.6499999999999999E-2</v>
      </c>
      <c r="I73">
        <v>14.199499999999993</v>
      </c>
      <c r="J73" s="2">
        <v>45681</v>
      </c>
      <c r="K73" t="s">
        <v>331</v>
      </c>
      <c r="L73">
        <v>1</v>
      </c>
      <c r="M73">
        <v>3.1600000000000003E-2</v>
      </c>
      <c r="N73">
        <v>7.7043130230078543</v>
      </c>
      <c r="O73">
        <v>766.04197374433204</v>
      </c>
      <c r="P73">
        <v>0.42399999999999999</v>
      </c>
      <c r="Q73">
        <v>2.6499999999999999E-2</v>
      </c>
      <c r="R73">
        <v>14.199369999999988</v>
      </c>
      <c r="S73" s="2">
        <v>45681</v>
      </c>
      <c r="T73" t="s">
        <v>491</v>
      </c>
      <c r="U73">
        <v>1</v>
      </c>
      <c r="V73">
        <v>3.1800000000000002E-2</v>
      </c>
      <c r="W73">
        <v>7.7040632530258764</v>
      </c>
      <c r="X73">
        <v>766.0186951820117</v>
      </c>
      <c r="Y73">
        <v>0.42399999999999999</v>
      </c>
      <c r="Z73">
        <v>2.6499999999999999E-2</v>
      </c>
      <c r="AA73">
        <v>14.1995</v>
      </c>
      <c r="AB73" s="2">
        <v>45681</v>
      </c>
      <c r="AC73" t="s">
        <v>691</v>
      </c>
      <c r="AD73">
        <v>2</v>
      </c>
      <c r="AE73">
        <v>3.1800000000000002E-2</v>
      </c>
      <c r="AF73">
        <v>7.691106840681563</v>
      </c>
      <c r="AG73">
        <v>764.81115755152166</v>
      </c>
      <c r="AH73">
        <v>0.42399999999999999</v>
      </c>
      <c r="AI73">
        <v>2.63E-2</v>
      </c>
      <c r="AJ73">
        <v>14.208100000000002</v>
      </c>
      <c r="AK73" s="2">
        <v>45681</v>
      </c>
      <c r="AL73" t="s">
        <v>851</v>
      </c>
      <c r="AM73">
        <v>2</v>
      </c>
      <c r="AN73">
        <v>3.1899999999999998E-2</v>
      </c>
      <c r="AO73">
        <v>7.705407388562004</v>
      </c>
      <c r="AP73">
        <v>766.14396861397881</v>
      </c>
      <c r="AQ73">
        <v>0.42399999999999999</v>
      </c>
      <c r="AR73">
        <v>2.6599999999999999E-2</v>
      </c>
      <c r="AS73">
        <v>14.200600000000009</v>
      </c>
      <c r="AT73" s="2">
        <v>45681</v>
      </c>
      <c r="AU73" t="s">
        <v>1009</v>
      </c>
      <c r="AV73">
        <v>3</v>
      </c>
      <c r="AW73">
        <v>3.2000000000000001E-2</v>
      </c>
      <c r="AX73">
        <v>7.7095731950471231</v>
      </c>
      <c r="AY73">
        <v>766.53222177839189</v>
      </c>
      <c r="AZ73">
        <v>0.42399999999999999</v>
      </c>
      <c r="BA73">
        <v>2.6599999999999999E-2</v>
      </c>
      <c r="BB73">
        <v>14.199899999999985</v>
      </c>
      <c r="BC73" s="2">
        <v>45681</v>
      </c>
      <c r="BD73" t="s">
        <v>1209</v>
      </c>
      <c r="BE73">
        <v>4</v>
      </c>
      <c r="BF73">
        <v>2.1399999999999999E-2</v>
      </c>
      <c r="BG73">
        <v>7.1007268317886041</v>
      </c>
      <c r="BH73">
        <v>709.78774072269789</v>
      </c>
      <c r="BI73">
        <v>0.42399999999999999</v>
      </c>
      <c r="BJ73">
        <v>1.72E-2</v>
      </c>
      <c r="BK73">
        <v>14.603400000000022</v>
      </c>
      <c r="BL73" s="2">
        <v>45681</v>
      </c>
      <c r="BM73" t="s">
        <v>1367</v>
      </c>
      <c r="BN73">
        <v>4</v>
      </c>
      <c r="BO73">
        <v>3.1699999999999999E-2</v>
      </c>
      <c r="BP73">
        <v>7.7037826672669034</v>
      </c>
      <c r="BQ73">
        <v>765.99254458927544</v>
      </c>
      <c r="BR73">
        <v>0.42399999999999999</v>
      </c>
      <c r="BS73">
        <v>2.6499999999999999E-2</v>
      </c>
      <c r="BT73">
        <v>14.200099999999964</v>
      </c>
      <c r="BU73" s="2">
        <v>45681</v>
      </c>
      <c r="BV73" t="s">
        <v>1565</v>
      </c>
      <c r="BW73">
        <v>5</v>
      </c>
      <c r="BX73">
        <v>3.1699999999999999E-2</v>
      </c>
      <c r="BY73">
        <v>7.697618295455217</v>
      </c>
      <c r="BZ73">
        <v>765.41802513642619</v>
      </c>
      <c r="CA73">
        <v>0.42399999999999999</v>
      </c>
      <c r="CB73">
        <v>2.64E-2</v>
      </c>
      <c r="CC73">
        <v>14.200800000000015</v>
      </c>
      <c r="CD73" s="2">
        <v>45681</v>
      </c>
      <c r="CE73" t="s">
        <v>1725</v>
      </c>
      <c r="CF73">
        <v>5</v>
      </c>
      <c r="CG73">
        <v>3.1800000000000002E-2</v>
      </c>
      <c r="CH73">
        <v>7.6948501466452193</v>
      </c>
      <c r="CI73">
        <v>765.16003366733446</v>
      </c>
      <c r="CJ73">
        <v>0.42399999999999999</v>
      </c>
      <c r="CK73">
        <v>2.64E-2</v>
      </c>
      <c r="CL73">
        <v>14.201000000000022</v>
      </c>
    </row>
    <row r="74" spans="1:90" x14ac:dyDescent="0.3">
      <c r="A74" s="2">
        <v>45681</v>
      </c>
      <c r="B74" t="s">
        <v>172</v>
      </c>
      <c r="C74">
        <v>0</v>
      </c>
      <c r="D74">
        <v>2.63E-2</v>
      </c>
      <c r="E74">
        <v>7.3935947052500461</v>
      </c>
      <c r="F74">
        <v>737.08302652930433</v>
      </c>
      <c r="G74">
        <v>0.42399999999999999</v>
      </c>
      <c r="H74">
        <v>2.1700000000000001E-2</v>
      </c>
      <c r="I74">
        <v>14.400569999999995</v>
      </c>
      <c r="J74" s="2">
        <v>45681</v>
      </c>
      <c r="K74" t="s">
        <v>332</v>
      </c>
      <c r="L74">
        <v>1</v>
      </c>
      <c r="M74">
        <v>2.64E-2</v>
      </c>
      <c r="N74">
        <v>7.393648632859791</v>
      </c>
      <c r="O74">
        <v>737.08805258253255</v>
      </c>
      <c r="P74">
        <v>0.42399999999999999</v>
      </c>
      <c r="Q74">
        <v>2.1700000000000001E-2</v>
      </c>
      <c r="R74">
        <v>14.400269999999992</v>
      </c>
      <c r="S74" s="2">
        <v>45681</v>
      </c>
      <c r="T74" t="s">
        <v>492</v>
      </c>
      <c r="U74">
        <v>1</v>
      </c>
      <c r="V74">
        <v>2.63E-2</v>
      </c>
      <c r="W74">
        <v>7.3785188972956766</v>
      </c>
      <c r="X74">
        <v>735.6779612279571</v>
      </c>
      <c r="Y74">
        <v>0.42399999999999999</v>
      </c>
      <c r="Z74">
        <v>2.1499999999999998E-2</v>
      </c>
      <c r="AA74">
        <v>14.410300000000007</v>
      </c>
      <c r="AB74" s="2">
        <v>45681</v>
      </c>
      <c r="AC74" t="s">
        <v>692</v>
      </c>
      <c r="AD74">
        <v>2</v>
      </c>
      <c r="AE74">
        <v>2.6700000000000002E-2</v>
      </c>
      <c r="AF74">
        <v>7.3962659465508009</v>
      </c>
      <c r="AG74">
        <v>737.33198621853467</v>
      </c>
      <c r="AH74">
        <v>0.42399999999999999</v>
      </c>
      <c r="AI74">
        <v>2.18E-2</v>
      </c>
      <c r="AJ74">
        <v>14.398900000000026</v>
      </c>
      <c r="AK74" s="2">
        <v>45681</v>
      </c>
      <c r="AL74" t="s">
        <v>852</v>
      </c>
      <c r="AM74">
        <v>2</v>
      </c>
      <c r="AN74">
        <v>2.6700000000000002E-2</v>
      </c>
      <c r="AO74">
        <v>7.3993657704342679</v>
      </c>
      <c r="AP74">
        <v>737.62088980447379</v>
      </c>
      <c r="AQ74">
        <v>0.42399999999999999</v>
      </c>
      <c r="AR74">
        <v>2.18E-2</v>
      </c>
      <c r="AS74">
        <v>14.398500000000013</v>
      </c>
      <c r="AT74" s="2">
        <v>45681</v>
      </c>
      <c r="AU74" t="s">
        <v>1010</v>
      </c>
      <c r="AV74">
        <v>3</v>
      </c>
      <c r="AW74">
        <v>2.6700000000000002E-2</v>
      </c>
      <c r="AX74">
        <v>7.3969329459344912</v>
      </c>
      <c r="AY74">
        <v>737.39415056109465</v>
      </c>
      <c r="AZ74">
        <v>0.42399999999999999</v>
      </c>
      <c r="BA74">
        <v>2.18E-2</v>
      </c>
      <c r="BB74">
        <v>14.401999999999987</v>
      </c>
      <c r="BC74" s="2">
        <v>45681</v>
      </c>
      <c r="BD74" t="s">
        <v>1210</v>
      </c>
      <c r="BE74">
        <v>4</v>
      </c>
      <c r="BF74">
        <v>1.6500000000000001E-2</v>
      </c>
      <c r="BG74">
        <v>6.8281925054963013</v>
      </c>
      <c r="BH74">
        <v>684.38754151225532</v>
      </c>
      <c r="BI74">
        <v>0.42399999999999999</v>
      </c>
      <c r="BJ74">
        <v>1.29E-2</v>
      </c>
      <c r="BK74">
        <v>14.804500000000019</v>
      </c>
      <c r="BL74" s="2">
        <v>45681</v>
      </c>
      <c r="BM74" t="s">
        <v>1368</v>
      </c>
      <c r="BN74">
        <v>4</v>
      </c>
      <c r="BO74">
        <v>2.64E-2</v>
      </c>
      <c r="BP74">
        <v>7.3947409710601901</v>
      </c>
      <c r="BQ74">
        <v>737.18985850280978</v>
      </c>
      <c r="BR74">
        <v>0.42399999999999999</v>
      </c>
      <c r="BS74">
        <v>2.1700000000000001E-2</v>
      </c>
      <c r="BT74">
        <v>14.399900000000002</v>
      </c>
      <c r="BU74" s="2">
        <v>45681</v>
      </c>
      <c r="BV74" t="s">
        <v>1566</v>
      </c>
      <c r="BW74">
        <v>5</v>
      </c>
      <c r="BX74">
        <v>2.6100000000000002E-2</v>
      </c>
      <c r="BY74">
        <v>7.3907762780670554</v>
      </c>
      <c r="BZ74">
        <v>736.82034911584947</v>
      </c>
      <c r="CA74">
        <v>0.42399999999999999</v>
      </c>
      <c r="CB74">
        <v>2.1700000000000001E-2</v>
      </c>
      <c r="CC74">
        <v>14.399299999999982</v>
      </c>
      <c r="CD74" s="2">
        <v>45681</v>
      </c>
      <c r="CE74" t="s">
        <v>1726</v>
      </c>
      <c r="CF74">
        <v>5</v>
      </c>
      <c r="CG74">
        <v>2.6599999999999999E-2</v>
      </c>
      <c r="CH74">
        <v>7.3891110096969577</v>
      </c>
      <c r="CI74">
        <v>736.66514610375646</v>
      </c>
      <c r="CJ74">
        <v>0.42399999999999999</v>
      </c>
      <c r="CK74">
        <v>2.1600000000000001E-2</v>
      </c>
      <c r="CL74">
        <v>14.398799999999994</v>
      </c>
    </row>
    <row r="75" spans="1:90" x14ac:dyDescent="0.3">
      <c r="A75" s="2">
        <v>45681</v>
      </c>
      <c r="B75" t="s">
        <v>173</v>
      </c>
      <c r="C75">
        <v>0</v>
      </c>
      <c r="D75">
        <v>2.1299999999999999E-2</v>
      </c>
      <c r="E75">
        <v>7.0992906543922363</v>
      </c>
      <c r="F75">
        <v>709.65388898935646</v>
      </c>
      <c r="G75">
        <v>0.42399999999999999</v>
      </c>
      <c r="H75">
        <v>1.7100000000000001E-2</v>
      </c>
      <c r="I75">
        <v>14.600969999999997</v>
      </c>
      <c r="J75" s="2">
        <v>45681</v>
      </c>
      <c r="K75" t="s">
        <v>333</v>
      </c>
      <c r="L75">
        <v>1</v>
      </c>
      <c r="M75">
        <v>2.0899999999999998E-2</v>
      </c>
      <c r="N75">
        <v>7.0982948182303263</v>
      </c>
      <c r="O75">
        <v>709.56107705906641</v>
      </c>
      <c r="P75">
        <v>0.42399999999999999</v>
      </c>
      <c r="Q75">
        <v>1.7100000000000001E-2</v>
      </c>
      <c r="R75">
        <v>14.601469999999992</v>
      </c>
      <c r="S75" s="2">
        <v>45681</v>
      </c>
      <c r="T75" t="s">
        <v>493</v>
      </c>
      <c r="U75">
        <v>1</v>
      </c>
      <c r="V75">
        <v>2.1499999999999998E-2</v>
      </c>
      <c r="W75">
        <v>7.1034556499358557</v>
      </c>
      <c r="X75">
        <v>710.04206657402176</v>
      </c>
      <c r="Y75">
        <v>0.42399999999999999</v>
      </c>
      <c r="Z75">
        <v>1.72E-2</v>
      </c>
      <c r="AA75">
        <v>14.597800000000007</v>
      </c>
      <c r="AB75" s="2">
        <v>45681</v>
      </c>
      <c r="AC75" t="s">
        <v>693</v>
      </c>
      <c r="AD75">
        <v>2</v>
      </c>
      <c r="AE75">
        <v>2.12E-2</v>
      </c>
      <c r="AF75">
        <v>7.1033773940811118</v>
      </c>
      <c r="AG75">
        <v>710.03477312835969</v>
      </c>
      <c r="AH75">
        <v>0.42399999999999999</v>
      </c>
      <c r="AI75">
        <v>1.72E-2</v>
      </c>
      <c r="AJ75">
        <v>14.59820000000002</v>
      </c>
      <c r="AK75" s="2">
        <v>45681</v>
      </c>
      <c r="AL75" t="s">
        <v>853</v>
      </c>
      <c r="AM75">
        <v>2</v>
      </c>
      <c r="AN75">
        <v>2.1399999999999999E-2</v>
      </c>
      <c r="AO75">
        <v>7.1049854910754648</v>
      </c>
      <c r="AP75">
        <v>710.18464776823339</v>
      </c>
      <c r="AQ75">
        <v>0.42399999999999999</v>
      </c>
      <c r="AR75">
        <v>1.72E-2</v>
      </c>
      <c r="AS75">
        <v>14.598700000000008</v>
      </c>
      <c r="AT75" s="2">
        <v>45681</v>
      </c>
      <c r="AU75" t="s">
        <v>1011</v>
      </c>
      <c r="AV75">
        <v>3</v>
      </c>
      <c r="AW75">
        <v>2.1499999999999998E-2</v>
      </c>
      <c r="AX75">
        <v>7.1057116891886487</v>
      </c>
      <c r="AY75">
        <v>710.25232943238211</v>
      </c>
      <c r="AZ75">
        <v>0.42399999999999999</v>
      </c>
      <c r="BA75">
        <v>1.72E-2</v>
      </c>
      <c r="BB75">
        <v>14.600099999999998</v>
      </c>
      <c r="BC75" s="2">
        <v>45681</v>
      </c>
      <c r="BD75" t="s">
        <v>1211</v>
      </c>
      <c r="BE75">
        <v>4</v>
      </c>
      <c r="BF75">
        <v>1.15E-2</v>
      </c>
      <c r="BG75">
        <v>6.590113056182096</v>
      </c>
      <c r="BH75">
        <v>662.19853683617134</v>
      </c>
      <c r="BI75">
        <v>0.42399999999999999</v>
      </c>
      <c r="BJ75">
        <v>9.1999999999999998E-3</v>
      </c>
      <c r="BK75">
        <v>15.001500000000021</v>
      </c>
      <c r="BL75" s="2">
        <v>45681</v>
      </c>
      <c r="BM75" t="s">
        <v>1369</v>
      </c>
      <c r="BN75">
        <v>4</v>
      </c>
      <c r="BO75">
        <v>2.1499999999999998E-2</v>
      </c>
      <c r="BP75">
        <v>7.1016172455555227</v>
      </c>
      <c r="BQ75">
        <v>709.87072728577471</v>
      </c>
      <c r="BR75">
        <v>0.42399999999999999</v>
      </c>
      <c r="BS75">
        <v>1.72E-2</v>
      </c>
      <c r="BT75">
        <v>14.599400000000003</v>
      </c>
      <c r="BU75" s="2">
        <v>45681</v>
      </c>
      <c r="BV75" t="s">
        <v>1567</v>
      </c>
      <c r="BW75">
        <v>5</v>
      </c>
      <c r="BX75">
        <v>2.1899999999999999E-2</v>
      </c>
      <c r="BY75">
        <v>7.095647499703821</v>
      </c>
      <c r="BZ75">
        <v>709.31434697239615</v>
      </c>
      <c r="CA75">
        <v>0.42399999999999999</v>
      </c>
      <c r="CB75">
        <v>1.7100000000000001E-2</v>
      </c>
      <c r="CC75">
        <v>14.600399999999979</v>
      </c>
      <c r="CD75" s="2">
        <v>45681</v>
      </c>
      <c r="CE75" t="s">
        <v>1727</v>
      </c>
      <c r="CF75">
        <v>5</v>
      </c>
      <c r="CG75">
        <v>2.12E-2</v>
      </c>
      <c r="CH75">
        <v>7.0928793508938224</v>
      </c>
      <c r="CI75">
        <v>709.0563555033043</v>
      </c>
      <c r="CJ75">
        <v>0.42399999999999999</v>
      </c>
      <c r="CK75">
        <v>1.7000000000000001E-2</v>
      </c>
      <c r="CL75">
        <v>14.600799999999992</v>
      </c>
    </row>
    <row r="76" spans="1:90" x14ac:dyDescent="0.3">
      <c r="A76" s="2">
        <v>45681</v>
      </c>
      <c r="B76" t="s">
        <v>174</v>
      </c>
      <c r="C76">
        <v>0</v>
      </c>
      <c r="D76">
        <v>1.61E-2</v>
      </c>
      <c r="E76">
        <v>6.8287139408807551</v>
      </c>
      <c r="F76">
        <v>684.43613929008643</v>
      </c>
      <c r="G76">
        <v>0.42399999999999999</v>
      </c>
      <c r="H76">
        <v>1.29E-2</v>
      </c>
      <c r="I76">
        <v>14.800699999999999</v>
      </c>
      <c r="J76" s="2">
        <v>45681</v>
      </c>
      <c r="K76" t="s">
        <v>334</v>
      </c>
      <c r="L76">
        <v>1</v>
      </c>
      <c r="M76">
        <v>1.67E-2</v>
      </c>
      <c r="N76">
        <v>6.827259922771387</v>
      </c>
      <c r="O76">
        <v>684.30062480229333</v>
      </c>
      <c r="P76">
        <v>0.42399999999999999</v>
      </c>
      <c r="Q76">
        <v>1.29E-2</v>
      </c>
      <c r="R76">
        <v>14.801569999999998</v>
      </c>
      <c r="S76" s="2">
        <v>45681</v>
      </c>
      <c r="T76" t="s">
        <v>494</v>
      </c>
      <c r="U76">
        <v>1</v>
      </c>
      <c r="V76">
        <v>1.61E-2</v>
      </c>
      <c r="W76">
        <v>6.83030581904511</v>
      </c>
      <c r="X76">
        <v>684.58450233500423</v>
      </c>
      <c r="Y76">
        <v>0.42399999999999999</v>
      </c>
      <c r="Z76">
        <v>1.2999999999999999E-2</v>
      </c>
      <c r="AA76">
        <v>14.799200000000013</v>
      </c>
      <c r="AB76" s="2">
        <v>45681</v>
      </c>
      <c r="AC76" t="s">
        <v>694</v>
      </c>
      <c r="AD76">
        <v>2</v>
      </c>
      <c r="AE76">
        <v>1.6400000000000001E-2</v>
      </c>
      <c r="AF76">
        <v>6.8331757410133447</v>
      </c>
      <c r="AG76">
        <v>684.85197906244377</v>
      </c>
      <c r="AH76">
        <v>0.42399999999999999</v>
      </c>
      <c r="AI76">
        <v>1.2999999999999999E-2</v>
      </c>
      <c r="AJ76">
        <v>14.797300000000007</v>
      </c>
      <c r="AK76" s="2">
        <v>45681</v>
      </c>
      <c r="AL76" t="s">
        <v>854</v>
      </c>
      <c r="AM76">
        <v>2</v>
      </c>
      <c r="AN76">
        <v>1.6500000000000001E-2</v>
      </c>
      <c r="AO76">
        <v>6.8335597218135611</v>
      </c>
      <c r="AP76">
        <v>684.88776607302395</v>
      </c>
      <c r="AQ76">
        <v>0.42399999999999999</v>
      </c>
      <c r="AR76">
        <v>1.2999999999999999E-2</v>
      </c>
      <c r="AS76">
        <v>14.798699999999997</v>
      </c>
      <c r="AT76" s="2">
        <v>45681</v>
      </c>
      <c r="AU76" t="s">
        <v>1012</v>
      </c>
      <c r="AV76">
        <v>3</v>
      </c>
      <c r="AW76">
        <v>1.67E-2</v>
      </c>
      <c r="AX76">
        <v>6.8325160401031564</v>
      </c>
      <c r="AY76">
        <v>684.7904949376142</v>
      </c>
      <c r="AZ76">
        <v>0.42399999999999999</v>
      </c>
      <c r="BA76">
        <v>1.2999999999999999E-2</v>
      </c>
      <c r="BB76">
        <v>14.801299999999998</v>
      </c>
      <c r="BC76" s="2">
        <v>45681</v>
      </c>
      <c r="BD76" t="s">
        <v>1212</v>
      </c>
      <c r="BE76">
        <v>4</v>
      </c>
      <c r="BF76">
        <v>7.7000000000000002E-3</v>
      </c>
      <c r="BG76">
        <v>6.3817050237674477</v>
      </c>
      <c r="BH76">
        <v>642.77490821512617</v>
      </c>
      <c r="BI76">
        <v>0.42399999999999999</v>
      </c>
      <c r="BJ76">
        <v>6.0000000000000001E-3</v>
      </c>
      <c r="BK76">
        <v>15.203300000000013</v>
      </c>
      <c r="BL76" s="2">
        <v>45681</v>
      </c>
      <c r="BM76" t="s">
        <v>1370</v>
      </c>
      <c r="BN76">
        <v>4</v>
      </c>
      <c r="BO76">
        <v>1.66E-2</v>
      </c>
      <c r="BP76">
        <v>6.8291753665942112</v>
      </c>
      <c r="BQ76">
        <v>684.47914416658045</v>
      </c>
      <c r="BR76">
        <v>0.42399999999999999</v>
      </c>
      <c r="BS76">
        <v>1.29E-2</v>
      </c>
      <c r="BT76">
        <v>14.8005</v>
      </c>
      <c r="BU76" s="2">
        <v>45681</v>
      </c>
      <c r="BV76" t="s">
        <v>1568</v>
      </c>
      <c r="BW76">
        <v>5</v>
      </c>
      <c r="BX76">
        <v>1.67E-2</v>
      </c>
      <c r="BY76">
        <v>6.8272550571223887</v>
      </c>
      <c r="BZ76">
        <v>684.30017132380669</v>
      </c>
      <c r="CA76">
        <v>0.42399999999999999</v>
      </c>
      <c r="CB76">
        <v>1.29E-2</v>
      </c>
      <c r="CC76">
        <v>14.798699999999997</v>
      </c>
      <c r="CD76" s="2">
        <v>45681</v>
      </c>
      <c r="CE76" t="s">
        <v>1728</v>
      </c>
      <c r="CF76">
        <v>5</v>
      </c>
      <c r="CG76">
        <v>1.6400000000000001E-2</v>
      </c>
      <c r="CH76">
        <v>6.82394357750744</v>
      </c>
      <c r="CI76">
        <v>683.99154142369343</v>
      </c>
      <c r="CJ76">
        <v>0.42399999999999999</v>
      </c>
      <c r="CK76">
        <v>1.29E-2</v>
      </c>
      <c r="CL76">
        <v>14.799699999999973</v>
      </c>
    </row>
    <row r="77" spans="1:90" x14ac:dyDescent="0.3">
      <c r="A77" s="2">
        <v>45681</v>
      </c>
      <c r="B77" t="s">
        <v>175</v>
      </c>
      <c r="C77">
        <v>0</v>
      </c>
      <c r="D77">
        <v>1.14E-2</v>
      </c>
      <c r="E77">
        <v>6.5878140370298066</v>
      </c>
      <c r="F77">
        <v>661.98426825117804</v>
      </c>
      <c r="G77">
        <v>0.42399999999999999</v>
      </c>
      <c r="H77">
        <v>9.1999999999999998E-3</v>
      </c>
      <c r="I77">
        <v>15.000109999999999</v>
      </c>
      <c r="J77" s="2">
        <v>45681</v>
      </c>
      <c r="K77" t="s">
        <v>335</v>
      </c>
      <c r="L77">
        <v>1</v>
      </c>
      <c r="M77">
        <v>1.17E-2</v>
      </c>
      <c r="N77">
        <v>6.5891435756189338</v>
      </c>
      <c r="O77">
        <v>662.10818124768468</v>
      </c>
      <c r="P77">
        <v>0.42399999999999999</v>
      </c>
      <c r="Q77">
        <v>9.1999999999999998E-3</v>
      </c>
      <c r="R77">
        <v>14.99866999999999</v>
      </c>
      <c r="S77" s="2">
        <v>45681</v>
      </c>
      <c r="T77" t="s">
        <v>495</v>
      </c>
      <c r="U77">
        <v>1</v>
      </c>
      <c r="V77">
        <v>1.1599999999999999E-2</v>
      </c>
      <c r="W77">
        <v>6.5874896604298341</v>
      </c>
      <c r="X77">
        <v>661.9540363520606</v>
      </c>
      <c r="Y77">
        <v>0.42399999999999999</v>
      </c>
      <c r="Z77">
        <v>9.1999999999999998E-3</v>
      </c>
      <c r="AA77">
        <v>15.000100000000003</v>
      </c>
      <c r="AB77" s="2">
        <v>45681</v>
      </c>
      <c r="AC77" t="s">
        <v>695</v>
      </c>
      <c r="AD77">
        <v>2</v>
      </c>
      <c r="AE77">
        <v>1.15E-2</v>
      </c>
      <c r="AF77">
        <v>6.5899638429461094</v>
      </c>
      <c r="AG77">
        <v>662.18463016257738</v>
      </c>
      <c r="AH77">
        <v>0.42399999999999999</v>
      </c>
      <c r="AI77">
        <v>9.1999999999999998E-3</v>
      </c>
      <c r="AJ77">
        <v>14.9983</v>
      </c>
      <c r="AK77" s="2">
        <v>45681</v>
      </c>
      <c r="AL77" t="s">
        <v>855</v>
      </c>
      <c r="AM77">
        <v>2</v>
      </c>
      <c r="AN77">
        <v>1.17E-2</v>
      </c>
      <c r="AO77">
        <v>6.5893803705369134</v>
      </c>
      <c r="AP77">
        <v>662.13025053404021</v>
      </c>
      <c r="AQ77">
        <v>0.42399999999999999</v>
      </c>
      <c r="AR77">
        <v>9.1999999999999998E-3</v>
      </c>
      <c r="AS77">
        <v>15.000400000000013</v>
      </c>
      <c r="AT77" s="2">
        <v>45681</v>
      </c>
      <c r="AU77" t="s">
        <v>1013</v>
      </c>
      <c r="AV77">
        <v>3</v>
      </c>
      <c r="AW77">
        <v>1.17E-2</v>
      </c>
      <c r="AX77">
        <v>6.5907001778280403</v>
      </c>
      <c r="AY77">
        <v>662.25325657357337</v>
      </c>
      <c r="AZ77">
        <v>0.42399999999999999</v>
      </c>
      <c r="BA77">
        <v>9.1999999999999998E-3</v>
      </c>
      <c r="BB77">
        <v>15.00109999999998</v>
      </c>
      <c r="BC77" s="2">
        <v>45681</v>
      </c>
      <c r="BD77" t="s">
        <v>1213</v>
      </c>
      <c r="BE77">
        <v>4</v>
      </c>
      <c r="BF77">
        <v>3.7000000000000002E-3</v>
      </c>
      <c r="BG77">
        <v>6.2156259886539491</v>
      </c>
      <c r="BH77">
        <v>627.29634214254804</v>
      </c>
      <c r="BI77">
        <v>0.42399999999999999</v>
      </c>
      <c r="BJ77">
        <v>3.3999999999999998E-3</v>
      </c>
      <c r="BK77">
        <v>15.403500000000008</v>
      </c>
      <c r="BL77" s="2">
        <v>45681</v>
      </c>
      <c r="BM77" t="s">
        <v>1371</v>
      </c>
      <c r="BN77">
        <v>4</v>
      </c>
      <c r="BO77">
        <v>1.12E-2</v>
      </c>
      <c r="BP77">
        <v>6.5857064000714987</v>
      </c>
      <c r="BQ77">
        <v>661.78783648666365</v>
      </c>
      <c r="BR77">
        <v>0.42399999999999999</v>
      </c>
      <c r="BS77">
        <v>9.1999999999999998E-3</v>
      </c>
      <c r="BT77">
        <v>15.002099999999984</v>
      </c>
      <c r="BU77" s="2">
        <v>45681</v>
      </c>
      <c r="BV77" t="s">
        <v>1569</v>
      </c>
      <c r="BW77">
        <v>5</v>
      </c>
      <c r="BX77">
        <v>1.18E-2</v>
      </c>
      <c r="BY77">
        <v>6.5851427957290491</v>
      </c>
      <c r="BZ77">
        <v>661.73530856194736</v>
      </c>
      <c r="CA77">
        <v>0.42399999999999999</v>
      </c>
      <c r="CB77">
        <v>9.1999999999999998E-3</v>
      </c>
      <c r="CC77">
        <v>14.99939999999998</v>
      </c>
      <c r="CD77" s="2">
        <v>45681</v>
      </c>
      <c r="CE77" t="s">
        <v>1729</v>
      </c>
      <c r="CF77">
        <v>5</v>
      </c>
      <c r="CG77">
        <v>1.18E-2</v>
      </c>
      <c r="CH77">
        <v>6.5815564069456283</v>
      </c>
      <c r="CI77">
        <v>661.40105712733259</v>
      </c>
      <c r="CJ77">
        <v>0.42399999999999999</v>
      </c>
      <c r="CK77">
        <v>9.1000000000000004E-3</v>
      </c>
      <c r="CL77">
        <v>15.000999999999976</v>
      </c>
    </row>
    <row r="78" spans="1:90" x14ac:dyDescent="0.3">
      <c r="A78" s="2">
        <v>45681</v>
      </c>
      <c r="B78" t="s">
        <v>176</v>
      </c>
      <c r="C78">
        <v>0</v>
      </c>
      <c r="D78">
        <v>7.4000000000000003E-3</v>
      </c>
      <c r="E78">
        <v>6.3822746696240706</v>
      </c>
      <c r="F78">
        <v>642.82799920896343</v>
      </c>
      <c r="G78">
        <v>0.42399999999999999</v>
      </c>
      <c r="H78">
        <v>6.0000000000000001E-3</v>
      </c>
      <c r="I78">
        <v>15.199269999999991</v>
      </c>
      <c r="J78" s="2">
        <v>45681</v>
      </c>
      <c r="K78" t="s">
        <v>336</v>
      </c>
      <c r="L78">
        <v>1</v>
      </c>
      <c r="M78">
        <v>6.8999999999999999E-3</v>
      </c>
      <c r="N78">
        <v>6.3813272872167817</v>
      </c>
      <c r="O78">
        <v>642.73970316860402</v>
      </c>
      <c r="P78">
        <v>0.42399999999999999</v>
      </c>
      <c r="Q78">
        <v>6.0000000000000001E-3</v>
      </c>
      <c r="R78">
        <v>15.200069999999997</v>
      </c>
      <c r="S78" s="2">
        <v>45681</v>
      </c>
      <c r="T78" t="s">
        <v>496</v>
      </c>
      <c r="U78">
        <v>1</v>
      </c>
      <c r="V78">
        <v>7.3000000000000001E-3</v>
      </c>
      <c r="W78">
        <v>6.381723513233645</v>
      </c>
      <c r="X78">
        <v>642.77663143337577</v>
      </c>
      <c r="Y78">
        <v>0.42399999999999999</v>
      </c>
      <c r="Z78">
        <v>6.0000000000000001E-3</v>
      </c>
      <c r="AA78">
        <v>15.199600000000004</v>
      </c>
      <c r="AB78" s="2">
        <v>45681</v>
      </c>
      <c r="AC78" t="s">
        <v>696</v>
      </c>
      <c r="AD78">
        <v>2</v>
      </c>
      <c r="AE78">
        <v>7.1000000000000004E-3</v>
      </c>
      <c r="AF78">
        <v>6.3822714258580708</v>
      </c>
      <c r="AG78">
        <v>642.82769688997223</v>
      </c>
      <c r="AH78">
        <v>0.42399999999999999</v>
      </c>
      <c r="AI78">
        <v>6.0000000000000001E-3</v>
      </c>
      <c r="AJ78">
        <v>15.199400000000026</v>
      </c>
      <c r="AK78" s="2">
        <v>45681</v>
      </c>
      <c r="AL78" t="s">
        <v>856</v>
      </c>
      <c r="AM78">
        <v>2</v>
      </c>
      <c r="AN78">
        <v>7.3000000000000001E-3</v>
      </c>
      <c r="AO78">
        <v>6.3832409064212303</v>
      </c>
      <c r="AP78">
        <v>642.91805247845866</v>
      </c>
      <c r="AQ78">
        <v>0.42399999999999999</v>
      </c>
      <c r="AR78">
        <v>6.0000000000000001E-3</v>
      </c>
      <c r="AS78">
        <v>15.199900000000014</v>
      </c>
      <c r="AT78" s="2">
        <v>45681</v>
      </c>
      <c r="AU78" t="s">
        <v>1014</v>
      </c>
      <c r="AV78">
        <v>3</v>
      </c>
      <c r="AW78">
        <v>7.4000000000000003E-3</v>
      </c>
      <c r="AX78">
        <v>6.3829559821252317</v>
      </c>
      <c r="AY78">
        <v>642.89149753407162</v>
      </c>
      <c r="AZ78">
        <v>0.42399999999999999</v>
      </c>
      <c r="BA78">
        <v>6.0000000000000001E-3</v>
      </c>
      <c r="BB78">
        <v>15.202199999999976</v>
      </c>
      <c r="BC78" s="2">
        <v>45681</v>
      </c>
      <c r="BD78" t="s">
        <v>1214</v>
      </c>
      <c r="BE78">
        <v>4</v>
      </c>
      <c r="BF78">
        <v>8.0000000000000004E-4</v>
      </c>
      <c r="BG78">
        <v>6.095415588847553</v>
      </c>
      <c r="BH78">
        <v>616.09273288059194</v>
      </c>
      <c r="BI78">
        <v>0.42399999999999999</v>
      </c>
      <c r="BJ78">
        <v>1.5E-3</v>
      </c>
      <c r="BK78">
        <v>15.601100000000031</v>
      </c>
      <c r="BL78" s="2">
        <v>45681</v>
      </c>
      <c r="BM78" t="s">
        <v>1372</v>
      </c>
      <c r="BN78">
        <v>4</v>
      </c>
      <c r="BO78">
        <v>8.0000000000000002E-3</v>
      </c>
      <c r="BP78">
        <v>6.3824194226818074</v>
      </c>
      <c r="BQ78">
        <v>642.84149019394442</v>
      </c>
      <c r="BR78">
        <v>0.42399999999999999</v>
      </c>
      <c r="BS78">
        <v>6.0000000000000001E-3</v>
      </c>
      <c r="BT78">
        <v>15.199199999999962</v>
      </c>
      <c r="BU78" s="2">
        <v>45681</v>
      </c>
      <c r="BV78" t="s">
        <v>1570</v>
      </c>
      <c r="BW78">
        <v>5</v>
      </c>
      <c r="BX78">
        <v>7.3000000000000001E-3</v>
      </c>
      <c r="BY78">
        <v>6.3797189063929052</v>
      </c>
      <c r="BZ78">
        <v>642.58980207581874</v>
      </c>
      <c r="CA78">
        <v>0.42399999999999999</v>
      </c>
      <c r="CB78">
        <v>6.0000000000000001E-3</v>
      </c>
      <c r="CC78">
        <v>15.198899999999981</v>
      </c>
      <c r="CD78" s="2">
        <v>45681</v>
      </c>
      <c r="CE78" t="s">
        <v>1730</v>
      </c>
      <c r="CF78">
        <v>5</v>
      </c>
      <c r="CG78">
        <v>7.1999999999999998E-3</v>
      </c>
      <c r="CH78">
        <v>6.3759471363826004</v>
      </c>
      <c r="CI78">
        <v>642.23827311085836</v>
      </c>
      <c r="CJ78">
        <v>0.42399999999999999</v>
      </c>
      <c r="CK78">
        <v>5.8999999999999999E-3</v>
      </c>
      <c r="CL78">
        <v>15.201399999999978</v>
      </c>
    </row>
    <row r="79" spans="1:90" x14ac:dyDescent="0.3">
      <c r="A79" s="2">
        <v>45681</v>
      </c>
      <c r="B79" t="s">
        <v>177</v>
      </c>
      <c r="C79">
        <v>0</v>
      </c>
      <c r="D79">
        <v>3.5999999999999999E-3</v>
      </c>
      <c r="E79">
        <v>6.2157466972962139</v>
      </c>
      <c r="F79">
        <v>627.30759218800711</v>
      </c>
      <c r="G79">
        <v>0.42399999999999999</v>
      </c>
      <c r="H79">
        <v>3.3999999999999998E-3</v>
      </c>
      <c r="I79">
        <v>15.399899999999995</v>
      </c>
      <c r="J79" s="2">
        <v>45681</v>
      </c>
      <c r="K79" t="s">
        <v>337</v>
      </c>
      <c r="L79">
        <v>1</v>
      </c>
      <c r="M79">
        <v>3.7000000000000002E-3</v>
      </c>
      <c r="N79">
        <v>6.215761780808112</v>
      </c>
      <c r="O79">
        <v>627.3089979713161</v>
      </c>
      <c r="P79">
        <v>0.42399999999999999</v>
      </c>
      <c r="Q79">
        <v>3.3999999999999998E-3</v>
      </c>
      <c r="R79">
        <v>15.39967</v>
      </c>
      <c r="S79" s="2">
        <v>45681</v>
      </c>
      <c r="T79" t="s">
        <v>497</v>
      </c>
      <c r="U79">
        <v>1</v>
      </c>
      <c r="V79">
        <v>3.5999999999999999E-3</v>
      </c>
      <c r="W79">
        <v>6.2170225110109714</v>
      </c>
      <c r="X79">
        <v>627.42649802622259</v>
      </c>
      <c r="Y79">
        <v>0.42399999999999999</v>
      </c>
      <c r="Z79">
        <v>3.3999999999999998E-3</v>
      </c>
      <c r="AA79">
        <v>15.397899999999993</v>
      </c>
      <c r="AB79" s="2">
        <v>45681</v>
      </c>
      <c r="AC79" t="s">
        <v>697</v>
      </c>
      <c r="AD79">
        <v>2</v>
      </c>
      <c r="AE79">
        <v>3.7000000000000002E-3</v>
      </c>
      <c r="AF79">
        <v>6.2177632655240789</v>
      </c>
      <c r="AG79">
        <v>627.49553634684412</v>
      </c>
      <c r="AH79">
        <v>0.42399999999999999</v>
      </c>
      <c r="AI79">
        <v>3.3999999999999998E-3</v>
      </c>
      <c r="AJ79">
        <v>15.397200000000026</v>
      </c>
      <c r="AK79" s="2">
        <v>45681</v>
      </c>
      <c r="AL79" t="s">
        <v>857</v>
      </c>
      <c r="AM79">
        <v>2</v>
      </c>
      <c r="AN79">
        <v>3.7000000000000002E-3</v>
      </c>
      <c r="AO79">
        <v>6.21720509448968</v>
      </c>
      <c r="AP79">
        <v>627.4435148064382</v>
      </c>
      <c r="AQ79">
        <v>0.42399999999999999</v>
      </c>
      <c r="AR79">
        <v>3.3999999999999998E-3</v>
      </c>
      <c r="AS79">
        <v>15.399600000000021</v>
      </c>
      <c r="AT79" s="2">
        <v>45681</v>
      </c>
      <c r="AU79" t="s">
        <v>1015</v>
      </c>
      <c r="AV79">
        <v>3</v>
      </c>
      <c r="AW79">
        <v>3.8E-3</v>
      </c>
      <c r="AX79">
        <v>6.2176879696058096</v>
      </c>
      <c r="AY79">
        <v>627.48851876726155</v>
      </c>
      <c r="AZ79">
        <v>0.42399999999999999</v>
      </c>
      <c r="BA79">
        <v>3.3999999999999998E-3</v>
      </c>
      <c r="BB79">
        <v>15.400799999999975</v>
      </c>
      <c r="BC79" s="2">
        <v>45681</v>
      </c>
      <c r="BD79" t="s">
        <v>1215</v>
      </c>
      <c r="BE79">
        <v>4</v>
      </c>
      <c r="BF79">
        <v>-1.4E-3</v>
      </c>
      <c r="BG79">
        <v>6.020106849594332</v>
      </c>
      <c r="BH79">
        <v>609.07395838219179</v>
      </c>
      <c r="BI79">
        <v>0.42399999999999999</v>
      </c>
      <c r="BJ79">
        <v>4.0000000000000002E-4</v>
      </c>
      <c r="BK79">
        <v>15.804399999999987</v>
      </c>
      <c r="BL79" s="2">
        <v>45681</v>
      </c>
      <c r="BM79" t="s">
        <v>1373</v>
      </c>
      <c r="BN79">
        <v>4</v>
      </c>
      <c r="BO79">
        <v>3.5999999999999999E-3</v>
      </c>
      <c r="BP79">
        <v>6.2142734193262239</v>
      </c>
      <c r="BQ79">
        <v>627.17028268120407</v>
      </c>
      <c r="BR79">
        <v>0.42399999999999999</v>
      </c>
      <c r="BS79">
        <v>3.3999999999999998E-3</v>
      </c>
      <c r="BT79">
        <v>15.402099999999962</v>
      </c>
      <c r="BU79" s="2">
        <v>45681</v>
      </c>
      <c r="BV79" t="s">
        <v>1571</v>
      </c>
      <c r="BW79">
        <v>5</v>
      </c>
      <c r="BX79">
        <v>3.5999999999999999E-3</v>
      </c>
      <c r="BY79">
        <v>6.214485237246004</v>
      </c>
      <c r="BZ79">
        <v>627.1900241113276</v>
      </c>
      <c r="CA79">
        <v>0.42399999999999999</v>
      </c>
      <c r="CB79">
        <v>3.3999999999999998E-3</v>
      </c>
      <c r="CC79">
        <v>15.398599999999988</v>
      </c>
      <c r="CD79" s="2">
        <v>45681</v>
      </c>
      <c r="CE79" t="s">
        <v>1731</v>
      </c>
      <c r="CF79">
        <v>5</v>
      </c>
      <c r="CG79">
        <v>3.5999999999999999E-3</v>
      </c>
      <c r="CH79">
        <v>6.2117722730050779</v>
      </c>
      <c r="CI79">
        <v>626.93717584407329</v>
      </c>
      <c r="CJ79">
        <v>0.42399999999999999</v>
      </c>
      <c r="CK79">
        <v>3.3999999999999998E-3</v>
      </c>
      <c r="CL79">
        <v>15.400699999999972</v>
      </c>
    </row>
    <row r="80" spans="1:90" x14ac:dyDescent="0.3">
      <c r="A80" s="2">
        <v>45681</v>
      </c>
      <c r="B80" t="s">
        <v>178</v>
      </c>
      <c r="C80">
        <v>0</v>
      </c>
      <c r="D80">
        <v>5.0000000000000001E-4</v>
      </c>
      <c r="E80">
        <v>6.0946396800204257</v>
      </c>
      <c r="F80">
        <v>616.02041817790371</v>
      </c>
      <c r="G80">
        <v>0.42399999999999999</v>
      </c>
      <c r="H80">
        <v>1.5E-3</v>
      </c>
      <c r="I80">
        <v>15.599229999999999</v>
      </c>
      <c r="J80" s="2">
        <v>45681</v>
      </c>
      <c r="K80" t="s">
        <v>338</v>
      </c>
      <c r="L80">
        <v>1</v>
      </c>
      <c r="M80">
        <v>1.1000000000000001E-3</v>
      </c>
      <c r="N80">
        <v>6.0938093975657264</v>
      </c>
      <c r="O80">
        <v>615.94303585312571</v>
      </c>
      <c r="P80">
        <v>0.42399999999999999</v>
      </c>
      <c r="Q80">
        <v>1.5E-3</v>
      </c>
      <c r="R80">
        <v>15.600669999999994</v>
      </c>
      <c r="S80" s="2">
        <v>45681</v>
      </c>
      <c r="T80" t="s">
        <v>498</v>
      </c>
      <c r="U80">
        <v>1</v>
      </c>
      <c r="V80">
        <v>2.0000000000000001E-4</v>
      </c>
      <c r="W80">
        <v>6.0952193410045714</v>
      </c>
      <c r="X80">
        <v>616.07444258162604</v>
      </c>
      <c r="Y80">
        <v>0.42399999999999999</v>
      </c>
      <c r="Z80">
        <v>1.5E-3</v>
      </c>
      <c r="AA80">
        <v>15.597800000000007</v>
      </c>
      <c r="AB80" s="2">
        <v>45681</v>
      </c>
      <c r="AC80" t="s">
        <v>698</v>
      </c>
      <c r="AD80">
        <v>2</v>
      </c>
      <c r="AE80">
        <v>1.2999999999999999E-3</v>
      </c>
      <c r="AF80">
        <v>6.095695363665028</v>
      </c>
      <c r="AG80">
        <v>616.11880789358065</v>
      </c>
      <c r="AH80">
        <v>0.42399999999999999</v>
      </c>
      <c r="AI80">
        <v>1.6000000000000001E-3</v>
      </c>
      <c r="AJ80">
        <v>15.597200000000015</v>
      </c>
      <c r="AK80" s="2">
        <v>45681</v>
      </c>
      <c r="AL80" t="s">
        <v>858</v>
      </c>
      <c r="AM80">
        <v>2</v>
      </c>
      <c r="AN80">
        <v>8.9999999999999998E-4</v>
      </c>
      <c r="AO80">
        <v>6.0948463079146054</v>
      </c>
      <c r="AP80">
        <v>616.03967589764125</v>
      </c>
      <c r="AQ80">
        <v>0.42399999999999999</v>
      </c>
      <c r="AR80">
        <v>1.5E-3</v>
      </c>
      <c r="AS80">
        <v>15.600500000000011</v>
      </c>
      <c r="AT80" s="2">
        <v>45681</v>
      </c>
      <c r="AU80" t="s">
        <v>1016</v>
      </c>
      <c r="AV80">
        <v>3</v>
      </c>
      <c r="AW80">
        <v>1.1000000000000001E-3</v>
      </c>
      <c r="AX80">
        <v>6.0959416060514808</v>
      </c>
      <c r="AY80">
        <v>616.14175768399798</v>
      </c>
      <c r="AZ80">
        <v>0.42399999999999999</v>
      </c>
      <c r="BA80">
        <v>1.6000000000000001E-3</v>
      </c>
      <c r="BB80">
        <v>15.600200000000001</v>
      </c>
      <c r="BC80" s="2">
        <v>45681</v>
      </c>
      <c r="BD80" t="s">
        <v>1216</v>
      </c>
      <c r="BE80">
        <v>4</v>
      </c>
      <c r="BF80">
        <v>-2.5000000000000001E-3</v>
      </c>
      <c r="BG80">
        <v>5.9957334838115024</v>
      </c>
      <c r="BH80">
        <v>606.80236069123202</v>
      </c>
      <c r="BI80">
        <v>0.42399999999999999</v>
      </c>
      <c r="BJ80">
        <v>0</v>
      </c>
      <c r="BK80">
        <v>16.002200000000016</v>
      </c>
      <c r="BL80" s="2">
        <v>45681</v>
      </c>
      <c r="BM80" t="s">
        <v>1374</v>
      </c>
      <c r="BN80">
        <v>4</v>
      </c>
      <c r="BO80">
        <v>1E-3</v>
      </c>
      <c r="BP80">
        <v>6.0931985558809068</v>
      </c>
      <c r="BQ80">
        <v>615.88610540810055</v>
      </c>
      <c r="BR80">
        <v>0.42399999999999999</v>
      </c>
      <c r="BS80">
        <v>1.5E-3</v>
      </c>
      <c r="BT80">
        <v>15.602299999999957</v>
      </c>
      <c r="BU80" s="2">
        <v>45681</v>
      </c>
      <c r="BV80" t="s">
        <v>1572</v>
      </c>
      <c r="BW80">
        <v>5</v>
      </c>
      <c r="BX80">
        <v>1.1999999999999999E-3</v>
      </c>
      <c r="BY80">
        <v>6.0919813326895182</v>
      </c>
      <c r="BZ80">
        <v>615.77266020666309</v>
      </c>
      <c r="CA80">
        <v>0.42399999999999999</v>
      </c>
      <c r="CB80">
        <v>1.5E-3</v>
      </c>
      <c r="CC80">
        <v>15.601600000000019</v>
      </c>
      <c r="CD80" s="2">
        <v>45681</v>
      </c>
      <c r="CE80" t="s">
        <v>1732</v>
      </c>
      <c r="CF80">
        <v>5</v>
      </c>
      <c r="CG80">
        <v>8.9999999999999998E-4</v>
      </c>
      <c r="CH80">
        <v>6.0921257613706548</v>
      </c>
      <c r="CI80">
        <v>615.78612095974506</v>
      </c>
      <c r="CJ80">
        <v>0.42399999999999999</v>
      </c>
      <c r="CK80">
        <v>1.5E-3</v>
      </c>
      <c r="CL80">
        <v>15.599699999999984</v>
      </c>
    </row>
    <row r="81" spans="1:90" x14ac:dyDescent="0.3">
      <c r="A81" s="2">
        <v>45681</v>
      </c>
      <c r="B81" t="s">
        <v>179</v>
      </c>
      <c r="C81">
        <v>0</v>
      </c>
      <c r="D81">
        <v>-1.8E-3</v>
      </c>
      <c r="E81">
        <v>6.0202535489116684</v>
      </c>
      <c r="F81">
        <v>609.08763075856757</v>
      </c>
      <c r="G81">
        <v>0.42399999999999999</v>
      </c>
      <c r="H81">
        <v>4.0000000000000002E-4</v>
      </c>
      <c r="I81">
        <v>15.800350000000002</v>
      </c>
      <c r="J81" s="2">
        <v>45681</v>
      </c>
      <c r="K81" t="s">
        <v>339</v>
      </c>
      <c r="L81">
        <v>1</v>
      </c>
      <c r="M81">
        <v>-1.6999999999999999E-3</v>
      </c>
      <c r="N81">
        <v>6.02007905862913</v>
      </c>
      <c r="O81">
        <v>609.07136826423493</v>
      </c>
      <c r="P81">
        <v>0.42399999999999999</v>
      </c>
      <c r="Q81">
        <v>4.0000000000000002E-4</v>
      </c>
      <c r="R81">
        <v>15.800869999999989</v>
      </c>
      <c r="S81" s="2">
        <v>45681</v>
      </c>
      <c r="T81" t="s">
        <v>499</v>
      </c>
      <c r="U81">
        <v>1</v>
      </c>
      <c r="V81">
        <v>-5.0000000000000001E-4</v>
      </c>
      <c r="W81">
        <v>6.0204236925477694</v>
      </c>
      <c r="X81">
        <v>609.10348814545205</v>
      </c>
      <c r="Y81">
        <v>0.42399999999999999</v>
      </c>
      <c r="Z81">
        <v>4.0000000000000002E-4</v>
      </c>
      <c r="AA81">
        <v>15.799399999999991</v>
      </c>
      <c r="AB81" s="2">
        <v>45681</v>
      </c>
      <c r="AC81" t="s">
        <v>699</v>
      </c>
      <c r="AD81">
        <v>2</v>
      </c>
      <c r="AE81">
        <v>-1.4E-3</v>
      </c>
      <c r="AF81">
        <v>6.0210443263512001</v>
      </c>
      <c r="AG81">
        <v>609.16133121593191</v>
      </c>
      <c r="AH81">
        <v>0.42399999999999999</v>
      </c>
      <c r="AI81">
        <v>4.0000000000000002E-4</v>
      </c>
      <c r="AJ81">
        <v>15.797300000000007</v>
      </c>
      <c r="AK81" s="2">
        <v>45681</v>
      </c>
      <c r="AL81" t="s">
        <v>859</v>
      </c>
      <c r="AM81">
        <v>2</v>
      </c>
      <c r="AN81">
        <v>-1.2999999999999999E-3</v>
      </c>
      <c r="AO81">
        <v>6.0208173884271519</v>
      </c>
      <c r="AP81">
        <v>609.14018060141052</v>
      </c>
      <c r="AQ81">
        <v>0.42399999999999999</v>
      </c>
      <c r="AR81">
        <v>4.0000000000000002E-4</v>
      </c>
      <c r="AS81">
        <v>15.799800000000005</v>
      </c>
      <c r="AT81" s="2">
        <v>45681</v>
      </c>
      <c r="AU81" t="s">
        <v>1017</v>
      </c>
      <c r="AV81">
        <v>3</v>
      </c>
      <c r="AW81">
        <v>-1.2999999999999999E-3</v>
      </c>
      <c r="AX81">
        <v>6.0212868505708741</v>
      </c>
      <c r="AY81">
        <v>609.18393447320545</v>
      </c>
      <c r="AZ81">
        <v>0.42399999999999999</v>
      </c>
      <c r="BA81">
        <v>4.0000000000000002E-4</v>
      </c>
      <c r="BB81">
        <v>15.799799999999976</v>
      </c>
      <c r="BC81" s="2">
        <v>45681</v>
      </c>
      <c r="BD81" t="s">
        <v>1217</v>
      </c>
      <c r="BE81">
        <v>4</v>
      </c>
      <c r="BF81">
        <v>-3.0000000000000001E-3</v>
      </c>
      <c r="BG81">
        <v>6.0210636591965567</v>
      </c>
      <c r="BH81">
        <v>711.39894125775322</v>
      </c>
      <c r="BI81">
        <v>0.42399999999999999</v>
      </c>
      <c r="BJ81">
        <v>4.0000000000000002E-4</v>
      </c>
      <c r="BK81">
        <v>16.20350000000002</v>
      </c>
      <c r="BL81" s="2">
        <v>45681</v>
      </c>
      <c r="BM81" t="s">
        <v>1375</v>
      </c>
      <c r="BN81">
        <v>4</v>
      </c>
      <c r="BO81">
        <v>-1.1999999999999999E-3</v>
      </c>
      <c r="BP81">
        <v>6.0197510976677302</v>
      </c>
      <c r="BQ81">
        <v>609.04080230263253</v>
      </c>
      <c r="BR81">
        <v>0.42399999999999999</v>
      </c>
      <c r="BS81">
        <v>4.0000000000000002E-4</v>
      </c>
      <c r="BT81">
        <v>15.802500000000009</v>
      </c>
      <c r="BU81" s="2">
        <v>45681</v>
      </c>
      <c r="BV81" t="s">
        <v>1573</v>
      </c>
      <c r="BW81">
        <v>5</v>
      </c>
      <c r="BX81">
        <v>-1.1000000000000001E-3</v>
      </c>
      <c r="BY81">
        <v>6.0194914139259152</v>
      </c>
      <c r="BZ81">
        <v>609.01659977789529</v>
      </c>
      <c r="CA81">
        <v>0.42399999999999999</v>
      </c>
      <c r="CB81">
        <v>4.0000000000000002E-4</v>
      </c>
      <c r="CC81">
        <v>15.800399999999968</v>
      </c>
      <c r="CD81" s="2">
        <v>45681</v>
      </c>
      <c r="CE81" t="s">
        <v>1733</v>
      </c>
      <c r="CF81">
        <v>5</v>
      </c>
      <c r="CG81">
        <v>-1.5E-3</v>
      </c>
      <c r="CH81">
        <v>6.0190277540686257</v>
      </c>
      <c r="CI81">
        <v>608.97338667919598</v>
      </c>
      <c r="CJ81">
        <v>0.42399999999999999</v>
      </c>
      <c r="CK81">
        <v>4.0000000000000002E-4</v>
      </c>
      <c r="CL81">
        <v>15.800700000000006</v>
      </c>
    </row>
    <row r="82" spans="1:90" x14ac:dyDescent="0.3">
      <c r="A82" s="2">
        <v>45681</v>
      </c>
      <c r="B82" t="s">
        <v>180</v>
      </c>
      <c r="C82">
        <v>0</v>
      </c>
      <c r="D82">
        <v>-2.8E-3</v>
      </c>
      <c r="E82">
        <v>5.9957368673229956</v>
      </c>
      <c r="F82">
        <v>606.80267603450329</v>
      </c>
      <c r="G82">
        <v>0.42399999999999999</v>
      </c>
      <c r="H82">
        <v>0</v>
      </c>
      <c r="I82">
        <v>16.000899999999994</v>
      </c>
      <c r="J82" s="2">
        <v>45681</v>
      </c>
      <c r="K82" t="s">
        <v>340</v>
      </c>
      <c r="L82">
        <v>1</v>
      </c>
      <c r="M82">
        <v>-3.0000000000000001E-3</v>
      </c>
      <c r="N82">
        <v>5.9957343296895793</v>
      </c>
      <c r="O82">
        <v>606.80243952706883</v>
      </c>
      <c r="P82">
        <v>0.42399999999999999</v>
      </c>
      <c r="Q82">
        <v>0</v>
      </c>
      <c r="R82">
        <v>15.999469999999988</v>
      </c>
      <c r="S82" s="2">
        <v>45681</v>
      </c>
      <c r="T82" t="s">
        <v>500</v>
      </c>
      <c r="U82">
        <v>1</v>
      </c>
      <c r="V82">
        <v>-2.8999999999999998E-3</v>
      </c>
      <c r="W82">
        <v>5.995734813048017</v>
      </c>
      <c r="X82">
        <v>606.80248457607524</v>
      </c>
      <c r="Y82">
        <v>0.42399999999999999</v>
      </c>
      <c r="Z82">
        <v>0</v>
      </c>
      <c r="AA82">
        <v>15.99969999999999</v>
      </c>
      <c r="AB82" s="2">
        <v>45681</v>
      </c>
      <c r="AC82" t="s">
        <v>700</v>
      </c>
      <c r="AD82">
        <v>2</v>
      </c>
      <c r="AE82">
        <v>-2.5999999999999999E-3</v>
      </c>
      <c r="AF82">
        <v>5.9957336046511944</v>
      </c>
      <c r="AG82">
        <v>606.80237195349127</v>
      </c>
      <c r="AH82">
        <v>0.42399999999999999</v>
      </c>
      <c r="AI82">
        <v>0</v>
      </c>
      <c r="AJ82">
        <v>15.999100000000027</v>
      </c>
      <c r="AK82" s="2">
        <v>45681</v>
      </c>
      <c r="AL82" t="s">
        <v>860</v>
      </c>
      <c r="AM82">
        <v>2</v>
      </c>
      <c r="AN82">
        <v>-2.7000000000000001E-3</v>
      </c>
      <c r="AO82">
        <v>5.9957337254908847</v>
      </c>
      <c r="AP82">
        <v>606.80238321575052</v>
      </c>
      <c r="AQ82">
        <v>0.42399999999999999</v>
      </c>
      <c r="AR82">
        <v>0</v>
      </c>
      <c r="AS82">
        <v>15.999700000000018</v>
      </c>
      <c r="AT82" s="2">
        <v>45681</v>
      </c>
      <c r="AU82" t="s">
        <v>1018</v>
      </c>
      <c r="AV82">
        <v>3</v>
      </c>
      <c r="AW82">
        <v>-3.0000000000000001E-3</v>
      </c>
      <c r="AX82">
        <v>5.9957334838115024</v>
      </c>
      <c r="AY82">
        <v>606.80236069123202</v>
      </c>
      <c r="AZ82">
        <v>0.42399999999999999</v>
      </c>
      <c r="BA82">
        <v>0</v>
      </c>
      <c r="BB82">
        <v>16.001899999999978</v>
      </c>
      <c r="BC82" s="2">
        <v>45681</v>
      </c>
      <c r="BD82" t="s">
        <v>1218</v>
      </c>
      <c r="BE82">
        <v>4</v>
      </c>
      <c r="BF82">
        <v>-1E-3</v>
      </c>
      <c r="BG82">
        <v>6.0955511782663407</v>
      </c>
      <c r="BH82">
        <v>718.46780681747578</v>
      </c>
      <c r="BI82">
        <v>0.42399999999999999</v>
      </c>
      <c r="BJ82">
        <v>1.6000000000000001E-3</v>
      </c>
      <c r="BK82">
        <v>16.403200000000027</v>
      </c>
      <c r="BL82" s="2">
        <v>45681</v>
      </c>
      <c r="BM82" t="s">
        <v>1376</v>
      </c>
      <c r="BN82">
        <v>4</v>
      </c>
      <c r="BO82">
        <v>-2.2000000000000001E-3</v>
      </c>
      <c r="BP82">
        <v>5.9957412175537979</v>
      </c>
      <c r="BQ82">
        <v>606.80308147601397</v>
      </c>
      <c r="BR82">
        <v>0.42399999999999999</v>
      </c>
      <c r="BS82">
        <v>0</v>
      </c>
      <c r="BT82">
        <v>16.002199999999959</v>
      </c>
      <c r="BU82" s="2">
        <v>45681</v>
      </c>
      <c r="BV82" t="s">
        <v>1574</v>
      </c>
      <c r="BW82">
        <v>5</v>
      </c>
      <c r="BX82">
        <v>-2.8999999999999998E-3</v>
      </c>
      <c r="BY82">
        <v>5.9957472595383177</v>
      </c>
      <c r="BZ82">
        <v>606.80364458897122</v>
      </c>
      <c r="CA82">
        <v>0.42399999999999999</v>
      </c>
      <c r="CB82">
        <v>0</v>
      </c>
      <c r="CC82">
        <v>16.000200000000007</v>
      </c>
      <c r="CD82" s="2">
        <v>45681</v>
      </c>
      <c r="CE82" t="s">
        <v>1734</v>
      </c>
      <c r="CF82">
        <v>5</v>
      </c>
      <c r="CG82">
        <v>-2.7000000000000001E-3</v>
      </c>
      <c r="CH82">
        <v>5.9957650229726456</v>
      </c>
      <c r="CI82">
        <v>606.80530014105068</v>
      </c>
      <c r="CJ82">
        <v>0.42399999999999999</v>
      </c>
      <c r="CK82">
        <v>0</v>
      </c>
      <c r="CL82">
        <v>16.000999999999976</v>
      </c>
    </row>
    <row r="83" spans="1:90" x14ac:dyDescent="0.3">
      <c r="A83" s="2">
        <v>45681</v>
      </c>
      <c r="B83" t="s">
        <v>181</v>
      </c>
      <c r="C83">
        <v>0</v>
      </c>
      <c r="D83">
        <v>-3.0999999999999999E-3</v>
      </c>
      <c r="E83">
        <v>6.0214459978402344</v>
      </c>
      <c r="F83">
        <v>711.43522519503824</v>
      </c>
      <c r="G83">
        <v>0.42399999999999999</v>
      </c>
      <c r="H83">
        <v>4.0000000000000002E-4</v>
      </c>
      <c r="I83">
        <v>16.20158</v>
      </c>
      <c r="J83" s="2">
        <v>45681</v>
      </c>
      <c r="K83" t="s">
        <v>341</v>
      </c>
      <c r="L83">
        <v>1</v>
      </c>
      <c r="M83">
        <v>-3.0999999999999999E-3</v>
      </c>
      <c r="N83">
        <v>6.0208948455045164</v>
      </c>
      <c r="O83">
        <v>711.3829208383786</v>
      </c>
      <c r="P83">
        <v>0.42399999999999999</v>
      </c>
      <c r="Q83">
        <v>4.0000000000000002E-4</v>
      </c>
      <c r="R83">
        <v>16.199169999999995</v>
      </c>
      <c r="S83" s="2">
        <v>45681</v>
      </c>
      <c r="T83" t="s">
        <v>501</v>
      </c>
      <c r="U83">
        <v>1</v>
      </c>
      <c r="V83">
        <v>-3.0999999999999999E-3</v>
      </c>
      <c r="W83">
        <v>6.0210368332517392</v>
      </c>
      <c r="X83">
        <v>711.39639547559011</v>
      </c>
      <c r="Y83">
        <v>0.42399999999999999</v>
      </c>
      <c r="Z83">
        <v>4.0000000000000002E-4</v>
      </c>
      <c r="AA83">
        <v>16.199700000000007</v>
      </c>
      <c r="AB83" s="2">
        <v>45681</v>
      </c>
      <c r="AC83" t="s">
        <v>701</v>
      </c>
      <c r="AD83">
        <v>2</v>
      </c>
      <c r="AE83">
        <v>-3.0999999999999999E-3</v>
      </c>
      <c r="AF83">
        <v>6.0204957122623766</v>
      </c>
      <c r="AG83">
        <v>711.34504309369959</v>
      </c>
      <c r="AH83">
        <v>0.42399999999999999</v>
      </c>
      <c r="AI83">
        <v>4.0000000000000002E-4</v>
      </c>
      <c r="AJ83">
        <v>16.197900000000004</v>
      </c>
      <c r="AK83" s="2">
        <v>45681</v>
      </c>
      <c r="AL83" t="s">
        <v>861</v>
      </c>
      <c r="AM83">
        <v>2</v>
      </c>
      <c r="AN83">
        <v>-3.0000000000000001E-3</v>
      </c>
      <c r="AO83">
        <v>6.0203592835191362</v>
      </c>
      <c r="AP83">
        <v>711.33209600596604</v>
      </c>
      <c r="AQ83">
        <v>0.42399999999999999</v>
      </c>
      <c r="AR83">
        <v>4.0000000000000002E-4</v>
      </c>
      <c r="AS83">
        <v>16.199000000000012</v>
      </c>
      <c r="AT83" s="2">
        <v>45681</v>
      </c>
      <c r="AU83" t="s">
        <v>1019</v>
      </c>
      <c r="AV83">
        <v>3</v>
      </c>
      <c r="AW83">
        <v>-3.0999999999999999E-3</v>
      </c>
      <c r="AX83">
        <v>6.0201323496497974</v>
      </c>
      <c r="AY83">
        <v>711.31055998176578</v>
      </c>
      <c r="AZ83">
        <v>0.42399999999999999</v>
      </c>
      <c r="BA83">
        <v>4.0000000000000002E-4</v>
      </c>
      <c r="BB83">
        <v>16.199899999999985</v>
      </c>
      <c r="BC83" s="2">
        <v>45681</v>
      </c>
      <c r="BD83" t="s">
        <v>1219</v>
      </c>
      <c r="BE83">
        <v>4</v>
      </c>
      <c r="BF83">
        <v>2.2000000000000001E-3</v>
      </c>
      <c r="BG83">
        <v>6.2173689452197394</v>
      </c>
      <c r="BH83">
        <v>730.02831290135327</v>
      </c>
      <c r="BI83">
        <v>0.42399999999999999</v>
      </c>
      <c r="BJ83">
        <v>3.3999999999999998E-3</v>
      </c>
      <c r="BK83">
        <v>16.602900000000034</v>
      </c>
      <c r="BL83" s="2">
        <v>45681</v>
      </c>
      <c r="BM83" t="s">
        <v>1377</v>
      </c>
      <c r="BN83">
        <v>4</v>
      </c>
      <c r="BO83">
        <v>-2.8999999999999998E-3</v>
      </c>
      <c r="BP83">
        <v>6.0213014718461171</v>
      </c>
      <c r="BQ83">
        <v>711.42150967819657</v>
      </c>
      <c r="BR83">
        <v>0.42399999999999999</v>
      </c>
      <c r="BS83">
        <v>4.0000000000000002E-4</v>
      </c>
      <c r="BT83">
        <v>16.201099999999997</v>
      </c>
      <c r="BU83" s="2">
        <v>45681</v>
      </c>
      <c r="BV83" t="s">
        <v>1575</v>
      </c>
      <c r="BW83">
        <v>5</v>
      </c>
      <c r="BX83">
        <v>-3.0999999999999999E-3</v>
      </c>
      <c r="BY83">
        <v>6.022040649078007</v>
      </c>
      <c r="BZ83">
        <v>711.49165759750292</v>
      </c>
      <c r="CA83">
        <v>0.42399999999999999</v>
      </c>
      <c r="CB83">
        <v>4.0000000000000002E-4</v>
      </c>
      <c r="CC83">
        <v>16.200800000000015</v>
      </c>
      <c r="CD83" s="2">
        <v>45681</v>
      </c>
      <c r="CE83" t="s">
        <v>1735</v>
      </c>
      <c r="CF83">
        <v>5</v>
      </c>
      <c r="CG83">
        <v>-3.0999999999999999E-3</v>
      </c>
      <c r="CH83">
        <v>6.0221135162264838</v>
      </c>
      <c r="CI83">
        <v>711.49857268989331</v>
      </c>
      <c r="CJ83">
        <v>0.42399999999999999</v>
      </c>
      <c r="CK83">
        <v>4.0000000000000002E-4</v>
      </c>
      <c r="CL83">
        <v>16.1995</v>
      </c>
    </row>
    <row r="84" spans="1:90" x14ac:dyDescent="0.3">
      <c r="A84" s="2">
        <v>45681</v>
      </c>
      <c r="B84" t="s">
        <v>182</v>
      </c>
      <c r="C84">
        <v>0</v>
      </c>
      <c r="D84">
        <v>-1E-3</v>
      </c>
      <c r="E84">
        <v>6.0959171967123327</v>
      </c>
      <c r="F84">
        <v>718.5025419680004</v>
      </c>
      <c r="G84">
        <v>0.42399999999999999</v>
      </c>
      <c r="H84">
        <v>1.6000000000000001E-3</v>
      </c>
      <c r="I84">
        <v>16.400519999999993</v>
      </c>
      <c r="J84" s="2">
        <v>45681</v>
      </c>
      <c r="K84" t="s">
        <v>342</v>
      </c>
      <c r="L84">
        <v>1</v>
      </c>
      <c r="M84">
        <v>-5.0000000000000001E-4</v>
      </c>
      <c r="N84">
        <v>6.095247642862919</v>
      </c>
      <c r="O84">
        <v>718.439001307691</v>
      </c>
      <c r="P84">
        <v>0.42399999999999999</v>
      </c>
      <c r="Q84">
        <v>1.5E-3</v>
      </c>
      <c r="R84">
        <v>16.398969999999991</v>
      </c>
      <c r="S84" s="2">
        <v>45681</v>
      </c>
      <c r="T84" t="s">
        <v>502</v>
      </c>
      <c r="U84">
        <v>1</v>
      </c>
      <c r="V84">
        <v>-8.9999999999999998E-4</v>
      </c>
      <c r="W84">
        <v>6.0946804298307962</v>
      </c>
      <c r="X84">
        <v>718.38517279094265</v>
      </c>
      <c r="Y84">
        <v>0.42399999999999999</v>
      </c>
      <c r="Z84">
        <v>1.5E-3</v>
      </c>
      <c r="AA84">
        <v>16.397700000000015</v>
      </c>
      <c r="AB84" s="2">
        <v>45681</v>
      </c>
      <c r="AC84" t="s">
        <v>702</v>
      </c>
      <c r="AD84">
        <v>2</v>
      </c>
      <c r="AE84">
        <v>-6.9999999999999999E-4</v>
      </c>
      <c r="AF84">
        <v>6.0952621181686917</v>
      </c>
      <c r="AG84">
        <v>718.44037501420883</v>
      </c>
      <c r="AH84">
        <v>0.42399999999999999</v>
      </c>
      <c r="AI84">
        <v>1.5E-3</v>
      </c>
      <c r="AJ84">
        <v>16.399300000000011</v>
      </c>
      <c r="AK84" s="2">
        <v>45681</v>
      </c>
      <c r="AL84" t="s">
        <v>862</v>
      </c>
      <c r="AM84">
        <v>2</v>
      </c>
      <c r="AN84">
        <v>-5.9999999999999995E-4</v>
      </c>
      <c r="AO84">
        <v>6.0944277404594187</v>
      </c>
      <c r="AP84">
        <v>718.36119256959887</v>
      </c>
      <c r="AQ84">
        <v>0.42399999999999999</v>
      </c>
      <c r="AR84">
        <v>1.5E-3</v>
      </c>
      <c r="AS84">
        <v>16.399200000000008</v>
      </c>
      <c r="AT84" s="2">
        <v>45681</v>
      </c>
      <c r="AU84" t="s">
        <v>1020</v>
      </c>
      <c r="AV84">
        <v>3</v>
      </c>
      <c r="AW84">
        <v>-8.0000000000000004E-4</v>
      </c>
      <c r="AX84">
        <v>6.0937393322201334</v>
      </c>
      <c r="AY84">
        <v>718.29586262769067</v>
      </c>
      <c r="AZ84">
        <v>0.42399999999999999</v>
      </c>
      <c r="BA84">
        <v>1.5E-3</v>
      </c>
      <c r="BB84">
        <v>16.399699999999996</v>
      </c>
      <c r="BC84" s="2">
        <v>45681</v>
      </c>
      <c r="BD84" t="s">
        <v>1220</v>
      </c>
      <c r="BE84">
        <v>4</v>
      </c>
      <c r="BF84">
        <v>4.5999999999999999E-3</v>
      </c>
      <c r="BG84">
        <v>6.3821983194818506</v>
      </c>
      <c r="BH84">
        <v>745.67062051882772</v>
      </c>
      <c r="BI84">
        <v>0.42399999999999999</v>
      </c>
      <c r="BJ84">
        <v>6.0000000000000001E-3</v>
      </c>
      <c r="BK84">
        <v>16.801199999999994</v>
      </c>
      <c r="BL84" s="2">
        <v>45681</v>
      </c>
      <c r="BM84" t="s">
        <v>1378</v>
      </c>
      <c r="BN84">
        <v>4</v>
      </c>
      <c r="BO84">
        <v>-1.2999999999999999E-3</v>
      </c>
      <c r="BP84">
        <v>6.0959127365340837</v>
      </c>
      <c r="BQ84">
        <v>718.5021186970846</v>
      </c>
      <c r="BR84">
        <v>0.42399999999999999</v>
      </c>
      <c r="BS84">
        <v>1.6000000000000001E-3</v>
      </c>
      <c r="BT84">
        <v>16.400599999999997</v>
      </c>
      <c r="BU84" s="2">
        <v>45681</v>
      </c>
      <c r="BV84" t="s">
        <v>1576</v>
      </c>
      <c r="BW84">
        <v>5</v>
      </c>
      <c r="BX84">
        <v>-1E-3</v>
      </c>
      <c r="BY84">
        <v>6.0974051121763964</v>
      </c>
      <c r="BZ84">
        <v>718.64374514554004</v>
      </c>
      <c r="CA84">
        <v>0.42399999999999999</v>
      </c>
      <c r="CB84">
        <v>1.6000000000000001E-3</v>
      </c>
      <c r="CC84">
        <v>16.400399999999991</v>
      </c>
      <c r="CD84" s="2">
        <v>45681</v>
      </c>
      <c r="CE84" t="s">
        <v>1736</v>
      </c>
      <c r="CF84">
        <v>5</v>
      </c>
      <c r="CG84">
        <v>-1.1000000000000001E-3</v>
      </c>
      <c r="CH84">
        <v>6.097411640255471</v>
      </c>
      <c r="CI84">
        <v>718.64436466024426</v>
      </c>
      <c r="CJ84">
        <v>0.42399999999999999</v>
      </c>
      <c r="CK84">
        <v>1.6000000000000001E-3</v>
      </c>
      <c r="CL84">
        <v>16.398799999999994</v>
      </c>
    </row>
    <row r="85" spans="1:90" x14ac:dyDescent="0.3">
      <c r="A85" s="2">
        <v>45681</v>
      </c>
      <c r="B85" t="s">
        <v>183</v>
      </c>
      <c r="C85">
        <v>0</v>
      </c>
      <c r="D85">
        <v>2.5000000000000001E-3</v>
      </c>
      <c r="E85">
        <v>6.217564219932922</v>
      </c>
      <c r="F85">
        <v>730.04684447163436</v>
      </c>
      <c r="G85">
        <v>0.42399999999999999</v>
      </c>
      <c r="H85">
        <v>3.3999999999999998E-3</v>
      </c>
      <c r="I85">
        <v>16.599769999999999</v>
      </c>
      <c r="J85" s="2">
        <v>45681</v>
      </c>
      <c r="K85" t="s">
        <v>343</v>
      </c>
      <c r="L85">
        <v>1</v>
      </c>
      <c r="M85">
        <v>2.0999999999999999E-3</v>
      </c>
      <c r="N85">
        <v>6.217499831177828</v>
      </c>
      <c r="O85">
        <v>730.04073397877596</v>
      </c>
      <c r="P85">
        <v>0.42399999999999999</v>
      </c>
      <c r="Q85">
        <v>3.3999999999999998E-3</v>
      </c>
      <c r="R85">
        <v>16.599469999999997</v>
      </c>
      <c r="S85" s="2">
        <v>45681</v>
      </c>
      <c r="T85" t="s">
        <v>503</v>
      </c>
      <c r="U85">
        <v>1</v>
      </c>
      <c r="V85">
        <v>2.0999999999999999E-3</v>
      </c>
      <c r="W85">
        <v>6.2161676975759006</v>
      </c>
      <c r="X85">
        <v>729.91431449995298</v>
      </c>
      <c r="Y85">
        <v>0.42399999999999999</v>
      </c>
      <c r="Z85">
        <v>3.3999999999999998E-3</v>
      </c>
      <c r="AA85">
        <v>16.5976</v>
      </c>
      <c r="AB85" s="2">
        <v>45681</v>
      </c>
      <c r="AC85" t="s">
        <v>703</v>
      </c>
      <c r="AD85">
        <v>2</v>
      </c>
      <c r="AE85">
        <v>1.9E-3</v>
      </c>
      <c r="AF85">
        <v>6.2160883064030594</v>
      </c>
      <c r="AG85">
        <v>729.90678027765034</v>
      </c>
      <c r="AH85">
        <v>0.42399999999999999</v>
      </c>
      <c r="AI85">
        <v>3.3999999999999998E-3</v>
      </c>
      <c r="AJ85">
        <v>16.59790000000001</v>
      </c>
      <c r="AK85" s="2">
        <v>45681</v>
      </c>
      <c r="AL85" t="s">
        <v>863</v>
      </c>
      <c r="AM85">
        <v>2</v>
      </c>
      <c r="AN85">
        <v>2E-3</v>
      </c>
      <c r="AO85">
        <v>6.2175868452007697</v>
      </c>
      <c r="AP85">
        <v>730.04899160955313</v>
      </c>
      <c r="AQ85">
        <v>0.42399999999999999</v>
      </c>
      <c r="AR85">
        <v>3.3999999999999998E-3</v>
      </c>
      <c r="AS85">
        <v>16.601500000000016</v>
      </c>
      <c r="AT85" s="2">
        <v>45681</v>
      </c>
      <c r="AU85" t="s">
        <v>1021</v>
      </c>
      <c r="AV85">
        <v>3</v>
      </c>
      <c r="AW85">
        <v>2.3E-3</v>
      </c>
      <c r="AX85">
        <v>6.2160229445181638</v>
      </c>
      <c r="AY85">
        <v>729.90057743477382</v>
      </c>
      <c r="AZ85">
        <v>0.42399999999999999</v>
      </c>
      <c r="BA85">
        <v>3.3999999999999998E-3</v>
      </c>
      <c r="BB85">
        <v>16.601199999999977</v>
      </c>
      <c r="BC85" s="2">
        <v>45681</v>
      </c>
      <c r="BD85" t="s">
        <v>1221</v>
      </c>
      <c r="BE85">
        <v>4</v>
      </c>
      <c r="BF85">
        <v>7.0000000000000001E-3</v>
      </c>
      <c r="BG85">
        <v>6.5900287182661028</v>
      </c>
      <c r="BH85">
        <v>765.3937253634532</v>
      </c>
      <c r="BI85">
        <v>0.42399999999999999</v>
      </c>
      <c r="BJ85">
        <v>9.1999999999999998E-3</v>
      </c>
      <c r="BK85">
        <v>17.002400000000023</v>
      </c>
      <c r="BL85" s="2">
        <v>45681</v>
      </c>
      <c r="BM85" t="s">
        <v>1379</v>
      </c>
      <c r="BN85">
        <v>4</v>
      </c>
      <c r="BO85">
        <v>2.2000000000000001E-3</v>
      </c>
      <c r="BP85">
        <v>6.2173502124710929</v>
      </c>
      <c r="BQ85">
        <v>730.02653516350676</v>
      </c>
      <c r="BR85">
        <v>0.42399999999999999</v>
      </c>
      <c r="BS85">
        <v>3.3999999999999998E-3</v>
      </c>
      <c r="BT85">
        <v>16.599600000000009</v>
      </c>
      <c r="BU85" s="2">
        <v>45681</v>
      </c>
      <c r="BV85" t="s">
        <v>1577</v>
      </c>
      <c r="BW85">
        <v>5</v>
      </c>
      <c r="BX85">
        <v>2E-3</v>
      </c>
      <c r="BY85">
        <v>6.2207635868855036</v>
      </c>
      <c r="BZ85">
        <v>730.35046439543441</v>
      </c>
      <c r="CA85">
        <v>0.42399999999999999</v>
      </c>
      <c r="CB85">
        <v>3.5000000000000001E-3</v>
      </c>
      <c r="CC85">
        <v>16.601099999999974</v>
      </c>
      <c r="CD85" s="2">
        <v>45681</v>
      </c>
      <c r="CE85" t="s">
        <v>1737</v>
      </c>
      <c r="CF85">
        <v>5</v>
      </c>
      <c r="CG85">
        <v>2.0999999999999999E-3</v>
      </c>
      <c r="CH85">
        <v>6.2205181554405531</v>
      </c>
      <c r="CI85">
        <v>730.32717295130851</v>
      </c>
      <c r="CJ85">
        <v>0.42399999999999999</v>
      </c>
      <c r="CK85">
        <v>3.5000000000000001E-3</v>
      </c>
      <c r="CL85">
        <v>16.599199999999996</v>
      </c>
    </row>
    <row r="86" spans="1:90" x14ac:dyDescent="0.3">
      <c r="A86" s="2">
        <v>45681</v>
      </c>
      <c r="B86" t="s">
        <v>184</v>
      </c>
      <c r="C86">
        <v>0</v>
      </c>
      <c r="D86">
        <v>4.3E-3</v>
      </c>
      <c r="E86">
        <v>6.3840423193585334</v>
      </c>
      <c r="F86">
        <v>745.84561610712478</v>
      </c>
      <c r="G86">
        <v>0.42399999999999999</v>
      </c>
      <c r="H86">
        <v>6.0000000000000001E-3</v>
      </c>
      <c r="I86">
        <v>16.799770000000002</v>
      </c>
      <c r="J86" s="2">
        <v>45681</v>
      </c>
      <c r="K86" t="s">
        <v>344</v>
      </c>
      <c r="L86">
        <v>1</v>
      </c>
      <c r="M86">
        <v>3.8E-3</v>
      </c>
      <c r="N86">
        <v>6.3844779571322938</v>
      </c>
      <c r="O86">
        <v>745.88695813185473</v>
      </c>
      <c r="P86">
        <v>0.42399999999999999</v>
      </c>
      <c r="Q86">
        <v>6.0000000000000001E-3</v>
      </c>
      <c r="R86">
        <v>16.800069999999991</v>
      </c>
      <c r="S86" s="2">
        <v>45681</v>
      </c>
      <c r="T86" t="s">
        <v>504</v>
      </c>
      <c r="U86">
        <v>1</v>
      </c>
      <c r="V86">
        <v>4.3E-3</v>
      </c>
      <c r="W86">
        <v>6.3851735016567801</v>
      </c>
      <c r="X86">
        <v>745.95296530722851</v>
      </c>
      <c r="Y86">
        <v>0.42399999999999999</v>
      </c>
      <c r="Z86">
        <v>6.1000000000000004E-3</v>
      </c>
      <c r="AA86">
        <v>16.800700000000006</v>
      </c>
      <c r="AB86" s="2">
        <v>45681</v>
      </c>
      <c r="AC86" t="s">
        <v>704</v>
      </c>
      <c r="AD86">
        <v>2</v>
      </c>
      <c r="AE86">
        <v>4.1000000000000003E-3</v>
      </c>
      <c r="AF86">
        <v>6.3841229269436246</v>
      </c>
      <c r="AG86">
        <v>745.85326576695013</v>
      </c>
      <c r="AH86">
        <v>0.42399999999999999</v>
      </c>
      <c r="AI86">
        <v>6.0000000000000001E-3</v>
      </c>
      <c r="AJ86">
        <v>16.800000000000011</v>
      </c>
      <c r="AK86" s="2">
        <v>45681</v>
      </c>
      <c r="AL86" t="s">
        <v>864</v>
      </c>
      <c r="AM86">
        <v>2</v>
      </c>
      <c r="AN86">
        <v>4.3E-3</v>
      </c>
      <c r="AO86">
        <v>6.3818621436830583</v>
      </c>
      <c r="AP86">
        <v>745.63871743552227</v>
      </c>
      <c r="AQ86">
        <v>0.42399999999999999</v>
      </c>
      <c r="AR86">
        <v>6.0000000000000001E-3</v>
      </c>
      <c r="AS86">
        <v>16.799200000000013</v>
      </c>
      <c r="AT86" s="2">
        <v>45681</v>
      </c>
      <c r="AU86" t="s">
        <v>1022</v>
      </c>
      <c r="AV86">
        <v>3</v>
      </c>
      <c r="AW86">
        <v>4.4000000000000003E-3</v>
      </c>
      <c r="AX86">
        <v>6.3814384672964222</v>
      </c>
      <c r="AY86">
        <v>745.59851054643048</v>
      </c>
      <c r="AZ86">
        <v>0.42399999999999999</v>
      </c>
      <c r="BA86">
        <v>6.0000000000000001E-3</v>
      </c>
      <c r="BB86">
        <v>16.800599999999974</v>
      </c>
      <c r="BC86" s="2">
        <v>45681</v>
      </c>
      <c r="BD86" t="s">
        <v>1222</v>
      </c>
      <c r="BE86">
        <v>4</v>
      </c>
      <c r="BF86">
        <v>1.03E-2</v>
      </c>
      <c r="BG86">
        <v>6.834101836206262</v>
      </c>
      <c r="BH86">
        <v>788.55626425597427</v>
      </c>
      <c r="BI86">
        <v>0.42399999999999999</v>
      </c>
      <c r="BJ86">
        <v>1.2999999999999999E-2</v>
      </c>
      <c r="BK86">
        <v>17.204099999999983</v>
      </c>
      <c r="BL86" s="2">
        <v>45681</v>
      </c>
      <c r="BM86" t="s">
        <v>1380</v>
      </c>
      <c r="BN86">
        <v>4</v>
      </c>
      <c r="BO86">
        <v>3.8999999999999998E-3</v>
      </c>
      <c r="BP86">
        <v>6.3835195459206062</v>
      </c>
      <c r="BQ86">
        <v>745.79600490786561</v>
      </c>
      <c r="BR86">
        <v>0.42399999999999999</v>
      </c>
      <c r="BS86">
        <v>6.0000000000000001E-3</v>
      </c>
      <c r="BT86">
        <v>16.79929999999996</v>
      </c>
      <c r="BU86" s="2">
        <v>45681</v>
      </c>
      <c r="BV86" t="s">
        <v>1578</v>
      </c>
      <c r="BW86">
        <v>5</v>
      </c>
      <c r="BX86">
        <v>4.1000000000000003E-3</v>
      </c>
      <c r="BY86">
        <v>6.388095769898837</v>
      </c>
      <c r="BZ86">
        <v>746.23028856339965</v>
      </c>
      <c r="CA86">
        <v>0.42399999999999999</v>
      </c>
      <c r="CB86">
        <v>6.1000000000000004E-3</v>
      </c>
      <c r="CC86">
        <v>16.800999999999988</v>
      </c>
      <c r="CD86" s="2">
        <v>45681</v>
      </c>
      <c r="CE86" t="s">
        <v>1738</v>
      </c>
      <c r="CF86">
        <v>5</v>
      </c>
      <c r="CG86">
        <v>4.1999999999999997E-3</v>
      </c>
      <c r="CH86">
        <v>6.3875959866524328</v>
      </c>
      <c r="CI86">
        <v>746.1828591333159</v>
      </c>
      <c r="CJ86">
        <v>0.42399999999999999</v>
      </c>
      <c r="CK86">
        <v>6.1000000000000004E-3</v>
      </c>
      <c r="CL86">
        <v>16.798900000000003</v>
      </c>
    </row>
    <row r="87" spans="1:90" x14ac:dyDescent="0.3">
      <c r="A87" s="2">
        <v>45681</v>
      </c>
      <c r="B87" t="s">
        <v>185</v>
      </c>
      <c r="C87">
        <v>0</v>
      </c>
      <c r="D87">
        <v>6.8999999999999999E-3</v>
      </c>
      <c r="E87">
        <v>6.591794543382191</v>
      </c>
      <c r="F87">
        <v>765.56130216696999</v>
      </c>
      <c r="G87">
        <v>0.42399999999999999</v>
      </c>
      <c r="H87">
        <v>9.2999999999999992E-3</v>
      </c>
      <c r="I87">
        <v>17.000589999999995</v>
      </c>
      <c r="J87" s="2">
        <v>45681</v>
      </c>
      <c r="K87" t="s">
        <v>345</v>
      </c>
      <c r="L87">
        <v>1</v>
      </c>
      <c r="M87">
        <v>6.8999999999999999E-3</v>
      </c>
      <c r="N87">
        <v>6.5923350358918924</v>
      </c>
      <c r="O87">
        <v>765.61259490614054</v>
      </c>
      <c r="P87">
        <v>0.42399999999999999</v>
      </c>
      <c r="Q87">
        <v>9.2999999999999992E-3</v>
      </c>
      <c r="R87">
        <v>17.000869999999992</v>
      </c>
      <c r="S87" s="2">
        <v>45681</v>
      </c>
      <c r="T87" t="s">
        <v>505</v>
      </c>
      <c r="U87">
        <v>1</v>
      </c>
      <c r="V87">
        <v>7.1000000000000004E-3</v>
      </c>
      <c r="W87">
        <v>6.5885082029537427</v>
      </c>
      <c r="X87">
        <v>765.24942846031024</v>
      </c>
      <c r="Y87">
        <v>0.42399999999999999</v>
      </c>
      <c r="Z87">
        <v>9.1999999999999998E-3</v>
      </c>
      <c r="AA87">
        <v>16.997399999999999</v>
      </c>
      <c r="AB87" s="2">
        <v>45681</v>
      </c>
      <c r="AC87" t="s">
        <v>705</v>
      </c>
      <c r="AD87">
        <v>2</v>
      </c>
      <c r="AE87">
        <v>7.1000000000000004E-3</v>
      </c>
      <c r="AF87">
        <v>6.5903530948660727</v>
      </c>
      <c r="AG87">
        <v>765.42450870279038</v>
      </c>
      <c r="AH87">
        <v>0.42399999999999999</v>
      </c>
      <c r="AI87">
        <v>9.1999999999999998E-3</v>
      </c>
      <c r="AJ87">
        <v>16.999400000000009</v>
      </c>
      <c r="AK87" s="2">
        <v>45681</v>
      </c>
      <c r="AL87" t="s">
        <v>865</v>
      </c>
      <c r="AM87">
        <v>2</v>
      </c>
      <c r="AN87">
        <v>7.0000000000000001E-3</v>
      </c>
      <c r="AO87">
        <v>6.5901053522378463</v>
      </c>
      <c r="AP87">
        <v>765.40099792737169</v>
      </c>
      <c r="AQ87">
        <v>0.42399999999999999</v>
      </c>
      <c r="AR87">
        <v>9.1999999999999998E-3</v>
      </c>
      <c r="AS87">
        <v>17.000799999999998</v>
      </c>
      <c r="AT87" s="2">
        <v>45681</v>
      </c>
      <c r="AU87" t="s">
        <v>1023</v>
      </c>
      <c r="AV87">
        <v>3</v>
      </c>
      <c r="AW87">
        <v>6.0000000000000001E-3</v>
      </c>
      <c r="AX87">
        <v>6.5885669962124878</v>
      </c>
      <c r="AY87">
        <v>765.25500794056518</v>
      </c>
      <c r="AZ87">
        <v>0.42399999999999999</v>
      </c>
      <c r="BA87">
        <v>9.1999999999999998E-3</v>
      </c>
      <c r="BB87">
        <v>17.001299999999986</v>
      </c>
      <c r="BC87" s="2">
        <v>45681</v>
      </c>
      <c r="BD87" t="s">
        <v>1223</v>
      </c>
      <c r="BE87">
        <v>4</v>
      </c>
      <c r="BF87">
        <v>1.4E-2</v>
      </c>
      <c r="BG87">
        <v>7.1015296638735297</v>
      </c>
      <c r="BH87">
        <v>813.93516510159805</v>
      </c>
      <c r="BI87">
        <v>0.42399999999999999</v>
      </c>
      <c r="BJ87">
        <v>1.72E-2</v>
      </c>
      <c r="BK87">
        <v>17.401200000000017</v>
      </c>
      <c r="BL87" s="2">
        <v>45681</v>
      </c>
      <c r="BM87" t="s">
        <v>1381</v>
      </c>
      <c r="BN87">
        <v>4</v>
      </c>
      <c r="BO87">
        <v>7.1999999999999998E-3</v>
      </c>
      <c r="BP87">
        <v>6.5922551581541491</v>
      </c>
      <c r="BQ87">
        <v>765.60501450882873</v>
      </c>
      <c r="BR87">
        <v>0.42399999999999999</v>
      </c>
      <c r="BS87">
        <v>9.2999999999999992E-3</v>
      </c>
      <c r="BT87">
        <v>17.001100000000008</v>
      </c>
      <c r="BU87" s="2">
        <v>45681</v>
      </c>
      <c r="BV87" t="s">
        <v>1579</v>
      </c>
      <c r="BW87">
        <v>5</v>
      </c>
      <c r="BX87">
        <v>7.0000000000000001E-3</v>
      </c>
      <c r="BY87">
        <v>6.5963556838485244</v>
      </c>
      <c r="BZ87">
        <v>765.99415439722497</v>
      </c>
      <c r="CA87">
        <v>0.42399999999999999</v>
      </c>
      <c r="CB87">
        <v>9.2999999999999992E-3</v>
      </c>
      <c r="CC87">
        <v>17.001499999999965</v>
      </c>
      <c r="CD87" s="2">
        <v>45681</v>
      </c>
      <c r="CE87" t="s">
        <v>1739</v>
      </c>
      <c r="CF87">
        <v>5</v>
      </c>
      <c r="CG87">
        <v>7.1999999999999998E-3</v>
      </c>
      <c r="CH87">
        <v>6.5975579046221631</v>
      </c>
      <c r="CI87">
        <v>766.10824514864328</v>
      </c>
      <c r="CJ87">
        <v>0.42399999999999999</v>
      </c>
      <c r="CK87">
        <v>9.4000000000000004E-3</v>
      </c>
      <c r="CL87">
        <v>17.000999999999976</v>
      </c>
    </row>
    <row r="88" spans="1:90" x14ac:dyDescent="0.3">
      <c r="A88" s="2">
        <v>45681</v>
      </c>
      <c r="B88" t="s">
        <v>186</v>
      </c>
      <c r="C88">
        <v>0</v>
      </c>
      <c r="D88">
        <v>1.0500000000000001E-2</v>
      </c>
      <c r="E88">
        <v>6.8340300678835177</v>
      </c>
      <c r="F88">
        <v>788.54945344214582</v>
      </c>
      <c r="G88">
        <v>0.42399999999999999</v>
      </c>
      <c r="H88">
        <v>1.2999999999999999E-2</v>
      </c>
      <c r="I88">
        <v>17.200589999999998</v>
      </c>
      <c r="J88" s="2">
        <v>45681</v>
      </c>
      <c r="K88" t="s">
        <v>346</v>
      </c>
      <c r="L88">
        <v>1</v>
      </c>
      <c r="M88">
        <v>1.03E-2</v>
      </c>
      <c r="N88">
        <v>6.8309922810247956</v>
      </c>
      <c r="O88">
        <v>788.26116746925311</v>
      </c>
      <c r="P88">
        <v>0.42399999999999999</v>
      </c>
      <c r="Q88">
        <v>1.2999999999999999E-2</v>
      </c>
      <c r="R88">
        <v>17.197969999999998</v>
      </c>
      <c r="S88" s="2">
        <v>45681</v>
      </c>
      <c r="T88" t="s">
        <v>506</v>
      </c>
      <c r="U88">
        <v>1</v>
      </c>
      <c r="V88">
        <v>1.04E-2</v>
      </c>
      <c r="W88">
        <v>6.8309338932368018</v>
      </c>
      <c r="X88">
        <v>788.25562646817252</v>
      </c>
      <c r="Y88">
        <v>0.42399999999999999</v>
      </c>
      <c r="Z88">
        <v>1.2999999999999999E-2</v>
      </c>
      <c r="AA88">
        <v>17.197900000000004</v>
      </c>
      <c r="AB88" s="2">
        <v>45681</v>
      </c>
      <c r="AC88" t="s">
        <v>706</v>
      </c>
      <c r="AD88">
        <v>2</v>
      </c>
      <c r="AE88">
        <v>1.0500000000000001E-2</v>
      </c>
      <c r="AF88">
        <v>6.8345733986884687</v>
      </c>
      <c r="AG88">
        <v>788.60101553553568</v>
      </c>
      <c r="AH88">
        <v>0.42399999999999999</v>
      </c>
      <c r="AI88">
        <v>1.2999999999999999E-2</v>
      </c>
      <c r="AJ88">
        <v>17.201100000000025</v>
      </c>
      <c r="AK88" s="2">
        <v>45681</v>
      </c>
      <c r="AL88" t="s">
        <v>866</v>
      </c>
      <c r="AM88">
        <v>2</v>
      </c>
      <c r="AN88">
        <v>1.04E-2</v>
      </c>
      <c r="AO88">
        <v>6.8297332943461599</v>
      </c>
      <c r="AP88">
        <v>788.1416896334506</v>
      </c>
      <c r="AQ88">
        <v>0.42399999999999999</v>
      </c>
      <c r="AR88">
        <v>1.2999999999999999E-2</v>
      </c>
      <c r="AS88">
        <v>17.199000000000012</v>
      </c>
      <c r="AT88" s="2">
        <v>45681</v>
      </c>
      <c r="AU88" t="s">
        <v>1024</v>
      </c>
      <c r="AV88">
        <v>3</v>
      </c>
      <c r="AW88">
        <v>9.9000000000000008E-3</v>
      </c>
      <c r="AX88">
        <v>6.8299502211973886</v>
      </c>
      <c r="AY88">
        <v>788.16227599163233</v>
      </c>
      <c r="AZ88">
        <v>0.42399999999999999</v>
      </c>
      <c r="BA88">
        <v>1.2999999999999999E-2</v>
      </c>
      <c r="BB88">
        <v>17.200999999999993</v>
      </c>
      <c r="BC88" s="2">
        <v>45681</v>
      </c>
      <c r="BD88" t="s">
        <v>1224</v>
      </c>
      <c r="BE88">
        <v>4</v>
      </c>
      <c r="BF88">
        <v>1.84E-2</v>
      </c>
      <c r="BG88">
        <v>7.3994436208182606</v>
      </c>
      <c r="BH88">
        <v>842.20719961565294</v>
      </c>
      <c r="BI88">
        <v>0.42399999999999999</v>
      </c>
      <c r="BJ88">
        <v>2.18E-2</v>
      </c>
      <c r="BK88">
        <v>17.60390000000001</v>
      </c>
      <c r="BL88" s="2">
        <v>45681</v>
      </c>
      <c r="BM88" t="s">
        <v>1382</v>
      </c>
      <c r="BN88">
        <v>4</v>
      </c>
      <c r="BO88">
        <v>1.0500000000000001E-2</v>
      </c>
      <c r="BP88">
        <v>6.8359236162858448</v>
      </c>
      <c r="BQ88">
        <v>788.72915118552669</v>
      </c>
      <c r="BR88">
        <v>0.42399999999999999</v>
      </c>
      <c r="BS88">
        <v>1.3100000000000001E-2</v>
      </c>
      <c r="BT88">
        <v>17.202200000000005</v>
      </c>
      <c r="BU88" s="2">
        <v>45681</v>
      </c>
      <c r="BV88" t="s">
        <v>1580</v>
      </c>
      <c r="BW88">
        <v>5</v>
      </c>
      <c r="BX88">
        <v>1.03E-2</v>
      </c>
      <c r="BY88">
        <v>6.8380267930659029</v>
      </c>
      <c r="BZ88">
        <v>788.92874266195417</v>
      </c>
      <c r="CA88">
        <v>0.42399999999999999</v>
      </c>
      <c r="CB88">
        <v>1.3100000000000001E-2</v>
      </c>
      <c r="CC88">
        <v>17.200600000000009</v>
      </c>
      <c r="CD88" s="2">
        <v>45681</v>
      </c>
      <c r="CE88" t="s">
        <v>1740</v>
      </c>
      <c r="CF88">
        <v>5</v>
      </c>
      <c r="CG88">
        <v>1.03E-2</v>
      </c>
      <c r="CH88">
        <v>6.8386962252740906</v>
      </c>
      <c r="CI88">
        <v>788.99227177851128</v>
      </c>
      <c r="CJ88">
        <v>0.42399999999999999</v>
      </c>
      <c r="CK88">
        <v>1.3100000000000001E-2</v>
      </c>
      <c r="CL88">
        <v>17.1995</v>
      </c>
    </row>
    <row r="89" spans="1:90" x14ac:dyDescent="0.3">
      <c r="A89" s="2">
        <v>45681</v>
      </c>
      <c r="B89" t="s">
        <v>187</v>
      </c>
      <c r="C89">
        <v>0</v>
      </c>
      <c r="D89">
        <v>1.38E-2</v>
      </c>
      <c r="E89">
        <v>7.1059383473378777</v>
      </c>
      <c r="F89">
        <v>814.35354916236463</v>
      </c>
      <c r="G89">
        <v>0.42399999999999999</v>
      </c>
      <c r="H89">
        <v>1.72E-2</v>
      </c>
      <c r="I89">
        <v>17.400869999999991</v>
      </c>
      <c r="J89" s="2">
        <v>45681</v>
      </c>
      <c r="K89" t="s">
        <v>347</v>
      </c>
      <c r="L89">
        <v>1</v>
      </c>
      <c r="M89">
        <v>1.43E-2</v>
      </c>
      <c r="N89">
        <v>7.1031645219373809</v>
      </c>
      <c r="O89">
        <v>814.09031313185744</v>
      </c>
      <c r="P89">
        <v>0.42399999999999999</v>
      </c>
      <c r="Q89">
        <v>1.72E-2</v>
      </c>
      <c r="R89">
        <v>17.398669999999996</v>
      </c>
      <c r="S89" s="2">
        <v>45681</v>
      </c>
      <c r="T89" t="s">
        <v>507</v>
      </c>
      <c r="U89">
        <v>1</v>
      </c>
      <c r="V89">
        <v>1.4E-2</v>
      </c>
      <c r="W89">
        <v>7.1027971654379147</v>
      </c>
      <c r="X89">
        <v>814.05545100005816</v>
      </c>
      <c r="Y89">
        <v>0.42399999999999999</v>
      </c>
      <c r="Z89">
        <v>1.72E-2</v>
      </c>
      <c r="AA89">
        <v>17.398400000000009</v>
      </c>
      <c r="AB89" s="2">
        <v>45681</v>
      </c>
      <c r="AC89" t="s">
        <v>707</v>
      </c>
      <c r="AD89">
        <v>2</v>
      </c>
      <c r="AE89">
        <v>1.3899999999999999E-2</v>
      </c>
      <c r="AF89">
        <v>7.1048054620624814</v>
      </c>
      <c r="AG89">
        <v>814.24603834972947</v>
      </c>
      <c r="AH89">
        <v>0.42399999999999999</v>
      </c>
      <c r="AI89">
        <v>1.72E-2</v>
      </c>
      <c r="AJ89">
        <v>17.400200000000012</v>
      </c>
      <c r="AK89" s="2">
        <v>45681</v>
      </c>
      <c r="AL89" t="s">
        <v>867</v>
      </c>
      <c r="AM89">
        <v>2</v>
      </c>
      <c r="AN89">
        <v>1.3899999999999999E-2</v>
      </c>
      <c r="AO89">
        <v>7.1004689523916298</v>
      </c>
      <c r="AP89">
        <v>813.83450358196569</v>
      </c>
      <c r="AQ89">
        <v>0.42399999999999999</v>
      </c>
      <c r="AR89">
        <v>1.72E-2</v>
      </c>
      <c r="AS89">
        <v>17.398700000000019</v>
      </c>
      <c r="AT89" s="2">
        <v>45681</v>
      </c>
      <c r="AU89" t="s">
        <v>1025</v>
      </c>
      <c r="AV89">
        <v>3</v>
      </c>
      <c r="AW89">
        <v>1.43E-2</v>
      </c>
      <c r="AX89">
        <v>7.1000192853299202</v>
      </c>
      <c r="AY89">
        <v>813.79183017780952</v>
      </c>
      <c r="AZ89">
        <v>0.42399999999999999</v>
      </c>
      <c r="BA89">
        <v>1.72E-2</v>
      </c>
      <c r="BB89">
        <v>17.400299999999987</v>
      </c>
      <c r="BC89" s="2">
        <v>45681</v>
      </c>
      <c r="BD89" t="s">
        <v>1225</v>
      </c>
      <c r="BE89">
        <v>4</v>
      </c>
      <c r="BF89">
        <v>2.2800000000000001E-2</v>
      </c>
      <c r="BG89">
        <v>7.7078410240032822</v>
      </c>
      <c r="BH89">
        <v>871.47411317791148</v>
      </c>
      <c r="BI89">
        <v>0.42399999999999999</v>
      </c>
      <c r="BJ89">
        <v>2.6599999999999999E-2</v>
      </c>
      <c r="BK89">
        <v>17.803200000000004</v>
      </c>
      <c r="BL89" s="2">
        <v>45681</v>
      </c>
      <c r="BM89" t="s">
        <v>1383</v>
      </c>
      <c r="BN89">
        <v>4</v>
      </c>
      <c r="BO89">
        <v>1.38E-2</v>
      </c>
      <c r="BP89">
        <v>7.1048014073549819</v>
      </c>
      <c r="BQ89">
        <v>814.24565355798779</v>
      </c>
      <c r="BR89">
        <v>0.42399999999999999</v>
      </c>
      <c r="BS89">
        <v>1.72E-2</v>
      </c>
      <c r="BT89">
        <v>17.400199999999984</v>
      </c>
      <c r="BU89" s="2">
        <v>45681</v>
      </c>
      <c r="BV89" t="s">
        <v>1581</v>
      </c>
      <c r="BW89">
        <v>5</v>
      </c>
      <c r="BX89">
        <v>1.43E-2</v>
      </c>
      <c r="BY89">
        <v>7.1102618819447327</v>
      </c>
      <c r="BZ89">
        <v>814.76385259655513</v>
      </c>
      <c r="CA89">
        <v>0.42399999999999999</v>
      </c>
      <c r="CB89">
        <v>1.7299999999999999E-2</v>
      </c>
      <c r="CC89">
        <v>17.400800000000004</v>
      </c>
      <c r="CD89" s="2">
        <v>45681</v>
      </c>
      <c r="CE89" t="s">
        <v>1741</v>
      </c>
      <c r="CF89">
        <v>5</v>
      </c>
      <c r="CG89">
        <v>1.43E-2</v>
      </c>
      <c r="CH89">
        <v>7.1099488585257609</v>
      </c>
      <c r="CI89">
        <v>814.73414667409475</v>
      </c>
      <c r="CJ89">
        <v>0.42399999999999999</v>
      </c>
      <c r="CK89">
        <v>1.7299999999999999E-2</v>
      </c>
      <c r="CL89">
        <v>17.399000000000001</v>
      </c>
    </row>
    <row r="90" spans="1:90" x14ac:dyDescent="0.3">
      <c r="A90" s="2">
        <v>45681</v>
      </c>
      <c r="B90" t="s">
        <v>188</v>
      </c>
      <c r="C90">
        <v>0</v>
      </c>
      <c r="D90">
        <v>1.8700000000000001E-2</v>
      </c>
      <c r="E90">
        <v>7.3995283642050049</v>
      </c>
      <c r="F90">
        <v>842.21524176305502</v>
      </c>
      <c r="G90">
        <v>0.42399999999999999</v>
      </c>
      <c r="H90">
        <v>2.18E-2</v>
      </c>
      <c r="I90">
        <v>17.600509999999993</v>
      </c>
      <c r="J90" s="2">
        <v>45681</v>
      </c>
      <c r="K90" t="s">
        <v>348</v>
      </c>
      <c r="L90">
        <v>1</v>
      </c>
      <c r="M90">
        <v>1.8700000000000001E-2</v>
      </c>
      <c r="N90">
        <v>7.3990993761515416</v>
      </c>
      <c r="O90">
        <v>842.17453079678137</v>
      </c>
      <c r="P90">
        <v>0.42399999999999999</v>
      </c>
      <c r="Q90">
        <v>2.18E-2</v>
      </c>
      <c r="R90">
        <v>17.599969999999999</v>
      </c>
      <c r="S90" s="2">
        <v>45681</v>
      </c>
      <c r="T90" t="s">
        <v>508</v>
      </c>
      <c r="U90">
        <v>1</v>
      </c>
      <c r="V90">
        <v>1.84E-2</v>
      </c>
      <c r="W90">
        <v>7.3957793816508461</v>
      </c>
      <c r="X90">
        <v>841.85946331866535</v>
      </c>
      <c r="Y90">
        <v>0.42399999999999999</v>
      </c>
      <c r="Z90">
        <v>2.18E-2</v>
      </c>
      <c r="AA90">
        <v>17.597800000000007</v>
      </c>
      <c r="AB90" s="2">
        <v>45681</v>
      </c>
      <c r="AC90" t="s">
        <v>708</v>
      </c>
      <c r="AD90">
        <v>2</v>
      </c>
      <c r="AE90">
        <v>1.84E-2</v>
      </c>
      <c r="AF90">
        <v>7.3944656564209668</v>
      </c>
      <c r="AG90">
        <v>841.73479079434981</v>
      </c>
      <c r="AH90">
        <v>0.42399999999999999</v>
      </c>
      <c r="AI90">
        <v>2.1700000000000001E-2</v>
      </c>
      <c r="AJ90">
        <v>17.597300000000018</v>
      </c>
      <c r="AK90" s="2">
        <v>45681</v>
      </c>
      <c r="AL90" t="s">
        <v>868</v>
      </c>
      <c r="AM90">
        <v>2</v>
      </c>
      <c r="AN90">
        <v>1.8499999999999999E-2</v>
      </c>
      <c r="AO90">
        <v>7.3948678834049293</v>
      </c>
      <c r="AP90">
        <v>841.77296213512784</v>
      </c>
      <c r="AQ90">
        <v>0.42399999999999999</v>
      </c>
      <c r="AR90">
        <v>2.1700000000000001E-2</v>
      </c>
      <c r="AS90">
        <v>17.599100000000021</v>
      </c>
      <c r="AT90" s="2">
        <v>45681</v>
      </c>
      <c r="AU90" t="s">
        <v>1026</v>
      </c>
      <c r="AV90">
        <v>3</v>
      </c>
      <c r="AW90">
        <v>1.8599999999999998E-2</v>
      </c>
      <c r="AX90">
        <v>7.3942994134134814</v>
      </c>
      <c r="AY90">
        <v>841.71901433293942</v>
      </c>
      <c r="AZ90">
        <v>0.42399999999999999</v>
      </c>
      <c r="BA90">
        <v>2.1700000000000001E-2</v>
      </c>
      <c r="BB90">
        <v>17.600699999999989</v>
      </c>
      <c r="BC90" s="2">
        <v>45681</v>
      </c>
      <c r="BD90" t="s">
        <v>1226</v>
      </c>
      <c r="BE90">
        <v>4</v>
      </c>
      <c r="BF90">
        <v>2.81E-2</v>
      </c>
      <c r="BG90">
        <v>8.0226193203804677</v>
      </c>
      <c r="BH90">
        <v>901.34657350410646</v>
      </c>
      <c r="BI90">
        <v>0.42399999999999999</v>
      </c>
      <c r="BJ90">
        <v>3.15E-2</v>
      </c>
      <c r="BK90">
        <v>18.001700000000028</v>
      </c>
      <c r="BL90" s="2">
        <v>45681</v>
      </c>
      <c r="BM90" t="s">
        <v>1384</v>
      </c>
      <c r="BN90">
        <v>4</v>
      </c>
      <c r="BO90">
        <v>1.84E-2</v>
      </c>
      <c r="BP90">
        <v>7.3977856509216622</v>
      </c>
      <c r="BQ90">
        <v>842.04985827246583</v>
      </c>
      <c r="BR90">
        <v>0.42399999999999999</v>
      </c>
      <c r="BS90">
        <v>2.18E-2</v>
      </c>
      <c r="BT90">
        <v>17.599499999999978</v>
      </c>
      <c r="BU90" s="2">
        <v>45681</v>
      </c>
      <c r="BV90" t="s">
        <v>1582</v>
      </c>
      <c r="BW90">
        <v>5</v>
      </c>
      <c r="BX90">
        <v>1.8100000000000002E-2</v>
      </c>
      <c r="BY90">
        <v>7.4031978744921663</v>
      </c>
      <c r="BZ90">
        <v>842.56347828930666</v>
      </c>
      <c r="CA90">
        <v>0.42399999999999999</v>
      </c>
      <c r="CB90">
        <v>2.1899999999999999E-2</v>
      </c>
      <c r="CC90">
        <v>17.599800000000016</v>
      </c>
      <c r="CD90" s="2">
        <v>45681</v>
      </c>
      <c r="CE90" t="s">
        <v>1742</v>
      </c>
      <c r="CF90">
        <v>5</v>
      </c>
      <c r="CG90">
        <v>1.8200000000000001E-2</v>
      </c>
      <c r="CH90">
        <v>7.4069890260043199</v>
      </c>
      <c r="CI90">
        <v>842.92325856780997</v>
      </c>
      <c r="CJ90">
        <v>0.42399999999999999</v>
      </c>
      <c r="CK90">
        <v>2.1899999999999999E-2</v>
      </c>
      <c r="CL90">
        <v>17.600700000000018</v>
      </c>
    </row>
    <row r="91" spans="1:90" x14ac:dyDescent="0.3">
      <c r="A91" s="2">
        <v>45681</v>
      </c>
      <c r="B91" t="s">
        <v>189</v>
      </c>
      <c r="C91">
        <v>0</v>
      </c>
      <c r="D91">
        <v>2.3E-2</v>
      </c>
      <c r="E91">
        <v>7.7083267779617346</v>
      </c>
      <c r="F91">
        <v>871.52021122856877</v>
      </c>
      <c r="G91">
        <v>0.42399999999999999</v>
      </c>
      <c r="H91">
        <v>2.6599999999999999E-2</v>
      </c>
      <c r="I91">
        <v>17.80008999999999</v>
      </c>
      <c r="J91" s="2">
        <v>45681</v>
      </c>
      <c r="K91" t="s">
        <v>349</v>
      </c>
      <c r="L91">
        <v>1</v>
      </c>
      <c r="M91">
        <v>2.2800000000000001E-2</v>
      </c>
      <c r="N91">
        <v>7.7080340280802631</v>
      </c>
      <c r="O91">
        <v>871.49242926481702</v>
      </c>
      <c r="P91">
        <v>0.42399999999999999</v>
      </c>
      <c r="Q91">
        <v>2.6599999999999999E-2</v>
      </c>
      <c r="R91">
        <v>17.799669999999992</v>
      </c>
      <c r="S91" s="2">
        <v>45681</v>
      </c>
      <c r="T91" t="s">
        <v>509</v>
      </c>
      <c r="U91">
        <v>1</v>
      </c>
      <c r="V91">
        <v>2.3E-2</v>
      </c>
      <c r="W91">
        <v>7.7068934388606163</v>
      </c>
      <c r="X91">
        <v>871.38418734787251</v>
      </c>
      <c r="Y91">
        <v>0.42399999999999999</v>
      </c>
      <c r="Z91">
        <v>2.6599999999999999E-2</v>
      </c>
      <c r="AA91">
        <v>17.798900000000003</v>
      </c>
      <c r="AB91" s="2">
        <v>45681</v>
      </c>
      <c r="AC91" t="s">
        <v>709</v>
      </c>
      <c r="AD91">
        <v>2</v>
      </c>
      <c r="AE91">
        <v>2.3099999999999999E-2</v>
      </c>
      <c r="AF91">
        <v>7.7074992121610606</v>
      </c>
      <c r="AG91">
        <v>871.44167523408464</v>
      </c>
      <c r="AH91">
        <v>0.42399999999999999</v>
      </c>
      <c r="AI91">
        <v>2.6599999999999999E-2</v>
      </c>
      <c r="AJ91">
        <v>17.799700000000001</v>
      </c>
      <c r="AK91" s="2">
        <v>45681</v>
      </c>
      <c r="AL91" t="s">
        <v>869</v>
      </c>
      <c r="AM91">
        <v>2</v>
      </c>
      <c r="AN91">
        <v>2.2599999999999999E-2</v>
      </c>
      <c r="AO91">
        <v>7.7052589862675163</v>
      </c>
      <c r="AP91">
        <v>871.22907779678735</v>
      </c>
      <c r="AQ91">
        <v>0.42399999999999999</v>
      </c>
      <c r="AR91">
        <v>2.6599999999999999E-2</v>
      </c>
      <c r="AS91">
        <v>17.799900000000008</v>
      </c>
      <c r="AT91" s="2">
        <v>45681</v>
      </c>
      <c r="AU91" t="s">
        <v>1027</v>
      </c>
      <c r="AV91">
        <v>3</v>
      </c>
      <c r="AW91">
        <v>2.1899999999999999E-2</v>
      </c>
      <c r="AX91">
        <v>7.7033240798486933</v>
      </c>
      <c r="AY91">
        <v>871.04545517764109</v>
      </c>
      <c r="AZ91">
        <v>0.42399999999999999</v>
      </c>
      <c r="BA91">
        <v>2.6499999999999999E-2</v>
      </c>
      <c r="BB91">
        <v>17.8005</v>
      </c>
      <c r="BC91" s="2">
        <v>45681</v>
      </c>
      <c r="BD91" t="s">
        <v>1227</v>
      </c>
      <c r="BE91">
        <v>4</v>
      </c>
      <c r="BF91">
        <v>3.27E-2</v>
      </c>
      <c r="BG91">
        <v>8.3416254602675153</v>
      </c>
      <c r="BH91">
        <v>931.6202561793873</v>
      </c>
      <c r="BI91">
        <v>0.42399999999999999</v>
      </c>
      <c r="BJ91">
        <v>3.6400000000000002E-2</v>
      </c>
      <c r="BK91">
        <v>18.2029</v>
      </c>
      <c r="BL91" s="2">
        <v>45681</v>
      </c>
      <c r="BM91" t="s">
        <v>1385</v>
      </c>
      <c r="BN91">
        <v>4</v>
      </c>
      <c r="BO91">
        <v>2.2800000000000001E-2</v>
      </c>
      <c r="BP91">
        <v>7.7075255677598102</v>
      </c>
      <c r="BQ91">
        <v>871.44417638040602</v>
      </c>
      <c r="BR91">
        <v>0.42399999999999999</v>
      </c>
      <c r="BS91">
        <v>2.6599999999999999E-2</v>
      </c>
      <c r="BT91">
        <v>17.799699999999973</v>
      </c>
      <c r="BU91" s="2">
        <v>45681</v>
      </c>
      <c r="BV91" t="s">
        <v>1583</v>
      </c>
      <c r="BW91">
        <v>5</v>
      </c>
      <c r="BX91">
        <v>2.2700000000000001E-2</v>
      </c>
      <c r="BY91">
        <v>7.71406175624921</v>
      </c>
      <c r="BZ91">
        <v>872.06446066805006</v>
      </c>
      <c r="CA91">
        <v>0.42399999999999999</v>
      </c>
      <c r="CB91">
        <v>2.6700000000000002E-2</v>
      </c>
      <c r="CC91">
        <v>17.800599999999974</v>
      </c>
      <c r="CD91" s="2">
        <v>45681</v>
      </c>
      <c r="CE91" t="s">
        <v>1743</v>
      </c>
      <c r="CF91">
        <v>5</v>
      </c>
      <c r="CG91">
        <v>2.3E-2</v>
      </c>
      <c r="CH91">
        <v>7.7143265286489378</v>
      </c>
      <c r="CI91">
        <v>872.08958756878428</v>
      </c>
      <c r="CJ91">
        <v>0.42399999999999999</v>
      </c>
      <c r="CK91">
        <v>2.6700000000000002E-2</v>
      </c>
      <c r="CL91">
        <v>17.799199999999985</v>
      </c>
    </row>
    <row r="92" spans="1:90" x14ac:dyDescent="0.3">
      <c r="A92" s="2">
        <v>45681</v>
      </c>
      <c r="B92" t="s">
        <v>190</v>
      </c>
      <c r="C92">
        <v>0</v>
      </c>
      <c r="D92">
        <v>2.7900000000000001E-2</v>
      </c>
      <c r="E92">
        <v>8.0267068710108429</v>
      </c>
      <c r="F92">
        <v>901.73448205892907</v>
      </c>
      <c r="G92">
        <v>0.42399999999999999</v>
      </c>
      <c r="H92">
        <v>3.1600000000000003E-2</v>
      </c>
      <c r="I92">
        <v>18.000849999999993</v>
      </c>
      <c r="J92" s="2">
        <v>45681</v>
      </c>
      <c r="K92" t="s">
        <v>350</v>
      </c>
      <c r="L92">
        <v>1</v>
      </c>
      <c r="M92">
        <v>2.8000000000000001E-2</v>
      </c>
      <c r="N92">
        <v>8.0235105450888859</v>
      </c>
      <c r="O92">
        <v>901.43115072893534</v>
      </c>
      <c r="P92">
        <v>0.42399999999999999</v>
      </c>
      <c r="Q92">
        <v>3.15E-2</v>
      </c>
      <c r="R92">
        <v>17.99866999999999</v>
      </c>
      <c r="S92" s="2">
        <v>45681</v>
      </c>
      <c r="T92" t="s">
        <v>510</v>
      </c>
      <c r="U92">
        <v>1</v>
      </c>
      <c r="V92">
        <v>2.8000000000000001E-2</v>
      </c>
      <c r="W92">
        <v>8.0306464248174816</v>
      </c>
      <c r="X92">
        <v>902.1083457151791</v>
      </c>
      <c r="Y92">
        <v>0.42399999999999999</v>
      </c>
      <c r="Z92">
        <v>3.1600000000000003E-2</v>
      </c>
      <c r="AA92">
        <v>18.003000000000014</v>
      </c>
      <c r="AB92" s="2">
        <v>45681</v>
      </c>
      <c r="AC92" t="s">
        <v>710</v>
      </c>
      <c r="AD92">
        <v>2</v>
      </c>
      <c r="AE92">
        <v>2.7900000000000001E-2</v>
      </c>
      <c r="AF92">
        <v>8.0298525130890557</v>
      </c>
      <c r="AG92">
        <v>902.03300349215147</v>
      </c>
      <c r="AH92">
        <v>0.42399999999999999</v>
      </c>
      <c r="AI92">
        <v>3.1600000000000003E-2</v>
      </c>
      <c r="AJ92">
        <v>18.002900000000011</v>
      </c>
      <c r="AK92" s="2">
        <v>45681</v>
      </c>
      <c r="AL92" t="s">
        <v>870</v>
      </c>
      <c r="AM92">
        <v>2</v>
      </c>
      <c r="AN92">
        <v>2.8299999999999999E-2</v>
      </c>
      <c r="AO92">
        <v>8.0214588630940717</v>
      </c>
      <c r="AP92">
        <v>901.23644610762744</v>
      </c>
      <c r="AQ92">
        <v>0.42399999999999999</v>
      </c>
      <c r="AR92">
        <v>3.15E-2</v>
      </c>
      <c r="AS92">
        <v>17.999300000000005</v>
      </c>
      <c r="AT92" s="2">
        <v>45681</v>
      </c>
      <c r="AU92" t="s">
        <v>1028</v>
      </c>
      <c r="AV92">
        <v>3</v>
      </c>
      <c r="AW92">
        <v>2.76E-2</v>
      </c>
      <c r="AX92">
        <v>8.0198402238602196</v>
      </c>
      <c r="AY92">
        <v>901.08283724433488</v>
      </c>
      <c r="AZ92">
        <v>0.42399999999999999</v>
      </c>
      <c r="BA92">
        <v>3.1399999999999997E-2</v>
      </c>
      <c r="BB92">
        <v>18.000199999999978</v>
      </c>
      <c r="BC92" s="2">
        <v>45681</v>
      </c>
      <c r="BD92" t="s">
        <v>1228</v>
      </c>
      <c r="BE92">
        <v>4</v>
      </c>
      <c r="BF92">
        <v>3.7699999999999997E-2</v>
      </c>
      <c r="BG92">
        <v>8.6507251387914721</v>
      </c>
      <c r="BH92">
        <v>960.95381567131074</v>
      </c>
      <c r="BI92">
        <v>0.42399999999999999</v>
      </c>
      <c r="BJ92">
        <v>4.1300000000000003E-2</v>
      </c>
      <c r="BK92">
        <v>18.402800000000013</v>
      </c>
      <c r="BL92" s="2">
        <v>45681</v>
      </c>
      <c r="BM92" t="s">
        <v>1386</v>
      </c>
      <c r="BN92">
        <v>4</v>
      </c>
      <c r="BO92">
        <v>2.7699999999999999E-2</v>
      </c>
      <c r="BP92">
        <v>8.0246507288377824</v>
      </c>
      <c r="BQ92">
        <v>901.53935416670561</v>
      </c>
      <c r="BR92">
        <v>0.42399999999999999</v>
      </c>
      <c r="BS92">
        <v>3.15E-2</v>
      </c>
      <c r="BT92">
        <v>17.999699999999962</v>
      </c>
      <c r="BU92" s="2">
        <v>45681</v>
      </c>
      <c r="BV92" t="s">
        <v>1584</v>
      </c>
      <c r="BW92">
        <v>5</v>
      </c>
      <c r="BX92">
        <v>2.8000000000000001E-2</v>
      </c>
      <c r="BY92">
        <v>8.0324102225798217</v>
      </c>
      <c r="BZ92">
        <v>902.27573012282517</v>
      </c>
      <c r="CA92">
        <v>0.42399999999999999</v>
      </c>
      <c r="CB92">
        <v>3.1600000000000003E-2</v>
      </c>
      <c r="CC92">
        <v>18.00139999999999</v>
      </c>
      <c r="CD92" s="2">
        <v>45681</v>
      </c>
      <c r="CE92" t="s">
        <v>1744</v>
      </c>
      <c r="CF92">
        <v>5</v>
      </c>
      <c r="CG92">
        <v>2.7799999999999998E-2</v>
      </c>
      <c r="CH92">
        <v>8.032678644216297</v>
      </c>
      <c r="CI92">
        <v>902.3012033361266</v>
      </c>
      <c r="CJ92">
        <v>0.42399999999999999</v>
      </c>
      <c r="CK92">
        <v>3.1600000000000003E-2</v>
      </c>
      <c r="CL92">
        <v>17.999899999999968</v>
      </c>
    </row>
    <row r="93" spans="1:90" x14ac:dyDescent="0.3">
      <c r="A93" s="2">
        <v>45681</v>
      </c>
      <c r="B93" t="s">
        <v>191</v>
      </c>
      <c r="C93">
        <v>0</v>
      </c>
      <c r="D93">
        <v>3.3000000000000002E-2</v>
      </c>
      <c r="E93">
        <v>8.3423321957847012</v>
      </c>
      <c r="F93">
        <v>931.68732537996823</v>
      </c>
      <c r="G93">
        <v>0.42399999999999999</v>
      </c>
      <c r="H93">
        <v>3.6499999999999998E-2</v>
      </c>
      <c r="I93">
        <v>18.199909999999996</v>
      </c>
      <c r="J93" s="2">
        <v>45681</v>
      </c>
      <c r="K93" t="s">
        <v>351</v>
      </c>
      <c r="L93">
        <v>1</v>
      </c>
      <c r="M93">
        <v>3.3300000000000003E-2</v>
      </c>
      <c r="N93">
        <v>8.3442160128890279</v>
      </c>
      <c r="O93">
        <v>931.86609962316879</v>
      </c>
      <c r="P93">
        <v>0.42399999999999999</v>
      </c>
      <c r="Q93">
        <v>3.6499999999999998E-2</v>
      </c>
      <c r="R93">
        <v>18.200869999999995</v>
      </c>
      <c r="S93" s="2">
        <v>45681</v>
      </c>
      <c r="T93" t="s">
        <v>511</v>
      </c>
      <c r="U93">
        <v>1</v>
      </c>
      <c r="V93">
        <v>3.27E-2</v>
      </c>
      <c r="W93">
        <v>8.3401584670941507</v>
      </c>
      <c r="X93">
        <v>931.481038527235</v>
      </c>
      <c r="Y93">
        <v>0.42399999999999999</v>
      </c>
      <c r="Z93">
        <v>3.6400000000000002E-2</v>
      </c>
      <c r="AA93">
        <v>18.198299999999989</v>
      </c>
      <c r="AB93" s="2">
        <v>45681</v>
      </c>
      <c r="AC93" t="s">
        <v>711</v>
      </c>
      <c r="AD93">
        <v>2</v>
      </c>
      <c r="AE93">
        <v>3.2800000000000003E-2</v>
      </c>
      <c r="AF93">
        <v>8.3381367899348344</v>
      </c>
      <c r="AG93">
        <v>931.28918136481582</v>
      </c>
      <c r="AH93">
        <v>0.42399999999999999</v>
      </c>
      <c r="AI93">
        <v>3.6400000000000002E-2</v>
      </c>
      <c r="AJ93">
        <v>18.197400000000016</v>
      </c>
      <c r="AK93" s="2">
        <v>45681</v>
      </c>
      <c r="AL93" t="s">
        <v>871</v>
      </c>
      <c r="AM93">
        <v>2</v>
      </c>
      <c r="AN93">
        <v>3.2399999999999998E-2</v>
      </c>
      <c r="AO93">
        <v>8.3384319726408087</v>
      </c>
      <c r="AP93">
        <v>931.31719420361276</v>
      </c>
      <c r="AQ93">
        <v>0.42399999999999999</v>
      </c>
      <c r="AR93">
        <v>3.6400000000000002E-2</v>
      </c>
      <c r="AS93">
        <v>18.199200000000019</v>
      </c>
      <c r="AT93" s="2">
        <v>45681</v>
      </c>
      <c r="AU93" t="s">
        <v>1029</v>
      </c>
      <c r="AV93">
        <v>3</v>
      </c>
      <c r="AW93">
        <v>3.27E-2</v>
      </c>
      <c r="AX93">
        <v>8.3386359244280381</v>
      </c>
      <c r="AY93">
        <v>931.33654922822086</v>
      </c>
      <c r="AZ93">
        <v>0.42399999999999999</v>
      </c>
      <c r="BA93">
        <v>3.6400000000000002E-2</v>
      </c>
      <c r="BB93">
        <v>18.2012</v>
      </c>
      <c r="BC93" s="2">
        <v>45681</v>
      </c>
      <c r="BD93" t="s">
        <v>1229</v>
      </c>
      <c r="BE93">
        <v>4</v>
      </c>
      <c r="BF93">
        <v>4.2900000000000001E-2</v>
      </c>
      <c r="BG93">
        <v>8.9419914027905616</v>
      </c>
      <c r="BH93">
        <v>988.59498412482435</v>
      </c>
      <c r="BI93">
        <v>0.42399999999999999</v>
      </c>
      <c r="BJ93">
        <v>4.58E-2</v>
      </c>
      <c r="BK93">
        <v>18.600900000000024</v>
      </c>
      <c r="BL93" s="2">
        <v>45681</v>
      </c>
      <c r="BM93" t="s">
        <v>1387</v>
      </c>
      <c r="BN93">
        <v>4</v>
      </c>
      <c r="BO93">
        <v>3.27E-2</v>
      </c>
      <c r="BP93">
        <v>8.3428986384223993</v>
      </c>
      <c r="BQ93">
        <v>931.74108078628569</v>
      </c>
      <c r="BR93">
        <v>0.42399999999999999</v>
      </c>
      <c r="BS93">
        <v>3.6499999999999998E-2</v>
      </c>
      <c r="BT93">
        <v>18.200400000000002</v>
      </c>
      <c r="BU93" s="2">
        <v>45681</v>
      </c>
      <c r="BV93" t="s">
        <v>1585</v>
      </c>
      <c r="BW93">
        <v>5</v>
      </c>
      <c r="BX93">
        <v>3.2599999999999997E-2</v>
      </c>
      <c r="BY93">
        <v>8.3457645056831371</v>
      </c>
      <c r="BZ93">
        <v>932.01305158932973</v>
      </c>
      <c r="CA93">
        <v>0.42399999999999999</v>
      </c>
      <c r="CB93">
        <v>3.6499999999999998E-2</v>
      </c>
      <c r="CC93">
        <v>18.199000000000012</v>
      </c>
      <c r="CD93" s="2">
        <v>45681</v>
      </c>
      <c r="CE93" t="s">
        <v>1745</v>
      </c>
      <c r="CF93">
        <v>5</v>
      </c>
      <c r="CG93">
        <v>3.3399999999999999E-2</v>
      </c>
      <c r="CH93">
        <v>8.350426202895461</v>
      </c>
      <c r="CI93">
        <v>932.45544665477928</v>
      </c>
      <c r="CJ93">
        <v>0.42399999999999999</v>
      </c>
      <c r="CK93">
        <v>3.6600000000000001E-2</v>
      </c>
      <c r="CL93">
        <v>18.200400000000002</v>
      </c>
    </row>
    <row r="94" spans="1:90" x14ac:dyDescent="0.3">
      <c r="A94" s="2">
        <v>45681</v>
      </c>
      <c r="B94" t="s">
        <v>192</v>
      </c>
      <c r="C94">
        <v>0</v>
      </c>
      <c r="D94">
        <v>3.8100000000000002E-2</v>
      </c>
      <c r="E94">
        <v>8.6513029346101682</v>
      </c>
      <c r="F94">
        <v>961.008648494505</v>
      </c>
      <c r="G94">
        <v>0.42399999999999999</v>
      </c>
      <c r="H94">
        <v>4.1300000000000003E-2</v>
      </c>
      <c r="I94">
        <v>18.399719999999995</v>
      </c>
      <c r="J94" s="2">
        <v>45681</v>
      </c>
      <c r="K94" t="s">
        <v>352</v>
      </c>
      <c r="L94">
        <v>1</v>
      </c>
      <c r="M94">
        <v>3.7600000000000001E-2</v>
      </c>
      <c r="N94">
        <v>8.6516459628646363</v>
      </c>
      <c r="O94">
        <v>961.04120187585409</v>
      </c>
      <c r="P94">
        <v>0.42399999999999999</v>
      </c>
      <c r="Q94">
        <v>4.1300000000000003E-2</v>
      </c>
      <c r="R94">
        <v>18.39976999999999</v>
      </c>
      <c r="S94" s="2">
        <v>45681</v>
      </c>
      <c r="T94" t="s">
        <v>512</v>
      </c>
      <c r="U94">
        <v>1</v>
      </c>
      <c r="V94">
        <v>3.7999999999999999E-2</v>
      </c>
      <c r="W94">
        <v>8.6492682823868545</v>
      </c>
      <c r="X94">
        <v>960.81555999851253</v>
      </c>
      <c r="Y94">
        <v>0.42399999999999999</v>
      </c>
      <c r="Z94">
        <v>4.1200000000000001E-2</v>
      </c>
      <c r="AA94">
        <v>18.398099999999999</v>
      </c>
      <c r="AB94" s="2">
        <v>45681</v>
      </c>
      <c r="AC94" t="s">
        <v>712</v>
      </c>
      <c r="AD94">
        <v>2</v>
      </c>
      <c r="AE94">
        <v>3.7900000000000003E-2</v>
      </c>
      <c r="AF94">
        <v>8.6478069658039871</v>
      </c>
      <c r="AG94">
        <v>960.6768810547984</v>
      </c>
      <c r="AH94">
        <v>0.42399999999999999</v>
      </c>
      <c r="AI94">
        <v>4.1200000000000001E-2</v>
      </c>
      <c r="AJ94">
        <v>18.397500000000008</v>
      </c>
      <c r="AK94" s="2">
        <v>45681</v>
      </c>
      <c r="AL94" t="s">
        <v>872</v>
      </c>
      <c r="AM94">
        <v>2</v>
      </c>
      <c r="AN94">
        <v>3.7600000000000001E-2</v>
      </c>
      <c r="AO94">
        <v>8.6484447712936792</v>
      </c>
      <c r="AP94">
        <v>960.73740879577019</v>
      </c>
      <c r="AQ94">
        <v>0.42399999999999999</v>
      </c>
      <c r="AR94">
        <v>4.1200000000000001E-2</v>
      </c>
      <c r="AS94">
        <v>18.399500000000018</v>
      </c>
      <c r="AT94" s="2">
        <v>45681</v>
      </c>
      <c r="AU94" t="s">
        <v>1030</v>
      </c>
      <c r="AV94">
        <v>3</v>
      </c>
      <c r="AW94">
        <v>3.8300000000000001E-2</v>
      </c>
      <c r="AX94">
        <v>8.6476111234317568</v>
      </c>
      <c r="AY94">
        <v>960.65829561367377</v>
      </c>
      <c r="AZ94">
        <v>0.42399999999999999</v>
      </c>
      <c r="BA94">
        <v>4.1200000000000001E-2</v>
      </c>
      <c r="BB94">
        <v>18.400899999999979</v>
      </c>
      <c r="BC94" s="2">
        <v>45681</v>
      </c>
      <c r="BD94" t="s">
        <v>1230</v>
      </c>
      <c r="BE94">
        <v>4</v>
      </c>
      <c r="BF94">
        <v>4.7800000000000002E-2</v>
      </c>
      <c r="BG94">
        <v>9.2139446894981649</v>
      </c>
      <c r="BH94">
        <v>1014.403351033376</v>
      </c>
      <c r="BI94">
        <v>0.42399999999999999</v>
      </c>
      <c r="BJ94">
        <v>0.05</v>
      </c>
      <c r="BK94">
        <v>18.801400000000001</v>
      </c>
      <c r="BL94" s="2">
        <v>45681</v>
      </c>
      <c r="BM94" t="s">
        <v>1388</v>
      </c>
      <c r="BN94">
        <v>4</v>
      </c>
      <c r="BO94">
        <v>3.8399999999999997E-2</v>
      </c>
      <c r="BP94">
        <v>8.6527151892322891</v>
      </c>
      <c r="BQ94">
        <v>961.14267145814426</v>
      </c>
      <c r="BR94">
        <v>0.42399999999999999</v>
      </c>
      <c r="BS94">
        <v>4.1300000000000003E-2</v>
      </c>
      <c r="BT94">
        <v>18.400800000000004</v>
      </c>
      <c r="BU94" s="2">
        <v>45681</v>
      </c>
      <c r="BV94" t="s">
        <v>1586</v>
      </c>
      <c r="BW94">
        <v>5</v>
      </c>
      <c r="BX94">
        <v>3.7999999999999999E-2</v>
      </c>
      <c r="BY94">
        <v>8.6542981470401443</v>
      </c>
      <c r="BZ94">
        <v>961.29289415410972</v>
      </c>
      <c r="CA94">
        <v>0.42399999999999999</v>
      </c>
      <c r="CB94">
        <v>4.1300000000000003E-2</v>
      </c>
      <c r="CC94">
        <v>18.398599999999988</v>
      </c>
      <c r="CD94" s="2">
        <v>45681</v>
      </c>
      <c r="CE94" t="s">
        <v>1746</v>
      </c>
      <c r="CF94">
        <v>5</v>
      </c>
      <c r="CG94">
        <v>3.7100000000000001E-2</v>
      </c>
      <c r="CH94">
        <v>8.658432326806766</v>
      </c>
      <c r="CI94">
        <v>961.68522781396211</v>
      </c>
      <c r="CJ94">
        <v>0.42399999999999999</v>
      </c>
      <c r="CK94">
        <v>4.1399999999999999E-2</v>
      </c>
      <c r="CL94">
        <v>18.399799999999971</v>
      </c>
    </row>
    <row r="95" spans="1:90" x14ac:dyDescent="0.3">
      <c r="A95" s="2">
        <v>45681</v>
      </c>
      <c r="B95" t="s">
        <v>193</v>
      </c>
      <c r="C95">
        <v>0</v>
      </c>
      <c r="D95">
        <v>4.3099999999999999E-2</v>
      </c>
      <c r="E95">
        <v>8.9467414926263764</v>
      </c>
      <c r="F95">
        <v>989.04576765024319</v>
      </c>
      <c r="G95">
        <v>0.42399999999999999</v>
      </c>
      <c r="H95">
        <v>4.5900000000000003E-2</v>
      </c>
      <c r="I95">
        <v>18.600869999999993</v>
      </c>
      <c r="J95" s="2">
        <v>45681</v>
      </c>
      <c r="K95" t="s">
        <v>353</v>
      </c>
      <c r="L95">
        <v>1</v>
      </c>
      <c r="M95">
        <v>4.2900000000000001E-2</v>
      </c>
      <c r="N95">
        <v>8.9450040504627832</v>
      </c>
      <c r="O95">
        <v>988.88088438891816</v>
      </c>
      <c r="P95">
        <v>0.42399999999999999</v>
      </c>
      <c r="Q95">
        <v>4.58E-2</v>
      </c>
      <c r="R95">
        <v>18.599469999999997</v>
      </c>
      <c r="S95" s="2">
        <v>45681</v>
      </c>
      <c r="T95" t="s">
        <v>513</v>
      </c>
      <c r="U95">
        <v>1</v>
      </c>
      <c r="V95">
        <v>4.3400000000000001E-2</v>
      </c>
      <c r="W95">
        <v>8.9431761883219512</v>
      </c>
      <c r="X95">
        <v>988.70742027175322</v>
      </c>
      <c r="Y95">
        <v>0.42399999999999999</v>
      </c>
      <c r="Z95">
        <v>4.58E-2</v>
      </c>
      <c r="AA95">
        <v>18.598099999999988</v>
      </c>
      <c r="AB95" s="2">
        <v>45681</v>
      </c>
      <c r="AC95" t="s">
        <v>713</v>
      </c>
      <c r="AD95">
        <v>2</v>
      </c>
      <c r="AE95">
        <v>4.3400000000000001E-2</v>
      </c>
      <c r="AF95">
        <v>8.9426202879237522</v>
      </c>
      <c r="AG95">
        <v>988.65466532396408</v>
      </c>
      <c r="AH95">
        <v>0.42399999999999999</v>
      </c>
      <c r="AI95">
        <v>4.58E-2</v>
      </c>
      <c r="AJ95">
        <v>18.598100000000017</v>
      </c>
      <c r="AK95" s="2">
        <v>45681</v>
      </c>
      <c r="AL95" t="s">
        <v>873</v>
      </c>
      <c r="AM95">
        <v>2</v>
      </c>
      <c r="AN95">
        <v>4.3299999999999998E-2</v>
      </c>
      <c r="AO95">
        <v>8.9434381224264285</v>
      </c>
      <c r="AP95">
        <v>988.73227781826813</v>
      </c>
      <c r="AQ95">
        <v>0.42399999999999999</v>
      </c>
      <c r="AR95">
        <v>4.58E-2</v>
      </c>
      <c r="AS95">
        <v>18.600300000000004</v>
      </c>
      <c r="AT95" s="2">
        <v>45681</v>
      </c>
      <c r="AU95" t="s">
        <v>1031</v>
      </c>
      <c r="AV95">
        <v>3</v>
      </c>
      <c r="AW95">
        <v>4.2500000000000003E-2</v>
      </c>
      <c r="AX95">
        <v>8.9427403072657405</v>
      </c>
      <c r="AY95">
        <v>988.66605515951881</v>
      </c>
      <c r="AZ95">
        <v>0.42399999999999999</v>
      </c>
      <c r="BA95">
        <v>4.58E-2</v>
      </c>
      <c r="BB95">
        <v>18.601699999999994</v>
      </c>
      <c r="BC95" s="2">
        <v>45681</v>
      </c>
      <c r="BD95" t="s">
        <v>1231</v>
      </c>
      <c r="BE95">
        <v>4</v>
      </c>
      <c r="BF95">
        <v>5.2400000000000002E-2</v>
      </c>
      <c r="BG95">
        <v>9.4599206816678993</v>
      </c>
      <c r="BH95">
        <v>1037.746472690284</v>
      </c>
      <c r="BI95">
        <v>0.42399999999999999</v>
      </c>
      <c r="BJ95">
        <v>5.3800000000000001E-2</v>
      </c>
      <c r="BK95">
        <v>19.004900000000021</v>
      </c>
      <c r="BL95" s="2">
        <v>45681</v>
      </c>
      <c r="BM95" t="s">
        <v>1389</v>
      </c>
      <c r="BN95">
        <v>4</v>
      </c>
      <c r="BO95">
        <v>4.2500000000000003E-2</v>
      </c>
      <c r="BP95">
        <v>8.9465841699753881</v>
      </c>
      <c r="BQ95">
        <v>989.03083773066442</v>
      </c>
      <c r="BR95">
        <v>0.42399999999999999</v>
      </c>
      <c r="BS95">
        <v>4.58E-2</v>
      </c>
      <c r="BT95">
        <v>18.600899999999967</v>
      </c>
      <c r="BU95" s="2">
        <v>45681</v>
      </c>
      <c r="BV95" t="s">
        <v>1587</v>
      </c>
      <c r="BW95">
        <v>5</v>
      </c>
      <c r="BX95">
        <v>4.2999999999999997E-2</v>
      </c>
      <c r="BY95">
        <v>8.9503230157607963</v>
      </c>
      <c r="BZ95">
        <v>989.38565419569966</v>
      </c>
      <c r="CA95">
        <v>0.42399999999999999</v>
      </c>
      <c r="CB95">
        <v>4.5900000000000003E-2</v>
      </c>
      <c r="CC95">
        <v>18.600300000000004</v>
      </c>
      <c r="CD95" s="2">
        <v>45681</v>
      </c>
      <c r="CE95" t="s">
        <v>1747</v>
      </c>
      <c r="CF95">
        <v>5</v>
      </c>
      <c r="CG95">
        <v>4.2799999999999998E-2</v>
      </c>
      <c r="CH95">
        <v>8.9516614747064249</v>
      </c>
      <c r="CI95">
        <v>989.51267394963975</v>
      </c>
      <c r="CJ95">
        <v>0.42399999999999999</v>
      </c>
      <c r="CK95">
        <v>4.5900000000000003E-2</v>
      </c>
      <c r="CL95">
        <v>18.599699999999984</v>
      </c>
    </row>
    <row r="96" spans="1:90" x14ac:dyDescent="0.3">
      <c r="A96" s="2">
        <v>45681</v>
      </c>
      <c r="B96" t="s">
        <v>194</v>
      </c>
      <c r="C96">
        <v>0</v>
      </c>
      <c r="D96">
        <v>4.7800000000000002E-2</v>
      </c>
      <c r="E96">
        <v>9.2154623665152773</v>
      </c>
      <c r="F96">
        <v>1014.5473785823</v>
      </c>
      <c r="G96">
        <v>0.42399999999999999</v>
      </c>
      <c r="H96">
        <v>0.05</v>
      </c>
      <c r="I96">
        <v>18.799140000000001</v>
      </c>
      <c r="J96" s="2">
        <v>45681</v>
      </c>
      <c r="K96" t="s">
        <v>354</v>
      </c>
      <c r="L96">
        <v>1</v>
      </c>
      <c r="M96">
        <v>4.82E-2</v>
      </c>
      <c r="N96">
        <v>9.2147783373600891</v>
      </c>
      <c r="O96">
        <v>1014.482464215473</v>
      </c>
      <c r="P96">
        <v>0.42399999999999999</v>
      </c>
      <c r="Q96">
        <v>0.05</v>
      </c>
      <c r="R96">
        <v>18.798369999999991</v>
      </c>
      <c r="S96" s="2">
        <v>45681</v>
      </c>
      <c r="T96" t="s">
        <v>514</v>
      </c>
      <c r="U96">
        <v>1</v>
      </c>
      <c r="V96">
        <v>4.7699999999999999E-2</v>
      </c>
      <c r="W96">
        <v>9.2167837956894054</v>
      </c>
      <c r="X96">
        <v>1014.672782210925</v>
      </c>
      <c r="Y96">
        <v>0.42399999999999999</v>
      </c>
      <c r="Z96">
        <v>0.05</v>
      </c>
      <c r="AA96">
        <v>18.799900000000008</v>
      </c>
      <c r="AB96" s="2">
        <v>45681</v>
      </c>
      <c r="AC96" t="s">
        <v>714</v>
      </c>
      <c r="AD96">
        <v>2</v>
      </c>
      <c r="AE96">
        <v>4.8099999999999997E-2</v>
      </c>
      <c r="AF96">
        <v>9.217317395196357</v>
      </c>
      <c r="AG96">
        <v>1014.723420804134</v>
      </c>
      <c r="AH96">
        <v>0.42399999999999999</v>
      </c>
      <c r="AI96">
        <v>5.0099999999999999E-2</v>
      </c>
      <c r="AJ96">
        <v>18.800700000000006</v>
      </c>
      <c r="AK96" s="2">
        <v>45681</v>
      </c>
      <c r="AL96" t="s">
        <v>874</v>
      </c>
      <c r="AM96">
        <v>2</v>
      </c>
      <c r="AN96">
        <v>4.7600000000000003E-2</v>
      </c>
      <c r="AO96">
        <v>9.2162838502547029</v>
      </c>
      <c r="AP96">
        <v>1014.625337389171</v>
      </c>
      <c r="AQ96">
        <v>0.42399999999999999</v>
      </c>
      <c r="AR96">
        <v>0.05</v>
      </c>
      <c r="AS96">
        <v>18.801500000000004</v>
      </c>
      <c r="AT96" s="2">
        <v>45681</v>
      </c>
      <c r="AU96" t="s">
        <v>1032</v>
      </c>
      <c r="AV96">
        <v>3</v>
      </c>
      <c r="AW96">
        <v>4.7699999999999999E-2</v>
      </c>
      <c r="AX96">
        <v>9.2135728728204516</v>
      </c>
      <c r="AY96">
        <v>1014.368065630661</v>
      </c>
      <c r="AZ96">
        <v>0.42399999999999999</v>
      </c>
      <c r="BA96">
        <v>0.05</v>
      </c>
      <c r="BB96">
        <v>18.801299999999998</v>
      </c>
      <c r="BC96" s="2">
        <v>45681</v>
      </c>
      <c r="BD96" t="s">
        <v>1232</v>
      </c>
      <c r="BE96">
        <v>4</v>
      </c>
      <c r="BF96">
        <v>5.62E-2</v>
      </c>
      <c r="BG96">
        <v>9.6648614120583911</v>
      </c>
      <c r="BH96">
        <v>1057.195348004341</v>
      </c>
      <c r="BI96">
        <v>0.42399999999999999</v>
      </c>
      <c r="BJ96">
        <v>5.7000000000000002E-2</v>
      </c>
      <c r="BK96">
        <v>19.203700000000026</v>
      </c>
      <c r="BL96" s="2">
        <v>45681</v>
      </c>
      <c r="BM96" t="s">
        <v>1390</v>
      </c>
      <c r="BN96">
        <v>4</v>
      </c>
      <c r="BO96">
        <v>4.7500000000000001E-2</v>
      </c>
      <c r="BP96">
        <v>9.2157133529095052</v>
      </c>
      <c r="BQ96">
        <v>1014.571197191112</v>
      </c>
      <c r="BR96">
        <v>0.42399999999999999</v>
      </c>
      <c r="BS96">
        <v>0.05</v>
      </c>
      <c r="BT96">
        <v>18.799499999999966</v>
      </c>
      <c r="BU96" s="2">
        <v>45681</v>
      </c>
      <c r="BV96" t="s">
        <v>1588</v>
      </c>
      <c r="BW96">
        <v>5</v>
      </c>
      <c r="BX96">
        <v>4.7699999999999999E-2</v>
      </c>
      <c r="BY96">
        <v>9.2219794978794312</v>
      </c>
      <c r="BZ96">
        <v>1015.165854348758</v>
      </c>
      <c r="CA96">
        <v>0.42399999999999999</v>
      </c>
      <c r="CB96">
        <v>5.0099999999999999E-2</v>
      </c>
      <c r="CC96">
        <v>18.801100000000019</v>
      </c>
      <c r="CD96" s="2">
        <v>45681</v>
      </c>
      <c r="CE96" t="s">
        <v>1748</v>
      </c>
      <c r="CF96">
        <v>5</v>
      </c>
      <c r="CG96">
        <v>4.7899999999999998E-2</v>
      </c>
      <c r="CH96">
        <v>9.2236918008565247</v>
      </c>
      <c r="CI96">
        <v>1015.328351901284</v>
      </c>
      <c r="CJ96">
        <v>0.42399999999999999</v>
      </c>
      <c r="CK96">
        <v>5.0200000000000002E-2</v>
      </c>
      <c r="CL96">
        <v>18.800799999999981</v>
      </c>
    </row>
    <row r="97" spans="1:90" x14ac:dyDescent="0.3">
      <c r="A97" s="2">
        <v>45681</v>
      </c>
      <c r="B97" t="s">
        <v>195</v>
      </c>
      <c r="C97">
        <v>0</v>
      </c>
      <c r="D97">
        <v>5.2699999999999997E-2</v>
      </c>
      <c r="E97">
        <v>9.459312475542955</v>
      </c>
      <c r="F97">
        <v>1037.688753929026</v>
      </c>
      <c r="G97">
        <v>0.42399999999999999</v>
      </c>
      <c r="H97">
        <v>5.3800000000000001E-2</v>
      </c>
      <c r="I97">
        <v>19.000949999999996</v>
      </c>
      <c r="J97" s="2">
        <v>45681</v>
      </c>
      <c r="K97" t="s">
        <v>355</v>
      </c>
      <c r="L97">
        <v>1</v>
      </c>
      <c r="M97">
        <v>5.2200000000000003E-2</v>
      </c>
      <c r="N97">
        <v>9.4578085845313442</v>
      </c>
      <c r="O97">
        <v>1037.5460346720249</v>
      </c>
      <c r="P97">
        <v>0.42399999999999999</v>
      </c>
      <c r="Q97">
        <v>5.3800000000000001E-2</v>
      </c>
      <c r="R97">
        <v>18.999369999999999</v>
      </c>
      <c r="S97" s="2">
        <v>45681</v>
      </c>
      <c r="T97" t="s">
        <v>515</v>
      </c>
      <c r="U97">
        <v>1</v>
      </c>
      <c r="V97">
        <v>5.2600000000000001E-2</v>
      </c>
      <c r="W97">
        <v>9.4573536463498851</v>
      </c>
      <c r="X97">
        <v>1037.5028610386039</v>
      </c>
      <c r="Y97">
        <v>0.42399999999999999</v>
      </c>
      <c r="Z97">
        <v>5.3800000000000001E-2</v>
      </c>
      <c r="AA97">
        <v>18.998899999999992</v>
      </c>
      <c r="AB97" s="2">
        <v>45681</v>
      </c>
      <c r="AC97" t="s">
        <v>715</v>
      </c>
      <c r="AD97">
        <v>2</v>
      </c>
      <c r="AE97">
        <v>5.2200000000000003E-2</v>
      </c>
      <c r="AF97">
        <v>9.4567048931499436</v>
      </c>
      <c r="AG97">
        <v>1037.44129435993</v>
      </c>
      <c r="AH97">
        <v>0.42399999999999999</v>
      </c>
      <c r="AI97">
        <v>5.3800000000000001E-2</v>
      </c>
      <c r="AJ97">
        <v>18.998700000000014</v>
      </c>
      <c r="AK97" s="2">
        <v>45681</v>
      </c>
      <c r="AL97" t="s">
        <v>875</v>
      </c>
      <c r="AM97">
        <v>2</v>
      </c>
      <c r="AN97">
        <v>5.2499999999999998E-2</v>
      </c>
      <c r="AO97">
        <v>9.4561944054757401</v>
      </c>
      <c r="AP97">
        <v>1037.3928490796479</v>
      </c>
      <c r="AQ97">
        <v>0.42399999999999999</v>
      </c>
      <c r="AR97">
        <v>5.3800000000000001E-2</v>
      </c>
      <c r="AS97">
        <v>18.999899999999997</v>
      </c>
      <c r="AT97" s="2">
        <v>45681</v>
      </c>
      <c r="AU97" t="s">
        <v>1033</v>
      </c>
      <c r="AV97">
        <v>3</v>
      </c>
      <c r="AW97">
        <v>5.2699999999999997E-2</v>
      </c>
      <c r="AX97">
        <v>9.4538438915382059</v>
      </c>
      <c r="AY97">
        <v>1037.1697853069761</v>
      </c>
      <c r="AZ97">
        <v>0.42399999999999999</v>
      </c>
      <c r="BA97">
        <v>5.3699999999999998E-2</v>
      </c>
      <c r="BB97">
        <v>18.99969999999999</v>
      </c>
      <c r="BC97" s="2">
        <v>45681</v>
      </c>
      <c r="BD97" t="s">
        <v>1233</v>
      </c>
      <c r="BE97">
        <v>4</v>
      </c>
      <c r="BF97">
        <v>5.8799999999999998E-2</v>
      </c>
      <c r="BG97">
        <v>9.830262256795498</v>
      </c>
      <c r="BH97">
        <v>1072.891888169893</v>
      </c>
      <c r="BI97">
        <v>0.42399999999999999</v>
      </c>
      <c r="BJ97">
        <v>5.96E-2</v>
      </c>
      <c r="BK97">
        <v>19.403099999999995</v>
      </c>
      <c r="BL97" s="2">
        <v>45681</v>
      </c>
      <c r="BM97" t="s">
        <v>1391</v>
      </c>
      <c r="BN97">
        <v>4</v>
      </c>
      <c r="BO97">
        <v>5.2299999999999999E-2</v>
      </c>
      <c r="BP97">
        <v>9.4583413730967933</v>
      </c>
      <c r="BQ97">
        <v>1037.5965963068861</v>
      </c>
      <c r="BR97">
        <v>0.42399999999999999</v>
      </c>
      <c r="BS97">
        <v>5.3800000000000001E-2</v>
      </c>
      <c r="BT97">
        <v>19.000200000000007</v>
      </c>
      <c r="BU97" s="2">
        <v>45681</v>
      </c>
      <c r="BV97" t="s">
        <v>1589</v>
      </c>
      <c r="BW97">
        <v>5</v>
      </c>
      <c r="BX97">
        <v>5.3100000000000001E-2</v>
      </c>
      <c r="BY97">
        <v>9.4632232409263484</v>
      </c>
      <c r="BZ97">
        <v>1038.05988556391</v>
      </c>
      <c r="CA97">
        <v>0.42399999999999999</v>
      </c>
      <c r="CB97">
        <v>5.3900000000000003E-2</v>
      </c>
      <c r="CC97">
        <v>19.00139999999999</v>
      </c>
      <c r="CD97" s="2">
        <v>45681</v>
      </c>
      <c r="CE97" t="s">
        <v>1749</v>
      </c>
      <c r="CF97">
        <v>5</v>
      </c>
      <c r="CG97">
        <v>5.21E-2</v>
      </c>
      <c r="CH97">
        <v>9.4624974482839139</v>
      </c>
      <c r="CI97">
        <v>1037.991007842144</v>
      </c>
      <c r="CJ97">
        <v>0.42399999999999999</v>
      </c>
      <c r="CK97">
        <v>5.3900000000000003E-2</v>
      </c>
      <c r="CL97">
        <v>18.999099999999999</v>
      </c>
    </row>
    <row r="98" spans="1:90" x14ac:dyDescent="0.3">
      <c r="A98" s="2">
        <v>45681</v>
      </c>
      <c r="B98" t="s">
        <v>196</v>
      </c>
      <c r="C98">
        <v>0</v>
      </c>
      <c r="D98">
        <v>5.6300000000000003E-2</v>
      </c>
      <c r="E98">
        <v>9.6633696851692772</v>
      </c>
      <c r="F98">
        <v>1057.053783122564</v>
      </c>
      <c r="G98">
        <v>0.42399999999999999</v>
      </c>
      <c r="H98">
        <v>5.7000000000000002E-2</v>
      </c>
      <c r="I98">
        <v>19.198709999999998</v>
      </c>
      <c r="J98" s="2">
        <v>45681</v>
      </c>
      <c r="K98" t="s">
        <v>356</v>
      </c>
      <c r="L98">
        <v>1</v>
      </c>
      <c r="M98">
        <v>5.6300000000000003E-2</v>
      </c>
      <c r="N98">
        <v>9.6632411509415377</v>
      </c>
      <c r="O98">
        <v>1057.041585224352</v>
      </c>
      <c r="P98">
        <v>0.42399999999999999</v>
      </c>
      <c r="Q98">
        <v>5.7000000000000002E-2</v>
      </c>
      <c r="R98">
        <v>19.198369999999997</v>
      </c>
      <c r="S98" s="2">
        <v>45681</v>
      </c>
      <c r="T98" t="s">
        <v>516</v>
      </c>
      <c r="U98">
        <v>1</v>
      </c>
      <c r="V98">
        <v>5.6599999999999998E-2</v>
      </c>
      <c r="W98">
        <v>9.6653779817938439</v>
      </c>
      <c r="X98">
        <v>1057.2443704722359</v>
      </c>
      <c r="Y98">
        <v>0.42399999999999999</v>
      </c>
      <c r="Z98">
        <v>5.7000000000000002E-2</v>
      </c>
      <c r="AA98">
        <v>19.200600000000009</v>
      </c>
      <c r="AB98" s="2">
        <v>45681</v>
      </c>
      <c r="AC98" t="s">
        <v>716</v>
      </c>
      <c r="AD98">
        <v>2</v>
      </c>
      <c r="AE98">
        <v>5.62E-2</v>
      </c>
      <c r="AF98">
        <v>9.6633684687570263</v>
      </c>
      <c r="AG98">
        <v>1057.053667685042</v>
      </c>
      <c r="AH98">
        <v>0.42399999999999999</v>
      </c>
      <c r="AI98">
        <v>5.7000000000000002E-2</v>
      </c>
      <c r="AJ98">
        <v>19.198800000000006</v>
      </c>
      <c r="AK98" s="2">
        <v>45681</v>
      </c>
      <c r="AL98" t="s">
        <v>876</v>
      </c>
      <c r="AM98">
        <v>2</v>
      </c>
      <c r="AN98">
        <v>5.62E-2</v>
      </c>
      <c r="AO98">
        <v>9.6630899103518004</v>
      </c>
      <c r="AP98">
        <v>1057.027232492386</v>
      </c>
      <c r="AQ98">
        <v>0.42399999999999999</v>
      </c>
      <c r="AR98">
        <v>5.7000000000000002E-2</v>
      </c>
      <c r="AS98">
        <v>19.20010000000002</v>
      </c>
      <c r="AT98" s="2">
        <v>45681</v>
      </c>
      <c r="AU98" t="s">
        <v>1034</v>
      </c>
      <c r="AV98">
        <v>3</v>
      </c>
      <c r="AW98">
        <v>5.5800000000000002E-2</v>
      </c>
      <c r="AX98">
        <v>9.6622647773756292</v>
      </c>
      <c r="AY98">
        <v>1056.9489273729471</v>
      </c>
      <c r="AZ98">
        <v>0.42399999999999999</v>
      </c>
      <c r="BA98">
        <v>5.7000000000000002E-2</v>
      </c>
      <c r="BB98">
        <v>19.201099999999997</v>
      </c>
      <c r="BC98" s="2">
        <v>45681</v>
      </c>
      <c r="BD98" t="s">
        <v>1234</v>
      </c>
      <c r="BE98">
        <v>4</v>
      </c>
      <c r="BF98">
        <v>6.1699999999999998E-2</v>
      </c>
      <c r="BG98">
        <v>9.9510232047861944</v>
      </c>
      <c r="BH98">
        <v>1084.3521021342101</v>
      </c>
      <c r="BI98">
        <v>0.42399999999999999</v>
      </c>
      <c r="BJ98">
        <v>6.1499999999999999E-2</v>
      </c>
      <c r="BK98">
        <v>19.601600000000019</v>
      </c>
      <c r="BL98" s="2">
        <v>45681</v>
      </c>
      <c r="BM98" t="s">
        <v>1392</v>
      </c>
      <c r="BN98">
        <v>4</v>
      </c>
      <c r="BO98">
        <v>5.5800000000000002E-2</v>
      </c>
      <c r="BP98">
        <v>9.6643468696766863</v>
      </c>
      <c r="BQ98">
        <v>1057.1465179323179</v>
      </c>
      <c r="BR98">
        <v>0.42399999999999999</v>
      </c>
      <c r="BS98">
        <v>5.7000000000000002E-2</v>
      </c>
      <c r="BT98">
        <v>19.199899999999957</v>
      </c>
      <c r="BU98" s="2">
        <v>45681</v>
      </c>
      <c r="BV98" t="s">
        <v>1590</v>
      </c>
      <c r="BW98">
        <v>5</v>
      </c>
      <c r="BX98">
        <v>5.5500000000000001E-2</v>
      </c>
      <c r="BY98">
        <v>9.6694679652487192</v>
      </c>
      <c r="BZ98">
        <v>1057.632509902103</v>
      </c>
      <c r="CA98">
        <v>0.42399999999999999</v>
      </c>
      <c r="CB98">
        <v>5.7099999999999998E-2</v>
      </c>
      <c r="CC98">
        <v>19.202200000000005</v>
      </c>
      <c r="CD98" s="2">
        <v>45681</v>
      </c>
      <c r="CE98" t="s">
        <v>1750</v>
      </c>
      <c r="CF98">
        <v>5</v>
      </c>
      <c r="CG98">
        <v>5.5800000000000002E-2</v>
      </c>
      <c r="CH98">
        <v>9.6701296935126564</v>
      </c>
      <c r="CI98">
        <v>1057.6953079143509</v>
      </c>
      <c r="CJ98">
        <v>0.42399999999999999</v>
      </c>
      <c r="CK98">
        <v>5.7099999999999998E-2</v>
      </c>
      <c r="CL98">
        <v>19.201300000000003</v>
      </c>
    </row>
    <row r="99" spans="1:90" x14ac:dyDescent="0.3">
      <c r="A99" s="2">
        <v>45681</v>
      </c>
      <c r="B99" t="s">
        <v>197</v>
      </c>
      <c r="C99">
        <v>0</v>
      </c>
      <c r="D99">
        <v>5.96E-2</v>
      </c>
      <c r="E99">
        <v>9.8301803517040067</v>
      </c>
      <c r="F99">
        <v>1072.88411537671</v>
      </c>
      <c r="G99">
        <v>0.42399999999999999</v>
      </c>
      <c r="H99">
        <v>5.96E-2</v>
      </c>
      <c r="I99">
        <v>19.399560000000001</v>
      </c>
      <c r="J99" s="2">
        <v>45681</v>
      </c>
      <c r="K99" t="s">
        <v>357</v>
      </c>
      <c r="L99">
        <v>1</v>
      </c>
      <c r="M99">
        <v>5.9200000000000003E-2</v>
      </c>
      <c r="N99">
        <v>9.8308968185191929</v>
      </c>
      <c r="O99">
        <v>1072.9521080774721</v>
      </c>
      <c r="P99">
        <v>0.42399999999999999</v>
      </c>
      <c r="Q99">
        <v>5.96E-2</v>
      </c>
      <c r="R99">
        <v>19.400369999999995</v>
      </c>
      <c r="S99" s="2">
        <v>45681</v>
      </c>
      <c r="T99" t="s">
        <v>517</v>
      </c>
      <c r="U99">
        <v>1</v>
      </c>
      <c r="V99">
        <v>5.8799999999999998E-2</v>
      </c>
      <c r="W99">
        <v>9.8301077724397654</v>
      </c>
      <c r="X99">
        <v>1072.877227604534</v>
      </c>
      <c r="Y99">
        <v>0.42399999999999999</v>
      </c>
      <c r="Z99">
        <v>5.96E-2</v>
      </c>
      <c r="AA99">
        <v>19.399200000000008</v>
      </c>
      <c r="AB99" s="2">
        <v>45681</v>
      </c>
      <c r="AC99" t="s">
        <v>717</v>
      </c>
      <c r="AD99">
        <v>2</v>
      </c>
      <c r="AE99">
        <v>5.91E-2</v>
      </c>
      <c r="AF99">
        <v>9.8283630318026738</v>
      </c>
      <c r="AG99">
        <v>1072.7116517180741</v>
      </c>
      <c r="AH99">
        <v>0.42399999999999999</v>
      </c>
      <c r="AI99">
        <v>5.9499999999999997E-2</v>
      </c>
      <c r="AJ99">
        <v>19.397200000000026</v>
      </c>
      <c r="AK99" s="2">
        <v>45681</v>
      </c>
      <c r="AL99" t="s">
        <v>877</v>
      </c>
      <c r="AM99">
        <v>2</v>
      </c>
      <c r="AN99">
        <v>5.8999999999999997E-2</v>
      </c>
      <c r="AO99">
        <v>9.8294132010450781</v>
      </c>
      <c r="AP99">
        <v>1072.811312779178</v>
      </c>
      <c r="AQ99">
        <v>0.42399999999999999</v>
      </c>
      <c r="AR99">
        <v>5.96E-2</v>
      </c>
      <c r="AS99">
        <v>19.400200000000012</v>
      </c>
      <c r="AT99" s="2">
        <v>45681</v>
      </c>
      <c r="AU99" t="s">
        <v>1035</v>
      </c>
      <c r="AV99">
        <v>3</v>
      </c>
      <c r="AW99">
        <v>5.8799999999999998E-2</v>
      </c>
      <c r="AX99">
        <v>9.8278326760617212</v>
      </c>
      <c r="AY99">
        <v>1072.661320958257</v>
      </c>
      <c r="AZ99">
        <v>0.42399999999999999</v>
      </c>
      <c r="BA99">
        <v>5.9499999999999997E-2</v>
      </c>
      <c r="BB99">
        <v>19.399899999999974</v>
      </c>
      <c r="BC99" s="2">
        <v>45681</v>
      </c>
      <c r="BD99" t="s">
        <v>1235</v>
      </c>
      <c r="BE99">
        <v>4</v>
      </c>
      <c r="BF99">
        <v>6.4500000000000002E-2</v>
      </c>
      <c r="BG99">
        <v>10.02579201107935</v>
      </c>
      <c r="BH99">
        <v>1091.44766185143</v>
      </c>
      <c r="BI99">
        <v>0.42399999999999999</v>
      </c>
      <c r="BJ99">
        <v>6.2600000000000003E-2</v>
      </c>
      <c r="BK99">
        <v>19.803200000000004</v>
      </c>
      <c r="BL99" s="2">
        <v>45681</v>
      </c>
      <c r="BM99" t="s">
        <v>1393</v>
      </c>
      <c r="BN99">
        <v>4</v>
      </c>
      <c r="BO99">
        <v>5.8999999999999997E-2</v>
      </c>
      <c r="BP99">
        <v>9.8308603261516954</v>
      </c>
      <c r="BQ99">
        <v>1072.948644951796</v>
      </c>
      <c r="BR99">
        <v>0.42399999999999999</v>
      </c>
      <c r="BS99">
        <v>5.96E-2</v>
      </c>
      <c r="BT99">
        <v>19.400599999999997</v>
      </c>
      <c r="BU99" s="2">
        <v>45681</v>
      </c>
      <c r="BV99" t="s">
        <v>1591</v>
      </c>
      <c r="BW99">
        <v>5</v>
      </c>
      <c r="BX99">
        <v>5.91E-2</v>
      </c>
      <c r="BY99">
        <v>9.8345675452186043</v>
      </c>
      <c r="BZ99">
        <v>1073.300460041246</v>
      </c>
      <c r="CA99">
        <v>0.42399999999999999</v>
      </c>
      <c r="CB99">
        <v>5.96E-2</v>
      </c>
      <c r="CC99">
        <v>19.402600000000007</v>
      </c>
      <c r="CD99" s="2">
        <v>45681</v>
      </c>
      <c r="CE99" t="s">
        <v>1751</v>
      </c>
      <c r="CF99">
        <v>5</v>
      </c>
      <c r="CG99">
        <v>5.8900000000000001E-2</v>
      </c>
      <c r="CH99">
        <v>9.833492236789704</v>
      </c>
      <c r="CI99">
        <v>1073.198413271343</v>
      </c>
      <c r="CJ99">
        <v>0.42399999999999999</v>
      </c>
      <c r="CK99">
        <v>5.96E-2</v>
      </c>
      <c r="CL99">
        <v>19.399499999999989</v>
      </c>
    </row>
    <row r="100" spans="1:90" x14ac:dyDescent="0.3">
      <c r="A100" s="2">
        <v>45681</v>
      </c>
      <c r="B100" t="s">
        <v>198</v>
      </c>
      <c r="C100">
        <v>0</v>
      </c>
      <c r="D100">
        <v>6.2799999999999995E-2</v>
      </c>
      <c r="E100">
        <v>9.9520887819170998</v>
      </c>
      <c r="F100">
        <v>1084.4532254039329</v>
      </c>
      <c r="G100">
        <v>0.42399999999999999</v>
      </c>
      <c r="H100">
        <v>6.1499999999999999E-2</v>
      </c>
      <c r="I100">
        <v>19.600360000000002</v>
      </c>
      <c r="J100" s="2">
        <v>45681</v>
      </c>
      <c r="K100" t="s">
        <v>358</v>
      </c>
      <c r="L100">
        <v>1</v>
      </c>
      <c r="M100">
        <v>6.2100000000000002E-2</v>
      </c>
      <c r="N100">
        <v>9.9515280158698989</v>
      </c>
      <c r="O100">
        <v>1084.400008706054</v>
      </c>
      <c r="P100">
        <v>0.42399999999999999</v>
      </c>
      <c r="Q100">
        <v>6.1499999999999999E-2</v>
      </c>
      <c r="R100">
        <v>19.598969999999994</v>
      </c>
      <c r="S100" s="2">
        <v>45681</v>
      </c>
      <c r="T100" t="s">
        <v>518</v>
      </c>
      <c r="U100">
        <v>1</v>
      </c>
      <c r="V100">
        <v>6.1899999999999997E-2</v>
      </c>
      <c r="W100">
        <v>9.9520725630870999</v>
      </c>
      <c r="X100">
        <v>1084.451686236966</v>
      </c>
      <c r="Y100">
        <v>0.42399999999999999</v>
      </c>
      <c r="Z100">
        <v>6.1499999999999999E-2</v>
      </c>
      <c r="AA100">
        <v>19.599999999999994</v>
      </c>
      <c r="AB100" s="2">
        <v>45681</v>
      </c>
      <c r="AC100" t="s">
        <v>718</v>
      </c>
      <c r="AD100">
        <v>2</v>
      </c>
      <c r="AE100">
        <v>6.1699999999999998E-2</v>
      </c>
      <c r="AF100">
        <v>9.9517567013728776</v>
      </c>
      <c r="AG100">
        <v>1084.421710960286</v>
      </c>
      <c r="AH100">
        <v>0.42399999999999999</v>
      </c>
      <c r="AI100">
        <v>6.1499999999999999E-2</v>
      </c>
      <c r="AJ100">
        <v>19.599800000000016</v>
      </c>
      <c r="AK100" s="2">
        <v>45681</v>
      </c>
      <c r="AL100" t="s">
        <v>878</v>
      </c>
      <c r="AM100">
        <v>2</v>
      </c>
      <c r="AN100">
        <v>6.1600000000000002E-2</v>
      </c>
      <c r="AO100">
        <v>9.9509226480402049</v>
      </c>
      <c r="AP100">
        <v>1084.3425592990161</v>
      </c>
      <c r="AQ100">
        <v>0.42399999999999999</v>
      </c>
      <c r="AR100">
        <v>6.1499999999999999E-2</v>
      </c>
      <c r="AS100">
        <v>19.599700000000013</v>
      </c>
      <c r="AT100" s="2">
        <v>45681</v>
      </c>
      <c r="AU100" t="s">
        <v>1036</v>
      </c>
      <c r="AV100">
        <v>3</v>
      </c>
      <c r="AW100">
        <v>6.2100000000000002E-2</v>
      </c>
      <c r="AX100">
        <v>9.950036694451537</v>
      </c>
      <c r="AY100">
        <v>1084.258482303451</v>
      </c>
      <c r="AZ100">
        <v>0.42399999999999999</v>
      </c>
      <c r="BA100">
        <v>6.1400000000000003E-2</v>
      </c>
      <c r="BB100">
        <v>19.599799999999988</v>
      </c>
      <c r="BC100" s="2">
        <v>45681</v>
      </c>
      <c r="BD100" t="s">
        <v>1236</v>
      </c>
      <c r="BE100">
        <v>4</v>
      </c>
      <c r="BF100">
        <v>6.6199999999999995E-2</v>
      </c>
      <c r="BG100">
        <v>10.05044057796959</v>
      </c>
      <c r="BH100">
        <v>1093.786810849314</v>
      </c>
      <c r="BI100">
        <v>0.42399999999999999</v>
      </c>
      <c r="BJ100">
        <v>6.3E-2</v>
      </c>
      <c r="BK100">
        <v>20.001100000000008</v>
      </c>
      <c r="BL100" s="2">
        <v>45681</v>
      </c>
      <c r="BM100" t="s">
        <v>1394</v>
      </c>
      <c r="BN100">
        <v>4</v>
      </c>
      <c r="BO100">
        <v>6.1800000000000001E-2</v>
      </c>
      <c r="BP100">
        <v>9.9518982106646146</v>
      </c>
      <c r="BQ100">
        <v>1084.4351401920719</v>
      </c>
      <c r="BR100">
        <v>0.42399999999999999</v>
      </c>
      <c r="BS100">
        <v>6.1499999999999999E-2</v>
      </c>
      <c r="BT100">
        <v>19.600099999999998</v>
      </c>
      <c r="BU100" s="2">
        <v>45681</v>
      </c>
      <c r="BV100" t="s">
        <v>1592</v>
      </c>
      <c r="BW100">
        <v>5</v>
      </c>
      <c r="BX100">
        <v>6.2E-2</v>
      </c>
      <c r="BY100">
        <v>9.9536705233127023</v>
      </c>
      <c r="BZ100">
        <v>1084.603332662376</v>
      </c>
      <c r="CA100">
        <v>0.42399999999999999</v>
      </c>
      <c r="CB100">
        <v>6.1499999999999999E-2</v>
      </c>
      <c r="CC100">
        <v>19.600500000000011</v>
      </c>
      <c r="CD100" s="2">
        <v>45681</v>
      </c>
      <c r="CE100" t="s">
        <v>1752</v>
      </c>
      <c r="CF100">
        <v>5</v>
      </c>
      <c r="CG100">
        <v>6.13E-2</v>
      </c>
      <c r="CH100">
        <v>9.9539600294281758</v>
      </c>
      <c r="CI100">
        <v>1084.6308067927339</v>
      </c>
      <c r="CJ100">
        <v>0.42399999999999999</v>
      </c>
      <c r="CK100">
        <v>6.1499999999999999E-2</v>
      </c>
      <c r="CL100">
        <v>19.599499999999978</v>
      </c>
    </row>
    <row r="101" spans="1:90" x14ac:dyDescent="0.3">
      <c r="A101" s="2">
        <v>45681</v>
      </c>
      <c r="B101" t="s">
        <v>199</v>
      </c>
      <c r="C101">
        <v>0</v>
      </c>
      <c r="D101">
        <v>6.5000000000000002E-2</v>
      </c>
      <c r="E101">
        <v>10.02604097011983</v>
      </c>
      <c r="F101">
        <v>1091.4712880643719</v>
      </c>
      <c r="G101">
        <v>0.42399999999999999</v>
      </c>
      <c r="H101">
        <v>6.2600000000000003E-2</v>
      </c>
      <c r="I101">
        <v>19.800840000000001</v>
      </c>
      <c r="J101" s="2">
        <v>45681</v>
      </c>
      <c r="K101" t="s">
        <v>359</v>
      </c>
      <c r="L101">
        <v>1</v>
      </c>
      <c r="M101">
        <v>6.5000000000000002E-2</v>
      </c>
      <c r="N101">
        <v>10.02565171819986</v>
      </c>
      <c r="O101">
        <v>1091.434348057167</v>
      </c>
      <c r="P101">
        <v>0.42399999999999999</v>
      </c>
      <c r="Q101">
        <v>6.2600000000000003E-2</v>
      </c>
      <c r="R101">
        <v>19.79907</v>
      </c>
      <c r="S101" s="2">
        <v>45681</v>
      </c>
      <c r="T101" t="s">
        <v>519</v>
      </c>
      <c r="U101">
        <v>1</v>
      </c>
      <c r="V101">
        <v>6.4500000000000002E-2</v>
      </c>
      <c r="W101">
        <v>10.026055972537581</v>
      </c>
      <c r="X101">
        <v>1091.472711793816</v>
      </c>
      <c r="Y101">
        <v>0.42399999999999999</v>
      </c>
      <c r="Z101">
        <v>6.2600000000000003E-2</v>
      </c>
      <c r="AA101">
        <v>19.800600000000003</v>
      </c>
      <c r="AB101" s="2">
        <v>45681</v>
      </c>
      <c r="AC101" t="s">
        <v>719</v>
      </c>
      <c r="AD101">
        <v>2</v>
      </c>
      <c r="AE101">
        <v>6.4600000000000005E-2</v>
      </c>
      <c r="AF101">
        <v>10.02529368752765</v>
      </c>
      <c r="AG101">
        <v>1091.4003709463741</v>
      </c>
      <c r="AH101">
        <v>0.42399999999999999</v>
      </c>
      <c r="AI101">
        <v>6.2600000000000003E-2</v>
      </c>
      <c r="AJ101">
        <v>19.797900000000027</v>
      </c>
      <c r="AK101" s="2">
        <v>45681</v>
      </c>
      <c r="AL101" t="s">
        <v>879</v>
      </c>
      <c r="AM101">
        <v>2</v>
      </c>
      <c r="AN101">
        <v>6.5199999999999994E-2</v>
      </c>
      <c r="AO101">
        <v>10.025640365018869</v>
      </c>
      <c r="AP101">
        <v>1091.4332706402899</v>
      </c>
      <c r="AQ101">
        <v>0.42399999999999999</v>
      </c>
      <c r="AR101">
        <v>6.2600000000000003E-2</v>
      </c>
      <c r="AS101">
        <v>19.800900000000013</v>
      </c>
      <c r="AT101" s="2">
        <v>45681</v>
      </c>
      <c r="AU101" t="s">
        <v>1037</v>
      </c>
      <c r="AV101">
        <v>3</v>
      </c>
      <c r="AW101">
        <v>6.4500000000000002E-2</v>
      </c>
      <c r="AX101">
        <v>10.025071489556669</v>
      </c>
      <c r="AY101">
        <v>1091.3792843589281</v>
      </c>
      <c r="AZ101">
        <v>0.42399999999999999</v>
      </c>
      <c r="BA101">
        <v>6.2600000000000003E-2</v>
      </c>
      <c r="BB101">
        <v>19.800599999999974</v>
      </c>
      <c r="BC101" s="2">
        <v>45681</v>
      </c>
      <c r="BD101" t="s">
        <v>1237</v>
      </c>
      <c r="BE101">
        <v>4</v>
      </c>
      <c r="BF101">
        <v>6.6199999999999995E-2</v>
      </c>
      <c r="BG101">
        <v>10.02558805929212</v>
      </c>
      <c r="BH101">
        <v>982.38480712602563</v>
      </c>
      <c r="BI101">
        <v>0.42399999999999999</v>
      </c>
      <c r="BJ101">
        <v>6.2600000000000003E-2</v>
      </c>
      <c r="BK101">
        <v>20.201599999999985</v>
      </c>
      <c r="BL101" s="2">
        <v>45681</v>
      </c>
      <c r="BM101" t="s">
        <v>1395</v>
      </c>
      <c r="BN101">
        <v>4</v>
      </c>
      <c r="BO101">
        <v>6.4899999999999999E-2</v>
      </c>
      <c r="BP101">
        <v>10.02632601605705</v>
      </c>
      <c r="BQ101">
        <v>1091.498338923815</v>
      </c>
      <c r="BR101">
        <v>0.42399999999999999</v>
      </c>
      <c r="BS101">
        <v>6.2600000000000003E-2</v>
      </c>
      <c r="BT101">
        <v>19.802099999999996</v>
      </c>
      <c r="BU101" s="2">
        <v>45681</v>
      </c>
      <c r="BV101" t="s">
        <v>1593</v>
      </c>
      <c r="BW101">
        <v>5</v>
      </c>
      <c r="BX101">
        <v>6.4600000000000005E-2</v>
      </c>
      <c r="BY101">
        <v>10.02651537089729</v>
      </c>
      <c r="BZ101">
        <v>1091.516308698152</v>
      </c>
      <c r="CA101">
        <v>0.42399999999999999</v>
      </c>
      <c r="CB101">
        <v>6.2600000000000003E-2</v>
      </c>
      <c r="CC101">
        <v>19.799699999999973</v>
      </c>
      <c r="CD101" s="2">
        <v>45681</v>
      </c>
      <c r="CE101" t="s">
        <v>1753</v>
      </c>
      <c r="CF101">
        <v>5</v>
      </c>
      <c r="CG101">
        <v>6.4699999999999994E-2</v>
      </c>
      <c r="CH101">
        <v>10.02718683045922</v>
      </c>
      <c r="CI101">
        <v>1091.5800302105799</v>
      </c>
      <c r="CJ101">
        <v>0.42399999999999999</v>
      </c>
      <c r="CK101">
        <v>6.2600000000000003E-2</v>
      </c>
      <c r="CL101">
        <v>19.800900000000013</v>
      </c>
    </row>
    <row r="102" spans="1:90" x14ac:dyDescent="0.3">
      <c r="A102" s="2">
        <v>45681</v>
      </c>
      <c r="B102" t="s">
        <v>200</v>
      </c>
      <c r="C102">
        <v>0</v>
      </c>
      <c r="D102">
        <v>6.5600000000000006E-2</v>
      </c>
      <c r="E102">
        <v>10.05044098344035</v>
      </c>
      <c r="F102">
        <v>1093.7868493284891</v>
      </c>
      <c r="G102">
        <v>0.42399999999999999</v>
      </c>
      <c r="H102">
        <v>6.3E-2</v>
      </c>
      <c r="I102">
        <v>19.99868</v>
      </c>
      <c r="J102" s="2">
        <v>45681</v>
      </c>
      <c r="K102" t="s">
        <v>360</v>
      </c>
      <c r="L102">
        <v>1</v>
      </c>
      <c r="M102">
        <v>6.5600000000000006E-2</v>
      </c>
      <c r="N102">
        <v>10.050440172498851</v>
      </c>
      <c r="O102">
        <v>1093.7867723701411</v>
      </c>
      <c r="P102">
        <v>0.42399999999999999</v>
      </c>
      <c r="Q102">
        <v>6.3E-2</v>
      </c>
      <c r="R102">
        <v>19.999469999999988</v>
      </c>
      <c r="S102" s="2">
        <v>45681</v>
      </c>
      <c r="T102" t="s">
        <v>520</v>
      </c>
      <c r="U102">
        <v>1</v>
      </c>
      <c r="V102">
        <v>6.6000000000000003E-2</v>
      </c>
      <c r="W102">
        <v>10.05044098344035</v>
      </c>
      <c r="X102">
        <v>1093.7868493284891</v>
      </c>
      <c r="Y102">
        <v>0.42399999999999999</v>
      </c>
      <c r="Z102">
        <v>6.3E-2</v>
      </c>
      <c r="AA102">
        <v>19.998400000000004</v>
      </c>
      <c r="AB102" s="2">
        <v>45681</v>
      </c>
      <c r="AC102" t="s">
        <v>720</v>
      </c>
      <c r="AD102">
        <v>2</v>
      </c>
      <c r="AE102">
        <v>6.54E-2</v>
      </c>
      <c r="AF102">
        <v>10.05044098344035</v>
      </c>
      <c r="AG102">
        <v>1093.7868493284891</v>
      </c>
      <c r="AH102">
        <v>0.42399999999999999</v>
      </c>
      <c r="AI102">
        <v>6.3E-2</v>
      </c>
      <c r="AJ102">
        <v>19.99890000000002</v>
      </c>
      <c r="AK102" s="2">
        <v>45681</v>
      </c>
      <c r="AL102" t="s">
        <v>880</v>
      </c>
      <c r="AM102">
        <v>2</v>
      </c>
      <c r="AN102">
        <v>6.59E-2</v>
      </c>
      <c r="AO102">
        <v>10.05044098344035</v>
      </c>
      <c r="AP102">
        <v>1093.7868493284891</v>
      </c>
      <c r="AQ102">
        <v>0.42399999999999999</v>
      </c>
      <c r="AR102">
        <v>6.3E-2</v>
      </c>
      <c r="AS102">
        <v>20.000400000000013</v>
      </c>
      <c r="AT102" s="2">
        <v>45681</v>
      </c>
      <c r="AU102" t="s">
        <v>1038</v>
      </c>
      <c r="AV102">
        <v>3</v>
      </c>
      <c r="AW102">
        <v>6.6000000000000003E-2</v>
      </c>
      <c r="AX102">
        <v>10.050438550615841</v>
      </c>
      <c r="AY102">
        <v>1093.7866184534439</v>
      </c>
      <c r="AZ102">
        <v>0.42399999999999999</v>
      </c>
      <c r="BA102">
        <v>6.3E-2</v>
      </c>
      <c r="BB102">
        <v>20.000299999999982</v>
      </c>
      <c r="BC102" s="2">
        <v>45681</v>
      </c>
      <c r="BD102" t="s">
        <v>1238</v>
      </c>
      <c r="BE102">
        <v>4</v>
      </c>
      <c r="BF102">
        <v>6.4000000000000001E-2</v>
      </c>
      <c r="BG102">
        <v>9.950473791919995</v>
      </c>
      <c r="BH102">
        <v>975.38415740694359</v>
      </c>
      <c r="BI102">
        <v>0.42399999999999999</v>
      </c>
      <c r="BJ102">
        <v>6.1400000000000003E-2</v>
      </c>
      <c r="BK102">
        <v>20.403500000000008</v>
      </c>
      <c r="BL102" s="2">
        <v>45681</v>
      </c>
      <c r="BM102" t="s">
        <v>1396</v>
      </c>
      <c r="BN102">
        <v>4</v>
      </c>
      <c r="BO102">
        <v>6.6100000000000006E-2</v>
      </c>
      <c r="BP102">
        <v>10.050436117791341</v>
      </c>
      <c r="BQ102">
        <v>1093.7863875783989</v>
      </c>
      <c r="BR102">
        <v>0.42399999999999999</v>
      </c>
      <c r="BS102">
        <v>6.3E-2</v>
      </c>
      <c r="BT102">
        <v>20.001499999999965</v>
      </c>
      <c r="BU102" s="2">
        <v>45681</v>
      </c>
      <c r="BV102" t="s">
        <v>1594</v>
      </c>
      <c r="BW102">
        <v>5</v>
      </c>
      <c r="BX102">
        <v>6.6100000000000006E-2</v>
      </c>
      <c r="BY102">
        <v>10.05043044120085</v>
      </c>
      <c r="BZ102">
        <v>1093.7858488699601</v>
      </c>
      <c r="CA102">
        <v>0.42399999999999999</v>
      </c>
      <c r="CB102">
        <v>6.3E-2</v>
      </c>
      <c r="CC102">
        <v>19.999700000000018</v>
      </c>
      <c r="CD102" s="2">
        <v>45681</v>
      </c>
      <c r="CE102" t="s">
        <v>1754</v>
      </c>
      <c r="CF102">
        <v>5</v>
      </c>
      <c r="CG102">
        <v>6.6199999999999995E-2</v>
      </c>
      <c r="CH102">
        <v>10.0504138169001</v>
      </c>
      <c r="CI102">
        <v>1093.7842712238189</v>
      </c>
      <c r="CJ102">
        <v>0.42399999999999999</v>
      </c>
      <c r="CK102">
        <v>6.3E-2</v>
      </c>
      <c r="CL102">
        <v>20.000499999999988</v>
      </c>
    </row>
    <row r="103" spans="1:90" x14ac:dyDescent="0.3">
      <c r="A103" s="2">
        <v>45681</v>
      </c>
      <c r="B103" t="s">
        <v>201</v>
      </c>
      <c r="C103">
        <v>0</v>
      </c>
      <c r="D103">
        <v>6.6000000000000003E-2</v>
      </c>
      <c r="E103">
        <v>10.025005803295169</v>
      </c>
      <c r="F103">
        <v>982.33054086711024</v>
      </c>
      <c r="G103">
        <v>0.42399999999999999</v>
      </c>
      <c r="H103">
        <v>6.2600000000000003E-2</v>
      </c>
      <c r="I103">
        <v>20.200479999999992</v>
      </c>
      <c r="J103" s="2">
        <v>45681</v>
      </c>
      <c r="K103" t="s">
        <v>361</v>
      </c>
      <c r="L103">
        <v>1</v>
      </c>
      <c r="M103">
        <v>6.6299999999999998E-2</v>
      </c>
      <c r="N103">
        <v>10.025472905599131</v>
      </c>
      <c r="O103">
        <v>982.37407480183901</v>
      </c>
      <c r="P103">
        <v>0.42399999999999999</v>
      </c>
      <c r="Q103">
        <v>6.2600000000000003E-2</v>
      </c>
      <c r="R103">
        <v>20.198369999999997</v>
      </c>
      <c r="S103" s="2">
        <v>45681</v>
      </c>
      <c r="T103" t="s">
        <v>521</v>
      </c>
      <c r="U103">
        <v>1</v>
      </c>
      <c r="V103">
        <v>6.6199999999999995E-2</v>
      </c>
      <c r="W103">
        <v>10.025696725453111</v>
      </c>
      <c r="X103">
        <v>982.39493481222996</v>
      </c>
      <c r="Y103">
        <v>0.42399999999999999</v>
      </c>
      <c r="Z103">
        <v>6.2600000000000003E-2</v>
      </c>
      <c r="AA103">
        <v>20.197399999999988</v>
      </c>
      <c r="AB103" s="2">
        <v>45681</v>
      </c>
      <c r="AC103" t="s">
        <v>721</v>
      </c>
      <c r="AD103">
        <v>2</v>
      </c>
      <c r="AE103">
        <v>6.5500000000000003E-2</v>
      </c>
      <c r="AF103">
        <v>10.025666315146861</v>
      </c>
      <c r="AG103">
        <v>982.39210057168759</v>
      </c>
      <c r="AH103">
        <v>0.42399999999999999</v>
      </c>
      <c r="AI103">
        <v>6.2600000000000003E-2</v>
      </c>
      <c r="AJ103">
        <v>20.197900000000004</v>
      </c>
      <c r="AK103" s="2">
        <v>45681</v>
      </c>
      <c r="AL103" t="s">
        <v>881</v>
      </c>
      <c r="AM103">
        <v>2</v>
      </c>
      <c r="AN103">
        <v>6.6000000000000003E-2</v>
      </c>
      <c r="AO103">
        <v>10.025319637655651</v>
      </c>
      <c r="AP103">
        <v>982.35979022950619</v>
      </c>
      <c r="AQ103">
        <v>0.42399999999999999</v>
      </c>
      <c r="AR103">
        <v>6.2600000000000003E-2</v>
      </c>
      <c r="AS103">
        <v>20.200900000000019</v>
      </c>
      <c r="AT103" s="2">
        <v>45681</v>
      </c>
      <c r="AU103" t="s">
        <v>1039</v>
      </c>
      <c r="AV103">
        <v>3</v>
      </c>
      <c r="AW103">
        <v>6.6000000000000003E-2</v>
      </c>
      <c r="AX103">
        <v>10.02601055981358</v>
      </c>
      <c r="AY103">
        <v>982.42418417462579</v>
      </c>
      <c r="AZ103">
        <v>0.42399999999999999</v>
      </c>
      <c r="BA103">
        <v>6.2600000000000003E-2</v>
      </c>
      <c r="BB103">
        <v>20.200099999999992</v>
      </c>
      <c r="BC103" s="2">
        <v>45681</v>
      </c>
      <c r="BD103" t="s">
        <v>1239</v>
      </c>
      <c r="BE103">
        <v>4</v>
      </c>
      <c r="BF103">
        <v>6.25E-2</v>
      </c>
      <c r="BG103">
        <v>9.8289100118443731</v>
      </c>
      <c r="BH103">
        <v>964.05441310389563</v>
      </c>
      <c r="BI103">
        <v>0.42399999999999999</v>
      </c>
      <c r="BJ103">
        <v>5.96E-2</v>
      </c>
      <c r="BK103">
        <v>20.602800000000002</v>
      </c>
      <c r="BL103" s="2">
        <v>45681</v>
      </c>
      <c r="BM103" t="s">
        <v>1397</v>
      </c>
      <c r="BN103">
        <v>4</v>
      </c>
      <c r="BO103">
        <v>6.6000000000000003E-2</v>
      </c>
      <c r="BP103">
        <v>10.02526043892615</v>
      </c>
      <c r="BQ103">
        <v>982.35427290791699</v>
      </c>
      <c r="BR103">
        <v>0.42399999999999999</v>
      </c>
      <c r="BS103">
        <v>6.2600000000000003E-2</v>
      </c>
      <c r="BT103">
        <v>20.199599999999975</v>
      </c>
      <c r="BU103" s="2">
        <v>45681</v>
      </c>
      <c r="BV103" t="s">
        <v>1595</v>
      </c>
      <c r="BW103">
        <v>5</v>
      </c>
      <c r="BX103">
        <v>6.6199999999999995E-2</v>
      </c>
      <c r="BY103">
        <v>10.02458614106896</v>
      </c>
      <c r="BZ103">
        <v>982.29142834762729</v>
      </c>
      <c r="CA103">
        <v>0.42399999999999999</v>
      </c>
      <c r="CB103">
        <v>6.2600000000000003E-2</v>
      </c>
      <c r="CC103">
        <v>20.199099999999987</v>
      </c>
      <c r="CD103" s="2">
        <v>45681</v>
      </c>
      <c r="CE103" t="s">
        <v>1755</v>
      </c>
      <c r="CF103">
        <v>5</v>
      </c>
      <c r="CG103">
        <v>6.6199999999999995E-2</v>
      </c>
      <c r="CH103">
        <v>10.023808853641279</v>
      </c>
      <c r="CI103">
        <v>982.21898515936778</v>
      </c>
      <c r="CJ103">
        <v>0.42399999999999999</v>
      </c>
      <c r="CK103">
        <v>6.2600000000000003E-2</v>
      </c>
      <c r="CL103">
        <v>20.200499999999977</v>
      </c>
    </row>
    <row r="104" spans="1:90" x14ac:dyDescent="0.3">
      <c r="A104" s="2">
        <v>45681</v>
      </c>
      <c r="B104" t="s">
        <v>202</v>
      </c>
      <c r="C104">
        <v>0</v>
      </c>
      <c r="D104">
        <v>6.4000000000000001E-2</v>
      </c>
      <c r="E104">
        <v>9.9504652770342457</v>
      </c>
      <c r="F104">
        <v>975.38336381959175</v>
      </c>
      <c r="G104">
        <v>0.42399999999999999</v>
      </c>
      <c r="H104">
        <v>6.1400000000000003E-2</v>
      </c>
      <c r="I104">
        <v>20.400100000000002</v>
      </c>
      <c r="J104" s="2">
        <v>45681</v>
      </c>
      <c r="K104" t="s">
        <v>362</v>
      </c>
      <c r="L104">
        <v>1</v>
      </c>
      <c r="M104">
        <v>6.4299999999999996E-2</v>
      </c>
      <c r="N104">
        <v>9.9504851451009966</v>
      </c>
      <c r="O104">
        <v>975.38521552341285</v>
      </c>
      <c r="P104">
        <v>0.42399999999999999</v>
      </c>
      <c r="Q104">
        <v>6.1400000000000003E-2</v>
      </c>
      <c r="R104">
        <v>20.399869999999993</v>
      </c>
      <c r="S104" s="2">
        <v>45681</v>
      </c>
      <c r="T104" t="s">
        <v>522</v>
      </c>
      <c r="U104">
        <v>1</v>
      </c>
      <c r="V104">
        <v>6.4299999999999996E-2</v>
      </c>
      <c r="W104">
        <v>9.9514120512354101</v>
      </c>
      <c r="X104">
        <v>975.47160317514022</v>
      </c>
      <c r="Y104">
        <v>0.42399999999999999</v>
      </c>
      <c r="Z104">
        <v>6.1499999999999999E-2</v>
      </c>
      <c r="AA104">
        <v>20.397899999999993</v>
      </c>
      <c r="AB104" s="2">
        <v>45681</v>
      </c>
      <c r="AC104" t="s">
        <v>722</v>
      </c>
      <c r="AD104">
        <v>2</v>
      </c>
      <c r="AE104">
        <v>6.3500000000000001E-2</v>
      </c>
      <c r="AF104">
        <v>9.9513848846951642</v>
      </c>
      <c r="AG104">
        <v>975.46907125358939</v>
      </c>
      <c r="AH104">
        <v>0.42399999999999999</v>
      </c>
      <c r="AI104">
        <v>6.1499999999999999E-2</v>
      </c>
      <c r="AJ104">
        <v>20.398300000000006</v>
      </c>
      <c r="AK104" s="2">
        <v>45681</v>
      </c>
      <c r="AL104" t="s">
        <v>882</v>
      </c>
      <c r="AM104">
        <v>2</v>
      </c>
      <c r="AN104">
        <v>6.3100000000000003E-2</v>
      </c>
      <c r="AO104">
        <v>9.664138052240455</v>
      </c>
      <c r="AP104">
        <v>948.69766646881044</v>
      </c>
      <c r="AQ104">
        <v>0.42399999999999999</v>
      </c>
      <c r="AR104">
        <v>5.7000000000000002E-2</v>
      </c>
      <c r="AS104">
        <v>20.799300000000017</v>
      </c>
      <c r="AT104" s="2">
        <v>45681</v>
      </c>
      <c r="AU104" t="s">
        <v>1040</v>
      </c>
      <c r="AV104">
        <v>3</v>
      </c>
      <c r="AW104">
        <v>6.3899999999999998E-2</v>
      </c>
      <c r="AX104">
        <v>9.952353554316824</v>
      </c>
      <c r="AY104">
        <v>975.55935126232805</v>
      </c>
      <c r="AZ104">
        <v>0.42399999999999999</v>
      </c>
      <c r="BA104">
        <v>6.1499999999999999E-2</v>
      </c>
      <c r="BB104">
        <v>20.399899999999974</v>
      </c>
      <c r="BC104" s="2">
        <v>45681</v>
      </c>
      <c r="BD104" t="s">
        <v>1240</v>
      </c>
      <c r="BE104">
        <v>4</v>
      </c>
      <c r="BF104">
        <v>6.0699999999999997E-2</v>
      </c>
      <c r="BG104">
        <v>9.661909990469411</v>
      </c>
      <c r="BH104">
        <v>948.49001111174914</v>
      </c>
      <c r="BI104">
        <v>0.42399999999999999</v>
      </c>
      <c r="BJ104">
        <v>5.7000000000000002E-2</v>
      </c>
      <c r="BK104">
        <v>20.803400000000011</v>
      </c>
      <c r="BL104" s="2">
        <v>45681</v>
      </c>
      <c r="BM104" t="s">
        <v>1398</v>
      </c>
      <c r="BN104">
        <v>4</v>
      </c>
      <c r="BO104">
        <v>6.3799999999999996E-2</v>
      </c>
      <c r="BP104">
        <v>9.9501311691362773</v>
      </c>
      <c r="BQ104">
        <v>975.35222496350104</v>
      </c>
      <c r="BR104">
        <v>0.42399999999999999</v>
      </c>
      <c r="BS104">
        <v>6.1400000000000003E-2</v>
      </c>
      <c r="BT104">
        <v>20.400899999999979</v>
      </c>
      <c r="BU104" s="2">
        <v>45681</v>
      </c>
      <c r="BV104" t="s">
        <v>1596</v>
      </c>
      <c r="BW104">
        <v>5</v>
      </c>
      <c r="BX104">
        <v>6.4100000000000004E-2</v>
      </c>
      <c r="BY104">
        <v>9.9482599216251977</v>
      </c>
      <c r="BZ104">
        <v>975.17782469546842</v>
      </c>
      <c r="CA104">
        <v>0.42399999999999999</v>
      </c>
      <c r="CB104">
        <v>6.1400000000000003E-2</v>
      </c>
      <c r="CC104">
        <v>20.401399999999967</v>
      </c>
      <c r="CD104" s="2">
        <v>45681</v>
      </c>
      <c r="CE104" t="s">
        <v>1756</v>
      </c>
      <c r="CF104">
        <v>5</v>
      </c>
      <c r="CG104">
        <v>6.4199999999999993E-2</v>
      </c>
      <c r="CH104">
        <v>9.9474765521362709</v>
      </c>
      <c r="CI104">
        <v>975.1048146591005</v>
      </c>
      <c r="CJ104">
        <v>0.42399999999999999</v>
      </c>
      <c r="CK104">
        <v>6.1400000000000003E-2</v>
      </c>
      <c r="CL104">
        <v>20.401400000000024</v>
      </c>
    </row>
    <row r="105" spans="1:90" x14ac:dyDescent="0.3">
      <c r="A105" s="2">
        <v>45681</v>
      </c>
      <c r="B105" t="s">
        <v>203</v>
      </c>
      <c r="C105">
        <v>0</v>
      </c>
      <c r="D105">
        <v>6.2100000000000002E-2</v>
      </c>
      <c r="E105">
        <v>9.8274150411892602</v>
      </c>
      <c r="F105">
        <v>963.91508183883911</v>
      </c>
      <c r="G105">
        <v>0.42399999999999999</v>
      </c>
      <c r="H105">
        <v>5.9499999999999997E-2</v>
      </c>
      <c r="I105">
        <v>20.601419999999997</v>
      </c>
      <c r="J105" s="2">
        <v>45681</v>
      </c>
      <c r="K105" t="s">
        <v>363</v>
      </c>
      <c r="L105">
        <v>1</v>
      </c>
      <c r="M105">
        <v>6.2100000000000002E-2</v>
      </c>
      <c r="N105">
        <v>9.8289266361451233</v>
      </c>
      <c r="O105">
        <v>964.05596248872553</v>
      </c>
      <c r="P105">
        <v>0.42399999999999999</v>
      </c>
      <c r="Q105">
        <v>5.96E-2</v>
      </c>
      <c r="R105">
        <v>20.599170000000001</v>
      </c>
      <c r="S105" s="2">
        <v>45681</v>
      </c>
      <c r="T105" t="s">
        <v>523</v>
      </c>
      <c r="U105">
        <v>1</v>
      </c>
      <c r="V105">
        <v>6.2300000000000001E-2</v>
      </c>
      <c r="W105">
        <v>9.8290644962001092</v>
      </c>
      <c r="X105">
        <v>964.06881104585023</v>
      </c>
      <c r="Y105">
        <v>0.42399999999999999</v>
      </c>
      <c r="Z105">
        <v>5.96E-2</v>
      </c>
      <c r="AA105">
        <v>20.598899999999986</v>
      </c>
      <c r="AB105" s="2">
        <v>45681</v>
      </c>
      <c r="AC105" t="s">
        <v>723</v>
      </c>
      <c r="AD105">
        <v>2</v>
      </c>
      <c r="AE105">
        <v>6.1800000000000001E-2</v>
      </c>
      <c r="AF105">
        <v>9.8296710804420542</v>
      </c>
      <c r="AG105">
        <v>964.12534469719947</v>
      </c>
      <c r="AH105">
        <v>0.42399999999999999</v>
      </c>
      <c r="AI105">
        <v>5.96E-2</v>
      </c>
      <c r="AJ105">
        <v>20.598400000000026</v>
      </c>
      <c r="AK105" s="2">
        <v>45681</v>
      </c>
      <c r="AL105" t="s">
        <v>883</v>
      </c>
      <c r="AM105">
        <v>2</v>
      </c>
      <c r="AN105">
        <v>5.9299999999999999E-2</v>
      </c>
      <c r="AO105">
        <v>9.4575871975018639</v>
      </c>
      <c r="AP105">
        <v>929.44712680717373</v>
      </c>
      <c r="AQ105">
        <v>0.42399999999999999</v>
      </c>
      <c r="AR105">
        <v>5.3800000000000001E-2</v>
      </c>
      <c r="AS105">
        <v>20.999500000000012</v>
      </c>
      <c r="AT105" s="2">
        <v>45681</v>
      </c>
      <c r="AU105" t="s">
        <v>1041</v>
      </c>
      <c r="AV105">
        <v>3</v>
      </c>
      <c r="AW105">
        <v>6.1899999999999997E-2</v>
      </c>
      <c r="AX105">
        <v>9.8309839947304347</v>
      </c>
      <c r="AY105">
        <v>964.24770830887655</v>
      </c>
      <c r="AZ105">
        <v>0.42399999999999999</v>
      </c>
      <c r="BA105">
        <v>5.96E-2</v>
      </c>
      <c r="BB105">
        <v>20.600099999999998</v>
      </c>
      <c r="BC105" s="2">
        <v>45681</v>
      </c>
      <c r="BD105" t="s">
        <v>1241</v>
      </c>
      <c r="BE105">
        <v>4</v>
      </c>
      <c r="BF105">
        <v>5.8999999999999997E-2</v>
      </c>
      <c r="BG105">
        <v>9.4551916763110828</v>
      </c>
      <c r="BH105">
        <v>929.22386423219291</v>
      </c>
      <c r="BI105">
        <v>0.42399999999999999</v>
      </c>
      <c r="BJ105">
        <v>5.3800000000000001E-2</v>
      </c>
      <c r="BK105">
        <v>21.003300000000024</v>
      </c>
      <c r="BL105" s="2">
        <v>45681</v>
      </c>
      <c r="BM105" t="s">
        <v>1399</v>
      </c>
      <c r="BN105">
        <v>4</v>
      </c>
      <c r="BO105">
        <v>6.2E-2</v>
      </c>
      <c r="BP105">
        <v>9.8269134738715547</v>
      </c>
      <c r="BQ105">
        <v>963.86833576482888</v>
      </c>
      <c r="BR105">
        <v>0.42399999999999999</v>
      </c>
      <c r="BS105">
        <v>5.9499999999999997E-2</v>
      </c>
      <c r="BT105">
        <v>20.602199999999982</v>
      </c>
      <c r="BU105" s="2">
        <v>45681</v>
      </c>
      <c r="BV105" t="s">
        <v>1597</v>
      </c>
      <c r="BW105">
        <v>5</v>
      </c>
      <c r="BX105">
        <v>6.2399999999999997E-2</v>
      </c>
      <c r="BY105">
        <v>9.8253459239521987</v>
      </c>
      <c r="BZ105">
        <v>963.72224011234493</v>
      </c>
      <c r="CA105">
        <v>0.42399999999999999</v>
      </c>
      <c r="CB105">
        <v>5.9499999999999997E-2</v>
      </c>
      <c r="CC105">
        <v>20.601200000000006</v>
      </c>
      <c r="CD105" s="2">
        <v>45681</v>
      </c>
      <c r="CE105" t="s">
        <v>1757</v>
      </c>
      <c r="CF105">
        <v>5</v>
      </c>
      <c r="CG105">
        <v>6.2600000000000003E-2</v>
      </c>
      <c r="CH105">
        <v>9.8237755357375924</v>
      </c>
      <c r="CI105">
        <v>963.57587993074367</v>
      </c>
      <c r="CJ105">
        <v>0.42399999999999999</v>
      </c>
      <c r="CK105">
        <v>5.9499999999999997E-2</v>
      </c>
      <c r="CL105">
        <v>20.601699999999994</v>
      </c>
    </row>
    <row r="106" spans="1:90" x14ac:dyDescent="0.3">
      <c r="A106" s="2">
        <v>45681</v>
      </c>
      <c r="B106" t="s">
        <v>204</v>
      </c>
      <c r="C106">
        <v>0</v>
      </c>
      <c r="D106">
        <v>6.0199999999999997E-2</v>
      </c>
      <c r="E106">
        <v>9.6614931665384489</v>
      </c>
      <c r="F106">
        <v>948.4511631213835</v>
      </c>
      <c r="G106">
        <v>0.42399999999999999</v>
      </c>
      <c r="H106">
        <v>5.7000000000000002E-2</v>
      </c>
      <c r="I106">
        <v>20.800449999999991</v>
      </c>
      <c r="J106" s="2">
        <v>45681</v>
      </c>
      <c r="K106" t="s">
        <v>364</v>
      </c>
      <c r="L106">
        <v>1</v>
      </c>
      <c r="M106">
        <v>6.0499999999999998E-2</v>
      </c>
      <c r="N106">
        <v>9.6635326844107627</v>
      </c>
      <c r="O106">
        <v>948.64124618708308</v>
      </c>
      <c r="P106">
        <v>0.42399999999999999</v>
      </c>
      <c r="Q106">
        <v>5.7000000000000002E-2</v>
      </c>
      <c r="R106">
        <v>20.798069999999996</v>
      </c>
      <c r="S106" s="2">
        <v>45681</v>
      </c>
      <c r="T106" t="s">
        <v>524</v>
      </c>
      <c r="U106">
        <v>1</v>
      </c>
      <c r="V106">
        <v>6.1199999999999997E-2</v>
      </c>
      <c r="W106">
        <v>9.664147378067705</v>
      </c>
      <c r="X106">
        <v>948.69853563591016</v>
      </c>
      <c r="Y106">
        <v>0.42399999999999999</v>
      </c>
      <c r="Z106">
        <v>5.7000000000000002E-2</v>
      </c>
      <c r="AA106">
        <v>20.797300000000007</v>
      </c>
      <c r="AB106" s="2">
        <v>45681</v>
      </c>
      <c r="AC106" t="s">
        <v>724</v>
      </c>
      <c r="AD106">
        <v>2</v>
      </c>
      <c r="AE106">
        <v>6.08E-2</v>
      </c>
      <c r="AF106">
        <v>9.6641506218337039</v>
      </c>
      <c r="AG106">
        <v>948.69883795490125</v>
      </c>
      <c r="AH106">
        <v>0.42399999999999999</v>
      </c>
      <c r="AI106">
        <v>5.7000000000000002E-2</v>
      </c>
      <c r="AJ106">
        <v>20.79770000000002</v>
      </c>
      <c r="AK106" s="2">
        <v>45681</v>
      </c>
      <c r="AL106" t="s">
        <v>884</v>
      </c>
      <c r="AM106">
        <v>2</v>
      </c>
      <c r="AN106">
        <v>5.5500000000000001E-2</v>
      </c>
      <c r="AO106">
        <v>9.2147503598783427</v>
      </c>
      <c r="AP106">
        <v>906.81473354066156</v>
      </c>
      <c r="AQ106">
        <v>0.42399999999999999</v>
      </c>
      <c r="AR106">
        <v>0.05</v>
      </c>
      <c r="AS106">
        <v>21.200299999999999</v>
      </c>
      <c r="AT106" s="2">
        <v>45681</v>
      </c>
      <c r="AU106" t="s">
        <v>1042</v>
      </c>
      <c r="AV106">
        <v>3</v>
      </c>
      <c r="AW106">
        <v>6.0699999999999997E-2</v>
      </c>
      <c r="AX106">
        <v>9.6653605465515948</v>
      </c>
      <c r="AY106">
        <v>948.81160293860864</v>
      </c>
      <c r="AZ106">
        <v>0.42399999999999999</v>
      </c>
      <c r="BA106">
        <v>5.7000000000000002E-2</v>
      </c>
      <c r="BB106">
        <v>20.79989999999998</v>
      </c>
      <c r="BC106" s="2">
        <v>45681</v>
      </c>
      <c r="BD106" t="s">
        <v>1242</v>
      </c>
      <c r="BE106">
        <v>4</v>
      </c>
      <c r="BF106">
        <v>5.5899999999999998E-2</v>
      </c>
      <c r="BG106">
        <v>9.2136859991596882</v>
      </c>
      <c r="BH106">
        <v>906.71553512168293</v>
      </c>
      <c r="BI106">
        <v>0.42399999999999999</v>
      </c>
      <c r="BJ106">
        <v>0.05</v>
      </c>
      <c r="BK106">
        <v>21.202800000000025</v>
      </c>
      <c r="BL106" s="2">
        <v>45681</v>
      </c>
      <c r="BM106" t="s">
        <v>1400</v>
      </c>
      <c r="BN106">
        <v>4</v>
      </c>
      <c r="BO106">
        <v>6.0900000000000003E-2</v>
      </c>
      <c r="BP106">
        <v>9.660530984448787</v>
      </c>
      <c r="BQ106">
        <v>948.36148775062702</v>
      </c>
      <c r="BR106">
        <v>0.42399999999999999</v>
      </c>
      <c r="BS106">
        <v>5.6899999999999999E-2</v>
      </c>
      <c r="BT106">
        <v>20.801600000000008</v>
      </c>
      <c r="BU106" s="2">
        <v>45681</v>
      </c>
      <c r="BV106" t="s">
        <v>1598</v>
      </c>
      <c r="BW106">
        <v>5</v>
      </c>
      <c r="BX106">
        <v>6.0699999999999997E-2</v>
      </c>
      <c r="BY106">
        <v>9.6579217801727761</v>
      </c>
      <c r="BZ106">
        <v>948.11830991210275</v>
      </c>
      <c r="CA106">
        <v>0.42399999999999999</v>
      </c>
      <c r="CB106">
        <v>5.6899999999999999E-2</v>
      </c>
      <c r="CC106">
        <v>20.801199999999994</v>
      </c>
      <c r="CD106" s="2">
        <v>45681</v>
      </c>
      <c r="CE106" t="s">
        <v>1758</v>
      </c>
      <c r="CF106">
        <v>5</v>
      </c>
      <c r="CG106">
        <v>6.1100000000000002E-2</v>
      </c>
      <c r="CH106">
        <v>9.6577632411095404</v>
      </c>
      <c r="CI106">
        <v>948.10353407140917</v>
      </c>
      <c r="CJ106">
        <v>0.42399999999999999</v>
      </c>
      <c r="CK106">
        <v>5.6899999999999999E-2</v>
      </c>
      <c r="CL106">
        <v>20.799699999999973</v>
      </c>
    </row>
    <row r="107" spans="1:90" x14ac:dyDescent="0.3">
      <c r="A107" s="2">
        <v>45681</v>
      </c>
      <c r="B107" t="s">
        <v>205</v>
      </c>
      <c r="C107">
        <v>0</v>
      </c>
      <c r="D107">
        <v>5.79E-2</v>
      </c>
      <c r="E107">
        <v>9.4550351646015969</v>
      </c>
      <c r="F107">
        <v>929.20927734086888</v>
      </c>
      <c r="G107">
        <v>0.42399999999999999</v>
      </c>
      <c r="H107">
        <v>5.3699999999999998E-2</v>
      </c>
      <c r="I107">
        <v>21.000009999999996</v>
      </c>
      <c r="J107" s="2">
        <v>45681</v>
      </c>
      <c r="K107" t="s">
        <v>365</v>
      </c>
      <c r="L107">
        <v>1</v>
      </c>
      <c r="M107">
        <v>5.8400000000000001E-2</v>
      </c>
      <c r="N107">
        <v>9.4561696717599943</v>
      </c>
      <c r="O107">
        <v>929.31501340803152</v>
      </c>
      <c r="P107">
        <v>0.42399999999999999</v>
      </c>
      <c r="Q107">
        <v>5.3800000000000001E-2</v>
      </c>
      <c r="R107">
        <v>20.998769999999993</v>
      </c>
      <c r="S107" s="2">
        <v>45681</v>
      </c>
      <c r="T107" t="s">
        <v>525</v>
      </c>
      <c r="U107">
        <v>1</v>
      </c>
      <c r="V107">
        <v>5.8400000000000001E-2</v>
      </c>
      <c r="W107">
        <v>9.4559146306582651</v>
      </c>
      <c r="X107">
        <v>929.29124357735031</v>
      </c>
      <c r="Y107">
        <v>0.42399999999999999</v>
      </c>
      <c r="Z107">
        <v>5.3800000000000001E-2</v>
      </c>
      <c r="AA107">
        <v>20.998899999999992</v>
      </c>
      <c r="AB107" s="2">
        <v>45681</v>
      </c>
      <c r="AC107" t="s">
        <v>725</v>
      </c>
      <c r="AD107">
        <v>2</v>
      </c>
      <c r="AE107">
        <v>5.8999999999999997E-2</v>
      </c>
      <c r="AF107">
        <v>9.4544946720918972</v>
      </c>
      <c r="AG107">
        <v>929.1589034389649</v>
      </c>
      <c r="AH107">
        <v>0.42399999999999999</v>
      </c>
      <c r="AI107">
        <v>5.3699999999999998E-2</v>
      </c>
      <c r="AJ107">
        <v>21.00060000000002</v>
      </c>
      <c r="AK107" s="2">
        <v>45681</v>
      </c>
      <c r="AL107" t="s">
        <v>885</v>
      </c>
      <c r="AM107">
        <v>2</v>
      </c>
      <c r="AN107">
        <v>5.11E-2</v>
      </c>
      <c r="AO107">
        <v>8.9458823001072059</v>
      </c>
      <c r="AP107">
        <v>881.75623036999161</v>
      </c>
      <c r="AQ107">
        <v>0.42399999999999999</v>
      </c>
      <c r="AR107">
        <v>4.58E-2</v>
      </c>
      <c r="AS107">
        <v>21.398600000000016</v>
      </c>
      <c r="AT107" s="2">
        <v>45681</v>
      </c>
      <c r="AU107" t="s">
        <v>1043</v>
      </c>
      <c r="AV107">
        <v>3</v>
      </c>
      <c r="AW107">
        <v>5.8900000000000001E-2</v>
      </c>
      <c r="AX107">
        <v>9.4582939330190499</v>
      </c>
      <c r="AY107">
        <v>929.51299455737546</v>
      </c>
      <c r="AZ107">
        <v>0.42399999999999999</v>
      </c>
      <c r="BA107">
        <v>5.3800000000000001E-2</v>
      </c>
      <c r="BB107">
        <v>21.000699999999995</v>
      </c>
      <c r="BC107" s="2">
        <v>45681</v>
      </c>
      <c r="BD107" t="s">
        <v>1243</v>
      </c>
      <c r="BE107">
        <v>4</v>
      </c>
      <c r="BF107">
        <v>5.1299999999999998E-2</v>
      </c>
      <c r="BG107">
        <v>8.9438289962293922</v>
      </c>
      <c r="BH107">
        <v>881.56486244857933</v>
      </c>
      <c r="BI107">
        <v>0.42399999999999999</v>
      </c>
      <c r="BJ107">
        <v>4.58E-2</v>
      </c>
      <c r="BK107">
        <v>21.401700000000005</v>
      </c>
      <c r="BL107" s="2">
        <v>45681</v>
      </c>
      <c r="BM107" t="s">
        <v>1401</v>
      </c>
      <c r="BN107">
        <v>4</v>
      </c>
      <c r="BO107">
        <v>5.8900000000000001E-2</v>
      </c>
      <c r="BP107">
        <v>9.4529855099605342</v>
      </c>
      <c r="BQ107">
        <v>929.0182495283218</v>
      </c>
      <c r="BR107">
        <v>0.42399999999999999</v>
      </c>
      <c r="BS107">
        <v>5.3699999999999998E-2</v>
      </c>
      <c r="BT107">
        <v>21.001899999999978</v>
      </c>
      <c r="BU107" s="2">
        <v>45681</v>
      </c>
      <c r="BV107" t="s">
        <v>1599</v>
      </c>
      <c r="BW107">
        <v>5</v>
      </c>
      <c r="BX107">
        <v>5.8700000000000002E-2</v>
      </c>
      <c r="BY107">
        <v>9.44778250929701</v>
      </c>
      <c r="BZ107">
        <v>928.53332986648138</v>
      </c>
      <c r="CA107">
        <v>0.42399999999999999</v>
      </c>
      <c r="CB107">
        <v>5.3600000000000002E-2</v>
      </c>
      <c r="CC107">
        <v>21.003299999999967</v>
      </c>
      <c r="CD107" s="2">
        <v>45681</v>
      </c>
      <c r="CE107" t="s">
        <v>1759</v>
      </c>
      <c r="CF107">
        <v>5</v>
      </c>
      <c r="CG107">
        <v>5.91E-2</v>
      </c>
      <c r="CH107">
        <v>9.4506698665074982</v>
      </c>
      <c r="CI107">
        <v>928.80243155849882</v>
      </c>
      <c r="CJ107">
        <v>0.42399999999999999</v>
      </c>
      <c r="CK107">
        <v>5.3699999999999998E-2</v>
      </c>
      <c r="CL107">
        <v>20.999199999999973</v>
      </c>
    </row>
    <row r="108" spans="1:90" x14ac:dyDescent="0.3">
      <c r="A108" s="2">
        <v>45681</v>
      </c>
      <c r="B108" t="s">
        <v>206</v>
      </c>
      <c r="C108">
        <v>0</v>
      </c>
      <c r="D108">
        <v>5.5E-2</v>
      </c>
      <c r="E108">
        <v>9.2124866166813</v>
      </c>
      <c r="F108">
        <v>906.60375267469715</v>
      </c>
      <c r="G108">
        <v>0.42399999999999999</v>
      </c>
      <c r="H108">
        <v>0.05</v>
      </c>
      <c r="I108">
        <v>21.200319999999998</v>
      </c>
      <c r="J108" s="2">
        <v>45681</v>
      </c>
      <c r="K108" t="s">
        <v>366</v>
      </c>
      <c r="L108">
        <v>1</v>
      </c>
      <c r="M108">
        <v>5.5E-2</v>
      </c>
      <c r="N108">
        <v>9.2127769337382723</v>
      </c>
      <c r="O108">
        <v>906.63081022440701</v>
      </c>
      <c r="P108">
        <v>0.42399999999999999</v>
      </c>
      <c r="Q108">
        <v>0.05</v>
      </c>
      <c r="R108">
        <v>21.19986999999999</v>
      </c>
      <c r="S108" s="2">
        <v>45681</v>
      </c>
      <c r="T108" t="s">
        <v>526</v>
      </c>
      <c r="U108">
        <v>1</v>
      </c>
      <c r="V108">
        <v>5.5599999999999997E-2</v>
      </c>
      <c r="W108">
        <v>9.215025674517566</v>
      </c>
      <c r="X108">
        <v>906.84039286503719</v>
      </c>
      <c r="Y108">
        <v>0.42399999999999999</v>
      </c>
      <c r="Z108">
        <v>0.05</v>
      </c>
      <c r="AA108">
        <v>21.198100000000011</v>
      </c>
      <c r="AB108" s="2">
        <v>45681</v>
      </c>
      <c r="AC108" t="s">
        <v>726</v>
      </c>
      <c r="AD108">
        <v>2</v>
      </c>
      <c r="AE108">
        <v>5.5599999999999997E-2</v>
      </c>
      <c r="AF108">
        <v>9.2132651205212284</v>
      </c>
      <c r="AG108">
        <v>906.67630923257855</v>
      </c>
      <c r="AH108">
        <v>0.42399999999999999</v>
      </c>
      <c r="AI108">
        <v>0.05</v>
      </c>
      <c r="AJ108">
        <v>21.19980000000001</v>
      </c>
      <c r="AK108" s="2">
        <v>45681</v>
      </c>
      <c r="AL108" t="s">
        <v>886</v>
      </c>
      <c r="AM108">
        <v>2</v>
      </c>
      <c r="AN108">
        <v>4.5900000000000003E-2</v>
      </c>
      <c r="AO108">
        <v>8.6489949951013809</v>
      </c>
      <c r="AP108">
        <v>854.08633354344875</v>
      </c>
      <c r="AQ108">
        <v>0.42399999999999999</v>
      </c>
      <c r="AR108">
        <v>4.1200000000000001E-2</v>
      </c>
      <c r="AS108">
        <v>21.600700000000018</v>
      </c>
      <c r="AT108" s="2">
        <v>45681</v>
      </c>
      <c r="AU108" t="s">
        <v>1044</v>
      </c>
      <c r="AV108">
        <v>3</v>
      </c>
      <c r="AW108">
        <v>5.5800000000000002E-2</v>
      </c>
      <c r="AX108">
        <v>9.2155094011222722</v>
      </c>
      <c r="AY108">
        <v>906.88547618459575</v>
      </c>
      <c r="AZ108">
        <v>0.42399999999999999</v>
      </c>
      <c r="BA108">
        <v>0.05</v>
      </c>
      <c r="BB108">
        <v>21.201599999999985</v>
      </c>
      <c r="BC108" s="2">
        <v>45681</v>
      </c>
      <c r="BD108" t="s">
        <v>1244</v>
      </c>
      <c r="BE108">
        <v>4</v>
      </c>
      <c r="BF108">
        <v>4.5999999999999999E-2</v>
      </c>
      <c r="BG108">
        <v>8.649833103141555</v>
      </c>
      <c r="BH108">
        <v>854.164445212793</v>
      </c>
      <c r="BI108">
        <v>0.42399999999999999</v>
      </c>
      <c r="BJ108">
        <v>4.1200000000000001E-2</v>
      </c>
      <c r="BK108">
        <v>21.601800000000026</v>
      </c>
      <c r="BL108" s="2">
        <v>45681</v>
      </c>
      <c r="BM108" t="s">
        <v>1402</v>
      </c>
      <c r="BN108">
        <v>4</v>
      </c>
      <c r="BO108">
        <v>5.5599999999999997E-2</v>
      </c>
      <c r="BP108">
        <v>9.2097095475148052</v>
      </c>
      <c r="BQ108">
        <v>906.34492982837992</v>
      </c>
      <c r="BR108">
        <v>0.42399999999999999</v>
      </c>
      <c r="BS108">
        <v>4.99E-2</v>
      </c>
      <c r="BT108">
        <v>21.202599999999961</v>
      </c>
      <c r="BU108" s="2">
        <v>45681</v>
      </c>
      <c r="BV108" t="s">
        <v>1600</v>
      </c>
      <c r="BW108">
        <v>5</v>
      </c>
      <c r="BX108">
        <v>5.5399999999999998E-2</v>
      </c>
      <c r="BY108">
        <v>9.2099394494300331</v>
      </c>
      <c r="BZ108">
        <v>906.36635668687916</v>
      </c>
      <c r="CA108">
        <v>0.42399999999999999</v>
      </c>
      <c r="CB108">
        <v>4.99E-2</v>
      </c>
      <c r="CC108">
        <v>21.199200000000019</v>
      </c>
      <c r="CD108" s="2">
        <v>45681</v>
      </c>
      <c r="CE108" t="s">
        <v>1760</v>
      </c>
      <c r="CF108">
        <v>5</v>
      </c>
      <c r="CG108">
        <v>5.5E-2</v>
      </c>
      <c r="CH108">
        <v>9.2048005131450026</v>
      </c>
      <c r="CI108">
        <v>905.88740782511422</v>
      </c>
      <c r="CJ108">
        <v>0.42399999999999999</v>
      </c>
      <c r="CK108">
        <v>4.99E-2</v>
      </c>
      <c r="CL108">
        <v>21.201599999999985</v>
      </c>
    </row>
    <row r="109" spans="1:90" x14ac:dyDescent="0.3">
      <c r="A109" s="2">
        <v>45681</v>
      </c>
      <c r="B109" t="s">
        <v>207</v>
      </c>
      <c r="C109">
        <v>0</v>
      </c>
      <c r="D109">
        <v>5.0299999999999997E-2</v>
      </c>
      <c r="E109">
        <v>8.9426056909767553</v>
      </c>
      <c r="F109">
        <v>881.45085039903358</v>
      </c>
      <c r="G109">
        <v>0.42399999999999999</v>
      </c>
      <c r="H109">
        <v>4.58E-2</v>
      </c>
      <c r="I109">
        <v>21.3992</v>
      </c>
      <c r="J109" s="2">
        <v>45681</v>
      </c>
      <c r="K109" t="s">
        <v>367</v>
      </c>
      <c r="L109">
        <v>1</v>
      </c>
      <c r="M109">
        <v>5.0599999999999999E-2</v>
      </c>
      <c r="N109">
        <v>8.9416982474383371</v>
      </c>
      <c r="O109">
        <v>881.3662766612531</v>
      </c>
      <c r="P109">
        <v>0.42399999999999999</v>
      </c>
      <c r="Q109">
        <v>4.58E-2</v>
      </c>
      <c r="R109">
        <v>21.39967</v>
      </c>
      <c r="S109" s="2">
        <v>45681</v>
      </c>
      <c r="T109" t="s">
        <v>527</v>
      </c>
      <c r="U109">
        <v>1</v>
      </c>
      <c r="V109">
        <v>5.0799999999999998E-2</v>
      </c>
      <c r="W109">
        <v>8.9442433873358542</v>
      </c>
      <c r="X109">
        <v>881.60348369970166</v>
      </c>
      <c r="Y109">
        <v>0.42399999999999999</v>
      </c>
      <c r="Z109">
        <v>4.58E-2</v>
      </c>
      <c r="AA109">
        <v>21.397799999999989</v>
      </c>
      <c r="AB109" s="2">
        <v>45681</v>
      </c>
      <c r="AC109" t="s">
        <v>727</v>
      </c>
      <c r="AD109">
        <v>2</v>
      </c>
      <c r="AE109">
        <v>5.0900000000000001E-2</v>
      </c>
      <c r="AF109">
        <v>8.9433931151731816</v>
      </c>
      <c r="AG109">
        <v>881.52423833414059</v>
      </c>
      <c r="AH109">
        <v>0.42399999999999999</v>
      </c>
      <c r="AI109">
        <v>4.58E-2</v>
      </c>
      <c r="AJ109">
        <v>21.398800000000023</v>
      </c>
      <c r="AK109" s="2">
        <v>45681</v>
      </c>
      <c r="AL109" t="s">
        <v>887</v>
      </c>
      <c r="AM109">
        <v>2</v>
      </c>
      <c r="AN109">
        <v>4.1500000000000002E-2</v>
      </c>
      <c r="AO109">
        <v>8.3414782743852793</v>
      </c>
      <c r="AP109">
        <v>825.42577517270809</v>
      </c>
      <c r="AQ109">
        <v>0.42399999999999999</v>
      </c>
      <c r="AR109">
        <v>3.6400000000000002E-2</v>
      </c>
      <c r="AS109">
        <v>21.799500000000023</v>
      </c>
      <c r="AT109" s="2">
        <v>45681</v>
      </c>
      <c r="AU109" t="s">
        <v>1045</v>
      </c>
      <c r="AV109">
        <v>3</v>
      </c>
      <c r="AW109">
        <v>5.1200000000000002E-2</v>
      </c>
      <c r="AX109">
        <v>8.9451200150972756</v>
      </c>
      <c r="AY109">
        <v>881.68518540706611</v>
      </c>
      <c r="AZ109">
        <v>0.42399999999999999</v>
      </c>
      <c r="BA109">
        <v>4.58E-2</v>
      </c>
      <c r="BB109">
        <v>21.400999999999982</v>
      </c>
      <c r="BC109" s="2">
        <v>45681</v>
      </c>
      <c r="BD109" t="s">
        <v>1245</v>
      </c>
      <c r="BE109">
        <v>4</v>
      </c>
      <c r="BF109">
        <v>4.19E-2</v>
      </c>
      <c r="BG109">
        <v>8.3403324140458839</v>
      </c>
      <c r="BH109">
        <v>825.31898098907641</v>
      </c>
      <c r="BI109">
        <v>0.42399999999999999</v>
      </c>
      <c r="BJ109">
        <v>3.6400000000000002E-2</v>
      </c>
      <c r="BK109">
        <v>21.801899999999989</v>
      </c>
      <c r="BL109" s="2">
        <v>45681</v>
      </c>
      <c r="BM109" t="s">
        <v>1403</v>
      </c>
      <c r="BN109">
        <v>4</v>
      </c>
      <c r="BO109">
        <v>5.11E-2</v>
      </c>
      <c r="BP109">
        <v>8.9400054070572423</v>
      </c>
      <c r="BQ109">
        <v>881.20850393773503</v>
      </c>
      <c r="BR109">
        <v>0.42399999999999999</v>
      </c>
      <c r="BS109">
        <v>4.5699999999999998E-2</v>
      </c>
      <c r="BT109">
        <v>21.401099999999985</v>
      </c>
      <c r="BU109" s="2">
        <v>45681</v>
      </c>
      <c r="BV109" t="s">
        <v>1601</v>
      </c>
      <c r="BW109">
        <v>5</v>
      </c>
      <c r="BX109">
        <v>5.0700000000000002E-2</v>
      </c>
      <c r="BY109">
        <v>8.9356753849183885</v>
      </c>
      <c r="BZ109">
        <v>880.80494587439387</v>
      </c>
      <c r="CA109">
        <v>0.42399999999999999</v>
      </c>
      <c r="CB109">
        <v>4.5699999999999998E-2</v>
      </c>
      <c r="CC109">
        <v>21.40100000000001</v>
      </c>
      <c r="CD109" s="2">
        <v>45681</v>
      </c>
      <c r="CE109" t="s">
        <v>1761</v>
      </c>
      <c r="CF109">
        <v>5</v>
      </c>
      <c r="CG109">
        <v>5.1299999999999998E-2</v>
      </c>
      <c r="CH109">
        <v>8.9330592876396278</v>
      </c>
      <c r="CI109">
        <v>880.5611256080133</v>
      </c>
      <c r="CJ109">
        <v>0.42399999999999999</v>
      </c>
      <c r="CK109">
        <v>4.5600000000000002E-2</v>
      </c>
      <c r="CL109">
        <v>21.401200000000017</v>
      </c>
    </row>
    <row r="110" spans="1:90" x14ac:dyDescent="0.3">
      <c r="A110" s="2">
        <v>45681</v>
      </c>
      <c r="B110" t="s">
        <v>208</v>
      </c>
      <c r="C110">
        <v>0</v>
      </c>
      <c r="D110">
        <v>4.58E-2</v>
      </c>
      <c r="E110">
        <v>8.647953340744726</v>
      </c>
      <c r="F110">
        <v>853.98925135740853</v>
      </c>
      <c r="G110">
        <v>0.42399999999999999</v>
      </c>
      <c r="H110">
        <v>4.1200000000000001E-2</v>
      </c>
      <c r="I110">
        <v>21.599650000000004</v>
      </c>
      <c r="J110" s="2">
        <v>45681</v>
      </c>
      <c r="K110" t="s">
        <v>368</v>
      </c>
      <c r="L110">
        <v>1</v>
      </c>
      <c r="M110">
        <v>4.6100000000000002E-2</v>
      </c>
      <c r="N110">
        <v>8.6472932343637865</v>
      </c>
      <c r="O110">
        <v>853.92772944270496</v>
      </c>
      <c r="P110">
        <v>0.42399999999999999</v>
      </c>
      <c r="Q110">
        <v>4.1200000000000001E-2</v>
      </c>
      <c r="R110">
        <v>21.599869999999996</v>
      </c>
      <c r="S110" s="2">
        <v>45681</v>
      </c>
      <c r="T110" t="s">
        <v>528</v>
      </c>
      <c r="U110">
        <v>1</v>
      </c>
      <c r="V110">
        <v>4.6100000000000002E-2</v>
      </c>
      <c r="W110">
        <v>8.647111583467801</v>
      </c>
      <c r="X110">
        <v>853.91079957919908</v>
      </c>
      <c r="Y110">
        <v>0.42399999999999999</v>
      </c>
      <c r="Z110">
        <v>4.1200000000000001E-2</v>
      </c>
      <c r="AA110">
        <v>21.599899999999991</v>
      </c>
      <c r="AB110" s="2">
        <v>45681</v>
      </c>
      <c r="AC110" t="s">
        <v>728</v>
      </c>
      <c r="AD110">
        <v>2</v>
      </c>
      <c r="AE110">
        <v>4.6100000000000002E-2</v>
      </c>
      <c r="AF110">
        <v>8.6519857473531054</v>
      </c>
      <c r="AG110">
        <v>854.36507165330943</v>
      </c>
      <c r="AH110">
        <v>0.42399999999999999</v>
      </c>
      <c r="AI110">
        <v>4.1300000000000003E-2</v>
      </c>
      <c r="AJ110">
        <v>21.597100000000012</v>
      </c>
      <c r="AK110" s="2">
        <v>45681</v>
      </c>
      <c r="AL110" t="s">
        <v>888</v>
      </c>
      <c r="AM110">
        <v>2</v>
      </c>
      <c r="AN110">
        <v>3.6700000000000003E-2</v>
      </c>
      <c r="AO110">
        <v>8.0251308062057376</v>
      </c>
      <c r="AP110">
        <v>795.94219113837482</v>
      </c>
      <c r="AQ110">
        <v>0.42399999999999999</v>
      </c>
      <c r="AR110">
        <v>3.15E-2</v>
      </c>
      <c r="AS110">
        <v>21.999000000000024</v>
      </c>
      <c r="AT110" s="2">
        <v>45681</v>
      </c>
      <c r="AU110" t="s">
        <v>1046</v>
      </c>
      <c r="AV110">
        <v>3</v>
      </c>
      <c r="AW110">
        <v>4.65E-2</v>
      </c>
      <c r="AX110">
        <v>8.6530342947125103</v>
      </c>
      <c r="AY110">
        <v>854.46279626720593</v>
      </c>
      <c r="AZ110">
        <v>0.42399999999999999</v>
      </c>
      <c r="BA110">
        <v>4.1300000000000003E-2</v>
      </c>
      <c r="BB110">
        <v>21.599899999999991</v>
      </c>
      <c r="BC110" s="2">
        <v>45681</v>
      </c>
      <c r="BD110" t="s">
        <v>1246</v>
      </c>
      <c r="BE110">
        <v>4</v>
      </c>
      <c r="BF110">
        <v>3.6999999999999998E-2</v>
      </c>
      <c r="BG110">
        <v>8.0200725585999493</v>
      </c>
      <c r="BH110">
        <v>795.47076246151528</v>
      </c>
      <c r="BI110">
        <v>0.42399999999999999</v>
      </c>
      <c r="BJ110">
        <v>3.15E-2</v>
      </c>
      <c r="BK110">
        <v>22.003899999999987</v>
      </c>
      <c r="BL110" s="2">
        <v>45681</v>
      </c>
      <c r="BM110" t="s">
        <v>1404</v>
      </c>
      <c r="BN110">
        <v>4</v>
      </c>
      <c r="BO110">
        <v>4.6300000000000001E-2</v>
      </c>
      <c r="BP110">
        <v>8.6474298780065251</v>
      </c>
      <c r="BQ110">
        <v>853.94046463020811</v>
      </c>
      <c r="BR110">
        <v>0.42399999999999999</v>
      </c>
      <c r="BS110">
        <v>4.1200000000000001E-2</v>
      </c>
      <c r="BT110">
        <v>21.600099999999998</v>
      </c>
      <c r="BU110" s="2">
        <v>45681</v>
      </c>
      <c r="BV110" t="s">
        <v>1602</v>
      </c>
      <c r="BW110">
        <v>5</v>
      </c>
      <c r="BX110">
        <v>4.6300000000000001E-2</v>
      </c>
      <c r="BY110">
        <v>8.6444906205400436</v>
      </c>
      <c r="BZ110">
        <v>853.66652583433211</v>
      </c>
      <c r="CA110">
        <v>0.42399999999999999</v>
      </c>
      <c r="CB110">
        <v>4.1200000000000001E-2</v>
      </c>
      <c r="CC110">
        <v>21.598900000000015</v>
      </c>
      <c r="CD110" s="2">
        <v>45681</v>
      </c>
      <c r="CE110" t="s">
        <v>1762</v>
      </c>
      <c r="CF110">
        <v>5</v>
      </c>
      <c r="CG110">
        <v>4.6699999999999998E-2</v>
      </c>
      <c r="CH110">
        <v>8.6386968489938223</v>
      </c>
      <c r="CI110">
        <v>853.12654632622423</v>
      </c>
      <c r="CJ110">
        <v>0.42399999999999999</v>
      </c>
      <c r="CK110">
        <v>4.1099999999999998E-2</v>
      </c>
      <c r="CL110">
        <v>21.601099999999974</v>
      </c>
    </row>
    <row r="111" spans="1:90" x14ac:dyDescent="0.3">
      <c r="A111" s="2">
        <v>45681</v>
      </c>
      <c r="B111" t="s">
        <v>209</v>
      </c>
      <c r="C111">
        <v>0</v>
      </c>
      <c r="D111">
        <v>4.1799999999999997E-2</v>
      </c>
      <c r="E111">
        <v>8.3364621957374894</v>
      </c>
      <c r="F111">
        <v>824.95827664273406</v>
      </c>
      <c r="G111">
        <v>0.42399999999999999</v>
      </c>
      <c r="H111">
        <v>3.6400000000000002E-2</v>
      </c>
      <c r="I111">
        <v>21.800980000000003</v>
      </c>
      <c r="J111" s="2">
        <v>45681</v>
      </c>
      <c r="K111" t="s">
        <v>369</v>
      </c>
      <c r="L111">
        <v>1</v>
      </c>
      <c r="M111">
        <v>4.1599999999999998E-2</v>
      </c>
      <c r="N111">
        <v>8.3401702257459007</v>
      </c>
      <c r="O111">
        <v>825.30386503951797</v>
      </c>
      <c r="P111">
        <v>0.42399999999999999</v>
      </c>
      <c r="Q111">
        <v>3.6400000000000002E-2</v>
      </c>
      <c r="R111">
        <v>21.798369999999991</v>
      </c>
      <c r="S111" s="2">
        <v>45681</v>
      </c>
      <c r="T111" t="s">
        <v>529</v>
      </c>
      <c r="U111">
        <v>1</v>
      </c>
      <c r="V111">
        <v>4.1599999999999998E-2</v>
      </c>
      <c r="W111">
        <v>8.340363635293631</v>
      </c>
      <c r="X111">
        <v>825.32189080936644</v>
      </c>
      <c r="Y111">
        <v>0.42399999999999999</v>
      </c>
      <c r="Z111">
        <v>3.6400000000000002E-2</v>
      </c>
      <c r="AA111">
        <v>21.798200000000008</v>
      </c>
      <c r="AB111" s="2">
        <v>45681</v>
      </c>
      <c r="AC111" t="s">
        <v>729</v>
      </c>
      <c r="AD111">
        <v>2</v>
      </c>
      <c r="AE111">
        <v>4.1599999999999998E-2</v>
      </c>
      <c r="AF111">
        <v>8.341712636478757</v>
      </c>
      <c r="AG111">
        <v>825.44761771982019</v>
      </c>
      <c r="AH111">
        <v>0.42399999999999999</v>
      </c>
      <c r="AI111">
        <v>3.6499999999999998E-2</v>
      </c>
      <c r="AJ111">
        <v>21.797800000000024</v>
      </c>
      <c r="AK111" s="2">
        <v>45681</v>
      </c>
      <c r="AL111" t="s">
        <v>889</v>
      </c>
      <c r="AM111">
        <v>2</v>
      </c>
      <c r="AN111">
        <v>3.1899999999999998E-2</v>
      </c>
      <c r="AO111">
        <v>7.7088551063489366</v>
      </c>
      <c r="AP111">
        <v>766.465295911721</v>
      </c>
      <c r="AQ111">
        <v>0.42399999999999999</v>
      </c>
      <c r="AR111">
        <v>2.6599999999999999E-2</v>
      </c>
      <c r="AS111">
        <v>22.198400000000021</v>
      </c>
      <c r="AT111" s="2">
        <v>45681</v>
      </c>
      <c r="AU111" t="s">
        <v>1047</v>
      </c>
      <c r="AV111">
        <v>3</v>
      </c>
      <c r="AW111">
        <v>4.1599999999999998E-2</v>
      </c>
      <c r="AX111">
        <v>8.3400522337576586</v>
      </c>
      <c r="AY111">
        <v>825.29286818621381</v>
      </c>
      <c r="AZ111">
        <v>0.42399999999999999</v>
      </c>
      <c r="BA111">
        <v>3.6400000000000002E-2</v>
      </c>
      <c r="BB111">
        <v>21.802299999999974</v>
      </c>
      <c r="BC111" s="2">
        <v>45681</v>
      </c>
      <c r="BD111" t="s">
        <v>1247</v>
      </c>
      <c r="BE111">
        <v>4</v>
      </c>
      <c r="BF111">
        <v>3.1699999999999999E-2</v>
      </c>
      <c r="BG111">
        <v>7.7034011192911871</v>
      </c>
      <c r="BH111">
        <v>765.95698431793869</v>
      </c>
      <c r="BI111">
        <v>0.42399999999999999</v>
      </c>
      <c r="BJ111">
        <v>2.6499999999999999E-2</v>
      </c>
      <c r="BK111">
        <v>22.203599999999994</v>
      </c>
      <c r="BL111" s="2">
        <v>45681</v>
      </c>
      <c r="BM111" t="s">
        <v>1405</v>
      </c>
      <c r="BN111">
        <v>4</v>
      </c>
      <c r="BO111">
        <v>4.1599999999999998E-2</v>
      </c>
      <c r="BP111">
        <v>8.3364001587127436</v>
      </c>
      <c r="BQ111">
        <v>824.95249479202778</v>
      </c>
      <c r="BR111">
        <v>0.42399999999999999</v>
      </c>
      <c r="BS111">
        <v>3.6400000000000002E-2</v>
      </c>
      <c r="BT111">
        <v>21.801099999999963</v>
      </c>
      <c r="BU111" s="2">
        <v>45681</v>
      </c>
      <c r="BV111" t="s">
        <v>1603</v>
      </c>
      <c r="BW111">
        <v>5</v>
      </c>
      <c r="BX111">
        <v>4.1599999999999998E-2</v>
      </c>
      <c r="BY111">
        <v>8.3331957233757894</v>
      </c>
      <c r="BZ111">
        <v>824.65384141862364</v>
      </c>
      <c r="CA111">
        <v>0.42399999999999999</v>
      </c>
      <c r="CB111">
        <v>3.6299999999999999E-2</v>
      </c>
      <c r="CC111">
        <v>21.800000000000011</v>
      </c>
      <c r="CD111" s="2">
        <v>45681</v>
      </c>
      <c r="CE111" t="s">
        <v>1763</v>
      </c>
      <c r="CF111">
        <v>5</v>
      </c>
      <c r="CG111">
        <v>4.19E-2</v>
      </c>
      <c r="CH111">
        <v>8.3290781679099126</v>
      </c>
      <c r="CI111">
        <v>824.27008524920393</v>
      </c>
      <c r="CJ111">
        <v>0.42399999999999999</v>
      </c>
      <c r="CK111">
        <v>3.6299999999999999E-2</v>
      </c>
      <c r="CL111">
        <v>21.800999999999988</v>
      </c>
    </row>
    <row r="112" spans="1:90" x14ac:dyDescent="0.3">
      <c r="A112" s="2">
        <v>45681</v>
      </c>
      <c r="B112" t="s">
        <v>210</v>
      </c>
      <c r="C112">
        <v>0</v>
      </c>
      <c r="D112">
        <v>3.6700000000000003E-2</v>
      </c>
      <c r="E112">
        <v>8.0193877185032623</v>
      </c>
      <c r="F112">
        <v>795.40693536450408</v>
      </c>
      <c r="G112">
        <v>0.42399999999999999</v>
      </c>
      <c r="H112">
        <v>3.1399999999999997E-2</v>
      </c>
      <c r="I112">
        <v>22.000899999999994</v>
      </c>
      <c r="J112" s="2">
        <v>45681</v>
      </c>
      <c r="K112" t="s">
        <v>370</v>
      </c>
      <c r="L112">
        <v>1</v>
      </c>
      <c r="M112">
        <v>3.6400000000000002E-2</v>
      </c>
      <c r="N112">
        <v>8.0211766554520985</v>
      </c>
      <c r="O112">
        <v>795.57366428813555</v>
      </c>
      <c r="P112">
        <v>0.42399999999999999</v>
      </c>
      <c r="Q112">
        <v>3.15E-2</v>
      </c>
      <c r="R112">
        <v>21.999569999999991</v>
      </c>
      <c r="S112" s="2">
        <v>45681</v>
      </c>
      <c r="T112" t="s">
        <v>530</v>
      </c>
      <c r="U112">
        <v>1</v>
      </c>
      <c r="V112">
        <v>3.6700000000000003E-2</v>
      </c>
      <c r="W112">
        <v>8.0234914879636356</v>
      </c>
      <c r="X112">
        <v>795.78940667821087</v>
      </c>
      <c r="Y112">
        <v>0.42399999999999999</v>
      </c>
      <c r="Z112">
        <v>3.15E-2</v>
      </c>
      <c r="AA112">
        <v>21.99799999999999</v>
      </c>
      <c r="AB112" s="2">
        <v>45681</v>
      </c>
      <c r="AC112" t="s">
        <v>730</v>
      </c>
      <c r="AD112">
        <v>2</v>
      </c>
      <c r="AE112">
        <v>3.6600000000000001E-2</v>
      </c>
      <c r="AF112">
        <v>8.0252751537927232</v>
      </c>
      <c r="AG112">
        <v>795.95564433348181</v>
      </c>
      <c r="AH112">
        <v>0.42399999999999999</v>
      </c>
      <c r="AI112">
        <v>3.15E-2</v>
      </c>
      <c r="AJ112">
        <v>21.997300000000024</v>
      </c>
      <c r="AK112" s="2">
        <v>45681</v>
      </c>
      <c r="AL112" t="s">
        <v>890</v>
      </c>
      <c r="AM112">
        <v>2</v>
      </c>
      <c r="AN112">
        <v>2.7E-2</v>
      </c>
      <c r="AO112">
        <v>7.3965943778582721</v>
      </c>
      <c r="AP112">
        <v>737.36259601639097</v>
      </c>
      <c r="AQ112">
        <v>0.42399999999999999</v>
      </c>
      <c r="AR112">
        <v>2.18E-2</v>
      </c>
      <c r="AS112">
        <v>22.400300000000016</v>
      </c>
      <c r="AT112" s="2">
        <v>45681</v>
      </c>
      <c r="AU112" t="s">
        <v>1048</v>
      </c>
      <c r="AV112">
        <v>3</v>
      </c>
      <c r="AW112">
        <v>3.6799999999999999E-2</v>
      </c>
      <c r="AX112">
        <v>8.024460157585299</v>
      </c>
      <c r="AY112">
        <v>795.87968668694987</v>
      </c>
      <c r="AZ112">
        <v>0.42399999999999999</v>
      </c>
      <c r="BA112">
        <v>3.15E-2</v>
      </c>
      <c r="BB112">
        <v>22.001299999999986</v>
      </c>
      <c r="BC112" s="2">
        <v>45681</v>
      </c>
      <c r="BD112" t="s">
        <v>1248</v>
      </c>
      <c r="BE112">
        <v>4</v>
      </c>
      <c r="BF112">
        <v>2.6599999999999999E-2</v>
      </c>
      <c r="BG112">
        <v>7.3957558643473478</v>
      </c>
      <c r="BH112">
        <v>737.28444655717283</v>
      </c>
      <c r="BI112">
        <v>0.42399999999999999</v>
      </c>
      <c r="BJ112">
        <v>2.18E-2</v>
      </c>
      <c r="BK112">
        <v>22.402500000000032</v>
      </c>
      <c r="BL112" s="2">
        <v>45681</v>
      </c>
      <c r="BM112" t="s">
        <v>1406</v>
      </c>
      <c r="BN112">
        <v>4</v>
      </c>
      <c r="BO112">
        <v>3.6499999999999998E-2</v>
      </c>
      <c r="BP112">
        <v>8.0199278055422134</v>
      </c>
      <c r="BQ112">
        <v>795.45727147653429</v>
      </c>
      <c r="BR112">
        <v>0.42399999999999999</v>
      </c>
      <c r="BS112">
        <v>3.15E-2</v>
      </c>
      <c r="BT112">
        <v>22.000699999999995</v>
      </c>
      <c r="BU112" s="2">
        <v>45681</v>
      </c>
      <c r="BV112" t="s">
        <v>1604</v>
      </c>
      <c r="BW112">
        <v>5</v>
      </c>
      <c r="BX112">
        <v>3.6799999999999999E-2</v>
      </c>
      <c r="BY112">
        <v>8.0136843669342834</v>
      </c>
      <c r="BZ112">
        <v>794.8753829982752</v>
      </c>
      <c r="CA112">
        <v>0.42399999999999999</v>
      </c>
      <c r="CB112">
        <v>3.1399999999999997E-2</v>
      </c>
      <c r="CC112">
        <v>22.00139999999999</v>
      </c>
      <c r="CD112" s="2">
        <v>45681</v>
      </c>
      <c r="CE112" t="s">
        <v>1764</v>
      </c>
      <c r="CF112">
        <v>5</v>
      </c>
      <c r="CG112">
        <v>3.6700000000000003E-2</v>
      </c>
      <c r="CH112">
        <v>8.0060534074199836</v>
      </c>
      <c r="CI112">
        <v>794.1641775715425</v>
      </c>
      <c r="CJ112">
        <v>0.42399999999999999</v>
      </c>
      <c r="CK112">
        <v>3.1199999999999999E-2</v>
      </c>
      <c r="CL112">
        <v>22.004599999999982</v>
      </c>
    </row>
    <row r="113" spans="1:90" x14ac:dyDescent="0.3">
      <c r="A113" s="2">
        <v>45681</v>
      </c>
      <c r="B113" t="s">
        <v>211</v>
      </c>
      <c r="C113">
        <v>0</v>
      </c>
      <c r="D113">
        <v>3.1600000000000003E-2</v>
      </c>
      <c r="E113">
        <v>7.705535111848242</v>
      </c>
      <c r="F113">
        <v>766.15587242425613</v>
      </c>
      <c r="G113">
        <v>0.42399999999999999</v>
      </c>
      <c r="H113">
        <v>2.6599999999999999E-2</v>
      </c>
      <c r="I113">
        <v>22.198839999999997</v>
      </c>
      <c r="J113" s="2">
        <v>45681</v>
      </c>
      <c r="K113" t="s">
        <v>371</v>
      </c>
      <c r="L113">
        <v>1</v>
      </c>
      <c r="M113">
        <v>3.1699999999999999E-2</v>
      </c>
      <c r="N113">
        <v>7.706507836177404</v>
      </c>
      <c r="O113">
        <v>766.24653033173411</v>
      </c>
      <c r="P113">
        <v>0.42399999999999999</v>
      </c>
      <c r="Q113">
        <v>2.6599999999999999E-2</v>
      </c>
      <c r="R113">
        <v>22.197969999999998</v>
      </c>
      <c r="S113" s="2">
        <v>45681</v>
      </c>
      <c r="T113" t="s">
        <v>531</v>
      </c>
      <c r="U113">
        <v>1</v>
      </c>
      <c r="V113">
        <v>3.1699999999999999E-2</v>
      </c>
      <c r="W113">
        <v>7.7051276137445299</v>
      </c>
      <c r="X113">
        <v>766.11789360099021</v>
      </c>
      <c r="Y113">
        <v>0.42399999999999999</v>
      </c>
      <c r="Z113">
        <v>2.6599999999999999E-2</v>
      </c>
      <c r="AA113">
        <v>22.198800000000006</v>
      </c>
      <c r="AB113" s="2">
        <v>45681</v>
      </c>
      <c r="AC113" t="s">
        <v>731</v>
      </c>
      <c r="AD113">
        <v>2</v>
      </c>
      <c r="AE113">
        <v>3.1699999999999999E-2</v>
      </c>
      <c r="AF113">
        <v>7.7026120732117596</v>
      </c>
      <c r="AG113">
        <v>765.88344522333603</v>
      </c>
      <c r="AH113">
        <v>0.42399999999999999</v>
      </c>
      <c r="AI113">
        <v>2.6499999999999999E-2</v>
      </c>
      <c r="AJ113">
        <v>22.200800000000015</v>
      </c>
      <c r="AK113" s="2">
        <v>45681</v>
      </c>
      <c r="AL113" t="s">
        <v>891</v>
      </c>
      <c r="AM113">
        <v>2</v>
      </c>
      <c r="AN113">
        <v>2.1600000000000001E-2</v>
      </c>
      <c r="AO113">
        <v>7.1042913251515287</v>
      </c>
      <c r="AP113">
        <v>710.11995150412247</v>
      </c>
      <c r="AQ113">
        <v>0.42399999999999999</v>
      </c>
      <c r="AR113">
        <v>1.72E-2</v>
      </c>
      <c r="AS113">
        <v>22.599199999999996</v>
      </c>
      <c r="AT113" s="2">
        <v>45681</v>
      </c>
      <c r="AU113" t="s">
        <v>1049</v>
      </c>
      <c r="AV113">
        <v>3</v>
      </c>
      <c r="AW113">
        <v>3.1899999999999998E-2</v>
      </c>
      <c r="AX113">
        <v>7.7093542408421412</v>
      </c>
      <c r="AY113">
        <v>766.51181524648757</v>
      </c>
      <c r="AZ113">
        <v>0.42399999999999999</v>
      </c>
      <c r="BA113">
        <v>2.6599999999999999E-2</v>
      </c>
      <c r="BB113">
        <v>22.199999999999989</v>
      </c>
      <c r="BC113" s="2">
        <v>45681</v>
      </c>
      <c r="BD113" t="s">
        <v>1249</v>
      </c>
      <c r="BE113">
        <v>4</v>
      </c>
      <c r="BF113">
        <v>2.1499999999999998E-2</v>
      </c>
      <c r="BG113">
        <v>7.1021548997699737</v>
      </c>
      <c r="BH113">
        <v>709.9208366585616</v>
      </c>
      <c r="BI113">
        <v>0.42399999999999999</v>
      </c>
      <c r="BJ113">
        <v>1.72E-2</v>
      </c>
      <c r="BK113">
        <v>22.602399999999989</v>
      </c>
      <c r="BL113" s="2">
        <v>45681</v>
      </c>
      <c r="BM113" t="s">
        <v>1407</v>
      </c>
      <c r="BN113">
        <v>4</v>
      </c>
      <c r="BO113">
        <v>3.1800000000000002E-2</v>
      </c>
      <c r="BP113">
        <v>7.7023420296922849</v>
      </c>
      <c r="BQ113">
        <v>765.85827716732092</v>
      </c>
      <c r="BR113">
        <v>0.42399999999999999</v>
      </c>
      <c r="BS113">
        <v>2.6499999999999999E-2</v>
      </c>
      <c r="BT113">
        <v>22.200999999999965</v>
      </c>
      <c r="BU113" s="2">
        <v>45681</v>
      </c>
      <c r="BV113" t="s">
        <v>1605</v>
      </c>
      <c r="BW113">
        <v>5</v>
      </c>
      <c r="BX113">
        <v>3.1699999999999999E-2</v>
      </c>
      <c r="BY113">
        <v>7.6978879335039432</v>
      </c>
      <c r="BZ113">
        <v>765.44315540256753</v>
      </c>
      <c r="CA113">
        <v>0.42399999999999999</v>
      </c>
      <c r="CB113">
        <v>2.64E-2</v>
      </c>
      <c r="CC113">
        <v>22.200600000000009</v>
      </c>
      <c r="CD113" s="2">
        <v>45681</v>
      </c>
      <c r="CE113" t="s">
        <v>1765</v>
      </c>
      <c r="CF113">
        <v>5</v>
      </c>
      <c r="CG113">
        <v>3.1699999999999999E-2</v>
      </c>
      <c r="CH113">
        <v>7.6947536446067284</v>
      </c>
      <c r="CI113">
        <v>765.15103967734706</v>
      </c>
      <c r="CJ113">
        <v>0.42399999999999999</v>
      </c>
      <c r="CK113">
        <v>2.64E-2</v>
      </c>
      <c r="CL113">
        <v>22.201000000000022</v>
      </c>
    </row>
    <row r="114" spans="1:90" x14ac:dyDescent="0.3">
      <c r="A114" s="2">
        <v>45681</v>
      </c>
      <c r="B114" t="s">
        <v>212</v>
      </c>
      <c r="C114">
        <v>0</v>
      </c>
      <c r="D114">
        <v>2.6499999999999999E-2</v>
      </c>
      <c r="E114">
        <v>7.3950827829024091</v>
      </c>
      <c r="F114">
        <v>737.22171536650455</v>
      </c>
      <c r="G114">
        <v>0.42399999999999999</v>
      </c>
      <c r="H114">
        <v>2.1700000000000001E-2</v>
      </c>
      <c r="I114">
        <v>22.399579999999993</v>
      </c>
      <c r="J114" s="2">
        <v>45681</v>
      </c>
      <c r="K114" t="s">
        <v>372</v>
      </c>
      <c r="L114">
        <v>1</v>
      </c>
      <c r="M114">
        <v>2.64E-2</v>
      </c>
      <c r="N114">
        <v>7.3946582550271991</v>
      </c>
      <c r="O114">
        <v>737.18214936853497</v>
      </c>
      <c r="P114">
        <v>0.42399999999999999</v>
      </c>
      <c r="Q114">
        <v>2.1700000000000001E-2</v>
      </c>
      <c r="R114">
        <v>22.39967</v>
      </c>
      <c r="S114" s="2">
        <v>45681</v>
      </c>
      <c r="T114" t="s">
        <v>532</v>
      </c>
      <c r="U114">
        <v>1</v>
      </c>
      <c r="V114">
        <v>2.6499999999999999E-2</v>
      </c>
      <c r="W114">
        <v>7.3931093567623414</v>
      </c>
      <c r="X114">
        <v>737.03779205025023</v>
      </c>
      <c r="Y114">
        <v>0.42399999999999999</v>
      </c>
      <c r="Z114">
        <v>2.1700000000000001E-2</v>
      </c>
      <c r="AA114">
        <v>22.400599999999997</v>
      </c>
      <c r="AB114" s="2">
        <v>45681</v>
      </c>
      <c r="AC114" t="s">
        <v>732</v>
      </c>
      <c r="AD114">
        <v>2</v>
      </c>
      <c r="AE114">
        <v>2.6700000000000002E-2</v>
      </c>
      <c r="AF114">
        <v>7.3921143315419311</v>
      </c>
      <c r="AG114">
        <v>736.94505569970795</v>
      </c>
      <c r="AH114">
        <v>0.42399999999999999</v>
      </c>
      <c r="AI114">
        <v>2.1700000000000001E-2</v>
      </c>
      <c r="AJ114">
        <v>22.401700000000005</v>
      </c>
      <c r="AK114" s="2">
        <v>45681</v>
      </c>
      <c r="AL114" t="s">
        <v>892</v>
      </c>
      <c r="AM114">
        <v>2</v>
      </c>
      <c r="AN114">
        <v>1.67E-2</v>
      </c>
      <c r="AO114">
        <v>6.8334802495465672</v>
      </c>
      <c r="AP114">
        <v>684.88035925774011</v>
      </c>
      <c r="AQ114">
        <v>0.42399999999999999</v>
      </c>
      <c r="AR114">
        <v>1.2999999999999999E-2</v>
      </c>
      <c r="AS114">
        <v>22.798699999999997</v>
      </c>
      <c r="AT114" s="2">
        <v>45681</v>
      </c>
      <c r="AU114" t="s">
        <v>1050</v>
      </c>
      <c r="AV114">
        <v>3</v>
      </c>
      <c r="AW114">
        <v>2.6800000000000001E-2</v>
      </c>
      <c r="AX114">
        <v>7.3999885735062101</v>
      </c>
      <c r="AY114">
        <v>737.67893505077882</v>
      </c>
      <c r="AZ114">
        <v>0.42399999999999999</v>
      </c>
      <c r="BA114">
        <v>2.18E-2</v>
      </c>
      <c r="BB114">
        <v>22.399999999999977</v>
      </c>
      <c r="BC114" s="2">
        <v>45681</v>
      </c>
      <c r="BD114" t="s">
        <v>1250</v>
      </c>
      <c r="BE114">
        <v>4</v>
      </c>
      <c r="BF114">
        <v>1.66E-2</v>
      </c>
      <c r="BG114">
        <v>6.8304886863533421</v>
      </c>
      <c r="BH114">
        <v>684.60154556813154</v>
      </c>
      <c r="BI114">
        <v>0.42399999999999999</v>
      </c>
      <c r="BJ114">
        <v>1.2999999999999999E-2</v>
      </c>
      <c r="BK114">
        <v>22.802700000000016</v>
      </c>
      <c r="BL114" s="2">
        <v>45681</v>
      </c>
      <c r="BM114" t="s">
        <v>1408</v>
      </c>
      <c r="BN114">
        <v>4</v>
      </c>
      <c r="BO114">
        <v>2.64E-2</v>
      </c>
      <c r="BP114">
        <v>7.3922951714964142</v>
      </c>
      <c r="BQ114">
        <v>736.96190998346583</v>
      </c>
      <c r="BR114">
        <v>0.42399999999999999</v>
      </c>
      <c r="BS114">
        <v>2.1700000000000001E-2</v>
      </c>
      <c r="BT114">
        <v>22.401499999999999</v>
      </c>
      <c r="BU114" s="2">
        <v>45681</v>
      </c>
      <c r="BV114" t="s">
        <v>1606</v>
      </c>
      <c r="BW114">
        <v>5</v>
      </c>
      <c r="BX114">
        <v>2.6700000000000002E-2</v>
      </c>
      <c r="BY114">
        <v>7.3866875110244292</v>
      </c>
      <c r="BZ114">
        <v>736.43927602747681</v>
      </c>
      <c r="CA114">
        <v>0.42399999999999999</v>
      </c>
      <c r="CB114">
        <v>2.1600000000000001E-2</v>
      </c>
      <c r="CC114">
        <v>22.401999999999987</v>
      </c>
      <c r="CD114" s="2">
        <v>45681</v>
      </c>
      <c r="CE114" t="s">
        <v>1766</v>
      </c>
      <c r="CF114">
        <v>5</v>
      </c>
      <c r="CG114">
        <v>2.5899999999999999E-2</v>
      </c>
      <c r="CH114">
        <v>7.3878426971910738</v>
      </c>
      <c r="CI114">
        <v>736.54693937820809</v>
      </c>
      <c r="CJ114">
        <v>0.42399999999999999</v>
      </c>
      <c r="CK114">
        <v>2.1600000000000001E-2</v>
      </c>
      <c r="CL114">
        <v>22.399699999999996</v>
      </c>
    </row>
    <row r="115" spans="1:90" x14ac:dyDescent="0.3">
      <c r="A115" s="2">
        <v>45681</v>
      </c>
      <c r="B115" t="s">
        <v>213</v>
      </c>
      <c r="C115">
        <v>0</v>
      </c>
      <c r="D115">
        <v>2.1299999999999999E-2</v>
      </c>
      <c r="E115">
        <v>7.1004563827983782</v>
      </c>
      <c r="F115">
        <v>709.7625348768089</v>
      </c>
      <c r="G115">
        <v>0.42399999999999999</v>
      </c>
      <c r="H115">
        <v>1.72E-2</v>
      </c>
      <c r="I115">
        <v>22.600149999999992</v>
      </c>
      <c r="J115" s="2">
        <v>45681</v>
      </c>
      <c r="K115" t="s">
        <v>373</v>
      </c>
      <c r="L115">
        <v>1</v>
      </c>
      <c r="M115">
        <v>2.1299999999999999E-2</v>
      </c>
      <c r="N115">
        <v>7.1021739568952214</v>
      </c>
      <c r="O115">
        <v>709.9226127826347</v>
      </c>
      <c r="P115">
        <v>0.42399999999999999</v>
      </c>
      <c r="Q115">
        <v>1.72E-2</v>
      </c>
      <c r="R115">
        <v>22.598769999999988</v>
      </c>
      <c r="S115" s="2">
        <v>45681</v>
      </c>
      <c r="T115" t="s">
        <v>533</v>
      </c>
      <c r="U115">
        <v>1</v>
      </c>
      <c r="V115">
        <v>2.1399999999999999E-2</v>
      </c>
      <c r="W115">
        <v>7.1038643644518178</v>
      </c>
      <c r="X115">
        <v>710.08015876690945</v>
      </c>
      <c r="Y115">
        <v>0.42399999999999999</v>
      </c>
      <c r="Z115">
        <v>1.72E-2</v>
      </c>
      <c r="AA115">
        <v>22.597499999999997</v>
      </c>
      <c r="AB115" s="2">
        <v>45681</v>
      </c>
      <c r="AC115" t="s">
        <v>733</v>
      </c>
      <c r="AD115">
        <v>2</v>
      </c>
      <c r="AE115">
        <v>2.1399999999999999E-2</v>
      </c>
      <c r="AF115">
        <v>7.1039791126740566</v>
      </c>
      <c r="AG115">
        <v>710.09085330122207</v>
      </c>
      <c r="AH115">
        <v>0.42399999999999999</v>
      </c>
      <c r="AI115">
        <v>1.72E-2</v>
      </c>
      <c r="AJ115">
        <v>22.597800000000007</v>
      </c>
      <c r="AT115" s="2">
        <v>45681</v>
      </c>
      <c r="AU115" t="s">
        <v>1051</v>
      </c>
      <c r="AV115">
        <v>3</v>
      </c>
      <c r="AW115">
        <v>2.1399999999999999E-2</v>
      </c>
      <c r="AX115">
        <v>7.1036113507038392</v>
      </c>
      <c r="AY115">
        <v>710.05657788559779</v>
      </c>
      <c r="AZ115">
        <v>0.42399999999999999</v>
      </c>
      <c r="BA115">
        <v>1.72E-2</v>
      </c>
      <c r="BB115">
        <v>22.601499999999987</v>
      </c>
      <c r="BL115" s="2">
        <v>45681</v>
      </c>
      <c r="BM115" t="s">
        <v>1409</v>
      </c>
      <c r="BN115">
        <v>4</v>
      </c>
      <c r="BO115">
        <v>2.1499999999999998E-2</v>
      </c>
      <c r="BP115">
        <v>7.0986106799445494</v>
      </c>
      <c r="BQ115">
        <v>709.59051537083201</v>
      </c>
      <c r="BR115">
        <v>0.42399999999999999</v>
      </c>
      <c r="BS115">
        <v>1.7100000000000001E-2</v>
      </c>
      <c r="BT115">
        <v>22.601599999999962</v>
      </c>
      <c r="BU115" s="2">
        <v>45681</v>
      </c>
      <c r="BV115" t="s">
        <v>1607</v>
      </c>
      <c r="BW115">
        <v>5</v>
      </c>
      <c r="BX115">
        <v>2.1399999999999999E-2</v>
      </c>
      <c r="BY115">
        <v>7.0941853721794548</v>
      </c>
      <c r="BZ115">
        <v>709.17807668712521</v>
      </c>
      <c r="CA115">
        <v>0.42399999999999999</v>
      </c>
      <c r="CB115">
        <v>1.7100000000000001E-2</v>
      </c>
      <c r="CC115">
        <v>22.601499999999987</v>
      </c>
      <c r="CD115" s="2">
        <v>45681</v>
      </c>
      <c r="CE115" t="s">
        <v>1767</v>
      </c>
      <c r="CF115">
        <v>5</v>
      </c>
      <c r="CG115">
        <v>2.1700000000000001E-2</v>
      </c>
      <c r="CH115">
        <v>7.0915279168841963</v>
      </c>
      <c r="CI115">
        <v>708.93040185360712</v>
      </c>
      <c r="CJ115">
        <v>0.42399999999999999</v>
      </c>
      <c r="CK115">
        <v>1.7000000000000001E-2</v>
      </c>
      <c r="CL115">
        <v>22.601799999999969</v>
      </c>
    </row>
    <row r="116" spans="1:90" x14ac:dyDescent="0.3">
      <c r="A116" s="2">
        <v>45681</v>
      </c>
      <c r="B116" t="s">
        <v>214</v>
      </c>
      <c r="C116">
        <v>0</v>
      </c>
      <c r="D116">
        <v>1.6400000000000001E-2</v>
      </c>
      <c r="E116">
        <v>6.8268479644894251</v>
      </c>
      <c r="F116">
        <v>684.26223029041444</v>
      </c>
      <c r="G116">
        <v>0.42399999999999999</v>
      </c>
      <c r="H116">
        <v>1.29E-2</v>
      </c>
      <c r="I116">
        <v>22.80214999999999</v>
      </c>
      <c r="J116" s="2">
        <v>45681</v>
      </c>
      <c r="K116" t="s">
        <v>374</v>
      </c>
      <c r="L116">
        <v>1</v>
      </c>
      <c r="M116">
        <v>1.6400000000000001E-2</v>
      </c>
      <c r="N116">
        <v>6.8316442779907369</v>
      </c>
      <c r="O116">
        <v>684.70924670873671</v>
      </c>
      <c r="P116">
        <v>0.42399999999999999</v>
      </c>
      <c r="Q116">
        <v>1.2999999999999999E-2</v>
      </c>
      <c r="R116">
        <v>22.798169999999999</v>
      </c>
      <c r="S116" s="2">
        <v>45681</v>
      </c>
      <c r="T116" t="s">
        <v>534</v>
      </c>
      <c r="U116">
        <v>1</v>
      </c>
      <c r="V116">
        <v>1.6E-2</v>
      </c>
      <c r="W116">
        <v>6.8320031196044546</v>
      </c>
      <c r="X116">
        <v>684.74269074713516</v>
      </c>
      <c r="Y116">
        <v>0.42399999999999999</v>
      </c>
      <c r="Z116">
        <v>1.2999999999999999E-2</v>
      </c>
      <c r="AA116">
        <v>22.797899999999998</v>
      </c>
      <c r="AB116" s="2">
        <v>45681</v>
      </c>
      <c r="AC116" t="s">
        <v>734</v>
      </c>
      <c r="AD116">
        <v>2</v>
      </c>
      <c r="AE116">
        <v>1.6299999999999999E-2</v>
      </c>
      <c r="AF116">
        <v>6.8305932978068329</v>
      </c>
      <c r="AG116">
        <v>684.61129535559689</v>
      </c>
      <c r="AH116">
        <v>0.42399999999999999</v>
      </c>
      <c r="AI116">
        <v>1.2999999999999999E-2</v>
      </c>
      <c r="AJ116">
        <v>22.799300000000017</v>
      </c>
      <c r="AT116" s="2">
        <v>45681</v>
      </c>
      <c r="AU116" t="s">
        <v>1052</v>
      </c>
      <c r="AV116">
        <v>3</v>
      </c>
      <c r="AW116">
        <v>1.67E-2</v>
      </c>
      <c r="AX116">
        <v>6.8323862894631686</v>
      </c>
      <c r="AY116">
        <v>684.77840217796734</v>
      </c>
      <c r="AZ116">
        <v>0.42399999999999999</v>
      </c>
      <c r="BA116">
        <v>1.2999999999999999E-2</v>
      </c>
      <c r="BB116">
        <v>22.801499999999976</v>
      </c>
      <c r="BL116" s="2">
        <v>45681</v>
      </c>
      <c r="BM116" t="s">
        <v>1410</v>
      </c>
      <c r="BN116">
        <v>4</v>
      </c>
      <c r="BO116">
        <v>1.6799999999999999E-2</v>
      </c>
      <c r="BP116">
        <v>6.8282212939195492</v>
      </c>
      <c r="BQ116">
        <v>684.39022459330204</v>
      </c>
      <c r="BR116">
        <v>0.42399999999999999</v>
      </c>
      <c r="BS116">
        <v>1.29E-2</v>
      </c>
      <c r="BT116">
        <v>22.801199999999994</v>
      </c>
      <c r="BU116" s="2">
        <v>45681</v>
      </c>
      <c r="BV116" t="s">
        <v>1608</v>
      </c>
      <c r="BW116">
        <v>5</v>
      </c>
      <c r="BX116">
        <v>1.67E-2</v>
      </c>
      <c r="BY116">
        <v>6.8254280059230537</v>
      </c>
      <c r="BZ116">
        <v>684.12989015202857</v>
      </c>
      <c r="CA116">
        <v>0.42399999999999999</v>
      </c>
      <c r="CB116">
        <v>1.29E-2</v>
      </c>
      <c r="CC116">
        <v>22.800200000000018</v>
      </c>
      <c r="CD116" s="2">
        <v>45681</v>
      </c>
      <c r="CE116" t="s">
        <v>1768</v>
      </c>
      <c r="CF116">
        <v>5</v>
      </c>
      <c r="CG116">
        <v>1.66E-2</v>
      </c>
      <c r="CH116">
        <v>6.8232660358842532</v>
      </c>
      <c r="CI116">
        <v>683.92839454441241</v>
      </c>
      <c r="CJ116">
        <v>0.42399999999999999</v>
      </c>
      <c r="CK116">
        <v>1.29E-2</v>
      </c>
      <c r="CL116">
        <v>22.800200000000018</v>
      </c>
    </row>
    <row r="117" spans="1:90" x14ac:dyDescent="0.3">
      <c r="A117" s="2">
        <v>45681</v>
      </c>
      <c r="B117" t="s">
        <v>215</v>
      </c>
      <c r="C117">
        <v>0</v>
      </c>
      <c r="D117">
        <v>1.14E-2</v>
      </c>
      <c r="E117">
        <v>6.5888321740829623</v>
      </c>
      <c r="F117">
        <v>662.07915862453206</v>
      </c>
      <c r="G117">
        <v>0.42399999999999999</v>
      </c>
      <c r="H117">
        <v>9.1999999999999998E-3</v>
      </c>
      <c r="I117">
        <v>22.999199999999995</v>
      </c>
      <c r="S117" s="2">
        <v>45681</v>
      </c>
      <c r="T117" t="s">
        <v>535</v>
      </c>
      <c r="U117">
        <v>1</v>
      </c>
      <c r="V117">
        <v>1.1900000000000001E-2</v>
      </c>
      <c r="W117">
        <v>6.5905801584860519</v>
      </c>
      <c r="X117">
        <v>662.24207077090011</v>
      </c>
      <c r="Y117">
        <v>0.42399999999999999</v>
      </c>
      <c r="Z117">
        <v>9.1999999999999998E-3</v>
      </c>
      <c r="AA117">
        <v>22.997399999999999</v>
      </c>
      <c r="AB117" s="2">
        <v>45681</v>
      </c>
      <c r="AC117" t="s">
        <v>735</v>
      </c>
      <c r="AD117">
        <v>2</v>
      </c>
      <c r="AE117">
        <v>1.1599999999999999E-2</v>
      </c>
      <c r="AF117">
        <v>6.5887133711532231</v>
      </c>
      <c r="AG117">
        <v>662.06808619148046</v>
      </c>
      <c r="AH117">
        <v>0.42399999999999999</v>
      </c>
      <c r="AI117">
        <v>9.1999999999999998E-3</v>
      </c>
      <c r="AJ117">
        <v>22.999400000000009</v>
      </c>
      <c r="AT117" s="2">
        <v>45681</v>
      </c>
      <c r="AU117" t="s">
        <v>1053</v>
      </c>
      <c r="AV117">
        <v>3</v>
      </c>
      <c r="AW117">
        <v>1.18E-2</v>
      </c>
      <c r="AX117">
        <v>6.5922957052291453</v>
      </c>
      <c r="AY117">
        <v>662.40195972735637</v>
      </c>
      <c r="AZ117">
        <v>0.42399999999999999</v>
      </c>
      <c r="BA117">
        <v>9.2999999999999992E-3</v>
      </c>
      <c r="BB117">
        <v>22.99969999999999</v>
      </c>
      <c r="BU117" s="2">
        <v>45681</v>
      </c>
      <c r="BV117" t="s">
        <v>1609</v>
      </c>
      <c r="BW117">
        <v>5</v>
      </c>
      <c r="BX117">
        <v>1.18E-2</v>
      </c>
      <c r="BY117">
        <v>6.5849428986493184</v>
      </c>
      <c r="BZ117">
        <v>661.71667815411649</v>
      </c>
      <c r="CA117">
        <v>0.42399999999999999</v>
      </c>
      <c r="CB117">
        <v>9.1999999999999998E-3</v>
      </c>
      <c r="CC117">
        <v>22.999599999999987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7"/>
  <sheetViews>
    <sheetView tabSelected="1" topLeftCell="D1" zoomScale="130" zoomScaleNormal="130" workbookViewId="0">
      <selection activeCell="L8" sqref="L8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11" bestFit="1" customWidth="1"/>
    <col min="10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IF(COUNT(Resultados!A2,Resultados!J2,Resultados!S2,Resultados!AB2,Resultados!AK2,Resultados!AT2,Resultados!BC2,Resultados!BL2,Resultados!BU2,Resultados!CD2)=0, "", AVERAGE(ABS(Resultados!A2),ABS(Resultados!J2),ABS(Resultados!S2),ABS(Resultados!AB2),ABS(Resultados!AK2),ABS(Resultados!AT2),ABS(Resultados!BC2),ABS(Resultados!BL2),ABS(Resultados!BU2),ABS(Resultados!CD2)))</f>
        <v>45681</v>
      </c>
      <c r="B2" t="str">
        <f>IF(COUNT(Resultados!B2,Resultados!K2,Resultados!T2,Resultados!AC2,Resultados!AL2,Resultados!AU2,Resultados!BD2,Resultados!BM2,Resultados!BV2,Resultados!CE2)=0, "", AVERAGE(ABS(Resultados!B2),ABS(Resultados!K2),ABS(Resultados!T2),ABS(Resultados!AC2),ABS(Resultados!AL2),ABS(Resultados!AU2),ABS(Resultados!BD2),ABS(Resultados!BM2),ABS(Resultados!BV2),ABS(Resultados!CE2)))</f>
        <v/>
      </c>
      <c r="C2">
        <f>IF(COUNT(Resultados!C2,Resultados!L2,Resultados!U2,Resultados!AD2,Resultados!AM2,Resultados!AV2,Resultados!BE2,Resultados!BN2,Resultados!BW2,Resultados!CF2)=0, "", AVERAGE(ABS(Resultados!C2),ABS(Resultados!L2),ABS(Resultados!U2),ABS(Resultados!AD2),ABS(Resultados!AM2),ABS(Resultados!AV2),ABS(Resultados!BE2),ABS(Resultados!BN2),ABS(Resultados!BW2),ABS(Resultados!CF2)))</f>
        <v>2.4</v>
      </c>
      <c r="D2">
        <f>IF(COUNT(Resultados!D2,Resultados!M2,Resultados!V2,Resultados!AE2,Resultados!AN2,Resultados!AW2,Resultados!BF2,Resultados!BO2,Resultados!BX2,Resultados!CG2)=0, "", AVERAGE(ABS(Resultados!D2),ABS(Resultados!M2),ABS(Resultados!V2),ABS(Resultados!AE2),ABS(Resultados!AN2),ABS(Resultados!AW2),ABS(Resultados!BF2),ABS(Resultados!BO2),ABS(Resultados!BX2),ABS(Resultados!CG2)))</f>
        <v>2.7099999999999997E-3</v>
      </c>
      <c r="E2">
        <f>IF(COUNT(Resultados!E2,Resultados!N2,Resultados!W2,Resultados!AF2,Resultados!AO2,Resultados!AX2,Resultados!BG2,Resultados!BP2,Resultados!BY2,Resultados!CH2)=0, "", AVERAGE(ABS(Resultados!E2),ABS(Resultados!N2),ABS(Resultados!W2),ABS(Resultados!AF2),ABS(Resultados!AO2),ABS(Resultados!AX2),ABS(Resultados!BG2),ABS(Resultados!BP2),ABS(Resultados!BY2),ABS(Resultados!CH2)))</f>
        <v>5.995738075720185</v>
      </c>
      <c r="F2">
        <f>IF(COUNT(Resultados!F2,Resultados!O2,Resultados!X2,Resultados!AG2,Resultados!AP2,Resultados!AY2,Resultados!BH2,Resultados!BQ2,Resultados!BZ2,Resultados!CI2)=0, "", AVERAGE(ABS(Resultados!F2),ABS(Resultados!O2),ABS(Resultados!X2),ABS(Resultados!AG2),ABS(Resultados!AP2),ABS(Resultados!AY2),ABS(Resultados!BH2),ABS(Resultados!BQ2),ABS(Resultados!BZ2),ABS(Resultados!CI2)))</f>
        <v>606.80278865712114</v>
      </c>
      <c r="G2">
        <f>IF(COUNT(Resultados!G2,Resultados!P2,Resultados!Y2,Resultados!AH2,Resultados!AQ2,Resultados!AZ2,Resultados!BI2,Resultados!BR2,Resultados!CA2,Resultados!CJ2)=0, "", AVERAGE(ABS(Resultados!G2),ABS(Resultados!P2),ABS(Resultados!Y2),ABS(Resultados!AH2),ABS(Resultados!AQ2),ABS(Resultados!AZ2),ABS(Resultados!BI2),ABS(Resultados!BR2),ABS(Resultados!CA2),ABS(Resultados!CJ2)))</f>
        <v>0.42400000000000004</v>
      </c>
      <c r="H2">
        <f>IF(COUNT(Resultados!H2,Resultados!Q2,Resultados!Z2,Resultados!AI2,Resultados!AR2,Resultados!BA2,Resultados!BJ2,Resultados!BS2,Resultados!CB2,Resultados!CK2)=0, "", AVERAGE(ABS(Resultados!H2),ABS(Resultados!Q2),ABS(Resultados!Z2),ABS(Resultados!AI2),ABS(Resultados!AR2),ABS(Resultados!BA2),ABS(Resultados!BJ2),ABS(Resultados!BS2),ABS(Resultados!CB2),ABS(Resultados!CK2)))</f>
        <v>0</v>
      </c>
      <c r="I2">
        <f>IF(COUNT(Resultados!I2,Resultados!R2,Resultados!AA2,Resultados!AJ2,Resultados!AS2,Resultados!BB2,Resultados!BK2,Resultados!BT2,Resultados!CC2,Resultados!CL2)=0, "", AVERAGE(ABS(Resultados!I2),ABS(Resultados!R2),ABS(Resultados!AA2),ABS(Resultados!AJ2),ABS(Resultados!AS2),ABS(Resultados!BB2),ABS(Resultados!BK2),ABS(Resultados!BT2),ABS(Resultados!CC2),ABS(Resultados!CL2)))</f>
        <v>0</v>
      </c>
      <c r="J2">
        <v>2.7099999999999997E-3</v>
      </c>
      <c r="K2">
        <v>0</v>
      </c>
    </row>
    <row r="3" spans="1:11" x14ac:dyDescent="0.3">
      <c r="A3">
        <f>IF(COUNT(Resultados!A3,Resultados!J3,Resultados!S3,Resultados!AB3,Resultados!AK3,Resultados!AT3,Resultados!BC3,Resultados!BL3,Resultados!BU3,Resultados!CD3)=0, "", AVERAGE(ABS(Resultados!A3),ABS(Resultados!J3),ABS(Resultados!S3),ABS(Resultados!AB3),ABS(Resultados!AK3),ABS(Resultados!AT3),ABS(Resultados!BC3),ABS(Resultados!BL3),ABS(Resultados!BU3),ABS(Resultados!CD3)))</f>
        <v>45681</v>
      </c>
      <c r="B3" t="str">
        <f>IF(COUNT(Resultados!B3,Resultados!K3,Resultados!T3,Resultados!AC3,Resultados!AL3,Resultados!AU3,Resultados!BD3,Resultados!BM3,Resultados!BV3,Resultados!CE3)=0, "", AVERAGE(ABS(Resultados!B3),ABS(Resultados!K3),ABS(Resultados!T3),ABS(Resultados!AC3),ABS(Resultados!AL3),ABS(Resultados!AU3),ABS(Resultados!BD3),ABS(Resultados!BM3),ABS(Resultados!BV3),ABS(Resultados!CE3)))</f>
        <v/>
      </c>
      <c r="C3">
        <f>IF(COUNT(Resultados!C3,Resultados!L3,Resultados!U3,Resultados!AD3,Resultados!AM3,Resultados!AV3,Resultados!BE3,Resultados!BN3,Resultados!BW3,Resultados!CF3)=0, "", AVERAGE(ABS(Resultados!C3),ABS(Resultados!L3),ABS(Resultados!U3),ABS(Resultados!AD3),ABS(Resultados!AM3),ABS(Resultados!AV3),ABS(Resultados!BE3),ABS(Resultados!BN3),ABS(Resultados!BW3),ABS(Resultados!CF3)))</f>
        <v>2.4</v>
      </c>
      <c r="D3">
        <f>IF(COUNT(Resultados!D3,Resultados!M3,Resultados!V3,Resultados!AE3,Resultados!AN3,Resultados!AW3,Resultados!BF3,Resultados!BO3,Resultados!BX3,Resultados!CG3)=0, "", AVERAGE(ABS(Resultados!D3),ABS(Resultados!M3),ABS(Resultados!V3),ABS(Resultados!AE3),ABS(Resultados!AN3),ABS(Resultados!AW3),ABS(Resultados!BF3),ABS(Resultados!BO3),ABS(Resultados!BX3),ABS(Resultados!CG3)))</f>
        <v>3.0599999999999994E-3</v>
      </c>
      <c r="E3">
        <f>IF(COUNT(Resultados!E3,Resultados!N3,Resultados!W3,Resultados!AF3,Resultados!AO3,Resultados!AX3,Resultados!BG3,Resultados!BP3,Resultados!BY3,Resultados!CH3)=0, "", AVERAGE(ABS(Resultados!E3),ABS(Resultados!N3),ABS(Resultados!W3),ABS(Resultados!AF3),ABS(Resultados!AO3),ABS(Resultados!AX3),ABS(Resultados!BG3),ABS(Resultados!BP3),ABS(Resultados!BY3),ABS(Resultados!CH3)))</f>
        <v>6.02090312400082</v>
      </c>
      <c r="F3">
        <f>IF(COUNT(Resultados!F3,Resultados!O3,Resultados!X3,Resultados!AG3,Resultados!AP3,Resultados!AY3,Resultados!BH3,Resultados!BQ3,Resultados!BZ3,Resultados!CI3)=0, "", AVERAGE(ABS(Resultados!F3),ABS(Resultados!O3),ABS(Resultados!X3),ABS(Resultados!AG3),ABS(Resultados!AP3),ABS(Resultados!AY3),ABS(Resultados!BH3),ABS(Resultados!BQ3),ABS(Resultados!BZ3),ABS(Resultados!CI3)))</f>
        <v>711.38370646767783</v>
      </c>
      <c r="G3">
        <f>IF(COUNT(Resultados!G3,Resultados!P3,Resultados!Y3,Resultados!AH3,Resultados!AQ3,Resultados!AZ3,Resultados!BI3,Resultados!BR3,Resultados!CA3,Resultados!CJ3)=0, "", AVERAGE(ABS(Resultados!G3),ABS(Resultados!P3),ABS(Resultados!Y3),ABS(Resultados!AH3),ABS(Resultados!AQ3),ABS(Resultados!AZ3),ABS(Resultados!BI3),ABS(Resultados!BR3),ABS(Resultados!CA3),ABS(Resultados!CJ3)))</f>
        <v>0.42400000000000004</v>
      </c>
      <c r="H3">
        <f>IF(COUNT(Resultados!H3,Resultados!Q3,Resultados!Z3,Resultados!AI3,Resultados!AR3,Resultados!BA3,Resultados!BJ3,Resultados!BS3,Resultados!CB3,Resultados!CK3)=0, "", AVERAGE(ABS(Resultados!H3),ABS(Resultados!Q3),ABS(Resultados!Z3),ABS(Resultados!AI3),ABS(Resultados!AR3),ABS(Resultados!BA3),ABS(Resultados!BJ3),ABS(Resultados!BS3),ABS(Resultados!CB3),ABS(Resultados!CK3)))</f>
        <v>4.0000000000000007E-4</v>
      </c>
      <c r="I3">
        <f>IF(COUNT(Resultados!I3,Resultados!R3,Resultados!AA3,Resultados!AJ3,Resultados!AS3,Resultados!BB3,Resultados!BK3,Resultados!BT3,Resultados!CC3,Resultados!CL3)=0, "", AVERAGE(ABS(Resultados!I3),ABS(Resultados!R3),ABS(Resultados!AA3),ABS(Resultados!AJ3),ABS(Resultados!AS3),ABS(Resultados!BB3),ABS(Resultados!BK3),ABS(Resultados!BT3),ABS(Resultados!CC3),ABS(Resultados!CL3)))</f>
        <v>0.19948499999999569</v>
      </c>
      <c r="J3">
        <v>3.0599999999999994E-3</v>
      </c>
      <c r="K3">
        <v>4.0000000000000007E-4</v>
      </c>
    </row>
    <row r="4" spans="1:11" x14ac:dyDescent="0.3">
      <c r="A4">
        <f>IF(COUNT(Resultados!A4,Resultados!J4,Resultados!S4,Resultados!AB4,Resultados!AK4,Resultados!AT4,Resultados!BC4,Resultados!BL4,Resultados!BU4,Resultados!CD4)=0, "", AVERAGE(ABS(Resultados!A4),ABS(Resultados!J4),ABS(Resultados!S4),ABS(Resultados!AB4),ABS(Resultados!AK4),ABS(Resultados!AT4),ABS(Resultados!BC4),ABS(Resultados!BL4),ABS(Resultados!BU4),ABS(Resultados!CD4)))</f>
        <v>45681</v>
      </c>
      <c r="B4" t="str">
        <f>IF(COUNT(Resultados!B4,Resultados!K4,Resultados!T4,Resultados!AC4,Resultados!AL4,Resultados!AU4,Resultados!BD4,Resultados!BM4,Resultados!BV4,Resultados!CE4)=0, "", AVERAGE(ABS(Resultados!B4),ABS(Resultados!K4),ABS(Resultados!T4),ABS(Resultados!AC4),ABS(Resultados!AL4),ABS(Resultados!AU4),ABS(Resultados!BD4),ABS(Resultados!BM4),ABS(Resultados!BV4),ABS(Resultados!CE4)))</f>
        <v/>
      </c>
      <c r="C4">
        <f>IF(COUNT(Resultados!C4,Resultados!L4,Resultados!U4,Resultados!AD4,Resultados!AM4,Resultados!AV4,Resultados!BE4,Resultados!BN4,Resultados!BW4,Resultados!CF4)=0, "", AVERAGE(ABS(Resultados!C4),ABS(Resultados!L4),ABS(Resultados!U4),ABS(Resultados!AD4),ABS(Resultados!AM4),ABS(Resultados!AV4),ABS(Resultados!BE4),ABS(Resultados!BN4),ABS(Resultados!BW4),ABS(Resultados!CF4)))</f>
        <v>2.4</v>
      </c>
      <c r="D4">
        <f>IF(COUNT(Resultados!D4,Resultados!M4,Resultados!V4,Resultados!AE4,Resultados!AN4,Resultados!AW4,Resultados!BF4,Resultados!BO4,Resultados!BX4,Resultados!CG4)=0, "", AVERAGE(ABS(Resultados!D4),ABS(Resultados!M4),ABS(Resultados!V4),ABS(Resultados!AE4),ABS(Resultados!AN4),ABS(Resultados!AW4),ABS(Resultados!BF4),ABS(Resultados!BO4),ABS(Resultados!BX4),ABS(Resultados!CG4)))</f>
        <v>1.15E-3</v>
      </c>
      <c r="E4">
        <f>IF(COUNT(Resultados!E4,Resultados!N4,Resultados!W4,Resultados!AF4,Resultados!AO4,Resultados!AX4,Resultados!BG4,Resultados!BP4,Resultados!BY4,Resultados!CH4)=0, "", AVERAGE(ABS(Resultados!E4),ABS(Resultados!N4),ABS(Resultados!W4),ABS(Resultados!AF4),ABS(Resultados!AO4),ABS(Resultados!AX4),ABS(Resultados!BG4),ABS(Resultados!BP4),ABS(Resultados!BY4),ABS(Resultados!CH4)))</f>
        <v>6.0955120422295561</v>
      </c>
      <c r="F4">
        <f>IF(COUNT(Resultados!F4,Resultados!O4,Resultados!X4,Resultados!AG4,Resultados!AP4,Resultados!AY4,Resultados!BH4,Resultados!BQ4,Resultados!BZ4,Resultados!CI4)=0, "", AVERAGE(ABS(Resultados!F4),ABS(Resultados!O4),ABS(Resultados!X4),ABS(Resultados!AG4),ABS(Resultados!AP4),ABS(Resultados!AY4),ABS(Resultados!BH4),ABS(Resultados!BQ4),ABS(Resultados!BZ4),ABS(Resultados!CI4)))</f>
        <v>718.46409280758496</v>
      </c>
      <c r="G4">
        <f>IF(COUNT(Resultados!G4,Resultados!P4,Resultados!Y4,Resultados!AH4,Resultados!AQ4,Resultados!AZ4,Resultados!BI4,Resultados!BR4,Resultados!CA4,Resultados!CJ4)=0, "", AVERAGE(ABS(Resultados!G4),ABS(Resultados!P4),ABS(Resultados!Y4),ABS(Resultados!AH4),ABS(Resultados!AQ4),ABS(Resultados!AZ4),ABS(Resultados!BI4),ABS(Resultados!BR4),ABS(Resultados!CA4),ABS(Resultados!CJ4)))</f>
        <v>0.42400000000000004</v>
      </c>
      <c r="H4">
        <f>IF(COUNT(Resultados!H4,Resultados!Q4,Resultados!Z4,Resultados!AI4,Resultados!AR4,Resultados!BA4,Resultados!BJ4,Resultados!BS4,Resultados!CB4,Resultados!CK4)=0, "", AVERAGE(ABS(Resultados!H4),ABS(Resultados!Q4),ABS(Resultados!Z4),ABS(Resultados!AI4),ABS(Resultados!AR4),ABS(Resultados!BA4),ABS(Resultados!BJ4),ABS(Resultados!BS4),ABS(Resultados!CB4),ABS(Resultados!CK4)))</f>
        <v>1.5400000000000001E-3</v>
      </c>
      <c r="I4">
        <f>IF(COUNT(Resultados!I4,Resultados!R4,Resultados!AA4,Resultados!AJ4,Resultados!AS4,Resultados!BB4,Resultados!BK4,Resultados!BT4,Resultados!CC4,Resultados!CL4)=0, "", AVERAGE(ABS(Resultados!I4),ABS(Resultados!R4),ABS(Resultados!AA4),ABS(Resultados!AJ4),ABS(Resultados!AS4),ABS(Resultados!BB4),ABS(Resultados!BK4),ABS(Resultados!BT4),ABS(Resultados!CC4),ABS(Resultados!CL4)))</f>
        <v>0.39975999999999845</v>
      </c>
      <c r="J4">
        <v>1.15E-3</v>
      </c>
      <c r="K4">
        <v>1.5400000000000001E-3</v>
      </c>
    </row>
    <row r="5" spans="1:11" x14ac:dyDescent="0.3">
      <c r="A5">
        <f>IF(COUNT(Resultados!A5,Resultados!J5,Resultados!S5,Resultados!AB5,Resultados!AK5,Resultados!AT5,Resultados!BC5,Resultados!BL5,Resultados!BU5,Resultados!CD5)=0, "", AVERAGE(ABS(Resultados!A5),ABS(Resultados!J5),ABS(Resultados!S5),ABS(Resultados!AB5),ABS(Resultados!AK5),ABS(Resultados!AT5),ABS(Resultados!BC5),ABS(Resultados!BL5),ABS(Resultados!BU5),ABS(Resultados!CD5)))</f>
        <v>45681</v>
      </c>
      <c r="B5" t="str">
        <f>IF(COUNT(Resultados!B5,Resultados!K5,Resultados!T5,Resultados!AC5,Resultados!AL5,Resultados!AU5,Resultados!BD5,Resultados!BM5,Resultados!BV5,Resultados!CE5)=0, "", AVERAGE(ABS(Resultados!B5),ABS(Resultados!K5),ABS(Resultados!T5),ABS(Resultados!AC5),ABS(Resultados!AL5),ABS(Resultados!AU5),ABS(Resultados!BD5),ABS(Resultados!BM5),ABS(Resultados!BV5),ABS(Resultados!CE5)))</f>
        <v/>
      </c>
      <c r="C5">
        <f>IF(COUNT(Resultados!C5,Resultados!L5,Resultados!U5,Resultados!AD5,Resultados!AM5,Resultados!AV5,Resultados!BE5,Resultados!BN5,Resultados!BW5,Resultados!CF5)=0, "", AVERAGE(ABS(Resultados!C5),ABS(Resultados!L5),ABS(Resultados!U5),ABS(Resultados!AD5),ABS(Resultados!AM5),ABS(Resultados!AV5),ABS(Resultados!BE5),ABS(Resultados!BN5),ABS(Resultados!BW5),ABS(Resultados!CF5)))</f>
        <v>2.4</v>
      </c>
      <c r="D5">
        <f>IF(COUNT(Resultados!D5,Resultados!M5,Resultados!V5,Resultados!AE5,Resultados!AN5,Resultados!AW5,Resultados!BF5,Resultados!BO5,Resultados!BX5,Resultados!CG5)=0, "", AVERAGE(ABS(Resultados!D5),ABS(Resultados!M5),ABS(Resultados!V5),ABS(Resultados!AE5),ABS(Resultados!AN5),ABS(Resultados!AW5),ABS(Resultados!BF5),ABS(Resultados!BO5),ABS(Resultados!BX5),ABS(Resultados!CG5)))</f>
        <v>2.2799999999999999E-3</v>
      </c>
      <c r="E5">
        <f>IF(COUNT(Resultados!E5,Resultados!N5,Resultados!W5,Resultados!AF5,Resultados!AO5,Resultados!AX5,Resultados!BG5,Resultados!BP5,Resultados!BY5,Resultados!CH5)=0, "", AVERAGE(ABS(Resultados!E5),ABS(Resultados!N5),ABS(Resultados!W5),ABS(Resultados!AF5),ABS(Resultados!AO5),ABS(Resultados!AX5),ABS(Resultados!BG5),ABS(Resultados!BP5),ABS(Resultados!BY5),ABS(Resultados!CH5)))</f>
        <v>6.2177678027417711</v>
      </c>
      <c r="F5">
        <f>IF(COUNT(Resultados!F5,Resultados!O5,Resultados!X5,Resultados!AG5,Resultados!AP5,Resultados!AY5,Resultados!BH5,Resultados!BQ5,Resultados!BZ5,Resultados!CI5)=0, "", AVERAGE(ABS(Resultados!F5),ABS(Resultados!O5),ABS(Resultados!X5),ABS(Resultados!AG5),ABS(Resultados!AP5),ABS(Resultados!AY5),ABS(Resultados!BH5),ABS(Resultados!BQ5),ABS(Resultados!BZ5),ABS(Resultados!CI5)))</f>
        <v>730.06616448019417</v>
      </c>
      <c r="G5">
        <f>IF(COUNT(Resultados!G5,Resultados!P5,Resultados!Y5,Resultados!AH5,Resultados!AQ5,Resultados!AZ5,Resultados!BI5,Resultados!BR5,Resultados!CA5,Resultados!CJ5)=0, "", AVERAGE(ABS(Resultados!G5),ABS(Resultados!P5),ABS(Resultados!Y5),ABS(Resultados!AH5),ABS(Resultados!AQ5),ABS(Resultados!AZ5),ABS(Resultados!BI5),ABS(Resultados!BR5),ABS(Resultados!CA5),ABS(Resultados!CJ5)))</f>
        <v>0.42400000000000004</v>
      </c>
      <c r="H5">
        <f>IF(COUNT(Resultados!H5,Resultados!Q5,Resultados!Z5,Resultados!AI5,Resultados!AR5,Resultados!BA5,Resultados!BJ5,Resultados!BS5,Resultados!CB5,Resultados!CK5)=0, "", AVERAGE(ABS(Resultados!H5),ABS(Resultados!Q5),ABS(Resultados!Z5),ABS(Resultados!AI5),ABS(Resultados!AR5),ABS(Resultados!BA5),ABS(Resultados!BJ5),ABS(Resultados!BS5),ABS(Resultados!CB5),ABS(Resultados!CK5)))</f>
        <v>3.4300000000000003E-3</v>
      </c>
      <c r="I5">
        <f>IF(COUNT(Resultados!I5,Resultados!R5,Resultados!AA5,Resultados!AJ5,Resultados!AS5,Resultados!BB5,Resultados!BK5,Resultados!BT5,Resultados!CC5,Resultados!CL5)=0, "", AVERAGE(ABS(Resultados!I5),ABS(Resultados!R5),ABS(Resultados!AA5),ABS(Resultados!AJ5),ABS(Resultados!AS5),ABS(Resultados!BB5),ABS(Resultados!BK5),ABS(Resultados!BT5),ABS(Resultados!CC5),ABS(Resultados!CL5)))</f>
        <v>0.60012700000000052</v>
      </c>
      <c r="J5">
        <v>2.2799999999999999E-3</v>
      </c>
      <c r="K5">
        <v>3.4300000000000003E-3</v>
      </c>
    </row>
    <row r="6" spans="1:11" x14ac:dyDescent="0.3">
      <c r="A6">
        <f>IF(COUNT(Resultados!A6,Resultados!J6,Resultados!S6,Resultados!AB6,Resultados!AK6,Resultados!AT6,Resultados!BC6,Resultados!BL6,Resultados!BU6,Resultados!CD6)=0, "", AVERAGE(ABS(Resultados!A6),ABS(Resultados!J6),ABS(Resultados!S6),ABS(Resultados!AB6),ABS(Resultados!AK6),ABS(Resultados!AT6),ABS(Resultados!BC6),ABS(Resultados!BL6),ABS(Resultados!BU6),ABS(Resultados!CD6)))</f>
        <v>45681</v>
      </c>
      <c r="B6" t="str">
        <f>IF(COUNT(Resultados!B6,Resultados!K6,Resultados!T6,Resultados!AC6,Resultados!AL6,Resultados!AU6,Resultados!BD6,Resultados!BM6,Resultados!BV6,Resultados!CE6)=0, "", AVERAGE(ABS(Resultados!B6),ABS(Resultados!K6),ABS(Resultados!T6),ABS(Resultados!AC6),ABS(Resultados!AL6),ABS(Resultados!AU6),ABS(Resultados!BD6),ABS(Resultados!BM6),ABS(Resultados!BV6),ABS(Resultados!CE6)))</f>
        <v/>
      </c>
      <c r="C6">
        <f>IF(COUNT(Resultados!C6,Resultados!L6,Resultados!U6,Resultados!AD6,Resultados!AM6,Resultados!AV6,Resultados!BE6,Resultados!BN6,Resultados!BW6,Resultados!CF6)=0, "", AVERAGE(ABS(Resultados!C6),ABS(Resultados!L6),ABS(Resultados!U6),ABS(Resultados!AD6),ABS(Resultados!AM6),ABS(Resultados!AV6),ABS(Resultados!BE6),ABS(Resultados!BN6),ABS(Resultados!BW6),ABS(Resultados!CF6)))</f>
        <v>2.4</v>
      </c>
      <c r="D6">
        <f>IF(COUNT(Resultados!D6,Resultados!M6,Resultados!V6,Resultados!AE6,Resultados!AN6,Resultados!AW6,Resultados!BF6,Resultados!BO6,Resultados!BX6,Resultados!CG6)=0, "", AVERAGE(ABS(Resultados!D6),ABS(Resultados!M6),ABS(Resultados!V6),ABS(Resultados!AE6),ABS(Resultados!AN6),ABS(Resultados!AW6),ABS(Resultados!BF6),ABS(Resultados!BO6),ABS(Resultados!BX6),ABS(Resultados!CG6)))</f>
        <v>3.9500000000000004E-3</v>
      </c>
      <c r="E6">
        <f>IF(COUNT(Resultados!E6,Resultados!N6,Resultados!W6,Resultados!AF6,Resultados!AO6,Resultados!AX6,Resultados!BG6,Resultados!BP6,Resultados!BY6,Resultados!CH6)=0, "", AVERAGE(ABS(Resultados!E6),ABS(Resultados!N6),ABS(Resultados!W6),ABS(Resultados!AF6),ABS(Resultados!AO6),ABS(Resultados!AX6),ABS(Resultados!BG6),ABS(Resultados!BP6),ABS(Resultados!BY6),ABS(Resultados!CH6)))</f>
        <v>6.3837129514136315</v>
      </c>
      <c r="F6">
        <f>IF(COUNT(Resultados!F6,Resultados!O6,Resultados!X6,Resultados!AG6,Resultados!AP6,Resultados!AY6,Resultados!BH6,Resultados!BQ6,Resultados!BZ6,Resultados!CI6)=0, "", AVERAGE(ABS(Resultados!F6),ABS(Resultados!O6),ABS(Resultados!X6),ABS(Resultados!AG6),ABS(Resultados!AP6),ABS(Resultados!AY6),ABS(Resultados!BH6),ABS(Resultados!BQ6),ABS(Resultados!BZ6),ABS(Resultados!CI6)))</f>
        <v>745.81435908915364</v>
      </c>
      <c r="G6">
        <f>IF(COUNT(Resultados!G6,Resultados!P6,Resultados!Y6,Resultados!AH6,Resultados!AQ6,Resultados!AZ6,Resultados!BI6,Resultados!BR6,Resultados!CA6,Resultados!CJ6)=0, "", AVERAGE(ABS(Resultados!G6),ABS(Resultados!P6),ABS(Resultados!Y6),ABS(Resultados!AH6),ABS(Resultados!AQ6),ABS(Resultados!AZ6),ABS(Resultados!BI6),ABS(Resultados!BR6),ABS(Resultados!CA6),ABS(Resultados!CJ6)))</f>
        <v>0.42400000000000004</v>
      </c>
      <c r="H6">
        <f>IF(COUNT(Resultados!H6,Resultados!Q6,Resultados!Z6,Resultados!AI6,Resultados!AR6,Resultados!BA6,Resultados!BJ6,Resultados!BS6,Resultados!CB6,Resultados!CK6)=0, "", AVERAGE(ABS(Resultados!H6),ABS(Resultados!Q6),ABS(Resultados!Z6),ABS(Resultados!AI6),ABS(Resultados!AR6),ABS(Resultados!BA6),ABS(Resultados!BJ6),ABS(Resultados!BS6),ABS(Resultados!CB6),ABS(Resultados!CK6)))</f>
        <v>6.0199999999999993E-3</v>
      </c>
      <c r="I6">
        <f>IF(COUNT(Resultados!I6,Resultados!R6,Resultados!AA6,Resultados!AJ6,Resultados!AS6,Resultados!BB6,Resultados!BK6,Resultados!BT6,Resultados!CC6,Resultados!CL6)=0, "", AVERAGE(ABS(Resultados!I6),ABS(Resultados!R6),ABS(Resultados!AA6),ABS(Resultados!AJ6),ABS(Resultados!AS6),ABS(Resultados!BB6),ABS(Resultados!BK6),ABS(Resultados!BT6),ABS(Resultados!CC6),ABS(Resultados!CL6)))</f>
        <v>0.79948299999999362</v>
      </c>
      <c r="J6">
        <v>3.9500000000000004E-3</v>
      </c>
      <c r="K6">
        <v>6.0199999999999993E-3</v>
      </c>
    </row>
    <row r="7" spans="1:11" x14ac:dyDescent="0.3">
      <c r="A7">
        <f>IF(COUNT(Resultados!A7,Resultados!J7,Resultados!S7,Resultados!AB7,Resultados!AK7,Resultados!AT7,Resultados!BC7,Resultados!BL7,Resultados!BU7,Resultados!CD7)=0, "", AVERAGE(ABS(Resultados!A7),ABS(Resultados!J7),ABS(Resultados!S7),ABS(Resultados!AB7),ABS(Resultados!AK7),ABS(Resultados!AT7),ABS(Resultados!BC7),ABS(Resultados!BL7),ABS(Resultados!BU7),ABS(Resultados!CD7)))</f>
        <v>45681</v>
      </c>
      <c r="B7" t="str">
        <f>IF(COUNT(Resultados!B7,Resultados!K7,Resultados!T7,Resultados!AC7,Resultados!AL7,Resultados!AU7,Resultados!BD7,Resultados!BM7,Resultados!BV7,Resultados!CE7)=0, "", AVERAGE(ABS(Resultados!B7),ABS(Resultados!K7),ABS(Resultados!T7),ABS(Resultados!AC7),ABS(Resultados!AL7),ABS(Resultados!AU7),ABS(Resultados!BD7),ABS(Resultados!BM7),ABS(Resultados!BV7),ABS(Resultados!CE7)))</f>
        <v/>
      </c>
      <c r="C7">
        <f>IF(COUNT(Resultados!C7,Resultados!L7,Resultados!U7,Resultados!AD7,Resultados!AM7,Resultados!AV7,Resultados!BE7,Resultados!BN7,Resultados!BW7,Resultados!CF7)=0, "", AVERAGE(ABS(Resultados!C7),ABS(Resultados!L7),ABS(Resultados!U7),ABS(Resultados!AD7),ABS(Resultados!AM7),ABS(Resultados!AV7),ABS(Resultados!BE7),ABS(Resultados!BN7),ABS(Resultados!BW7),ABS(Resultados!CF7)))</f>
        <v>2.4</v>
      </c>
      <c r="D7">
        <f>IF(COUNT(Resultados!D7,Resultados!M7,Resultados!V7,Resultados!AE7,Resultados!AN7,Resultados!AW7,Resultados!BF7,Resultados!BO7,Resultados!BX7,Resultados!CG7)=0, "", AVERAGE(ABS(Resultados!D7),ABS(Resultados!M7),ABS(Resultados!V7),ABS(Resultados!AE7),ABS(Resultados!AN7),ABS(Resultados!AW7),ABS(Resultados!BF7),ABS(Resultados!BO7),ABS(Resultados!BX7),ABS(Resultados!CG7)))</f>
        <v>7.0099999999999997E-3</v>
      </c>
      <c r="E7">
        <f>IF(COUNT(Resultados!E7,Resultados!N7,Resultados!W7,Resultados!AF7,Resultados!AO7,Resultados!AX7,Resultados!BG7,Resultados!BP7,Resultados!BY7,Resultados!CH7)=0, "", AVERAGE(ABS(Resultados!E7),ABS(Resultados!N7),ABS(Resultados!W7),ABS(Resultados!AF7),ABS(Resultados!AO7),ABS(Resultados!AX7),ABS(Resultados!BG7),ABS(Resultados!BP7),ABS(Resultados!BY7),ABS(Resultados!CH7)))</f>
        <v>6.5909368511047948</v>
      </c>
      <c r="F7">
        <f>IF(COUNT(Resultados!F7,Resultados!O7,Resultados!X7,Resultados!AG7,Resultados!AP7,Resultados!AY7,Resultados!BH7,Resultados!BQ7,Resultados!BZ7,Resultados!CI7)=0, "", AVERAGE(ABS(Resultados!F7),ABS(Resultados!O7),ABS(Resultados!X7),ABS(Resultados!AG7),ABS(Resultados!AP7),ABS(Resultados!AY7),ABS(Resultados!BH7),ABS(Resultados!BQ7),ABS(Resultados!BZ7),ABS(Resultados!CI7)))</f>
        <v>765.47990716984509</v>
      </c>
      <c r="G7">
        <f>IF(COUNT(Resultados!G7,Resultados!P7,Resultados!Y7,Resultados!AH7,Resultados!AQ7,Resultados!AZ7,Resultados!BI7,Resultados!BR7,Resultados!CA7,Resultados!CJ7)=0, "", AVERAGE(ABS(Resultados!G7),ABS(Resultados!P7),ABS(Resultados!Y7),ABS(Resultados!AH7),ABS(Resultados!AQ7),ABS(Resultados!AZ7),ABS(Resultados!BI7),ABS(Resultados!BR7),ABS(Resultados!CA7),ABS(Resultados!CJ7)))</f>
        <v>0.42400000000000004</v>
      </c>
      <c r="H7">
        <f>IF(COUNT(Resultados!H7,Resultados!Q7,Resultados!Z7,Resultados!AI7,Resultados!AR7,Resultados!BA7,Resultados!BJ7,Resultados!BS7,Resultados!CB7,Resultados!CK7)=0, "", AVERAGE(ABS(Resultados!H7),ABS(Resultados!Q7),ABS(Resultados!Z7),ABS(Resultados!AI7),ABS(Resultados!AR7),ABS(Resultados!BA7),ABS(Resultados!BJ7),ABS(Resultados!BS7),ABS(Resultados!CB7),ABS(Resultados!CK7)))</f>
        <v>9.2300000000000004E-3</v>
      </c>
      <c r="I7">
        <f>IF(COUNT(Resultados!I7,Resultados!R7,Resultados!AA7,Resultados!AJ7,Resultados!AS7,Resultados!BB7,Resultados!BK7,Resultados!BT7,Resultados!CC7,Resultados!CL7)=0, "", AVERAGE(ABS(Resultados!I7),ABS(Resultados!R7),ABS(Resultados!AA7),ABS(Resultados!AJ7),ABS(Resultados!AS7),ABS(Resultados!BB7),ABS(Resultados!BK7),ABS(Resultados!BT7),ABS(Resultados!CC7),ABS(Resultados!CL7)))</f>
        <v>0.99989199999999845</v>
      </c>
      <c r="J7">
        <v>7.0099999999999997E-3</v>
      </c>
      <c r="K7">
        <v>9.2300000000000004E-3</v>
      </c>
    </row>
    <row r="8" spans="1:11" x14ac:dyDescent="0.3">
      <c r="A8">
        <f>IF(COUNT(Resultados!A8,Resultados!J8,Resultados!S8,Resultados!AB8,Resultados!AK8,Resultados!AT8,Resultados!BC8,Resultados!BL8,Resultados!BU8,Resultados!CD8)=0, "", AVERAGE(ABS(Resultados!A8),ABS(Resultados!J8),ABS(Resultados!S8),ABS(Resultados!AB8),ABS(Resultados!AK8),ABS(Resultados!AT8),ABS(Resultados!BC8),ABS(Resultados!BL8),ABS(Resultados!BU8),ABS(Resultados!CD8)))</f>
        <v>45681</v>
      </c>
      <c r="B8" t="str">
        <f>IF(COUNT(Resultados!B8,Resultados!K8,Resultados!T8,Resultados!AC8,Resultados!AL8,Resultados!AU8,Resultados!BD8,Resultados!BM8,Resultados!BV8,Resultados!CE8)=0, "", AVERAGE(ABS(Resultados!B8),ABS(Resultados!K8),ABS(Resultados!T8),ABS(Resultados!AC8),ABS(Resultados!AL8),ABS(Resultados!AU8),ABS(Resultados!BD8),ABS(Resultados!BM8),ABS(Resultados!BV8),ABS(Resultados!CE8)))</f>
        <v/>
      </c>
      <c r="C8">
        <f>IF(COUNT(Resultados!C8,Resultados!L8,Resultados!U8,Resultados!AD8,Resultados!AM8,Resultados!AV8,Resultados!BE8,Resultados!BN8,Resultados!BW8,Resultados!CF8)=0, "", AVERAGE(ABS(Resultados!C8),ABS(Resultados!L8),ABS(Resultados!U8),ABS(Resultados!AD8),ABS(Resultados!AM8),ABS(Resultados!AV8),ABS(Resultados!BE8),ABS(Resultados!BN8),ABS(Resultados!BW8),ABS(Resultados!CF8)))</f>
        <v>2.4</v>
      </c>
      <c r="D8">
        <f>IF(COUNT(Resultados!D8,Resultados!M8,Resultados!V8,Resultados!AE8,Resultados!AN8,Resultados!AW8,Resultados!BF8,Resultados!BO8,Resultados!BX8,Resultados!CG8)=0, "", AVERAGE(ABS(Resultados!D8),ABS(Resultados!M8),ABS(Resultados!V8),ABS(Resultados!AE8),ABS(Resultados!AN8),ABS(Resultados!AW8),ABS(Resultados!BF8),ABS(Resultados!BO8),ABS(Resultados!BX8),ABS(Resultados!CG8)))</f>
        <v>1.0359999999999999E-2</v>
      </c>
      <c r="E8">
        <f>IF(COUNT(Resultados!E8,Resultados!N8,Resultados!W8,Resultados!AF8,Resultados!AO8,Resultados!AX8,Resultados!BG8,Resultados!BP8,Resultados!BY8,Resultados!CH8)=0, "", AVERAGE(ABS(Resultados!E8),ABS(Resultados!N8),ABS(Resultados!W8),ABS(Resultados!AF8),ABS(Resultados!AO8),ABS(Resultados!AX8),ABS(Resultados!BG8),ABS(Resultados!BP8),ABS(Resultados!BY8),ABS(Resultados!CH8)))</f>
        <v>6.8330440441137572</v>
      </c>
      <c r="F8">
        <f>IF(COUNT(Resultados!F8,Resultados!O8,Resultados!X8,Resultados!AG8,Resultados!AP8,Resultados!AY8,Resultados!BH8,Resultados!BQ8,Resultados!BZ8,Resultados!CI8)=0, "", AVERAGE(ABS(Resultados!F8),ABS(Resultados!O8),ABS(Resultados!X8),ABS(Resultados!AG8),ABS(Resultados!AP8),ABS(Resultados!AY8),ABS(Resultados!BH8),ABS(Resultados!BQ8),ABS(Resultados!BZ8),ABS(Resultados!CI8)))</f>
        <v>788.4558797863956</v>
      </c>
      <c r="G8">
        <f>IF(COUNT(Resultados!G8,Resultados!P8,Resultados!Y8,Resultados!AH8,Resultados!AQ8,Resultados!AZ8,Resultados!BI8,Resultados!BR8,Resultados!CA8,Resultados!CJ8)=0, "", AVERAGE(ABS(Resultados!G8),ABS(Resultados!P8),ABS(Resultados!Y8),ABS(Resultados!AH8),ABS(Resultados!AQ8),ABS(Resultados!AZ8),ABS(Resultados!BI8),ABS(Resultados!BR8),ABS(Resultados!CA8),ABS(Resultados!CJ8)))</f>
        <v>0.42400000000000004</v>
      </c>
      <c r="H8">
        <f>IF(COUNT(Resultados!H8,Resultados!Q8,Resultados!Z8,Resultados!AI8,Resultados!AR8,Resultados!BA8,Resultados!BJ8,Resultados!BS8,Resultados!CB8,Resultados!CK8)=0, "", AVERAGE(ABS(Resultados!H8),ABS(Resultados!Q8),ABS(Resultados!Z8),ABS(Resultados!AI8),ABS(Resultados!AR8),ABS(Resultados!BA8),ABS(Resultados!BJ8),ABS(Resultados!BS8),ABS(Resultados!CB8),ABS(Resultados!CK8)))</f>
        <v>1.3000000000000001E-2</v>
      </c>
      <c r="I8">
        <f>IF(COUNT(Resultados!I8,Resultados!R8,Resultados!AA8,Resultados!AJ8,Resultados!AS8,Resultados!BB8,Resultados!BK8,Resultados!BT8,Resultados!CC8,Resultados!CL8)=0, "", AVERAGE(ABS(Resultados!I8),ABS(Resultados!R8),ABS(Resultados!AA8),ABS(Resultados!AJ8),ABS(Resultados!AS8),ABS(Resultados!BB8),ABS(Resultados!BK8),ABS(Resultados!BT8),ABS(Resultados!CC8),ABS(Resultados!CL8)))</f>
        <v>1.1999029999999968</v>
      </c>
      <c r="J8">
        <v>1.0359999999999999E-2</v>
      </c>
      <c r="K8">
        <v>1.3000000000000001E-2</v>
      </c>
    </row>
    <row r="9" spans="1:11" x14ac:dyDescent="0.3">
      <c r="A9">
        <f>IF(COUNT(Resultados!A9,Resultados!J9,Resultados!S9,Resultados!AB9,Resultados!AK9,Resultados!AT9,Resultados!BC9,Resultados!BL9,Resultados!BU9,Resultados!CD9)=0, "", AVERAGE(ABS(Resultados!A9),ABS(Resultados!J9),ABS(Resultados!S9),ABS(Resultados!AB9),ABS(Resultados!AK9),ABS(Resultados!AT9),ABS(Resultados!BC9),ABS(Resultados!BL9),ABS(Resultados!BU9),ABS(Resultados!CD9)))</f>
        <v>45681</v>
      </c>
      <c r="B9" t="str">
        <f>IF(COUNT(Resultados!B9,Resultados!K9,Resultados!T9,Resultados!AC9,Resultados!AL9,Resultados!AU9,Resultados!BD9,Resultados!BM9,Resultados!BV9,Resultados!CE9)=0, "", AVERAGE(ABS(Resultados!B9),ABS(Resultados!K9),ABS(Resultados!T9),ABS(Resultados!AC9),ABS(Resultados!AL9),ABS(Resultados!AU9),ABS(Resultados!BD9),ABS(Resultados!BM9),ABS(Resultados!BV9),ABS(Resultados!CE9)))</f>
        <v/>
      </c>
      <c r="C9">
        <f>IF(COUNT(Resultados!C9,Resultados!L9,Resultados!U9,Resultados!AD9,Resultados!AM9,Resultados!AV9,Resultados!BE9,Resultados!BN9,Resultados!BW9,Resultados!CF9)=0, "", AVERAGE(ABS(Resultados!C9),ABS(Resultados!L9),ABS(Resultados!U9),ABS(Resultados!AD9),ABS(Resultados!AM9),ABS(Resultados!AV9),ABS(Resultados!BE9),ABS(Resultados!BN9),ABS(Resultados!BW9),ABS(Resultados!CF9)))</f>
        <v>2.4</v>
      </c>
      <c r="D9">
        <f>IF(COUNT(Resultados!D9,Resultados!M9,Resultados!V9,Resultados!AE9,Resultados!AN9,Resultados!AW9,Resultados!BF9,Resultados!BO9,Resultados!BX9,Resultados!CG9)=0, "", AVERAGE(ABS(Resultados!D9),ABS(Resultados!M9),ABS(Resultados!V9),ABS(Resultados!AE9),ABS(Resultados!AN9),ABS(Resultados!AW9),ABS(Resultados!BF9),ABS(Resultados!BO9),ABS(Resultados!BX9),ABS(Resultados!CG9)))</f>
        <v>1.4160000000000001E-2</v>
      </c>
      <c r="E9">
        <f>IF(COUNT(Resultados!E9,Resultados!N9,Resultados!W9,Resultados!AF9,Resultados!AO9,Resultados!AX9,Resultados!BG9,Resultados!BP9,Resultados!BY9,Resultados!CH9)=0, "", AVERAGE(ABS(Resultados!E9),ABS(Resultados!N9),ABS(Resultados!W9),ABS(Resultados!AF9),ABS(Resultados!AO9),ABS(Resultados!AX9),ABS(Resultados!BG9),ABS(Resultados!BP9),ABS(Resultados!BY9),ABS(Resultados!CH9)))</f>
        <v>7.104003643654428</v>
      </c>
      <c r="F9">
        <f>IF(COUNT(Resultados!F9,Resultados!O9,Resultados!X9,Resultados!AG9,Resultados!AP9,Resultados!AY9,Resultados!BH9,Resultados!BQ9,Resultados!BZ9,Resultados!CI9)=0, "", AVERAGE(ABS(Resultados!F9),ABS(Resultados!O9),ABS(Resultados!X9),ABS(Resultados!AG9),ABS(Resultados!AP9),ABS(Resultados!AY9),ABS(Resultados!BH9),ABS(Resultados!BQ9),ABS(Resultados!BZ9),ABS(Resultados!CI9)))</f>
        <v>814.16994578280537</v>
      </c>
      <c r="G9">
        <f>IF(COUNT(Resultados!G9,Resultados!P9,Resultados!Y9,Resultados!AH9,Resultados!AQ9,Resultados!AZ9,Resultados!BI9,Resultados!BR9,Resultados!CA9,Resultados!CJ9)=0, "", AVERAGE(ABS(Resultados!G9),ABS(Resultados!P9),ABS(Resultados!Y9),ABS(Resultados!AH9),ABS(Resultados!AQ9),ABS(Resultados!AZ9),ABS(Resultados!BI9),ABS(Resultados!BR9),ABS(Resultados!CA9),ABS(Resultados!CJ9)))</f>
        <v>0.42400000000000004</v>
      </c>
      <c r="H9">
        <f>IF(COUNT(Resultados!H9,Resultados!Q9,Resultados!Z9,Resultados!AI9,Resultados!AR9,Resultados!BA9,Resultados!BJ9,Resultados!BS9,Resultados!CB9,Resultados!CK9)=0, "", AVERAGE(ABS(Resultados!H9),ABS(Resultados!Q9),ABS(Resultados!Z9),ABS(Resultados!AI9),ABS(Resultados!AR9),ABS(Resultados!BA9),ABS(Resultados!BJ9),ABS(Resultados!BS9),ABS(Resultados!CB9),ABS(Resultados!CK9)))</f>
        <v>1.7230000000000002E-2</v>
      </c>
      <c r="I9">
        <f>IF(COUNT(Resultados!I9,Resultados!R9,Resultados!AA9,Resultados!AJ9,Resultados!AS9,Resultados!BB9,Resultados!BK9,Resultados!BT9,Resultados!CC9,Resultados!CL9)=0, "", AVERAGE(ABS(Resultados!I9),ABS(Resultados!R9),ABS(Resultados!AA9),ABS(Resultados!AJ9),ABS(Resultados!AS9),ABS(Resultados!BB9),ABS(Resultados!BK9),ABS(Resultados!BT9),ABS(Resultados!CC9),ABS(Resultados!CL9)))</f>
        <v>1.3995699999999993</v>
      </c>
      <c r="J9">
        <v>1.4160000000000001E-2</v>
      </c>
      <c r="K9">
        <v>1.7230000000000002E-2</v>
      </c>
    </row>
    <row r="10" spans="1:11" x14ac:dyDescent="0.3">
      <c r="A10">
        <f>IF(COUNT(Resultados!A10,Resultados!J10,Resultados!S10,Resultados!AB10,Resultados!AK10,Resultados!AT10,Resultados!BC10,Resultados!BL10,Resultados!BU10,Resultados!CD10)=0, "", AVERAGE(ABS(Resultados!A10),ABS(Resultados!J10),ABS(Resultados!S10),ABS(Resultados!AB10),ABS(Resultados!AK10),ABS(Resultados!AT10),ABS(Resultados!BC10),ABS(Resultados!BL10),ABS(Resultados!BU10),ABS(Resultados!CD10)))</f>
        <v>45681</v>
      </c>
      <c r="B10" t="str">
        <f>IF(COUNT(Resultados!B10,Resultados!K10,Resultados!T10,Resultados!AC10,Resultados!AL10,Resultados!AU10,Resultados!BD10,Resultados!BM10,Resultados!BV10,Resultados!CE10)=0, "", AVERAGE(ABS(Resultados!B10),ABS(Resultados!K10),ABS(Resultados!T10),ABS(Resultados!AC10),ABS(Resultados!AL10),ABS(Resultados!AU10),ABS(Resultados!BD10),ABS(Resultados!BM10),ABS(Resultados!BV10),ABS(Resultados!CE10)))</f>
        <v/>
      </c>
      <c r="C10">
        <f>IF(COUNT(Resultados!C10,Resultados!L10,Resultados!U10,Resultados!AD10,Resultados!AM10,Resultados!AV10,Resultados!BE10,Resultados!BN10,Resultados!BW10,Resultados!CF10)=0, "", AVERAGE(ABS(Resultados!C10),ABS(Resultados!L10),ABS(Resultados!U10),ABS(Resultados!AD10),ABS(Resultados!AM10),ABS(Resultados!AV10),ABS(Resultados!BE10),ABS(Resultados!BN10),ABS(Resultados!BW10),ABS(Resultados!CF10)))</f>
        <v>2.5</v>
      </c>
      <c r="D10">
        <f>IF(COUNT(Resultados!D10,Resultados!M10,Resultados!V10,Resultados!AE10,Resultados!AN10,Resultados!AW10,Resultados!BF10,Resultados!BO10,Resultados!BX10,Resultados!CG10)=0, "", AVERAGE(ABS(Resultados!D10),ABS(Resultados!M10),ABS(Resultados!V10),ABS(Resultados!AE10),ABS(Resultados!AN10),ABS(Resultados!AW10),ABS(Resultados!BF10),ABS(Resultados!BO10),ABS(Resultados!BX10),ABS(Resultados!CG10)))</f>
        <v>1.8450000000000001E-2</v>
      </c>
      <c r="E10">
        <f>IF(COUNT(Resultados!E10,Resultados!N10,Resultados!W10,Resultados!AF10,Resultados!AO10,Resultados!AX10,Resultados!BG10,Resultados!BP10,Resultados!BY10,Resultados!CH10)=0, "", AVERAGE(ABS(Resultados!E10),ABS(Resultados!N10),ABS(Resultados!W10),ABS(Resultados!AF10),ABS(Resultados!AO10),ABS(Resultados!AX10),ABS(Resultados!BG10),ABS(Resultados!BP10),ABS(Resultados!BY10),ABS(Resultados!CH10)))</f>
        <v>7.3981003773177836</v>
      </c>
      <c r="F10">
        <f>IF(COUNT(Resultados!F10,Resultados!O10,Resultados!X10,Resultados!AG10,Resultados!AP10,Resultados!AY10,Resultados!BH10,Resultados!BQ10,Resultados!BZ10,Resultados!CI10)=0, "", AVERAGE(ABS(Resultados!F10),ABS(Resultados!O10),ABS(Resultados!X10),ABS(Resultados!AG10),ABS(Resultados!AP10),ABS(Resultados!AY10),ABS(Resultados!BH10),ABS(Resultados!BQ10),ABS(Resultados!BZ10),ABS(Resultados!CI10)))</f>
        <v>842.07972580745775</v>
      </c>
      <c r="G10">
        <f>IF(COUNT(Resultados!G10,Resultados!P10,Resultados!Y10,Resultados!AH10,Resultados!AQ10,Resultados!AZ10,Resultados!BI10,Resultados!BR10,Resultados!CA10,Resultados!CJ10)=0, "", AVERAGE(ABS(Resultados!G10),ABS(Resultados!P10),ABS(Resultados!Y10),ABS(Resultados!AH10),ABS(Resultados!AQ10),ABS(Resultados!AZ10),ABS(Resultados!BI10),ABS(Resultados!BR10),ABS(Resultados!CA10),ABS(Resultados!CJ10)))</f>
        <v>0.42400000000000004</v>
      </c>
      <c r="H10">
        <f>IF(COUNT(Resultados!H10,Resultados!Q10,Resultados!Z10,Resultados!AI10,Resultados!AR10,Resultados!BA10,Resultados!BJ10,Resultados!BS10,Resultados!CB10,Resultados!CK10)=0, "", AVERAGE(ABS(Resultados!H10),ABS(Resultados!Q10),ABS(Resultados!Z10),ABS(Resultados!AI10),ABS(Resultados!AR10),ABS(Resultados!BA10),ABS(Resultados!BJ10),ABS(Resultados!BS10),ABS(Resultados!CB10),ABS(Resultados!CK10)))</f>
        <v>2.1789999999999997E-2</v>
      </c>
      <c r="I10">
        <f>IF(COUNT(Resultados!I10,Resultados!R10,Resultados!AA10,Resultados!AJ10,Resultados!AS10,Resultados!BB10,Resultados!BK10,Resultados!BT10,Resultados!CC10,Resultados!CL10)=0, "", AVERAGE(ABS(Resultados!I10),ABS(Resultados!R10),ABS(Resultados!AA10),ABS(Resultados!AJ10),ABS(Resultados!AS10),ABS(Resultados!BB10),ABS(Resultados!BK10),ABS(Resultados!BT10),ABS(Resultados!CC10),ABS(Resultados!CL10)))</f>
        <v>1.5996379999999975</v>
      </c>
      <c r="J10">
        <v>1.8450000000000001E-2</v>
      </c>
      <c r="K10">
        <v>2.1789999999999997E-2</v>
      </c>
    </row>
    <row r="11" spans="1:11" x14ac:dyDescent="0.3">
      <c r="A11">
        <f>IF(COUNT(Resultados!A11,Resultados!J11,Resultados!S11,Resultados!AB11,Resultados!AK11,Resultados!AT11,Resultados!BC11,Resultados!BL11,Resultados!BU11,Resultados!CD11)=0, "", AVERAGE(ABS(Resultados!A11),ABS(Resultados!J11),ABS(Resultados!S11),ABS(Resultados!AB11),ABS(Resultados!AK11),ABS(Resultados!AT11),ABS(Resultados!BC11),ABS(Resultados!BL11),ABS(Resultados!BU11),ABS(Resultados!CD11)))</f>
        <v>45681</v>
      </c>
      <c r="B11" t="str">
        <f>IF(COUNT(Resultados!B11,Resultados!K11,Resultados!T11,Resultados!AC11,Resultados!AL11,Resultados!AU11,Resultados!BD11,Resultados!BM11,Resultados!BV11,Resultados!CE11)=0, "", AVERAGE(ABS(Resultados!B11),ABS(Resultados!K11),ABS(Resultados!T11),ABS(Resultados!AC11),ABS(Resultados!AL11),ABS(Resultados!AU11),ABS(Resultados!BD11),ABS(Resultados!BM11),ABS(Resultados!BV11),ABS(Resultados!CE11)))</f>
        <v/>
      </c>
      <c r="C11">
        <f>IF(COUNT(Resultados!C11,Resultados!L11,Resultados!U11,Resultados!AD11,Resultados!AM11,Resultados!AV11,Resultados!BE11,Resultados!BN11,Resultados!BW11,Resultados!CF11)=0, "", AVERAGE(ABS(Resultados!C11),ABS(Resultados!L11),ABS(Resultados!U11),ABS(Resultados!AD11),ABS(Resultados!AM11),ABS(Resultados!AV11),ABS(Resultados!BE11),ABS(Resultados!BN11),ABS(Resultados!BW11),ABS(Resultados!CF11)))</f>
        <v>2.5</v>
      </c>
      <c r="D11">
        <f>IF(COUNT(Resultados!D11,Resultados!M11,Resultados!V11,Resultados!AE11,Resultados!AN11,Resultados!AW11,Resultados!BF11,Resultados!BO11,Resultados!BX11,Resultados!CG11)=0, "", AVERAGE(ABS(Resultados!D11),ABS(Resultados!M11),ABS(Resultados!V11),ABS(Resultados!AE11),ABS(Resultados!AN11),ABS(Resultados!AW11),ABS(Resultados!BF11),ABS(Resultados!BO11),ABS(Resultados!BX11),ABS(Resultados!CG11)))</f>
        <v>2.2810000000000004E-2</v>
      </c>
      <c r="E11">
        <f>IF(COUNT(Resultados!E11,Resultados!N11,Resultados!W11,Resultados!AF11,Resultados!AO11,Resultados!AX11,Resultados!BG11,Resultados!BP11,Resultados!BY11,Resultados!CH11)=0, "", AVERAGE(ABS(Resultados!E11),ABS(Resultados!N11),ABS(Resultados!W11),ABS(Resultados!AF11),ABS(Resultados!AO11),ABS(Resultados!AX11),ABS(Resultados!BG11),ABS(Resultados!BP11),ABS(Resultados!BY11),ABS(Resultados!CH11)))</f>
        <v>7.7090784801850916</v>
      </c>
      <c r="F11">
        <f>IF(COUNT(Resultados!F11,Resultados!O11,Resultados!X11,Resultados!AG11,Resultados!AP11,Resultados!AY11,Resultados!BH11,Resultados!BQ11,Resultados!BZ11,Resultados!CI11)=0, "", AVERAGE(ABS(Resultados!F11),ABS(Resultados!O11),ABS(Resultados!X11),ABS(Resultados!AG11),ABS(Resultados!AP11),ABS(Resultados!AY11),ABS(Resultados!BH11),ABS(Resultados!BQ11),ABS(Resultados!BZ11),ABS(Resultados!CI11)))</f>
        <v>871.5915477695653</v>
      </c>
      <c r="G11">
        <f>IF(COUNT(Resultados!G11,Resultados!P11,Resultados!Y11,Resultados!AH11,Resultados!AQ11,Resultados!AZ11,Resultados!BI11,Resultados!BR11,Resultados!CA11,Resultados!CJ11)=0, "", AVERAGE(ABS(Resultados!G11),ABS(Resultados!P11),ABS(Resultados!Y11),ABS(Resultados!AH11),ABS(Resultados!AQ11),ABS(Resultados!AZ11),ABS(Resultados!BI11),ABS(Resultados!BR11),ABS(Resultados!CA11),ABS(Resultados!CJ11)))</f>
        <v>0.42400000000000004</v>
      </c>
      <c r="H11">
        <f>IF(COUNT(Resultados!H11,Resultados!Q11,Resultados!Z11,Resultados!AI11,Resultados!AR11,Resultados!BA11,Resultados!BJ11,Resultados!BS11,Resultados!CB11,Resultados!CK11)=0, "", AVERAGE(ABS(Resultados!H11),ABS(Resultados!Q11),ABS(Resultados!Z11),ABS(Resultados!AI11),ABS(Resultados!AR11),ABS(Resultados!BA11),ABS(Resultados!BJ11),ABS(Resultados!BS11),ABS(Resultados!CB11),ABS(Resultados!CK11)))</f>
        <v>2.6630000000000004E-2</v>
      </c>
      <c r="I11">
        <f>IF(COUNT(Resultados!I11,Resultados!R11,Resultados!AA11,Resultados!AJ11,Resultados!AS11,Resultados!BB11,Resultados!BK11,Resultados!BT11,Resultados!CC11,Resultados!CL11)=0, "", AVERAGE(ABS(Resultados!I11),ABS(Resultados!R11),ABS(Resultados!AA11),ABS(Resultados!AJ11),ABS(Resultados!AS11),ABS(Resultados!BB11),ABS(Resultados!BK11),ABS(Resultados!BT11),ABS(Resultados!CC11),ABS(Resultados!CL11)))</f>
        <v>1.8006550000000026</v>
      </c>
      <c r="J11">
        <v>2.2810000000000004E-2</v>
      </c>
      <c r="K11">
        <v>2.6630000000000004E-2</v>
      </c>
    </row>
    <row r="12" spans="1:11" x14ac:dyDescent="0.3">
      <c r="A12">
        <f>IF(COUNT(Resultados!A12,Resultados!J12,Resultados!S12,Resultados!AB12,Resultados!AK12,Resultados!AT12,Resultados!BC12,Resultados!BL12,Resultados!BU12,Resultados!CD12)=0, "", AVERAGE(ABS(Resultados!A12),ABS(Resultados!J12),ABS(Resultados!S12),ABS(Resultados!AB12),ABS(Resultados!AK12),ABS(Resultados!AT12),ABS(Resultados!BC12),ABS(Resultados!BL12),ABS(Resultados!BU12),ABS(Resultados!CD12)))</f>
        <v>45681</v>
      </c>
      <c r="B12" t="str">
        <f>IF(COUNT(Resultados!B12,Resultados!K12,Resultados!T12,Resultados!AC12,Resultados!AL12,Resultados!AU12,Resultados!BD12,Resultados!BM12,Resultados!BV12,Resultados!CE12)=0, "", AVERAGE(ABS(Resultados!B12),ABS(Resultados!K12),ABS(Resultados!T12),ABS(Resultados!AC12),ABS(Resultados!AL12),ABS(Resultados!AU12),ABS(Resultados!BD12),ABS(Resultados!BM12),ABS(Resultados!BV12),ABS(Resultados!CE12)))</f>
        <v/>
      </c>
      <c r="C12">
        <f>IF(COUNT(Resultados!C12,Resultados!L12,Resultados!U12,Resultados!AD12,Resultados!AM12,Resultados!AV12,Resultados!BE12,Resultados!BN12,Resultados!BW12,Resultados!CF12)=0, "", AVERAGE(ABS(Resultados!C12),ABS(Resultados!L12),ABS(Resultados!U12),ABS(Resultados!AD12),ABS(Resultados!AM12),ABS(Resultados!AV12),ABS(Resultados!BE12),ABS(Resultados!BN12),ABS(Resultados!BW12),ABS(Resultados!CF12)))</f>
        <v>2.5</v>
      </c>
      <c r="D12">
        <f>IF(COUNT(Resultados!D12,Resultados!M12,Resultados!V12,Resultados!AE12,Resultados!AN12,Resultados!AW12,Resultados!BF12,Resultados!BO12,Resultados!BX12,Resultados!CG12)=0, "", AVERAGE(ABS(Resultados!D12),ABS(Resultados!M12),ABS(Resultados!V12),ABS(Resultados!AE12),ABS(Resultados!AN12),ABS(Resultados!AW12),ABS(Resultados!BF12),ABS(Resultados!BO12),ABS(Resultados!BX12),ABS(Resultados!CG12)))</f>
        <v>2.7809999999999994E-2</v>
      </c>
      <c r="E12">
        <f>IF(COUNT(Resultados!E12,Resultados!N12,Resultados!W12,Resultados!AF12,Resultados!AO12,Resultados!AX12,Resultados!BG12,Resultados!BP12,Resultados!BY12,Resultados!CH12)=0, "", AVERAGE(ABS(Resultados!E12),ABS(Resultados!N12),ABS(Resultados!W12),ABS(Resultados!AF12),ABS(Resultados!AO12),ABS(Resultados!AX12),ABS(Resultados!BG12),ABS(Resultados!BP12),ABS(Resultados!BY12),ABS(Resultados!CH12)))</f>
        <v>8.0248794143407611</v>
      </c>
      <c r="F12">
        <f>IF(COUNT(Resultados!F12,Resultados!O12,Resultados!X12,Resultados!AG12,Resultados!AP12,Resultados!AY12,Resultados!BH12,Resultados!BQ12,Resultados!BZ12,Resultados!CI12)=0, "", AVERAGE(ABS(Resultados!F12),ABS(Resultados!O12),ABS(Resultados!X12),ABS(Resultados!AG12),ABS(Resultados!AP12),ABS(Resultados!AY12),ABS(Resultados!BH12),ABS(Resultados!BQ12),ABS(Resultados!BZ12),ABS(Resultados!CI12)))</f>
        <v>901.56105642093826</v>
      </c>
      <c r="G12">
        <f>IF(COUNT(Resultados!G12,Resultados!P12,Resultados!Y12,Resultados!AH12,Resultados!AQ12,Resultados!AZ12,Resultados!BI12,Resultados!BR12,Resultados!CA12,Resultados!CJ12)=0, "", AVERAGE(ABS(Resultados!G12),ABS(Resultados!P12),ABS(Resultados!Y12),ABS(Resultados!AH12),ABS(Resultados!AQ12),ABS(Resultados!AZ12),ABS(Resultados!BI12),ABS(Resultados!BR12),ABS(Resultados!CA12),ABS(Resultados!CJ12)))</f>
        <v>0.42400000000000004</v>
      </c>
      <c r="H12">
        <f>IF(COUNT(Resultados!H12,Resultados!Q12,Resultados!Z12,Resultados!AI12,Resultados!AR12,Resultados!BA12,Resultados!BJ12,Resultados!BS12,Resultados!CB12,Resultados!CK12)=0, "", AVERAGE(ABS(Resultados!H12),ABS(Resultados!Q12),ABS(Resultados!Z12),ABS(Resultados!AI12),ABS(Resultados!AR12),ABS(Resultados!BA12),ABS(Resultados!BJ12),ABS(Resultados!BS12),ABS(Resultados!CB12),ABS(Resultados!CK12)))</f>
        <v>3.1530000000000002E-2</v>
      </c>
      <c r="I12">
        <f>IF(COUNT(Resultados!I12,Resultados!R12,Resultados!AA12,Resultados!AJ12,Resultados!AS12,Resultados!BB12,Resultados!BK12,Resultados!BT12,Resultados!CC12,Resultados!CL12)=0, "", AVERAGE(ABS(Resultados!I12),ABS(Resultados!R12),ABS(Resultados!AA12),ABS(Resultados!AJ12),ABS(Resultados!AS12),ABS(Resultados!BB12),ABS(Resultados!BK12),ABS(Resultados!BT12),ABS(Resultados!CC12),ABS(Resultados!CL12)))</f>
        <v>1.9997879999999995</v>
      </c>
      <c r="J12">
        <v>2.7809999999999994E-2</v>
      </c>
      <c r="K12">
        <v>3.1530000000000002E-2</v>
      </c>
    </row>
    <row r="13" spans="1:11" x14ac:dyDescent="0.3">
      <c r="A13">
        <f>IF(COUNT(Resultados!A13,Resultados!J13,Resultados!S13,Resultados!AB13,Resultados!AK13,Resultados!AT13,Resultados!BC13,Resultados!BL13,Resultados!BU13,Resultados!CD13)=0, "", AVERAGE(ABS(Resultados!A13),ABS(Resultados!J13),ABS(Resultados!S13),ABS(Resultados!AB13),ABS(Resultados!AK13),ABS(Resultados!AT13),ABS(Resultados!BC13),ABS(Resultados!BL13),ABS(Resultados!BU13),ABS(Resultados!CD13)))</f>
        <v>45681</v>
      </c>
      <c r="B13" t="str">
        <f>IF(COUNT(Resultados!B13,Resultados!K13,Resultados!T13,Resultados!AC13,Resultados!AL13,Resultados!AU13,Resultados!BD13,Resultados!BM13,Resultados!BV13,Resultados!CE13)=0, "", AVERAGE(ABS(Resultados!B13),ABS(Resultados!K13),ABS(Resultados!T13),ABS(Resultados!AC13),ABS(Resultados!AL13),ABS(Resultados!AU13),ABS(Resultados!BD13),ABS(Resultados!BM13),ABS(Resultados!BV13),ABS(Resultados!CE13)))</f>
        <v/>
      </c>
      <c r="C13">
        <f>IF(COUNT(Resultados!C13,Resultados!L13,Resultados!U13,Resultados!AD13,Resultados!AM13,Resultados!AV13,Resultados!BE13,Resultados!BN13,Resultados!BW13,Resultados!CF13)=0, "", AVERAGE(ABS(Resultados!C13),ABS(Resultados!L13),ABS(Resultados!U13),ABS(Resultados!AD13),ABS(Resultados!AM13),ABS(Resultados!AV13),ABS(Resultados!BE13),ABS(Resultados!BN13),ABS(Resultados!BW13),ABS(Resultados!CF13)))</f>
        <v>2.5</v>
      </c>
      <c r="D13">
        <f>IF(COUNT(Resultados!D13,Resultados!M13,Resultados!V13,Resultados!AE13,Resultados!AN13,Resultados!AW13,Resultados!BF13,Resultados!BO13,Resultados!BX13,Resultados!CG13)=0, "", AVERAGE(ABS(Resultados!D13),ABS(Resultados!M13),ABS(Resultados!V13),ABS(Resultados!AE13),ABS(Resultados!AN13),ABS(Resultados!AW13),ABS(Resultados!BF13),ABS(Resultados!BO13),ABS(Resultados!BX13),ABS(Resultados!CG13)))</f>
        <v>3.2840000000000001E-2</v>
      </c>
      <c r="E13">
        <f>IF(COUNT(Resultados!E13,Resultados!N13,Resultados!W13,Resultados!AF13,Resultados!AO13,Resultados!AX13,Resultados!BG13,Resultados!BP13,Resultados!BY13,Resultados!CH13)=0, "", AVERAGE(ABS(Resultados!E13),ABS(Resultados!N13),ABS(Resultados!W13),ABS(Resultados!AF13),ABS(Resultados!AO13),ABS(Resultados!AX13),ABS(Resultados!BG13),ABS(Resultados!BP13),ABS(Resultados!BY13),ABS(Resultados!CH13)))</f>
        <v>8.3417637257932533</v>
      </c>
      <c r="F13">
        <f>IF(COUNT(Resultados!F13,Resultados!O13,Resultados!X13,Resultados!AG13,Resultados!AP13,Resultados!AY13,Resultados!BH13,Resultados!BQ13,Resultados!BZ13,Resultados!CI13)=0, "", AVERAGE(ABS(Resultados!F13),ABS(Resultados!O13),ABS(Resultados!X13),ABS(Resultados!AG13),ABS(Resultados!AP13),ABS(Resultados!AY13),ABS(Resultados!BH13),ABS(Resultados!BQ13),ABS(Resultados!BZ13),ABS(Resultados!CI13)))</f>
        <v>931.6333775777797</v>
      </c>
      <c r="G13">
        <f>IF(COUNT(Resultados!G13,Resultados!P13,Resultados!Y13,Resultados!AH13,Resultados!AQ13,Resultados!AZ13,Resultados!BI13,Resultados!BR13,Resultados!CA13,Resultados!CJ13)=0, "", AVERAGE(ABS(Resultados!G13),ABS(Resultados!P13),ABS(Resultados!Y13),ABS(Resultados!AH13),ABS(Resultados!AQ13),ABS(Resultados!AZ13),ABS(Resultados!BI13),ABS(Resultados!BR13),ABS(Resultados!CA13),ABS(Resultados!CJ13)))</f>
        <v>0.42400000000000004</v>
      </c>
      <c r="H13">
        <f>IF(COUNT(Resultados!H13,Resultados!Q13,Resultados!Z13,Resultados!AI13,Resultados!AR13,Resultados!BA13,Resultados!BJ13,Resultados!BS13,Resultados!CB13,Resultados!CK13)=0, "", AVERAGE(ABS(Resultados!H13),ABS(Resultados!Q13),ABS(Resultados!Z13),ABS(Resultados!AI13),ABS(Resultados!AR13),ABS(Resultados!BA13),ABS(Resultados!BJ13),ABS(Resultados!BS13),ABS(Resultados!CB13),ABS(Resultados!CK13)))</f>
        <v>3.6449999999999996E-2</v>
      </c>
      <c r="I13">
        <f>IF(COUNT(Resultados!I13,Resultados!R13,Resultados!AA13,Resultados!AJ13,Resultados!AS13,Resultados!BB13,Resultados!BK13,Resultados!BT13,Resultados!CC13,Resultados!CL13)=0, "", AVERAGE(ABS(Resultados!I13),ABS(Resultados!R13),ABS(Resultados!AA13),ABS(Resultados!AJ13),ABS(Resultados!AS13),ABS(Resultados!BB13),ABS(Resultados!BK13),ABS(Resultados!BT13),ABS(Resultados!CC13),ABS(Resultados!CL13)))</f>
        <v>2.1996259999999959</v>
      </c>
      <c r="J13">
        <v>3.2840000000000001E-2</v>
      </c>
      <c r="K13">
        <v>3.6449999999999996E-2</v>
      </c>
    </row>
    <row r="14" spans="1:11" x14ac:dyDescent="0.3">
      <c r="A14">
        <f>IF(COUNT(Resultados!A14,Resultados!J14,Resultados!S14,Resultados!AB14,Resultados!AK14,Resultados!AT14,Resultados!BC14,Resultados!BL14,Resultados!BU14,Resultados!CD14)=0, "", AVERAGE(ABS(Resultados!A14),ABS(Resultados!J14),ABS(Resultados!S14),ABS(Resultados!AB14),ABS(Resultados!AK14),ABS(Resultados!AT14),ABS(Resultados!BC14),ABS(Resultados!BL14),ABS(Resultados!BU14),ABS(Resultados!CD14)))</f>
        <v>45681</v>
      </c>
      <c r="B14" t="str">
        <f>IF(COUNT(Resultados!B14,Resultados!K14,Resultados!T14,Resultados!AC14,Resultados!AL14,Resultados!AU14,Resultados!BD14,Resultados!BM14,Resultados!BV14,Resultados!CE14)=0, "", AVERAGE(ABS(Resultados!B14),ABS(Resultados!K14),ABS(Resultados!T14),ABS(Resultados!AC14),ABS(Resultados!AL14),ABS(Resultados!AU14),ABS(Resultados!BD14),ABS(Resultados!BM14),ABS(Resultados!BV14),ABS(Resultados!CE14)))</f>
        <v/>
      </c>
      <c r="C14">
        <f>IF(COUNT(Resultados!C14,Resultados!L14,Resultados!U14,Resultados!AD14,Resultados!AM14,Resultados!AV14,Resultados!BE14,Resultados!BN14,Resultados!BW14,Resultados!CF14)=0, "", AVERAGE(ABS(Resultados!C14),ABS(Resultados!L14),ABS(Resultados!U14),ABS(Resultados!AD14),ABS(Resultados!AM14),ABS(Resultados!AV14),ABS(Resultados!BE14),ABS(Resultados!BN14),ABS(Resultados!BW14),ABS(Resultados!CF14)))</f>
        <v>2.5</v>
      </c>
      <c r="D14">
        <f>IF(COUNT(Resultados!D14,Resultados!M14,Resultados!V14,Resultados!AE14,Resultados!AN14,Resultados!AW14,Resultados!BF14,Resultados!BO14,Resultados!BX14,Resultados!CG14)=0, "", AVERAGE(ABS(Resultados!D14),ABS(Resultados!M14),ABS(Resultados!V14),ABS(Resultados!AE14),ABS(Resultados!AN14),ABS(Resultados!AW14),ABS(Resultados!BF14),ABS(Resultados!BO14),ABS(Resultados!BX14),ABS(Resultados!CG14)))</f>
        <v>3.7939999999999995E-2</v>
      </c>
      <c r="E14">
        <f>IF(COUNT(Resultados!E14,Resultados!N14,Resultados!W14,Resultados!AF14,Resultados!AO14,Resultados!AX14,Resultados!BG14,Resultados!BP14,Resultados!BY14,Resultados!CH14)=0, "", AVERAGE(ABS(Resultados!E14),ABS(Resultados!N14),ABS(Resultados!W14),ABS(Resultados!AF14),ABS(Resultados!AO14),ABS(Resultados!AX14),ABS(Resultados!BG14),ABS(Resultados!BP14),ABS(Resultados!BY14),ABS(Resultados!CH14)))</f>
        <v>8.6511274468695856</v>
      </c>
      <c r="F14">
        <f>IF(COUNT(Resultados!F14,Resultados!O14,Resultados!X14,Resultados!AG14,Resultados!AP14,Resultados!AY14,Resultados!BH14,Resultados!BQ14,Resultados!BZ14,Resultados!CI14)=0, "", AVERAGE(ABS(Resultados!F14),ABS(Resultados!O14),ABS(Resultados!X14),ABS(Resultados!AG14),ABS(Resultados!AP14),ABS(Resultados!AY14),ABS(Resultados!BH14),ABS(Resultados!BQ14),ABS(Resultados!BZ14),ABS(Resultados!CI14)))</f>
        <v>960.99199470792371</v>
      </c>
      <c r="G14">
        <f>IF(COUNT(Resultados!G14,Resultados!P14,Resultados!Y14,Resultados!AH14,Resultados!AQ14,Resultados!AZ14,Resultados!BI14,Resultados!BR14,Resultados!CA14,Resultados!CJ14)=0, "", AVERAGE(ABS(Resultados!G14),ABS(Resultados!P14),ABS(Resultados!Y14),ABS(Resultados!AH14),ABS(Resultados!AQ14),ABS(Resultados!AZ14),ABS(Resultados!BI14),ABS(Resultados!BR14),ABS(Resultados!CA14),ABS(Resultados!CJ14)))</f>
        <v>0.42400000000000004</v>
      </c>
      <c r="H14">
        <f>IF(COUNT(Resultados!H14,Resultados!Q14,Resultados!Z14,Resultados!AI14,Resultados!AR14,Resultados!BA14,Resultados!BJ14,Resultados!BS14,Resultados!CB14,Resultados!CK14)=0, "", AVERAGE(ABS(Resultados!H14),ABS(Resultados!Q14),ABS(Resultados!Z14),ABS(Resultados!AI14),ABS(Resultados!AR14),ABS(Resultados!BA14),ABS(Resultados!BJ14),ABS(Resultados!BS14),ABS(Resultados!CB14),ABS(Resultados!CK14)))</f>
        <v>4.1260000000000005E-2</v>
      </c>
      <c r="I14">
        <f>IF(COUNT(Resultados!I14,Resultados!R14,Resultados!AA14,Resultados!AJ14,Resultados!AS14,Resultados!BB14,Resultados!BK14,Resultados!BT14,Resultados!CC14,Resultados!CL14)=0, "", AVERAGE(ABS(Resultados!I14),ABS(Resultados!R14),ABS(Resultados!AA14),ABS(Resultados!AJ14),ABS(Resultados!AS14),ABS(Resultados!BB14),ABS(Resultados!BK14),ABS(Resultados!BT14),ABS(Resultados!CC14),ABS(Resultados!CL14)))</f>
        <v>2.3996830000000053</v>
      </c>
      <c r="J14">
        <v>3.7939999999999995E-2</v>
      </c>
      <c r="K14">
        <v>4.1260000000000005E-2</v>
      </c>
    </row>
    <row r="15" spans="1:11" x14ac:dyDescent="0.3">
      <c r="A15">
        <f>IF(COUNT(Resultados!A15,Resultados!J15,Resultados!S15,Resultados!AB15,Resultados!AK15,Resultados!AT15,Resultados!BC15,Resultados!BL15,Resultados!BU15,Resultados!CD15)=0, "", AVERAGE(ABS(Resultados!A15),ABS(Resultados!J15),ABS(Resultados!S15),ABS(Resultados!AB15),ABS(Resultados!AK15),ABS(Resultados!AT15),ABS(Resultados!BC15),ABS(Resultados!BL15),ABS(Resultados!BU15),ABS(Resultados!CD15)))</f>
        <v>45681</v>
      </c>
      <c r="B15" t="str">
        <f>IF(COUNT(Resultados!B15,Resultados!K15,Resultados!T15,Resultados!AC15,Resultados!AL15,Resultados!AU15,Resultados!BD15,Resultados!BM15,Resultados!BV15,Resultados!CE15)=0, "", AVERAGE(ABS(Resultados!B15),ABS(Resultados!K15),ABS(Resultados!T15),ABS(Resultados!AC15),ABS(Resultados!AL15),ABS(Resultados!AU15),ABS(Resultados!BD15),ABS(Resultados!BM15),ABS(Resultados!BV15),ABS(Resultados!CE15)))</f>
        <v/>
      </c>
      <c r="C15">
        <f>IF(COUNT(Resultados!C15,Resultados!L15,Resultados!U15,Resultados!AD15,Resultados!AM15,Resultados!AV15,Resultados!BE15,Resultados!BN15,Resultados!BW15,Resultados!CF15)=0, "", AVERAGE(ABS(Resultados!C15),ABS(Resultados!L15),ABS(Resultados!U15),ABS(Resultados!AD15),ABS(Resultados!AM15),ABS(Resultados!AV15),ABS(Resultados!BE15),ABS(Resultados!BN15),ABS(Resultados!BW15),ABS(Resultados!CF15)))</f>
        <v>2.5</v>
      </c>
      <c r="D15">
        <f>IF(COUNT(Resultados!D15,Resultados!M15,Resultados!V15,Resultados!AE15,Resultados!AN15,Resultados!AW15,Resultados!BF15,Resultados!BO15,Resultados!BX15,Resultados!CG15)=0, "", AVERAGE(ABS(Resultados!D15),ABS(Resultados!M15),ABS(Resultados!V15),ABS(Resultados!AE15),ABS(Resultados!AN15),ABS(Resultados!AW15),ABS(Resultados!BF15),ABS(Resultados!BO15),ABS(Resultados!BX15),ABS(Resultados!CG15)))</f>
        <v>4.3099999999999986E-2</v>
      </c>
      <c r="E15">
        <f>IF(COUNT(Resultados!E15,Resultados!N15,Resultados!W15,Resultados!AF15,Resultados!AO15,Resultados!AX15,Resultados!BG15,Resultados!BP15,Resultados!BY15,Resultados!CH15)=0, "", AVERAGE(ABS(Resultados!E15),ABS(Resultados!N15),ABS(Resultados!W15),ABS(Resultados!AF15),ABS(Resultados!AO15),ABS(Resultados!AX15),ABS(Resultados!BG15),ABS(Resultados!BP15),ABS(Resultados!BY15),ABS(Resultados!CH15)))</f>
        <v>8.9452900695298077</v>
      </c>
      <c r="F15">
        <f>IF(COUNT(Resultados!F15,Resultados!O15,Resultados!X15,Resultados!AG15,Resultados!AP15,Resultados!AY15,Resultados!BH15,Resultados!BQ15,Resultados!BZ15,Resultados!CI15)=0, "", AVERAGE(ABS(Resultados!F15),ABS(Resultados!O15),ABS(Resultados!X15),ABS(Resultados!AG15),ABS(Resultados!AP15),ABS(Resultados!AY15),ABS(Resultados!BH15),ABS(Resultados!BQ15),ABS(Resultados!BZ15),ABS(Resultados!CI15)))</f>
        <v>988.90802759837879</v>
      </c>
      <c r="G15">
        <f>IF(COUNT(Resultados!G15,Resultados!P15,Resultados!Y15,Resultados!AH15,Resultados!AQ15,Resultados!AZ15,Resultados!BI15,Resultados!BR15,Resultados!CA15,Resultados!CJ15)=0, "", AVERAGE(ABS(Resultados!G15),ABS(Resultados!P15),ABS(Resultados!Y15),ABS(Resultados!AH15),ABS(Resultados!AQ15),ABS(Resultados!AZ15),ABS(Resultados!BI15),ABS(Resultados!BR15),ABS(Resultados!CA15),ABS(Resultados!CJ15)))</f>
        <v>0.42400000000000004</v>
      </c>
      <c r="H15">
        <f>IF(COUNT(Resultados!H15,Resultados!Q15,Resultados!Z15,Resultados!AI15,Resultados!AR15,Resultados!BA15,Resultados!BJ15,Resultados!BS15,Resultados!CB15,Resultados!CK15)=0, "", AVERAGE(ABS(Resultados!H15),ABS(Resultados!Q15),ABS(Resultados!Z15),ABS(Resultados!AI15),ABS(Resultados!AR15),ABS(Resultados!BA15),ABS(Resultados!BJ15),ABS(Resultados!BS15),ABS(Resultados!CB15),ABS(Resultados!CK15)))</f>
        <v>4.5829999999999996E-2</v>
      </c>
      <c r="I15">
        <f>IF(COUNT(Resultados!I15,Resultados!R15,Resultados!AA15,Resultados!AJ15,Resultados!AS15,Resultados!BB15,Resultados!BK15,Resultados!BT15,Resultados!CC15,Resultados!CL15)=0, "", AVERAGE(ABS(Resultados!I15),ABS(Resultados!R15),ABS(Resultados!AA15),ABS(Resultados!AJ15),ABS(Resultados!AS15),ABS(Resultados!BB15),ABS(Resultados!BK15),ABS(Resultados!BT15),ABS(Resultados!CC15),ABS(Resultados!CL15)))</f>
        <v>2.5999209999999962</v>
      </c>
      <c r="J15">
        <v>4.3099999999999986E-2</v>
      </c>
      <c r="K15">
        <v>4.5829999999999996E-2</v>
      </c>
    </row>
    <row r="16" spans="1:11" x14ac:dyDescent="0.3">
      <c r="A16">
        <f>IF(COUNT(Resultados!A16,Resultados!J16,Resultados!S16,Resultados!AB16,Resultados!AK16,Resultados!AT16,Resultados!BC16,Resultados!BL16,Resultados!BU16,Resultados!CD16)=0, "", AVERAGE(ABS(Resultados!A16),ABS(Resultados!J16),ABS(Resultados!S16),ABS(Resultados!AB16),ABS(Resultados!AK16),ABS(Resultados!AT16),ABS(Resultados!BC16),ABS(Resultados!BL16),ABS(Resultados!BU16),ABS(Resultados!CD16)))</f>
        <v>45681</v>
      </c>
      <c r="B16" t="str">
        <f>IF(COUNT(Resultados!B16,Resultados!K16,Resultados!T16,Resultados!AC16,Resultados!AL16,Resultados!AU16,Resultados!BD16,Resultados!BM16,Resultados!BV16,Resultados!CE16)=0, "", AVERAGE(ABS(Resultados!B16),ABS(Resultados!K16),ABS(Resultados!T16),ABS(Resultados!AC16),ABS(Resultados!AL16),ABS(Resultados!AU16),ABS(Resultados!BD16),ABS(Resultados!BM16),ABS(Resultados!BV16),ABS(Resultados!CE16)))</f>
        <v/>
      </c>
      <c r="C16">
        <f>IF(COUNT(Resultados!C16,Resultados!L16,Resultados!U16,Resultados!AD16,Resultados!AM16,Resultados!AV16,Resultados!BE16,Resultados!BN16,Resultados!BW16,Resultados!CF16)=0, "", AVERAGE(ABS(Resultados!C16),ABS(Resultados!L16),ABS(Resultados!U16),ABS(Resultados!AD16),ABS(Resultados!AM16),ABS(Resultados!AV16),ABS(Resultados!BE16),ABS(Resultados!BN16),ABS(Resultados!BW16),ABS(Resultados!CF16)))</f>
        <v>2.5</v>
      </c>
      <c r="D16">
        <f>IF(COUNT(Resultados!D16,Resultados!M16,Resultados!V16,Resultados!AE16,Resultados!AN16,Resultados!AW16,Resultados!BF16,Resultados!BO16,Resultados!BX16,Resultados!CG16)=0, "", AVERAGE(ABS(Resultados!D16),ABS(Resultados!M16),ABS(Resultados!V16),ABS(Resultados!AE16),ABS(Resultados!AN16),ABS(Resultados!AW16),ABS(Resultados!BF16),ABS(Resultados!BO16),ABS(Resultados!BX16),ABS(Resultados!CG16)))</f>
        <v>4.7730000000000009E-2</v>
      </c>
      <c r="E16">
        <f>IF(COUNT(Resultados!E16,Resultados!N16,Resultados!W16,Resultados!AF16,Resultados!AO16,Resultados!AX16,Resultados!BG16,Resultados!BP16,Resultados!BY16,Resultados!CH16)=0, "", AVERAGE(ABS(Resultados!E16),ABS(Resultados!N16),ABS(Resultados!W16),ABS(Resultados!AF16),ABS(Resultados!AO16),ABS(Resultados!AX16),ABS(Resultados!BG16),ABS(Resultados!BP16),ABS(Resultados!BY16),ABS(Resultados!CH16)))</f>
        <v>9.2179061792723793</v>
      </c>
      <c r="F16">
        <f>IF(COUNT(Resultados!F16,Resultados!O16,Resultados!X16,Resultados!AG16,Resultados!AP16,Resultados!AY16,Resultados!BH16,Resultados!BQ16,Resultados!BZ16,Resultados!CI16)=0, "", AVERAGE(ABS(Resultados!F16),ABS(Resultados!O16),ABS(Resultados!X16),ABS(Resultados!AG16),ABS(Resultados!AP16),ABS(Resultados!AY16),ABS(Resultados!BH16),ABS(Resultados!BQ16),ABS(Resultados!BZ16),ABS(Resultados!CI16)))</f>
        <v>1014.7792964129488</v>
      </c>
      <c r="G16">
        <f>IF(COUNT(Resultados!G16,Resultados!P16,Resultados!Y16,Resultados!AH16,Resultados!AQ16,Resultados!AZ16,Resultados!BI16,Resultados!BR16,Resultados!CA16,Resultados!CJ16)=0, "", AVERAGE(ABS(Resultados!G16),ABS(Resultados!P16),ABS(Resultados!Y16),ABS(Resultados!AH16),ABS(Resultados!AQ16),ABS(Resultados!AZ16),ABS(Resultados!BI16),ABS(Resultados!BR16),ABS(Resultados!CA16),ABS(Resultados!CJ16)))</f>
        <v>0.42400000000000004</v>
      </c>
      <c r="H16">
        <f>IF(COUNT(Resultados!H16,Resultados!Q16,Resultados!Z16,Resultados!AI16,Resultados!AR16,Resultados!BA16,Resultados!BJ16,Resultados!BS16,Resultados!CB16,Resultados!CK16)=0, "", AVERAGE(ABS(Resultados!H16),ABS(Resultados!Q16),ABS(Resultados!Z16),ABS(Resultados!AI16),ABS(Resultados!AR16),ABS(Resultados!BA16),ABS(Resultados!BJ16),ABS(Resultados!BS16),ABS(Resultados!CB16),ABS(Resultados!CK16)))</f>
        <v>5.0059999999999993E-2</v>
      </c>
      <c r="I16">
        <f>IF(COUNT(Resultados!I16,Resultados!R16,Resultados!AA16,Resultados!AJ16,Resultados!AS16,Resultados!BB16,Resultados!BK16,Resultados!BT16,Resultados!CC16,Resultados!CL16)=0, "", AVERAGE(ABS(Resultados!I16),ABS(Resultados!R16),ABS(Resultados!AA16),ABS(Resultados!AJ16),ABS(Resultados!AS16),ABS(Resultados!BB16),ABS(Resultados!BK16),ABS(Resultados!BT16),ABS(Resultados!CC16),ABS(Resultados!CL16)))</f>
        <v>2.8011080000000064</v>
      </c>
      <c r="J16">
        <v>4.7730000000000009E-2</v>
      </c>
      <c r="K16">
        <v>5.0059999999999993E-2</v>
      </c>
    </row>
    <row r="17" spans="1:11" x14ac:dyDescent="0.3">
      <c r="A17">
        <f>IF(COUNT(Resultados!A17,Resultados!J17,Resultados!S17,Resultados!AB17,Resultados!AK17,Resultados!AT17,Resultados!BC17,Resultados!BL17,Resultados!BU17,Resultados!CD17)=0, "", AVERAGE(ABS(Resultados!A17),ABS(Resultados!J17),ABS(Resultados!S17),ABS(Resultados!AB17),ABS(Resultados!AK17),ABS(Resultados!AT17),ABS(Resultados!BC17),ABS(Resultados!BL17),ABS(Resultados!BU17),ABS(Resultados!CD17)))</f>
        <v>45681</v>
      </c>
      <c r="B17" t="str">
        <f>IF(COUNT(Resultados!B17,Resultados!K17,Resultados!T17,Resultados!AC17,Resultados!AL17,Resultados!AU17,Resultados!BD17,Resultados!BM17,Resultados!BV17,Resultados!CE17)=0, "", AVERAGE(ABS(Resultados!B17),ABS(Resultados!K17),ABS(Resultados!T17),ABS(Resultados!AC17),ABS(Resultados!AL17),ABS(Resultados!AU17),ABS(Resultados!BD17),ABS(Resultados!BM17),ABS(Resultados!BV17),ABS(Resultados!CE17)))</f>
        <v/>
      </c>
      <c r="C17">
        <f>IF(COUNT(Resultados!C17,Resultados!L17,Resultados!U17,Resultados!AD17,Resultados!AM17,Resultados!AV17,Resultados!BE17,Resultados!BN17,Resultados!BW17,Resultados!CF17)=0, "", AVERAGE(ABS(Resultados!C17),ABS(Resultados!L17),ABS(Resultados!U17),ABS(Resultados!AD17),ABS(Resultados!AM17),ABS(Resultados!AV17),ABS(Resultados!BE17),ABS(Resultados!BN17),ABS(Resultados!BW17),ABS(Resultados!CF17)))</f>
        <v>2.5</v>
      </c>
      <c r="D17">
        <f>IF(COUNT(Resultados!D17,Resultados!M17,Resultados!V17,Resultados!AE17,Resultados!AN17,Resultados!AW17,Resultados!BF17,Resultados!BO17,Resultados!BX17,Resultados!CG17)=0, "", AVERAGE(ABS(Resultados!D17),ABS(Resultados!M17),ABS(Resultados!V17),ABS(Resultados!AE17),ABS(Resultados!AN17),ABS(Resultados!AW17),ABS(Resultados!BF17),ABS(Resultados!BO17),ABS(Resultados!BX17),ABS(Resultados!CG17)))</f>
        <v>5.2500000000000005E-2</v>
      </c>
      <c r="E17">
        <f>IF(COUNT(Resultados!E17,Resultados!N17,Resultados!W17,Resultados!AF17,Resultados!AO17,Resultados!AX17,Resultados!BG17,Resultados!BP17,Resultados!BY17,Resultados!CH17)=0, "", AVERAGE(ABS(Resultados!E17),ABS(Resultados!N17),ABS(Resultados!W17),ABS(Resultados!AF17),ABS(Resultados!AO17),ABS(Resultados!AX17),ABS(Resultados!BG17),ABS(Resultados!BP17),ABS(Resultados!BY17),ABS(Resultados!CH17)))</f>
        <v>9.4580390135585475</v>
      </c>
      <c r="F17">
        <f>IF(COUNT(Resultados!F17,Resultados!O17,Resultados!X17,Resultados!AG17,Resultados!AP17,Resultados!AY17,Resultados!BH17,Resultados!BQ17,Resultados!BZ17,Resultados!CI17)=0, "", AVERAGE(ABS(Resultados!F17),ABS(Resultados!O17),ABS(Resultados!X17),ABS(Resultados!AG17),ABS(Resultados!AP17),ABS(Resultados!AY17),ABS(Resultados!BH17),ABS(Resultados!BQ17),ABS(Resultados!BZ17),ABS(Resultados!CI17)))</f>
        <v>1037.567902386706</v>
      </c>
      <c r="G17">
        <f>IF(COUNT(Resultados!G17,Resultados!P17,Resultados!Y17,Resultados!AH17,Resultados!AQ17,Resultados!AZ17,Resultados!BI17,Resultados!BR17,Resultados!CA17,Resultados!CJ17)=0, "", AVERAGE(ABS(Resultados!G17),ABS(Resultados!P17),ABS(Resultados!Y17),ABS(Resultados!AH17),ABS(Resultados!AQ17),ABS(Resultados!AZ17),ABS(Resultados!BI17),ABS(Resultados!BR17),ABS(Resultados!CA17),ABS(Resultados!CJ17)))</f>
        <v>0.42400000000000004</v>
      </c>
      <c r="H17">
        <f>IF(COUNT(Resultados!H17,Resultados!Q17,Resultados!Z17,Resultados!AI17,Resultados!AR17,Resultados!BA17,Resultados!BJ17,Resultados!BS17,Resultados!CB17,Resultados!CK17)=0, "", AVERAGE(ABS(Resultados!H17),ABS(Resultados!Q17),ABS(Resultados!Z17),ABS(Resultados!AI17),ABS(Resultados!AR17),ABS(Resultados!BA17),ABS(Resultados!BJ17),ABS(Resultados!BS17),ABS(Resultados!CB17),ABS(Resultados!CK17)))</f>
        <v>5.3810000000000004E-2</v>
      </c>
      <c r="I17">
        <f>IF(COUNT(Resultados!I17,Resultados!R17,Resultados!AA17,Resultados!AJ17,Resultados!AS17,Resultados!BB17,Resultados!BK17,Resultados!BT17,Resultados!CC17,Resultados!CL17)=0, "", AVERAGE(ABS(Resultados!I17),ABS(Resultados!R17),ABS(Resultados!AA17),ABS(Resultados!AJ17),ABS(Resultados!AS17),ABS(Resultados!BB17),ABS(Resultados!BK17),ABS(Resultados!BT17),ABS(Resultados!CC17),ABS(Resultados!CL17)))</f>
        <v>2.9998840000000002</v>
      </c>
      <c r="J17">
        <v>5.2500000000000005E-2</v>
      </c>
      <c r="K17">
        <v>5.3810000000000004E-2</v>
      </c>
    </row>
    <row r="18" spans="1:11" x14ac:dyDescent="0.3">
      <c r="A18">
        <f>IF(COUNT(Resultados!A18,Resultados!J18,Resultados!S18,Resultados!AB18,Resultados!AK18,Resultados!AT18,Resultados!BC18,Resultados!BL18,Resultados!BU18,Resultados!CD18)=0, "", AVERAGE(ABS(Resultados!A18),ABS(Resultados!J18),ABS(Resultados!S18),ABS(Resultados!AB18),ABS(Resultados!AK18),ABS(Resultados!AT18),ABS(Resultados!BC18),ABS(Resultados!BL18),ABS(Resultados!BU18),ABS(Resultados!CD18)))</f>
        <v>45681</v>
      </c>
      <c r="B18" t="str">
        <f>IF(COUNT(Resultados!B18,Resultados!K18,Resultados!T18,Resultados!AC18,Resultados!AL18,Resultados!AU18,Resultados!BD18,Resultados!BM18,Resultados!BV18,Resultados!CE18)=0, "", AVERAGE(ABS(Resultados!B18),ABS(Resultados!K18),ABS(Resultados!T18),ABS(Resultados!AC18),ABS(Resultados!AL18),ABS(Resultados!AU18),ABS(Resultados!BD18),ABS(Resultados!BM18),ABS(Resultados!BV18),ABS(Resultados!CE18)))</f>
        <v/>
      </c>
      <c r="C18">
        <f>IF(COUNT(Resultados!C18,Resultados!L18,Resultados!U18,Resultados!AD18,Resultados!AM18,Resultados!AV18,Resultados!BE18,Resultados!BN18,Resultados!BW18,Resultados!CF18)=0, "", AVERAGE(ABS(Resultados!C18),ABS(Resultados!L18),ABS(Resultados!U18),ABS(Resultados!AD18),ABS(Resultados!AM18),ABS(Resultados!AV18),ABS(Resultados!BE18),ABS(Resultados!BN18),ABS(Resultados!BW18),ABS(Resultados!CF18)))</f>
        <v>2.5</v>
      </c>
      <c r="D18">
        <f>IF(COUNT(Resultados!D18,Resultados!M18,Resultados!V18,Resultados!AE18,Resultados!AN18,Resultados!AW18,Resultados!BF18,Resultados!BO18,Resultados!BX18,Resultados!CG18)=0, "", AVERAGE(ABS(Resultados!D18),ABS(Resultados!M18),ABS(Resultados!V18),ABS(Resultados!AE18),ABS(Resultados!AN18),ABS(Resultados!AW18),ABS(Resultados!BF18),ABS(Resultados!BO18),ABS(Resultados!BX18),ABS(Resultados!CG18)))</f>
        <v>5.6159999999999988E-2</v>
      </c>
      <c r="E18">
        <f>IF(COUNT(Resultados!E18,Resultados!N18,Resultados!W18,Resultados!AF18,Resultados!AO18,Resultados!AX18,Resultados!BG18,Resultados!BP18,Resultados!BY18,Resultados!CH18)=0, "", AVERAGE(ABS(Resultados!E18),ABS(Resultados!N18),ABS(Resultados!W18),ABS(Resultados!AF18),ABS(Resultados!AO18),ABS(Resultados!AX18),ABS(Resultados!BG18),ABS(Resultados!BP18),ABS(Resultados!BY18),ABS(Resultados!CH18)))</f>
        <v>9.6648126339271698</v>
      </c>
      <c r="F18">
        <f>IF(COUNT(Resultados!F18,Resultados!O18,Resultados!X18,Resultados!AG18,Resultados!AP18,Resultados!AY18,Resultados!BH18,Resultados!BQ18,Resultados!BZ18,Resultados!CI18)=0, "", AVERAGE(ABS(Resultados!F18),ABS(Resultados!O18),ABS(Resultados!X18),ABS(Resultados!AG18),ABS(Resultados!AP18),ABS(Resultados!AY18),ABS(Resultados!BH18),ABS(Resultados!BQ18),ABS(Resultados!BZ18),ABS(Resultados!CI18)))</f>
        <v>1057.1907189596882</v>
      </c>
      <c r="G18">
        <f>IF(COUNT(Resultados!G18,Resultados!P18,Resultados!Y18,Resultados!AH18,Resultados!AQ18,Resultados!AZ18,Resultados!BI18,Resultados!BR18,Resultados!CA18,Resultados!CJ18)=0, "", AVERAGE(ABS(Resultados!G18),ABS(Resultados!P18),ABS(Resultados!Y18),ABS(Resultados!AH18),ABS(Resultados!AQ18),ABS(Resultados!AZ18),ABS(Resultados!BI18),ABS(Resultados!BR18),ABS(Resultados!CA18),ABS(Resultados!CJ18)))</f>
        <v>0.42400000000000004</v>
      </c>
      <c r="H18">
        <f>IF(COUNT(Resultados!H18,Resultados!Q18,Resultados!Z18,Resultados!AI18,Resultados!AR18,Resultados!BA18,Resultados!BJ18,Resultados!BS18,Resultados!CB18,Resultados!CK18)=0, "", AVERAGE(ABS(Resultados!H18),ABS(Resultados!Q18),ABS(Resultados!Z18),ABS(Resultados!AI18),ABS(Resultados!AR18),ABS(Resultados!BA18),ABS(Resultados!BJ18),ABS(Resultados!BS18),ABS(Resultados!CB18),ABS(Resultados!CK18)))</f>
        <v>5.7010000000000005E-2</v>
      </c>
      <c r="I18">
        <f>IF(COUNT(Resultados!I18,Resultados!R18,Resultados!AA18,Resultados!AJ18,Resultados!AS18,Resultados!BB18,Resultados!BK18,Resultados!BT18,Resultados!CC18,Resultados!CL18)=0, "", AVERAGE(ABS(Resultados!I18),ABS(Resultados!R18),ABS(Resultados!AA18),ABS(Resultados!AJ18),ABS(Resultados!AS18),ABS(Resultados!BB18),ABS(Resultados!BK18),ABS(Resultados!BT18),ABS(Resultados!CC18),ABS(Resultados!CL18)))</f>
        <v>3.2003149999999949</v>
      </c>
      <c r="J18">
        <v>5.6159999999999988E-2</v>
      </c>
      <c r="K18">
        <v>5.7010000000000005E-2</v>
      </c>
    </row>
    <row r="19" spans="1:11" x14ac:dyDescent="0.3">
      <c r="A19">
        <f>IF(COUNT(Resultados!A19,Resultados!J19,Resultados!S19,Resultados!AB19,Resultados!AK19,Resultados!AT19,Resultados!BC19,Resultados!BL19,Resultados!BU19,Resultados!CD19)=0, "", AVERAGE(ABS(Resultados!A19),ABS(Resultados!J19),ABS(Resultados!S19),ABS(Resultados!AB19),ABS(Resultados!AK19),ABS(Resultados!AT19),ABS(Resultados!BC19),ABS(Resultados!BL19),ABS(Resultados!BU19),ABS(Resultados!CD19)))</f>
        <v>45681</v>
      </c>
      <c r="B19" t="str">
        <f>IF(COUNT(Resultados!B19,Resultados!K19,Resultados!T19,Resultados!AC19,Resultados!AL19,Resultados!AU19,Resultados!BD19,Resultados!BM19,Resultados!BV19,Resultados!CE19)=0, "", AVERAGE(ABS(Resultados!B19),ABS(Resultados!K19),ABS(Resultados!T19),ABS(Resultados!AC19),ABS(Resultados!AL19),ABS(Resultados!AU19),ABS(Resultados!BD19),ABS(Resultados!BM19),ABS(Resultados!BV19),ABS(Resultados!CE19)))</f>
        <v/>
      </c>
      <c r="C19">
        <f>IF(COUNT(Resultados!C19,Resultados!L19,Resultados!U19,Resultados!AD19,Resultados!AM19,Resultados!AV19,Resultados!BE19,Resultados!BN19,Resultados!BW19,Resultados!CF19)=0, "", AVERAGE(ABS(Resultados!C19),ABS(Resultados!L19),ABS(Resultados!U19),ABS(Resultados!AD19),ABS(Resultados!AM19),ABS(Resultados!AV19),ABS(Resultados!BE19),ABS(Resultados!BN19),ABS(Resultados!BW19),ABS(Resultados!CF19)))</f>
        <v>2.5</v>
      </c>
      <c r="D19">
        <f>IF(COUNT(Resultados!D19,Resultados!M19,Resultados!V19,Resultados!AE19,Resultados!AN19,Resultados!AW19,Resultados!BF19,Resultados!BO19,Resultados!BX19,Resultados!CG19)=0, "", AVERAGE(ABS(Resultados!D19),ABS(Resultados!M19),ABS(Resultados!V19),ABS(Resultados!AE19),ABS(Resultados!AN19),ABS(Resultados!AW19),ABS(Resultados!BF19),ABS(Resultados!BO19),ABS(Resultados!BX19),ABS(Resultados!CG19)))</f>
        <v>5.9089999999999997E-2</v>
      </c>
      <c r="E19">
        <f>IF(COUNT(Resultados!E19,Resultados!N19,Resultados!W19,Resultados!AF19,Resultados!AO19,Resultados!AX19,Resultados!BG19,Resultados!BP19,Resultados!BY19,Resultados!CH19)=0, "", AVERAGE(ABS(Resultados!E19),ABS(Resultados!N19),ABS(Resultados!W19),ABS(Resultados!AF19),ABS(Resultados!AO19),ABS(Resultados!AX19),ABS(Resultados!BG19),ABS(Resultados!BP19),ABS(Resultados!BY19),ABS(Resultados!CH19)))</f>
        <v>9.8304589101092326</v>
      </c>
      <c r="F19">
        <f>IF(COUNT(Resultados!F19,Resultados!O19,Resultados!X19,Resultados!AG19,Resultados!AP19,Resultados!AY19,Resultados!BH19,Resultados!BQ19,Resultados!BZ19,Resultados!CI19)=0, "", AVERAGE(ABS(Resultados!F19),ABS(Resultados!O19),ABS(Resultados!X19),ABS(Resultados!AG19),ABS(Resultados!AP19),ABS(Resultados!AY19),ABS(Resultados!BH19),ABS(Resultados!BQ19),ABS(Resultados!BZ19),ABS(Resultados!CI19)))</f>
        <v>1072.9105505693658</v>
      </c>
      <c r="G19">
        <f>IF(COUNT(Resultados!G19,Resultados!P19,Resultados!Y19,Resultados!AH19,Resultados!AQ19,Resultados!AZ19,Resultados!BI19,Resultados!BR19,Resultados!CA19,Resultados!CJ19)=0, "", AVERAGE(ABS(Resultados!G19),ABS(Resultados!P19),ABS(Resultados!Y19),ABS(Resultados!AH19),ABS(Resultados!AQ19),ABS(Resultados!AZ19),ABS(Resultados!BI19),ABS(Resultados!BR19),ABS(Resultados!CA19),ABS(Resultados!CJ19)))</f>
        <v>0.42400000000000004</v>
      </c>
      <c r="H19">
        <f>IF(COUNT(Resultados!H19,Resultados!Q19,Resultados!Z19,Resultados!AI19,Resultados!AR19,Resultados!BA19,Resultados!BJ19,Resultados!BS19,Resultados!CB19,Resultados!CK19)=0, "", AVERAGE(ABS(Resultados!H19),ABS(Resultados!Q19),ABS(Resultados!Z19),ABS(Resultados!AI19),ABS(Resultados!AR19),ABS(Resultados!BA19),ABS(Resultados!BJ19),ABS(Resultados!BS19),ABS(Resultados!CB19),ABS(Resultados!CK19)))</f>
        <v>5.9589999999999997E-2</v>
      </c>
      <c r="I19">
        <f>IF(COUNT(Resultados!I19,Resultados!R19,Resultados!AA19,Resultados!AJ19,Resultados!AS19,Resultados!BB19,Resultados!BK19,Resultados!BT19,Resultados!CC19,Resultados!CL19)=0, "", AVERAGE(ABS(Resultados!I19),ABS(Resultados!R19),ABS(Resultados!AA19),ABS(Resultados!AJ19),ABS(Resultados!AS19),ABS(Resultados!BB19),ABS(Resultados!BK19),ABS(Resultados!BT19),ABS(Resultados!CC19),ABS(Resultados!CL19)))</f>
        <v>3.4000250000000038</v>
      </c>
      <c r="J19">
        <v>5.9089999999999997E-2</v>
      </c>
      <c r="K19">
        <v>5.9589999999999997E-2</v>
      </c>
    </row>
    <row r="20" spans="1:11" x14ac:dyDescent="0.3">
      <c r="A20">
        <f>IF(COUNT(Resultados!A20,Resultados!J20,Resultados!S20,Resultados!AB20,Resultados!AK20,Resultados!AT20,Resultados!BC20,Resultados!BL20,Resultados!BU20,Resultados!CD20)=0, "", AVERAGE(ABS(Resultados!A20),ABS(Resultados!J20),ABS(Resultados!S20),ABS(Resultados!AB20),ABS(Resultados!AK20),ABS(Resultados!AT20),ABS(Resultados!BC20),ABS(Resultados!BL20),ABS(Resultados!BU20),ABS(Resultados!CD20)))</f>
        <v>45681</v>
      </c>
      <c r="B20" t="str">
        <f>IF(COUNT(Resultados!B20,Resultados!K20,Resultados!T20,Resultados!AC20,Resultados!AL20,Resultados!AU20,Resultados!BD20,Resultados!BM20,Resultados!BV20,Resultados!CE20)=0, "", AVERAGE(ABS(Resultados!B20),ABS(Resultados!K20),ABS(Resultados!T20),ABS(Resultados!AC20),ABS(Resultados!AL20),ABS(Resultados!AU20),ABS(Resultados!BD20),ABS(Resultados!BM20),ABS(Resultados!BV20),ABS(Resultados!CE20)))</f>
        <v/>
      </c>
      <c r="C20">
        <f>IF(COUNT(Resultados!C20,Resultados!L20,Resultados!U20,Resultados!AD20,Resultados!AM20,Resultados!AV20,Resultados!BE20,Resultados!BN20,Resultados!BW20,Resultados!CF20)=0, "", AVERAGE(ABS(Resultados!C20),ABS(Resultados!L20),ABS(Resultados!U20),ABS(Resultados!AD20),ABS(Resultados!AM20),ABS(Resultados!AV20),ABS(Resultados!BE20),ABS(Resultados!BN20),ABS(Resultados!BW20),ABS(Resultados!CF20)))</f>
        <v>2.5</v>
      </c>
      <c r="D20">
        <f>IF(COUNT(Resultados!D20,Resultados!M20,Resultados!V20,Resultados!AE20,Resultados!AN20,Resultados!AW20,Resultados!BF20,Resultados!BO20,Resultados!BX20,Resultados!CG20)=0, "", AVERAGE(ABS(Resultados!D20),ABS(Resultados!M20),ABS(Resultados!V20),ABS(Resultados!AE20),ABS(Resultados!AN20),ABS(Resultados!AW20),ABS(Resultados!BF20),ABS(Resultados!BO20),ABS(Resultados!BX20),ABS(Resultados!CG20)))</f>
        <v>6.2039999999999998E-2</v>
      </c>
      <c r="E20">
        <f>IF(COUNT(Resultados!E20,Resultados!N20,Resultados!W20,Resultados!AF20,Resultados!AO20,Resultados!AX20,Resultados!BG20,Resultados!BP20,Resultados!BY20,Resultados!CH20)=0, "", AVERAGE(ABS(Resultados!E20),ABS(Resultados!N20),ABS(Resultados!W20),ABS(Resultados!AF20),ABS(Resultados!AO20),ABS(Resultados!AX20),ABS(Resultados!BG20),ABS(Resultados!BP20),ABS(Resultados!BY20),ABS(Resultados!CH20)))</f>
        <v>9.9518636240096434</v>
      </c>
      <c r="F20">
        <f>IF(COUNT(Resultados!F20,Resultados!O20,Resultados!X20,Resultados!AG20,Resultados!AP20,Resultados!AY20,Resultados!BH20,Resultados!BQ20,Resultados!BZ20,Resultados!CI20)=0, "", AVERAGE(ABS(Resultados!F20),ABS(Resultados!O20),ABS(Resultados!X20),ABS(Resultados!AG20),ABS(Resultados!AP20),ABS(Resultados!AY20),ABS(Resultados!BH20),ABS(Resultados!BQ20),ABS(Resultados!BZ20),ABS(Resultados!CI20)))</f>
        <v>1084.4318579185151</v>
      </c>
      <c r="G20">
        <f>IF(COUNT(Resultados!G20,Resultados!P20,Resultados!Y20,Resultados!AH20,Resultados!AQ20,Resultados!AZ20,Resultados!BI20,Resultados!BR20,Resultados!CA20,Resultados!CJ20)=0, "", AVERAGE(ABS(Resultados!G20),ABS(Resultados!P20),ABS(Resultados!Y20),ABS(Resultados!AH20),ABS(Resultados!AQ20),ABS(Resultados!AZ20),ABS(Resultados!BI20),ABS(Resultados!BR20),ABS(Resultados!CA20),ABS(Resultados!CJ20)))</f>
        <v>0.42400000000000004</v>
      </c>
      <c r="H20">
        <f>IF(COUNT(Resultados!H20,Resultados!Q20,Resultados!Z20,Resultados!AI20,Resultados!AR20,Resultados!BA20,Resultados!BJ20,Resultados!BS20,Resultados!CB20,Resultados!CK20)=0, "", AVERAGE(ABS(Resultados!H20),ABS(Resultados!Q20),ABS(Resultados!Z20),ABS(Resultados!AI20),ABS(Resultados!AR20),ABS(Resultados!BA20),ABS(Resultados!BJ20),ABS(Resultados!BS20),ABS(Resultados!CB20),ABS(Resultados!CK20)))</f>
        <v>6.1490000000000003E-2</v>
      </c>
      <c r="I20">
        <f>IF(COUNT(Resultados!I20,Resultados!R20,Resultados!AA20,Resultados!AJ20,Resultados!AS20,Resultados!BB20,Resultados!BK20,Resultados!BT20,Resultados!CC20,Resultados!CL20)=0, "", AVERAGE(ABS(Resultados!I20),ABS(Resultados!R20),ABS(Resultados!AA20),ABS(Resultados!AJ20),ABS(Resultados!AS20),ABS(Resultados!BB20),ABS(Resultados!BK20),ABS(Resultados!BT20),ABS(Resultados!CC20),ABS(Resultados!CL20)))</f>
        <v>3.5999740000000031</v>
      </c>
      <c r="J20">
        <v>6.2039999999999998E-2</v>
      </c>
      <c r="K20">
        <v>6.1490000000000003E-2</v>
      </c>
    </row>
    <row r="21" spans="1:11" x14ac:dyDescent="0.3">
      <c r="A21">
        <f>IF(COUNT(Resultados!A21,Resultados!J21,Resultados!S21,Resultados!AB21,Resultados!AK21,Resultados!AT21,Resultados!BC21,Resultados!BL21,Resultados!BU21,Resultados!CD21)=0, "", AVERAGE(ABS(Resultados!A21),ABS(Resultados!J21),ABS(Resultados!S21),ABS(Resultados!AB21),ABS(Resultados!AK21),ABS(Resultados!AT21),ABS(Resultados!BC21),ABS(Resultados!BL21),ABS(Resultados!BU21),ABS(Resultados!CD21)))</f>
        <v>45681</v>
      </c>
      <c r="B21" t="str">
        <f>IF(COUNT(Resultados!B21,Resultados!K21,Resultados!T21,Resultados!AC21,Resultados!AL21,Resultados!AU21,Resultados!BD21,Resultados!BM21,Resultados!BV21,Resultados!CE21)=0, "", AVERAGE(ABS(Resultados!B21),ABS(Resultados!K21),ABS(Resultados!T21),ABS(Resultados!AC21),ABS(Resultados!AL21),ABS(Resultados!AU21),ABS(Resultados!BD21),ABS(Resultados!BM21),ABS(Resultados!BV21),ABS(Resultados!CE21)))</f>
        <v/>
      </c>
      <c r="C21">
        <f>IF(COUNT(Resultados!C21,Resultados!L21,Resultados!U21,Resultados!AD21,Resultados!AM21,Resultados!AV21,Resultados!BE21,Resultados!BN21,Resultados!BW21,Resultados!CF21)=0, "", AVERAGE(ABS(Resultados!C21),ABS(Resultados!L21),ABS(Resultados!U21),ABS(Resultados!AD21),ABS(Resultados!AM21),ABS(Resultados!AV21),ABS(Resultados!BE21),ABS(Resultados!BN21),ABS(Resultados!BW21),ABS(Resultados!CF21)))</f>
        <v>2.5</v>
      </c>
      <c r="D21">
        <f>IF(COUNT(Resultados!D21,Resultados!M21,Resultados!V21,Resultados!AE21,Resultados!AN21,Resultados!AW21,Resultados!BF21,Resultados!BO21,Resultados!BX21,Resultados!CG21)=0, "", AVERAGE(ABS(Resultados!D21),ABS(Resultados!M21),ABS(Resultados!V21),ABS(Resultados!AE21),ABS(Resultados!AN21),ABS(Resultados!AW21),ABS(Resultados!BF21),ABS(Resultados!BO21),ABS(Resultados!BX21),ABS(Resultados!CG21)))</f>
        <v>6.4669999999999991E-2</v>
      </c>
      <c r="E21">
        <f>IF(COUNT(Resultados!E21,Resultados!N21,Resultados!W21,Resultados!AF21,Resultados!AO21,Resultados!AX21,Resultados!BG21,Resultados!BP21,Resultados!BY21,Resultados!CH21)=0, "", AVERAGE(ABS(Resultados!E21),ABS(Resultados!N21),ABS(Resultados!W21),ABS(Resultados!AF21),ABS(Resultados!AO21),ABS(Resultados!AX21),ABS(Resultados!BG21),ABS(Resultados!BP21),ABS(Resultados!BY21),ABS(Resultados!CH21)))</f>
        <v>10.02596307918876</v>
      </c>
      <c r="F21">
        <f>IF(COUNT(Resultados!F21,Resultados!O21,Resultados!X21,Resultados!AG21,Resultados!AP21,Resultados!AY21,Resultados!BH21,Resultados!BQ21,Resultados!BZ21,Resultados!CI21)=0, "", AVERAGE(ABS(Resultados!F21),ABS(Resultados!O21),ABS(Resultados!X21),ABS(Resultados!AG21),ABS(Resultados!AP21),ABS(Resultados!AY21),ABS(Resultados!BH21),ABS(Resultados!BQ21),ABS(Resultados!BZ21),ABS(Resultados!CI21)))</f>
        <v>1091.4638962150134</v>
      </c>
      <c r="G21">
        <f>IF(COUNT(Resultados!G21,Resultados!P21,Resultados!Y21,Resultados!AH21,Resultados!AQ21,Resultados!AZ21,Resultados!BI21,Resultados!BR21,Resultados!CA21,Resultados!CJ21)=0, "", AVERAGE(ABS(Resultados!G21),ABS(Resultados!P21),ABS(Resultados!Y21),ABS(Resultados!AH21),ABS(Resultados!AQ21),ABS(Resultados!AZ21),ABS(Resultados!BI21),ABS(Resultados!BR21),ABS(Resultados!CA21),ABS(Resultados!CJ21)))</f>
        <v>0.42400000000000004</v>
      </c>
      <c r="H21">
        <f>IF(COUNT(Resultados!H21,Resultados!Q21,Resultados!Z21,Resultados!AI21,Resultados!AR21,Resultados!BA21,Resultados!BJ21,Resultados!BS21,Resultados!CB21,Resultados!CK21)=0, "", AVERAGE(ABS(Resultados!H21),ABS(Resultados!Q21),ABS(Resultados!Z21),ABS(Resultados!AI21),ABS(Resultados!AR21),ABS(Resultados!BA21),ABS(Resultados!BJ21),ABS(Resultados!BS21),ABS(Resultados!CB21),ABS(Resultados!CK21)))</f>
        <v>6.2600000000000003E-2</v>
      </c>
      <c r="I21">
        <f>IF(COUNT(Resultados!I21,Resultados!R21,Resultados!AA21,Resultados!AJ21,Resultados!AS21,Resultados!BB21,Resultados!BK21,Resultados!BT21,Resultados!CC21,Resultados!CL21)=0, "", AVERAGE(ABS(Resultados!I21),ABS(Resultados!R21),ABS(Resultados!AA21),ABS(Resultados!AJ21),ABS(Resultados!AS21),ABS(Resultados!BB21),ABS(Resultados!BK21),ABS(Resultados!BT21),ABS(Resultados!CC21),ABS(Resultados!CL21)))</f>
        <v>3.800620999999996</v>
      </c>
      <c r="J21">
        <v>6.4669999999999991E-2</v>
      </c>
      <c r="K21">
        <v>6.2600000000000003E-2</v>
      </c>
    </row>
    <row r="22" spans="1:11" x14ac:dyDescent="0.3">
      <c r="A22">
        <f>IF(COUNT(Resultados!A22,Resultados!J22,Resultados!S22,Resultados!AB22,Resultados!AK22,Resultados!AT22,Resultados!BC22,Resultados!BL22,Resultados!BU22,Resultados!CD22)=0, "", AVERAGE(ABS(Resultados!A22),ABS(Resultados!J22),ABS(Resultados!S22),ABS(Resultados!AB22),ABS(Resultados!AK22),ABS(Resultados!AT22),ABS(Resultados!BC22),ABS(Resultados!BL22),ABS(Resultados!BU22),ABS(Resultados!CD22)))</f>
        <v>45681</v>
      </c>
      <c r="B22" t="str">
        <f>IF(COUNT(Resultados!B22,Resultados!K22,Resultados!T22,Resultados!AC22,Resultados!AL22,Resultados!AU22,Resultados!BD22,Resultados!BM22,Resultados!BV22,Resultados!CE22)=0, "", AVERAGE(ABS(Resultados!B22),ABS(Resultados!K22),ABS(Resultados!T22),ABS(Resultados!AC22),ABS(Resultados!AL22),ABS(Resultados!AU22),ABS(Resultados!BD22),ABS(Resultados!BM22),ABS(Resultados!BV22),ABS(Resultados!CE22)))</f>
        <v/>
      </c>
      <c r="C22">
        <f>IF(COUNT(Resultados!C22,Resultados!L22,Resultados!U22,Resultados!AD22,Resultados!AM22,Resultados!AV22,Resultados!BE22,Resultados!BN22,Resultados!BW22,Resultados!CF22)=0, "", AVERAGE(ABS(Resultados!C22),ABS(Resultados!L22),ABS(Resultados!U22),ABS(Resultados!AD22),ABS(Resultados!AM22),ABS(Resultados!AV22),ABS(Resultados!BE22),ABS(Resultados!BN22),ABS(Resultados!BW22),ABS(Resultados!CF22)))</f>
        <v>2.5</v>
      </c>
      <c r="D22">
        <f>IF(COUNT(Resultados!D22,Resultados!M22,Resultados!V22,Resultados!AE22,Resultados!AN22,Resultados!AW22,Resultados!BF22,Resultados!BO22,Resultados!BX22,Resultados!CG22)=0, "", AVERAGE(ABS(Resultados!D22),ABS(Resultados!M22),ABS(Resultados!V22),ABS(Resultados!AE22),ABS(Resultados!AN22),ABS(Resultados!AW22),ABS(Resultados!BF22),ABS(Resultados!BO22),ABS(Resultados!BX22),ABS(Resultados!CG22)))</f>
        <v>6.5980000000000011E-2</v>
      </c>
      <c r="E22">
        <f>IF(COUNT(Resultados!E22,Resultados!N22,Resultados!W22,Resultados!AF22,Resultados!AO22,Resultados!AX22,Resultados!BG22,Resultados!BP22,Resultados!BY22,Resultados!CH22)=0, "", AVERAGE(ABS(Resultados!E22),ABS(Resultados!N22),ABS(Resultados!W22),ABS(Resultados!AF22),ABS(Resultados!AO22),ABS(Resultados!AX22),ABS(Resultados!BG22),ABS(Resultados!BP22),ABS(Resultados!BY22),ABS(Resultados!CH22)))</f>
        <v>10.050438428974621</v>
      </c>
      <c r="F22">
        <f>IF(COUNT(Resultados!F22,Resultados!O22,Resultados!X22,Resultados!AG22,Resultados!AP22,Resultados!AY22,Resultados!BH22,Resultados!BQ22,Resultados!BZ22,Resultados!CI22)=0, "", AVERAGE(ABS(Resultados!F22),ABS(Resultados!O22),ABS(Resultados!X22),ABS(Resultados!AG22),ABS(Resultados!AP22),ABS(Resultados!AY22),ABS(Resultados!BH22),ABS(Resultados!BQ22),ABS(Resultados!BZ22),ABS(Resultados!CI22)))</f>
        <v>1093.7866069096915</v>
      </c>
      <c r="G22">
        <f>IF(COUNT(Resultados!G22,Resultados!P22,Resultados!Y22,Resultados!AH22,Resultados!AQ22,Resultados!AZ22,Resultados!BI22,Resultados!BR22,Resultados!CA22,Resultados!CJ22)=0, "", AVERAGE(ABS(Resultados!G22),ABS(Resultados!P22),ABS(Resultados!Y22),ABS(Resultados!AH22),ABS(Resultados!AQ22),ABS(Resultados!AZ22),ABS(Resultados!BI22),ABS(Resultados!BR22),ABS(Resultados!CA22),ABS(Resultados!CJ22)))</f>
        <v>0.42400000000000004</v>
      </c>
      <c r="H22">
        <f>IF(COUNT(Resultados!H22,Resultados!Q22,Resultados!Z22,Resultados!AI22,Resultados!AR22,Resultados!BA22,Resultados!BJ22,Resultados!BS22,Resultados!CB22,Resultados!CK22)=0, "", AVERAGE(ABS(Resultados!H22),ABS(Resultados!Q22),ABS(Resultados!Z22),ABS(Resultados!AI22),ABS(Resultados!AR22),ABS(Resultados!BA22),ABS(Resultados!BJ22),ABS(Resultados!BS22),ABS(Resultados!CB22),ABS(Resultados!CK22)))</f>
        <v>6.2999999999999987E-2</v>
      </c>
      <c r="I22">
        <f>IF(COUNT(Resultados!I22,Resultados!R22,Resultados!AA22,Resultados!AJ22,Resultados!AS22,Resultados!BB22,Resultados!BK22,Resultados!BT22,Resultados!CC22,Resultados!CL22)=0, "", AVERAGE(ABS(Resultados!I22),ABS(Resultados!R22),ABS(Resultados!AA22),ABS(Resultados!AJ22),ABS(Resultados!AS22),ABS(Resultados!BB22),ABS(Resultados!BK22),ABS(Resultados!BT22),ABS(Resultados!CC22),ABS(Resultados!CL22)))</f>
        <v>3.9996099999999997</v>
      </c>
      <c r="J22">
        <v>6.5980000000000011E-2</v>
      </c>
      <c r="K22">
        <v>6.2999999999999987E-2</v>
      </c>
    </row>
    <row r="23" spans="1:11" x14ac:dyDescent="0.3">
      <c r="A23">
        <f>IF(COUNT(Resultados!A23,Resultados!J23,Resultados!S23,Resultados!AB23,Resultados!AK23,Resultados!AT23,Resultados!BC23,Resultados!BL23,Resultados!BU23,Resultados!CD23)=0, "", AVERAGE(ABS(Resultados!A23),ABS(Resultados!J23),ABS(Resultados!S23),ABS(Resultados!AB23),ABS(Resultados!AK23),ABS(Resultados!AT23),ABS(Resultados!BC23),ABS(Resultados!BL23),ABS(Resultados!BU23),ABS(Resultados!CD23)))</f>
        <v>45681</v>
      </c>
      <c r="B23" t="str">
        <f>IF(COUNT(Resultados!B23,Resultados!K23,Resultados!T23,Resultados!AC23,Resultados!AL23,Resultados!AU23,Resultados!BD23,Resultados!BM23,Resultados!BV23,Resultados!CE23)=0, "", AVERAGE(ABS(Resultados!B23),ABS(Resultados!K23),ABS(Resultados!T23),ABS(Resultados!AC23),ABS(Resultados!AL23),ABS(Resultados!AU23),ABS(Resultados!BD23),ABS(Resultados!BM23),ABS(Resultados!BV23),ABS(Resultados!CE23)))</f>
        <v/>
      </c>
      <c r="C23">
        <f>IF(COUNT(Resultados!C23,Resultados!L23,Resultados!U23,Resultados!AD23,Resultados!AM23,Resultados!AV23,Resultados!BE23,Resultados!BN23,Resultados!BW23,Resultados!CF23)=0, "", AVERAGE(ABS(Resultados!C23),ABS(Resultados!L23),ABS(Resultados!U23),ABS(Resultados!AD23),ABS(Resultados!AM23),ABS(Resultados!AV23),ABS(Resultados!BE23),ABS(Resultados!BN23),ABS(Resultados!BW23),ABS(Resultados!CF23)))</f>
        <v>2.5</v>
      </c>
      <c r="D23">
        <f>IF(COUNT(Resultados!D23,Resultados!M23,Resultados!V23,Resultados!AE23,Resultados!AN23,Resultados!AW23,Resultados!BF23,Resultados!BO23,Resultados!BX23,Resultados!CG23)=0, "", AVERAGE(ABS(Resultados!D23),ABS(Resultados!M23),ABS(Resultados!V23),ABS(Resultados!AE23),ABS(Resultados!AN23),ABS(Resultados!AW23),ABS(Resultados!BF23),ABS(Resultados!BO23),ABS(Resultados!BX23),ABS(Resultados!CG23)))</f>
        <v>6.6060000000000008E-2</v>
      </c>
      <c r="E23">
        <f>IF(COUNT(Resultados!E23,Resultados!N23,Resultados!W23,Resultados!AF23,Resultados!AO23,Resultados!AX23,Resultados!BG23,Resultados!BP23,Resultados!BY23,Resultados!CH23)=0, "", AVERAGE(ABS(Resultados!E23),ABS(Resultados!N23),ABS(Resultados!W23),ABS(Resultados!AF23),ABS(Resultados!AO23),ABS(Resultados!AX23),ABS(Resultados!BG23),ABS(Resultados!BP23),ABS(Resultados!BY23),ABS(Resultados!CH23)))</f>
        <v>10.025102548616113</v>
      </c>
      <c r="F23">
        <f>IF(COUNT(Resultados!F23,Resultados!O23,Resultados!X23,Resultados!AG23,Resultados!AP23,Resultados!AY23,Resultados!BH23,Resultados!BQ23,Resultados!BZ23,Resultados!CI23)=0, "", AVERAGE(ABS(Resultados!F23),ABS(Resultados!O23),ABS(Resultados!X23),ABS(Resultados!AG23),ABS(Resultados!AP23),ABS(Resultados!AY23),ABS(Resultados!BH23),ABS(Resultados!BQ23),ABS(Resultados!BZ23),ABS(Resultados!CI23)))</f>
        <v>982.33955753102202</v>
      </c>
      <c r="G23">
        <f>IF(COUNT(Resultados!G23,Resultados!P23,Resultados!Y23,Resultados!AH23,Resultados!AQ23,Resultados!AZ23,Resultados!BI23,Resultados!BR23,Resultados!CA23,Resultados!CJ23)=0, "", AVERAGE(ABS(Resultados!G23),ABS(Resultados!P23),ABS(Resultados!Y23),ABS(Resultados!AH23),ABS(Resultados!AQ23),ABS(Resultados!AZ23),ABS(Resultados!BI23),ABS(Resultados!BR23),ABS(Resultados!CA23),ABS(Resultados!CJ23)))</f>
        <v>0.42400000000000004</v>
      </c>
      <c r="H23">
        <f>IF(COUNT(Resultados!H23,Resultados!Q23,Resultados!Z23,Resultados!AI23,Resultados!AR23,Resultados!BA23,Resultados!BJ23,Resultados!BS23,Resultados!CB23,Resultados!CK23)=0, "", AVERAGE(ABS(Resultados!H23),ABS(Resultados!Q23),ABS(Resultados!Z23),ABS(Resultados!AI23),ABS(Resultados!AR23),ABS(Resultados!BA23),ABS(Resultados!BJ23),ABS(Resultados!BS23),ABS(Resultados!CB23),ABS(Resultados!CK23)))</f>
        <v>6.2600000000000003E-2</v>
      </c>
      <c r="I23">
        <f>IF(COUNT(Resultados!I23,Resultados!R23,Resultados!AA23,Resultados!AJ23,Resultados!AS23,Resultados!BB23,Resultados!BK23,Resultados!BT23,Resultados!CC23,Resultados!CL23)=0, "", AVERAGE(ABS(Resultados!I23),ABS(Resultados!R23),ABS(Resultados!AA23),ABS(Resultados!AJ23),ABS(Resultados!AS23),ABS(Resultados!BB23),ABS(Resultados!BK23),ABS(Resultados!BT23),ABS(Resultados!CC23),ABS(Resultados!CL23)))</f>
        <v>4.2001499999999963</v>
      </c>
      <c r="J23">
        <v>6.6060000000000008E-2</v>
      </c>
      <c r="K23">
        <v>6.2600000000000003E-2</v>
      </c>
    </row>
    <row r="24" spans="1:11" x14ac:dyDescent="0.3">
      <c r="A24">
        <f>IF(COUNT(Resultados!A24,Resultados!J24,Resultados!S24,Resultados!AB24,Resultados!AK24,Resultados!AT24,Resultados!BC24,Resultados!BL24,Resultados!BU24,Resultados!CD24)=0, "", AVERAGE(ABS(Resultados!A24),ABS(Resultados!J24),ABS(Resultados!S24),ABS(Resultados!AB24),ABS(Resultados!AK24),ABS(Resultados!AT24),ABS(Resultados!BC24),ABS(Resultados!BL24),ABS(Resultados!BU24),ABS(Resultados!CD24)))</f>
        <v>45681</v>
      </c>
      <c r="B24" t="str">
        <f>IF(COUNT(Resultados!B24,Resultados!K24,Resultados!T24,Resultados!AC24,Resultados!AL24,Resultados!AU24,Resultados!BD24,Resultados!BM24,Resultados!BV24,Resultados!CE24)=0, "", AVERAGE(ABS(Resultados!B24),ABS(Resultados!K24),ABS(Resultados!T24),ABS(Resultados!AC24),ABS(Resultados!AL24),ABS(Resultados!AU24),ABS(Resultados!BD24),ABS(Resultados!BM24),ABS(Resultados!BV24),ABS(Resultados!CE24)))</f>
        <v/>
      </c>
      <c r="C24">
        <f>IF(COUNT(Resultados!C24,Resultados!L24,Resultados!U24,Resultados!AD24,Resultados!AM24,Resultados!AV24,Resultados!BE24,Resultados!BN24,Resultados!BW24,Resultados!CF24)=0, "", AVERAGE(ABS(Resultados!C24),ABS(Resultados!L24),ABS(Resultados!U24),ABS(Resultados!AD24),ABS(Resultados!AM24),ABS(Resultados!AV24),ABS(Resultados!BE24),ABS(Resultados!BN24),ABS(Resultados!BW24),ABS(Resultados!CF24)))</f>
        <v>2.5</v>
      </c>
      <c r="D24">
        <f>IF(COUNT(Resultados!D24,Resultados!M24,Resultados!V24,Resultados!AE24,Resultados!AN24,Resultados!AW24,Resultados!BF24,Resultados!BO24,Resultados!BX24,Resultados!CG24)=0, "", AVERAGE(ABS(Resultados!D24),ABS(Resultados!M24),ABS(Resultados!V24),ABS(Resultados!AE24),ABS(Resultados!AN24),ABS(Resultados!AW24),ABS(Resultados!BF24),ABS(Resultados!BO24),ABS(Resultados!BX24),ABS(Resultados!CG24)))</f>
        <v>6.4059999999999992E-2</v>
      </c>
      <c r="E24">
        <f>IF(COUNT(Resultados!E24,Resultados!N24,Resultados!W24,Resultados!AF24,Resultados!AO24,Resultados!AX24,Resultados!BG24,Resultados!BP24,Resultados!BY24,Resultados!CH24)=0, "", AVERAGE(ABS(Resultados!E24),ABS(Resultados!N24),ABS(Resultados!W24),ABS(Resultados!AF24),ABS(Resultados!AO24),ABS(Resultados!AX24),ABS(Resultados!BG24),ABS(Resultados!BP24),ABS(Resultados!BY24),ABS(Resultados!CH24)))</f>
        <v>9.950601961224061</v>
      </c>
      <c r="F24">
        <f>IF(COUNT(Resultados!F24,Resultados!O24,Resultados!X24,Resultados!AG24,Resultados!AP24,Resultados!AY24,Resultados!BH24,Resultados!BQ24,Resultados!BZ24,Resultados!CI24)=0, "", AVERAGE(ABS(Resultados!F24),ABS(Resultados!O24),ABS(Resultados!X24),ABS(Resultados!AG24),ABS(Resultados!AP24),ABS(Resultados!AY24),ABS(Resultados!BH24),ABS(Resultados!BQ24),ABS(Resultados!BZ24),ABS(Resultados!CI24)))</f>
        <v>975.39610278608234</v>
      </c>
      <c r="G24">
        <f>IF(COUNT(Resultados!G24,Resultados!P24,Resultados!Y24,Resultados!AH24,Resultados!AQ24,Resultados!AZ24,Resultados!BI24,Resultados!BR24,Resultados!CA24,Resultados!CJ24)=0, "", AVERAGE(ABS(Resultados!G24),ABS(Resultados!P24),ABS(Resultados!Y24),ABS(Resultados!AH24),ABS(Resultados!AQ24),ABS(Resultados!AZ24),ABS(Resultados!BI24),ABS(Resultados!BR24),ABS(Resultados!CA24),ABS(Resultados!CJ24)))</f>
        <v>0.42400000000000004</v>
      </c>
      <c r="H24">
        <f>IF(COUNT(Resultados!H24,Resultados!Q24,Resultados!Z24,Resultados!AI24,Resultados!AR24,Resultados!BA24,Resultados!BJ24,Resultados!BS24,Resultados!CB24,Resultados!CK24)=0, "", AVERAGE(ABS(Resultados!H24),ABS(Resultados!Q24),ABS(Resultados!Z24),ABS(Resultados!AI24),ABS(Resultados!AR24),ABS(Resultados!BA24),ABS(Resultados!BJ24),ABS(Resultados!BS24),ABS(Resultados!CB24),ABS(Resultados!CK24)))</f>
        <v>6.1460000000000001E-2</v>
      </c>
      <c r="I24">
        <f>IF(COUNT(Resultados!I24,Resultados!R24,Resultados!AA24,Resultados!AJ24,Resultados!AS24,Resultados!BB24,Resultados!BK24,Resultados!BT24,Resultados!CC24,Resultados!CL24)=0, "", AVERAGE(ABS(Resultados!I24),ABS(Resultados!R24),ABS(Resultados!AA24),ABS(Resultados!AJ24),ABS(Resultados!AS24),ABS(Resultados!BB24),ABS(Resultados!BK24),ABS(Resultados!BT24),ABS(Resultados!CC24),ABS(Resultados!CL24)))</f>
        <v>4.3998949999999981</v>
      </c>
      <c r="J24">
        <v>6.4059999999999992E-2</v>
      </c>
      <c r="K24">
        <v>6.1460000000000001E-2</v>
      </c>
    </row>
    <row r="25" spans="1:11" x14ac:dyDescent="0.3">
      <c r="A25">
        <f>IF(COUNT(Resultados!A25,Resultados!J25,Resultados!S25,Resultados!AB25,Resultados!AK25,Resultados!AT25,Resultados!BC25,Resultados!BL25,Resultados!BU25,Resultados!CD25)=0, "", AVERAGE(ABS(Resultados!A25),ABS(Resultados!J25),ABS(Resultados!S25),ABS(Resultados!AB25),ABS(Resultados!AK25),ABS(Resultados!AT25),ABS(Resultados!BC25),ABS(Resultados!BL25),ABS(Resultados!BU25),ABS(Resultados!CD25)))</f>
        <v>45681</v>
      </c>
      <c r="B25" t="str">
        <f>IF(COUNT(Resultados!B25,Resultados!K25,Resultados!T25,Resultados!AC25,Resultados!AL25,Resultados!AU25,Resultados!BD25,Resultados!BM25,Resultados!BV25,Resultados!CE25)=0, "", AVERAGE(ABS(Resultados!B25),ABS(Resultados!K25),ABS(Resultados!T25),ABS(Resultados!AC25),ABS(Resultados!AL25),ABS(Resultados!AU25),ABS(Resultados!BD25),ABS(Resultados!BM25),ABS(Resultados!BV25),ABS(Resultados!CE25)))</f>
        <v/>
      </c>
      <c r="C25">
        <f>IF(COUNT(Resultados!C25,Resultados!L25,Resultados!U25,Resultados!AD25,Resultados!AM25,Resultados!AV25,Resultados!BE25,Resultados!BN25,Resultados!BW25,Resultados!CF25)=0, "", AVERAGE(ABS(Resultados!C25),ABS(Resultados!L25),ABS(Resultados!U25),ABS(Resultados!AD25),ABS(Resultados!AM25),ABS(Resultados!AV25),ABS(Resultados!BE25),ABS(Resultados!BN25),ABS(Resultados!BW25),ABS(Resultados!CF25)))</f>
        <v>2.5</v>
      </c>
      <c r="D25">
        <f>IF(COUNT(Resultados!D25,Resultados!M25,Resultados!V25,Resultados!AE25,Resultados!AN25,Resultados!AW25,Resultados!BF25,Resultados!BO25,Resultados!BX25,Resultados!CG25)=0, "", AVERAGE(ABS(Resultados!D25),ABS(Resultados!M25),ABS(Resultados!V25),ABS(Resultados!AE25),ABS(Resultados!AN25),ABS(Resultados!AW25),ABS(Resultados!BF25),ABS(Resultados!BO25),ABS(Resultados!BX25),ABS(Resultados!CG25)))</f>
        <v>6.2240000000000004E-2</v>
      </c>
      <c r="E25">
        <f>IF(COUNT(Resultados!E25,Resultados!N25,Resultados!W25,Resultados!AF25,Resultados!AO25,Resultados!AX25,Resultados!BG25,Resultados!BP25,Resultados!BY25,Resultados!CH25)=0, "", AVERAGE(ABS(Resultados!E25),ABS(Resultados!N25),ABS(Resultados!W25),ABS(Resultados!AF25),ABS(Resultados!AO25),ABS(Resultados!AX25),ABS(Resultados!BG25),ABS(Resultados!BP25),ABS(Resultados!BY25),ABS(Resultados!CH25)))</f>
        <v>9.8287484722975904</v>
      </c>
      <c r="F25">
        <f>IF(COUNT(Resultados!F25,Resultados!O25,Resultados!X25,Resultados!AG25,Resultados!AP25,Resultados!AY25,Resultados!BH25,Resultados!BQ25,Resultados!BZ25,Resultados!CI25)=0, "", AVERAGE(ABS(Resultados!F25),ABS(Resultados!O25),ABS(Resultados!X25),ABS(Resultados!AG25),ABS(Resultados!AP25),ABS(Resultados!AY25),ABS(Resultados!BH25),ABS(Resultados!BQ25),ABS(Resultados!BZ25),ABS(Resultados!CI25)))</f>
        <v>964.03935761813534</v>
      </c>
      <c r="G25">
        <f>IF(COUNT(Resultados!G25,Resultados!P25,Resultados!Y25,Resultados!AH25,Resultados!AQ25,Resultados!AZ25,Resultados!BI25,Resultados!BR25,Resultados!CA25,Resultados!CJ25)=0, "", AVERAGE(ABS(Resultados!G25),ABS(Resultados!P25),ABS(Resultados!Y25),ABS(Resultados!AH25),ABS(Resultados!AQ25),ABS(Resultados!AZ25),ABS(Resultados!BI25),ABS(Resultados!BR25),ABS(Resultados!CA25),ABS(Resultados!CJ25)))</f>
        <v>0.42400000000000004</v>
      </c>
      <c r="H25">
        <f>IF(COUNT(Resultados!H25,Resultados!Q25,Resultados!Z25,Resultados!AI25,Resultados!AR25,Resultados!BA25,Resultados!BJ25,Resultados!BS25,Resultados!CB25,Resultados!CK25)=0, "", AVERAGE(ABS(Resultados!H25),ABS(Resultados!Q25),ABS(Resultados!Z25),ABS(Resultados!AI25),ABS(Resultados!AR25),ABS(Resultados!BA25),ABS(Resultados!BJ25),ABS(Resultados!BS25),ABS(Resultados!CB25),ABS(Resultados!CK25)))</f>
        <v>5.9569999999999998E-2</v>
      </c>
      <c r="I25">
        <f>IF(COUNT(Resultados!I25,Resultados!R25,Resultados!AA25,Resultados!AJ25,Resultados!AS25,Resultados!BB25,Resultados!BK25,Resultados!BT25,Resultados!CC25,Resultados!CL25)=0, "", AVERAGE(ABS(Resultados!I25),ABS(Resultados!R25),ABS(Resultados!AA25),ABS(Resultados!AJ25),ABS(Resultados!AS25),ABS(Resultados!BB25),ABS(Resultados!BK25),ABS(Resultados!BT25),ABS(Resultados!CC25),ABS(Resultados!CL25)))</f>
        <v>4.5996500000000022</v>
      </c>
      <c r="J25">
        <v>6.2240000000000004E-2</v>
      </c>
      <c r="K25">
        <v>5.9569999999999998E-2</v>
      </c>
    </row>
    <row r="26" spans="1:11" x14ac:dyDescent="0.3">
      <c r="A26">
        <f>IF(COUNT(Resultados!A26,Resultados!J26,Resultados!S26,Resultados!AB26,Resultados!AK26,Resultados!AT26,Resultados!BC26,Resultados!BL26,Resultados!BU26,Resultados!CD26)=0, "", AVERAGE(ABS(Resultados!A26),ABS(Resultados!J26),ABS(Resultados!S26),ABS(Resultados!AB26),ABS(Resultados!AK26),ABS(Resultados!AT26),ABS(Resultados!BC26),ABS(Resultados!BL26),ABS(Resultados!BU26),ABS(Resultados!CD26)))</f>
        <v>45681</v>
      </c>
      <c r="B26" t="str">
        <f>IF(COUNT(Resultados!B26,Resultados!K26,Resultados!T26,Resultados!AC26,Resultados!AL26,Resultados!AU26,Resultados!BD26,Resultados!BM26,Resultados!BV26,Resultados!CE26)=0, "", AVERAGE(ABS(Resultados!B26),ABS(Resultados!K26),ABS(Resultados!T26),ABS(Resultados!AC26),ABS(Resultados!AL26),ABS(Resultados!AU26),ABS(Resultados!BD26),ABS(Resultados!BM26),ABS(Resultados!BV26),ABS(Resultados!CE26)))</f>
        <v/>
      </c>
      <c r="C26">
        <f>IF(COUNT(Resultados!C26,Resultados!L26,Resultados!U26,Resultados!AD26,Resultados!AM26,Resultados!AV26,Resultados!BE26,Resultados!BN26,Resultados!BW26,Resultados!CF26)=0, "", AVERAGE(ABS(Resultados!C26),ABS(Resultados!L26),ABS(Resultados!U26),ABS(Resultados!AD26),ABS(Resultados!AM26),ABS(Resultados!AV26),ABS(Resultados!BE26),ABS(Resultados!BN26),ABS(Resultados!BW26),ABS(Resultados!CF26)))</f>
        <v>2.5</v>
      </c>
      <c r="D26">
        <f>IF(COUNT(Resultados!D26,Resultados!M26,Resultados!V26,Resultados!AE26,Resultados!AN26,Resultados!AW26,Resultados!BF26,Resultados!BO26,Resultados!BX26,Resultados!CG26)=0, "", AVERAGE(ABS(Resultados!D26),ABS(Resultados!M26),ABS(Resultados!V26),ABS(Resultados!AE26),ABS(Resultados!AN26),ABS(Resultados!AW26),ABS(Resultados!BF26),ABS(Resultados!BO26),ABS(Resultados!BX26),ABS(Resultados!CG26)))</f>
        <v>6.0670000000000002E-2</v>
      </c>
      <c r="E26">
        <f>IF(COUNT(Resultados!E26,Resultados!N26,Resultados!W26,Resultados!AF26,Resultados!AO26,Resultados!AX26,Resultados!BG26,Resultados!BP26,Resultados!BY26,Resultados!CH26)=0, "", AVERAGE(ABS(Resultados!E26),ABS(Resultados!N26),ABS(Resultados!W26),ABS(Resultados!AF26),ABS(Resultados!AO26),ABS(Resultados!AX26),ABS(Resultados!BG26),ABS(Resultados!BP26),ABS(Resultados!BY26),ABS(Resultados!CH26)))</f>
        <v>9.6617170674865793</v>
      </c>
      <c r="F26">
        <f>IF(COUNT(Resultados!F26,Resultados!O26,Resultados!X26,Resultados!AG26,Resultados!AP26,Resultados!AY26,Resultados!BH26,Resultados!BQ26,Resultados!BZ26,Resultados!CI26)=0, "", AVERAGE(ABS(Resultados!F26),ABS(Resultados!O26),ABS(Resultados!X26),ABS(Resultados!AG26),ABS(Resultados!AP26),ABS(Resultados!AY26),ABS(Resultados!BH26),ABS(Resultados!BQ26),ABS(Resultados!BZ26),ABS(Resultados!CI26)))</f>
        <v>948.47203068974909</v>
      </c>
      <c r="G26">
        <f>IF(COUNT(Resultados!G26,Resultados!P26,Resultados!Y26,Resultados!AH26,Resultados!AQ26,Resultados!AZ26,Resultados!BI26,Resultados!BR26,Resultados!CA26,Resultados!CJ26)=0, "", AVERAGE(ABS(Resultados!G26),ABS(Resultados!P26),ABS(Resultados!Y26),ABS(Resultados!AH26),ABS(Resultados!AQ26),ABS(Resultados!AZ26),ABS(Resultados!BI26),ABS(Resultados!BR26),ABS(Resultados!CA26),ABS(Resultados!CJ26)))</f>
        <v>0.42400000000000004</v>
      </c>
      <c r="H26">
        <f>IF(COUNT(Resultados!H26,Resultados!Q26,Resultados!Z26,Resultados!AI26,Resultados!AR26,Resultados!BA26,Resultados!BJ26,Resultados!BS26,Resultados!CB26,Resultados!CK26)=0, "", AVERAGE(ABS(Resultados!H26),ABS(Resultados!Q26),ABS(Resultados!Z26),ABS(Resultados!AI26),ABS(Resultados!AR26),ABS(Resultados!BA26),ABS(Resultados!BJ26),ABS(Resultados!BS26),ABS(Resultados!CB26),ABS(Resultados!CK26)))</f>
        <v>5.697E-2</v>
      </c>
      <c r="I26">
        <f>IF(COUNT(Resultados!I26,Resultados!R26,Resultados!AA26,Resultados!AJ26,Resultados!AS26,Resultados!BB26,Resultados!BK26,Resultados!BT26,Resultados!CC26,Resultados!CL26)=0, "", AVERAGE(ABS(Resultados!I26),ABS(Resultados!R26),ABS(Resultados!AA26),ABS(Resultados!AJ26),ABS(Resultados!AS26),ABS(Resultados!BB26),ABS(Resultados!BK26),ABS(Resultados!BT26),ABS(Resultados!CC26),ABS(Resultados!CL26)))</f>
        <v>4.8002879999999966</v>
      </c>
      <c r="J26">
        <v>6.0670000000000002E-2</v>
      </c>
      <c r="K26">
        <v>5.697E-2</v>
      </c>
    </row>
    <row r="27" spans="1:11" x14ac:dyDescent="0.3">
      <c r="A27">
        <f>IF(COUNT(Resultados!A27,Resultados!J27,Resultados!S27,Resultados!AB27,Resultados!AK27,Resultados!AT27,Resultados!BC27,Resultados!BL27,Resultados!BU27,Resultados!CD27)=0, "", AVERAGE(ABS(Resultados!A27),ABS(Resultados!J27),ABS(Resultados!S27),ABS(Resultados!AB27),ABS(Resultados!AK27),ABS(Resultados!AT27),ABS(Resultados!BC27),ABS(Resultados!BL27),ABS(Resultados!BU27),ABS(Resultados!CD27)))</f>
        <v>45681</v>
      </c>
      <c r="B27" t="str">
        <f>IF(COUNT(Resultados!B27,Resultados!K27,Resultados!T27,Resultados!AC27,Resultados!AL27,Resultados!AU27,Resultados!BD27,Resultados!BM27,Resultados!BV27,Resultados!CE27)=0, "", AVERAGE(ABS(Resultados!B27),ABS(Resultados!K27),ABS(Resultados!T27),ABS(Resultados!AC27),ABS(Resultados!AL27),ABS(Resultados!AU27),ABS(Resultados!BD27),ABS(Resultados!BM27),ABS(Resultados!BV27),ABS(Resultados!CE27)))</f>
        <v/>
      </c>
      <c r="C27">
        <f>IF(COUNT(Resultados!C27,Resultados!L27,Resultados!U27,Resultados!AD27,Resultados!AM27,Resultados!AV27,Resultados!BE27,Resultados!BN27,Resultados!BW27,Resultados!CF27)=0, "", AVERAGE(ABS(Resultados!C27),ABS(Resultados!L27),ABS(Resultados!U27),ABS(Resultados!AD27),ABS(Resultados!AM27),ABS(Resultados!AV27),ABS(Resultados!BE27),ABS(Resultados!BN27),ABS(Resultados!BW27),ABS(Resultados!CF27)))</f>
        <v>2.5</v>
      </c>
      <c r="D27">
        <f>IF(COUNT(Resultados!D27,Resultados!M27,Resultados!V27,Resultados!AE27,Resultados!AN27,Resultados!AW27,Resultados!BF27,Resultados!BO27,Resultados!BX27,Resultados!CG27)=0, "", AVERAGE(ABS(Resultados!D27),ABS(Resultados!M27),ABS(Resultados!V27),ABS(Resultados!AE27),ABS(Resultados!AN27),ABS(Resultados!AW27),ABS(Resultados!BF27),ABS(Resultados!BO27),ABS(Resultados!BX27),ABS(Resultados!CG27)))</f>
        <v>5.8560000000000001E-2</v>
      </c>
      <c r="E27">
        <f>IF(COUNT(Resultados!E27,Resultados!N27,Resultados!W27,Resultados!AF27,Resultados!AO27,Resultados!AX27,Resultados!BG27,Resultados!BP27,Resultados!BY27,Resultados!CH27)=0, "", AVERAGE(ABS(Resultados!E27),ABS(Resultados!N27),ABS(Resultados!W27),ABS(Resultados!AF27),ABS(Resultados!AO27),ABS(Resultados!AX27),ABS(Resultados!BG27),ABS(Resultados!BP27),ABS(Resultados!BY27),ABS(Resultados!CH27)))</f>
        <v>9.4557119763774367</v>
      </c>
      <c r="F27">
        <f>IF(COUNT(Resultados!F27,Resultados!O27,Resultados!X27,Resultados!AG27,Resultados!AP27,Resultados!AY27,Resultados!BH27,Resultados!BQ27,Resultados!BZ27,Resultados!CI27)=0, "", AVERAGE(ABS(Resultados!F27),ABS(Resultados!O27),ABS(Resultados!X27),ABS(Resultados!AG27),ABS(Resultados!AP27),ABS(Resultados!AY27),ABS(Resultados!BH27),ABS(Resultados!BQ27),ABS(Resultados!BZ27),ABS(Resultados!CI27)))</f>
        <v>929.27235619837722</v>
      </c>
      <c r="G27">
        <f>IF(COUNT(Resultados!G27,Resultados!P27,Resultados!Y27,Resultados!AH27,Resultados!AQ27,Resultados!AZ27,Resultados!BI27,Resultados!BR27,Resultados!CA27,Resultados!CJ27)=0, "", AVERAGE(ABS(Resultados!G27),ABS(Resultados!P27),ABS(Resultados!Y27),ABS(Resultados!AH27),ABS(Resultados!AQ27),ABS(Resultados!AZ27),ABS(Resultados!BI27),ABS(Resultados!BR27),ABS(Resultados!CA27),ABS(Resultados!CJ27)))</f>
        <v>0.42400000000000004</v>
      </c>
      <c r="H27">
        <f>IF(COUNT(Resultados!H27,Resultados!Q27,Resultados!Z27,Resultados!AI27,Resultados!AR27,Resultados!BA27,Resultados!BJ27,Resultados!BS27,Resultados!CB27,Resultados!CK27)=0, "", AVERAGE(ABS(Resultados!H27),ABS(Resultados!Q27),ABS(Resultados!Z27),ABS(Resultados!AI27),ABS(Resultados!AR27),ABS(Resultados!BA27),ABS(Resultados!BJ27),ABS(Resultados!BS27),ABS(Resultados!CB27),ABS(Resultados!CK27)))</f>
        <v>5.3780000000000008E-2</v>
      </c>
      <c r="I27">
        <f>IF(COUNT(Resultados!I27,Resultados!R27,Resultados!AA27,Resultados!AJ27,Resultados!AS27,Resultados!BB27,Resultados!BK27,Resultados!BT27,Resultados!CC27,Resultados!CL27)=0, "", AVERAGE(ABS(Resultados!I27),ABS(Resultados!R27),ABS(Resultados!AA27),ABS(Resultados!AJ27),ABS(Resultados!AS27),ABS(Resultados!BB27),ABS(Resultados!BK27),ABS(Resultados!BT27),ABS(Resultados!CC27),ABS(Resultados!CL27)))</f>
        <v>4.9994639999999997</v>
      </c>
      <c r="J27">
        <v>5.8560000000000001E-2</v>
      </c>
      <c r="K27">
        <v>5.3780000000000008E-2</v>
      </c>
    </row>
    <row r="28" spans="1:11" x14ac:dyDescent="0.3">
      <c r="A28">
        <f>IF(COUNT(Resultados!A28,Resultados!J28,Resultados!S28,Resultados!AB28,Resultados!AK28,Resultados!AT28,Resultados!BC28,Resultados!BL28,Resultados!BU28,Resultados!CD28)=0, "", AVERAGE(ABS(Resultados!A28),ABS(Resultados!J28),ABS(Resultados!S28),ABS(Resultados!AB28),ABS(Resultados!AK28),ABS(Resultados!AT28),ABS(Resultados!BC28),ABS(Resultados!BL28),ABS(Resultados!BU28),ABS(Resultados!CD28)))</f>
        <v>45681</v>
      </c>
      <c r="B28" t="str">
        <f>IF(COUNT(Resultados!B28,Resultados!K28,Resultados!T28,Resultados!AC28,Resultados!AL28,Resultados!AU28,Resultados!BD28,Resultados!BM28,Resultados!BV28,Resultados!CE28)=0, "", AVERAGE(ABS(Resultados!B28),ABS(Resultados!K28),ABS(Resultados!T28),ABS(Resultados!AC28),ABS(Resultados!AL28),ABS(Resultados!AU28),ABS(Resultados!BD28),ABS(Resultados!BM28),ABS(Resultados!BV28),ABS(Resultados!CE28)))</f>
        <v/>
      </c>
      <c r="C28">
        <f>IF(COUNT(Resultados!C28,Resultados!L28,Resultados!U28,Resultados!AD28,Resultados!AM28,Resultados!AV28,Resultados!BE28,Resultados!BN28,Resultados!BW28,Resultados!CF28)=0, "", AVERAGE(ABS(Resultados!C28),ABS(Resultados!L28),ABS(Resultados!U28),ABS(Resultados!AD28),ABS(Resultados!AM28),ABS(Resultados!AV28),ABS(Resultados!BE28),ABS(Resultados!BN28),ABS(Resultados!BW28),ABS(Resultados!CF28)))</f>
        <v>2.5</v>
      </c>
      <c r="D28">
        <f>IF(COUNT(Resultados!D28,Resultados!M28,Resultados!V28,Resultados!AE28,Resultados!AN28,Resultados!AW28,Resultados!BF28,Resultados!BO28,Resultados!BX28,Resultados!CG28)=0, "", AVERAGE(ABS(Resultados!D28),ABS(Resultados!M28),ABS(Resultados!V28),ABS(Resultados!AE28),ABS(Resultados!AN28),ABS(Resultados!AW28),ABS(Resultados!BF28),ABS(Resultados!BO28),ABS(Resultados!BX28),ABS(Resultados!CG28)))</f>
        <v>5.527E-2</v>
      </c>
      <c r="E28">
        <f>IF(COUNT(Resultados!E28,Resultados!N28,Resultados!W28,Resultados!AF28,Resultados!AO28,Resultados!AX28,Resultados!BG28,Resultados!BP28,Resultados!BY28,Resultados!CH28)=0, "", AVERAGE(ABS(Resultados!E28),ABS(Resultados!N28),ABS(Resultados!W28),ABS(Resultados!AF28),ABS(Resultados!AO28),ABS(Resultados!AX28),ABS(Resultados!BG28),ABS(Resultados!BP28),ABS(Resultados!BY28),ABS(Resultados!CH28)))</f>
        <v>9.2133402947982717</v>
      </c>
      <c r="F28">
        <f>IF(COUNT(Resultados!F28,Resultados!O28,Resultados!X28,Resultados!AG28,Resultados!AP28,Resultados!AY28,Resultados!BH28,Resultados!BQ28,Resultados!BZ28,Resultados!CI28)=0, "", AVERAGE(ABS(Resultados!F28),ABS(Resultados!O28),ABS(Resultados!X28),ABS(Resultados!AG28),ABS(Resultados!AP28),ABS(Resultados!AY28),ABS(Resultados!BH28),ABS(Resultados!BQ28),ABS(Resultados!BZ28),ABS(Resultados!CI28)))</f>
        <v>906.68331547519904</v>
      </c>
      <c r="G28">
        <f>IF(COUNT(Resultados!G28,Resultados!P28,Resultados!Y28,Resultados!AH28,Resultados!AQ28,Resultados!AZ28,Resultados!BI28,Resultados!BR28,Resultados!CA28,Resultados!CJ28)=0, "", AVERAGE(ABS(Resultados!G28),ABS(Resultados!P28),ABS(Resultados!Y28),ABS(Resultados!AH28),ABS(Resultados!AQ28),ABS(Resultados!AZ28),ABS(Resultados!BI28),ABS(Resultados!BR28),ABS(Resultados!CA28),ABS(Resultados!CJ28)))</f>
        <v>0.42400000000000004</v>
      </c>
      <c r="H28">
        <f>IF(COUNT(Resultados!H28,Resultados!Q28,Resultados!Z28,Resultados!AI28,Resultados!AR28,Resultados!BA28,Resultados!BJ28,Resultados!BS28,Resultados!CB28,Resultados!CK28)=0, "", AVERAGE(ABS(Resultados!H28),ABS(Resultados!Q28),ABS(Resultados!Z28),ABS(Resultados!AI28),ABS(Resultados!AR28),ABS(Resultados!BA28),ABS(Resultados!BJ28),ABS(Resultados!BS28),ABS(Resultados!CB28),ABS(Resultados!CK28)))</f>
        <v>4.9999999999999996E-2</v>
      </c>
      <c r="I28">
        <f>IF(COUNT(Resultados!I28,Resultados!R28,Resultados!AA28,Resultados!AJ28,Resultados!AS28,Resultados!BB28,Resultados!BK28,Resultados!BT28,Resultados!CC28,Resultados!CL28)=0, "", AVERAGE(ABS(Resultados!I28),ABS(Resultados!R28),ABS(Resultados!AA28),ABS(Resultados!AJ28),ABS(Resultados!AS28),ABS(Resultados!BB28),ABS(Resultados!BK28),ABS(Resultados!BT28),ABS(Resultados!CC28),ABS(Resultados!CL28)))</f>
        <v>5.1997169999999988</v>
      </c>
      <c r="J28">
        <v>5.527E-2</v>
      </c>
      <c r="K28">
        <v>4.9999999999999996E-2</v>
      </c>
    </row>
    <row r="29" spans="1:11" x14ac:dyDescent="0.3">
      <c r="A29">
        <f>IF(COUNT(Resultados!A29,Resultados!J29,Resultados!S29,Resultados!AB29,Resultados!AK29,Resultados!AT29,Resultados!BC29,Resultados!BL29,Resultados!BU29,Resultados!CD29)=0, "", AVERAGE(ABS(Resultados!A29),ABS(Resultados!J29),ABS(Resultados!S29),ABS(Resultados!AB29),ABS(Resultados!AK29),ABS(Resultados!AT29),ABS(Resultados!BC29),ABS(Resultados!BL29),ABS(Resultados!BU29),ABS(Resultados!CD29)))</f>
        <v>45681</v>
      </c>
      <c r="B29" t="str">
        <f>IF(COUNT(Resultados!B29,Resultados!K29,Resultados!T29,Resultados!AC29,Resultados!AL29,Resultados!AU29,Resultados!BD29,Resultados!BM29,Resultados!BV29,Resultados!CE29)=0, "", AVERAGE(ABS(Resultados!B29),ABS(Resultados!K29),ABS(Resultados!T29),ABS(Resultados!AC29),ABS(Resultados!AL29),ABS(Resultados!AU29),ABS(Resultados!BD29),ABS(Resultados!BM29),ABS(Resultados!BV29),ABS(Resultados!CE29)))</f>
        <v/>
      </c>
      <c r="C29">
        <f>IF(COUNT(Resultados!C29,Resultados!L29,Resultados!U29,Resultados!AD29,Resultados!AM29,Resultados!AV29,Resultados!BE29,Resultados!BN29,Resultados!BW29,Resultados!CF29)=0, "", AVERAGE(ABS(Resultados!C29),ABS(Resultados!L29),ABS(Resultados!U29),ABS(Resultados!AD29),ABS(Resultados!AM29),ABS(Resultados!AV29),ABS(Resultados!BE29),ABS(Resultados!BN29),ABS(Resultados!BW29),ABS(Resultados!CF29)))</f>
        <v>2.5</v>
      </c>
      <c r="D29">
        <f>IF(COUNT(Resultados!D29,Resultados!M29,Resultados!V29,Resultados!AE29,Resultados!AN29,Resultados!AW29,Resultados!BF29,Resultados!BO29,Resultados!BX29,Resultados!CG29)=0, "", AVERAGE(ABS(Resultados!D29),ABS(Resultados!M29),ABS(Resultados!V29),ABS(Resultados!AE29),ABS(Resultados!AN29),ABS(Resultados!AW29),ABS(Resultados!BF29),ABS(Resultados!BO29),ABS(Resultados!BX29),ABS(Resultados!CG29)))</f>
        <v>5.0760000000000007E-2</v>
      </c>
      <c r="E29">
        <f>IF(COUNT(Resultados!E29,Resultados!N29,Resultados!W29,Resultados!AF29,Resultados!AO29,Resultados!AX29,Resultados!BG29,Resultados!BP29,Resultados!BY29,Resultados!CH29)=0, "", AVERAGE(ABS(Resultados!E29),ABS(Resultados!N29),ABS(Resultados!W29),ABS(Resultados!AF29),ABS(Resultados!AO29),ABS(Resultados!AX29),ABS(Resultados!BG29),ABS(Resultados!BP29),ABS(Resultados!BY29),ABS(Resultados!CH29)))</f>
        <v>8.9417374970069332</v>
      </c>
      <c r="F29">
        <f>IF(COUNT(Resultados!F29,Resultados!O29,Resultados!X29,Resultados!AG29,Resultados!AP29,Resultados!AY29,Resultados!BH29,Resultados!BQ29,Resultados!BZ29,Resultados!CI29)=0, "", AVERAGE(ABS(Resultados!F29),ABS(Resultados!O29),ABS(Resultados!X29),ABS(Resultados!AG29),ABS(Resultados!AP29),ABS(Resultados!AY29),ABS(Resultados!BH29),ABS(Resultados!BQ29),ABS(Resultados!BZ29),ABS(Resultados!CI29)))</f>
        <v>881.36993472104621</v>
      </c>
      <c r="G29">
        <f>IF(COUNT(Resultados!G29,Resultados!P29,Resultados!Y29,Resultados!AH29,Resultados!AQ29,Resultados!AZ29,Resultados!BI29,Resultados!BR29,Resultados!CA29,Resultados!CJ29)=0, "", AVERAGE(ABS(Resultados!G29),ABS(Resultados!P29),ABS(Resultados!Y29),ABS(Resultados!AH29),ABS(Resultados!AQ29),ABS(Resultados!AZ29),ABS(Resultados!BI29),ABS(Resultados!BR29),ABS(Resultados!CA29),ABS(Resultados!CJ29)))</f>
        <v>0.42400000000000004</v>
      </c>
      <c r="H29">
        <f>IF(COUNT(Resultados!H29,Resultados!Q29,Resultados!Z29,Resultados!AI29,Resultados!AR29,Resultados!BA29,Resultados!BJ29,Resultados!BS29,Resultados!CB29,Resultados!CK29)=0, "", AVERAGE(ABS(Resultados!H29),ABS(Resultados!Q29),ABS(Resultados!Z29),ABS(Resultados!AI29),ABS(Resultados!AR29),ABS(Resultados!BA29),ABS(Resultados!BJ29),ABS(Resultados!BS29),ABS(Resultados!CB29),ABS(Resultados!CK29)))</f>
        <v>4.5780000000000001E-2</v>
      </c>
      <c r="I29">
        <f>IF(COUNT(Resultados!I29,Resultados!R29,Resultados!AA29,Resultados!AJ29,Resultados!AS29,Resultados!BB29,Resultados!BK29,Resultados!BT29,Resultados!CC29,Resultados!CL29)=0, "", AVERAGE(ABS(Resultados!I29),ABS(Resultados!R29),ABS(Resultados!AA29),ABS(Resultados!AJ29),ABS(Resultados!AS29),ABS(Resultados!BB29),ABS(Resultados!BK29),ABS(Resultados!BT29),ABS(Resultados!CC29),ABS(Resultados!CL29)))</f>
        <v>5.3998759999999981</v>
      </c>
      <c r="J29">
        <v>5.0760000000000007E-2</v>
      </c>
      <c r="K29">
        <v>4.5780000000000001E-2</v>
      </c>
    </row>
    <row r="30" spans="1:11" x14ac:dyDescent="0.3">
      <c r="A30">
        <f>IF(COUNT(Resultados!A30,Resultados!J30,Resultados!S30,Resultados!AB30,Resultados!AK30,Resultados!AT30,Resultados!BC30,Resultados!BL30,Resultados!BU30,Resultados!CD30)=0, "", AVERAGE(ABS(Resultados!A30),ABS(Resultados!J30),ABS(Resultados!S30),ABS(Resultados!AB30),ABS(Resultados!AK30),ABS(Resultados!AT30),ABS(Resultados!BC30),ABS(Resultados!BL30),ABS(Resultados!BU30),ABS(Resultados!CD30)))</f>
        <v>45681</v>
      </c>
      <c r="B30" t="str">
        <f>IF(COUNT(Resultados!B30,Resultados!K30,Resultados!T30,Resultados!AC30,Resultados!AL30,Resultados!AU30,Resultados!BD30,Resultados!BM30,Resultados!BV30,Resultados!CE30)=0, "", AVERAGE(ABS(Resultados!B30),ABS(Resultados!K30),ABS(Resultados!T30),ABS(Resultados!AC30),ABS(Resultados!AL30),ABS(Resultados!AU30),ABS(Resultados!BD30),ABS(Resultados!BM30),ABS(Resultados!BV30),ABS(Resultados!CE30)))</f>
        <v/>
      </c>
      <c r="C30">
        <f>IF(COUNT(Resultados!C30,Resultados!L30,Resultados!U30,Resultados!AD30,Resultados!AM30,Resultados!AV30,Resultados!BE30,Resultados!BN30,Resultados!BW30,Resultados!CF30)=0, "", AVERAGE(ABS(Resultados!C30),ABS(Resultados!L30),ABS(Resultados!U30),ABS(Resultados!AD30),ABS(Resultados!AM30),ABS(Resultados!AV30),ABS(Resultados!BE30),ABS(Resultados!BN30),ABS(Resultados!BW30),ABS(Resultados!CF30)))</f>
        <v>2.5</v>
      </c>
      <c r="D30">
        <f>IF(COUNT(Resultados!D30,Resultados!M30,Resultados!V30,Resultados!AE30,Resultados!AN30,Resultados!AW30,Resultados!BF30,Resultados!BO30,Resultados!BX30,Resultados!CG30)=0, "", AVERAGE(ABS(Resultados!D30),ABS(Resultados!M30),ABS(Resultados!V30),ABS(Resultados!AE30),ABS(Resultados!AN30),ABS(Resultados!AW30),ABS(Resultados!BF30),ABS(Resultados!BO30),ABS(Resultados!BX30),ABS(Resultados!CG30)))</f>
        <v>4.6129999999999997E-2</v>
      </c>
      <c r="E30">
        <f>IF(COUNT(Resultados!E30,Resultados!N30,Resultados!W30,Resultados!AF30,Resultados!AO30,Resultados!AX30,Resultados!BG30,Resultados!BP30,Resultados!BY30,Resultados!CH30)=0, "", AVERAGE(ABS(Resultados!E30),ABS(Resultados!N30),ABS(Resultados!W30),ABS(Resultados!AF30),ABS(Resultados!AO30),ABS(Resultados!AX30),ABS(Resultados!BG30),ABS(Resultados!BP30),ABS(Resultados!BY30),ABS(Resultados!CH30)))</f>
        <v>8.6479471370422498</v>
      </c>
      <c r="F30">
        <f>IF(COUNT(Resultados!F30,Resultados!O30,Resultados!X30,Resultados!AG30,Resultados!AP30,Resultados!AY30,Resultados!BH30,Resultados!BQ30,Resultados!BZ30,Resultados!CI30)=0, "", AVERAGE(ABS(Resultados!F30),ABS(Resultados!O30),ABS(Resultados!X30),ABS(Resultados!AG30),ABS(Resultados!AP30),ABS(Resultados!AY30),ABS(Resultados!BH30),ABS(Resultados!BQ30),ABS(Resultados!BZ30),ABS(Resultados!CI30)))</f>
        <v>853.98867317233783</v>
      </c>
      <c r="G30">
        <f>IF(COUNT(Resultados!G30,Resultados!P30,Resultados!Y30,Resultados!AH30,Resultados!AQ30,Resultados!AZ30,Resultados!BI30,Resultados!BR30,Resultados!CA30,Resultados!CJ30)=0, "", AVERAGE(ABS(Resultados!G30),ABS(Resultados!P30),ABS(Resultados!Y30),ABS(Resultados!AH30),ABS(Resultados!AQ30),ABS(Resultados!AZ30),ABS(Resultados!BI30),ABS(Resultados!BR30),ABS(Resultados!CA30),ABS(Resultados!CJ30)))</f>
        <v>0.42400000000000004</v>
      </c>
      <c r="H30">
        <f>IF(COUNT(Resultados!H30,Resultados!Q30,Resultados!Z30,Resultados!AI30,Resultados!AR30,Resultados!BA30,Resultados!BJ30,Resultados!BS30,Resultados!CB30,Resultados!CK30)=0, "", AVERAGE(ABS(Resultados!H30),ABS(Resultados!Q30),ABS(Resultados!Z30),ABS(Resultados!AI30),ABS(Resultados!AR30),ABS(Resultados!BA30),ABS(Resultados!BJ30),ABS(Resultados!BS30),ABS(Resultados!CB30),ABS(Resultados!CK30)))</f>
        <v>4.1200000000000001E-2</v>
      </c>
      <c r="I30">
        <f>IF(COUNT(Resultados!I30,Resultados!R30,Resultados!AA30,Resultados!AJ30,Resultados!AS30,Resultados!BB30,Resultados!BK30,Resultados!BT30,Resultados!CC30,Resultados!CL30)=0, "", AVERAGE(ABS(Resultados!I30),ABS(Resultados!R30),ABS(Resultados!AA30),ABS(Resultados!AJ30),ABS(Resultados!AS30),ABS(Resultados!BB30),ABS(Resultados!BK30),ABS(Resultados!BT30),ABS(Resultados!CC30),ABS(Resultados!CL30)))</f>
        <v>5.5997299999999921</v>
      </c>
      <c r="J30">
        <v>4.6129999999999997E-2</v>
      </c>
      <c r="K30">
        <v>4.1200000000000001E-2</v>
      </c>
    </row>
    <row r="31" spans="1:11" x14ac:dyDescent="0.3">
      <c r="A31">
        <f>IF(COUNT(Resultados!A31,Resultados!J31,Resultados!S31,Resultados!AB31,Resultados!AK31,Resultados!AT31,Resultados!BC31,Resultados!BL31,Resultados!BU31,Resultados!CD31)=0, "", AVERAGE(ABS(Resultados!A31),ABS(Resultados!J31),ABS(Resultados!S31),ABS(Resultados!AB31),ABS(Resultados!AK31),ABS(Resultados!AT31),ABS(Resultados!BC31),ABS(Resultados!BL31),ABS(Resultados!BU31),ABS(Resultados!CD31)))</f>
        <v>45681</v>
      </c>
      <c r="B31" t="str">
        <f>IF(COUNT(Resultados!B31,Resultados!K31,Resultados!T31,Resultados!AC31,Resultados!AL31,Resultados!AU31,Resultados!BD31,Resultados!BM31,Resultados!BV31,Resultados!CE31)=0, "", AVERAGE(ABS(Resultados!B31),ABS(Resultados!K31),ABS(Resultados!T31),ABS(Resultados!AC31),ABS(Resultados!AL31),ABS(Resultados!AU31),ABS(Resultados!BD31),ABS(Resultados!BM31),ABS(Resultados!BV31),ABS(Resultados!CE31)))</f>
        <v/>
      </c>
      <c r="C31">
        <f>IF(COUNT(Resultados!C31,Resultados!L31,Resultados!U31,Resultados!AD31,Resultados!AM31,Resultados!AV31,Resultados!BE31,Resultados!BN31,Resultados!BW31,Resultados!CF31)=0, "", AVERAGE(ABS(Resultados!C31),ABS(Resultados!L31),ABS(Resultados!U31),ABS(Resultados!AD31),ABS(Resultados!AM31),ABS(Resultados!AV31),ABS(Resultados!BE31),ABS(Resultados!BN31),ABS(Resultados!BW31),ABS(Resultados!CF31)))</f>
        <v>2.5</v>
      </c>
      <c r="D31">
        <f>IF(COUNT(Resultados!D31,Resultados!M31,Resultados!V31,Resultados!AE31,Resultados!AN31,Resultados!AW31,Resultados!BF31,Resultados!BO31,Resultados!BX31,Resultados!CG31)=0, "", AVERAGE(ABS(Resultados!D31),ABS(Resultados!M31),ABS(Resultados!V31),ABS(Resultados!AE31),ABS(Resultados!AN31),ABS(Resultados!AW31),ABS(Resultados!BF31),ABS(Resultados!BO31),ABS(Resultados!BX31),ABS(Resultados!CG31)))</f>
        <v>4.1580000000000006E-2</v>
      </c>
      <c r="E31">
        <f>IF(COUNT(Resultados!E31,Resultados!N31,Resultados!W31,Resultados!AF31,Resultados!AO31,Resultados!AX31,Resultados!BG31,Resultados!BP31,Resultados!BY31,Resultados!CH31)=0, "", AVERAGE(ABS(Resultados!E31),ABS(Resultados!N31),ABS(Resultados!W31),ABS(Resultados!AF31),ABS(Resultados!AO31),ABS(Resultados!AX31),ABS(Resultados!BG31),ABS(Resultados!BP31),ABS(Resultados!BY31),ABS(Resultados!CH31)))</f>
        <v>8.3382808536922965</v>
      </c>
      <c r="F31">
        <f>IF(COUNT(Resultados!F31,Resultados!O31,Resultados!X31,Resultados!AG31,Resultados!AP31,Resultados!AY31,Resultados!BH31,Resultados!BQ31,Resultados!BZ31,Resultados!CI31)=0, "", AVERAGE(ABS(Resultados!F31),ABS(Resultados!O31),ABS(Resultados!X31),ABS(Resultados!AG31),ABS(Resultados!AP31),ABS(Resultados!AY31),ABS(Resultados!BH31),ABS(Resultados!BQ31),ABS(Resultados!BZ31),ABS(Resultados!CI31)))</f>
        <v>825.12777556412198</v>
      </c>
      <c r="G31">
        <f>IF(COUNT(Resultados!G31,Resultados!P31,Resultados!Y31,Resultados!AH31,Resultados!AQ31,Resultados!AZ31,Resultados!BI31,Resultados!BR31,Resultados!CA31,Resultados!CJ31)=0, "", AVERAGE(ABS(Resultados!G31),ABS(Resultados!P31),ABS(Resultados!Y31),ABS(Resultados!AH31),ABS(Resultados!AQ31),ABS(Resultados!AZ31),ABS(Resultados!BI31),ABS(Resultados!BR31),ABS(Resultados!CA31),ABS(Resultados!CJ31)))</f>
        <v>0.42400000000000004</v>
      </c>
      <c r="H31">
        <f>IF(COUNT(Resultados!H31,Resultados!Q31,Resultados!Z31,Resultados!AI31,Resultados!AR31,Resultados!BA31,Resultados!BJ31,Resultados!BS31,Resultados!CB31,Resultados!CK31)=0, "", AVERAGE(ABS(Resultados!H31),ABS(Resultados!Q31),ABS(Resultados!Z31),ABS(Resultados!AI31),ABS(Resultados!AR31),ABS(Resultados!BA31),ABS(Resultados!BJ31),ABS(Resultados!BS31),ABS(Resultados!CB31),ABS(Resultados!CK31)))</f>
        <v>3.6389999999999999E-2</v>
      </c>
      <c r="I31">
        <f>IF(COUNT(Resultados!I31,Resultados!R31,Resultados!AA31,Resultados!AJ31,Resultados!AS31,Resultados!BB31,Resultados!BK31,Resultados!BT31,Resultados!CC31,Resultados!CL31)=0, "", AVERAGE(ABS(Resultados!I31),ABS(Resultados!R31),ABS(Resultados!AA31),ABS(Resultados!AJ31),ABS(Resultados!AS31),ABS(Resultados!BB31),ABS(Resultados!BK31),ABS(Resultados!BT31),ABS(Resultados!CC31),ABS(Resultados!CL31)))</f>
        <v>5.7999000000000001</v>
      </c>
      <c r="J31">
        <v>4.1580000000000006E-2</v>
      </c>
      <c r="K31">
        <v>3.6389999999999999E-2</v>
      </c>
    </row>
    <row r="32" spans="1:11" x14ac:dyDescent="0.3">
      <c r="A32">
        <f>IF(COUNT(Resultados!A32,Resultados!J32,Resultados!S32,Resultados!AB32,Resultados!AK32,Resultados!AT32,Resultados!BC32,Resultados!BL32,Resultados!BU32,Resultados!CD32)=0, "", AVERAGE(ABS(Resultados!A32),ABS(Resultados!J32),ABS(Resultados!S32),ABS(Resultados!AB32),ABS(Resultados!AK32),ABS(Resultados!AT32),ABS(Resultados!BC32),ABS(Resultados!BL32),ABS(Resultados!BU32),ABS(Resultados!CD32)))</f>
        <v>45681</v>
      </c>
      <c r="B32" t="str">
        <f>IF(COUNT(Resultados!B32,Resultados!K32,Resultados!T32,Resultados!AC32,Resultados!AL32,Resultados!AU32,Resultados!BD32,Resultados!BM32,Resultados!BV32,Resultados!CE32)=0, "", AVERAGE(ABS(Resultados!B32),ABS(Resultados!K32),ABS(Resultados!T32),ABS(Resultados!AC32),ABS(Resultados!AL32),ABS(Resultados!AU32),ABS(Resultados!BD32),ABS(Resultados!BM32),ABS(Resultados!BV32),ABS(Resultados!CE32)))</f>
        <v/>
      </c>
      <c r="C32">
        <f>IF(COUNT(Resultados!C32,Resultados!L32,Resultados!U32,Resultados!AD32,Resultados!AM32,Resultados!AV32,Resultados!BE32,Resultados!BN32,Resultados!BW32,Resultados!CF32)=0, "", AVERAGE(ABS(Resultados!C32),ABS(Resultados!L32),ABS(Resultados!U32),ABS(Resultados!AD32),ABS(Resultados!AM32),ABS(Resultados!AV32),ABS(Resultados!BE32),ABS(Resultados!BN32),ABS(Resultados!BW32),ABS(Resultados!CF32)))</f>
        <v>2.5</v>
      </c>
      <c r="D32">
        <f>IF(COUNT(Resultados!D32,Resultados!M32,Resultados!V32,Resultados!AE32,Resultados!AN32,Resultados!AW32,Resultados!BF32,Resultados!BO32,Resultados!BX32,Resultados!CG32)=0, "", AVERAGE(ABS(Resultados!D32),ABS(Resultados!M32),ABS(Resultados!V32),ABS(Resultados!AE32),ABS(Resultados!AN32),ABS(Resultados!AW32),ABS(Resultados!BF32),ABS(Resultados!BO32),ABS(Resultados!BX32),ABS(Resultados!CG32)))</f>
        <v>3.6729999999999999E-2</v>
      </c>
      <c r="E32">
        <f>IF(COUNT(Resultados!E32,Resultados!N32,Resultados!W32,Resultados!AF32,Resultados!AO32,Resultados!AX32,Resultados!BG32,Resultados!BP32,Resultados!BY32,Resultados!CH32)=0, "", AVERAGE(ABS(Resultados!E32),ABS(Resultados!N32),ABS(Resultados!W32),ABS(Resultados!AF32),ABS(Resultados!AO32),ABS(Resultados!AX32),ABS(Resultados!BG32),ABS(Resultados!BP32),ABS(Resultados!BY32),ABS(Resultados!CH32)))</f>
        <v>8.0214231005739265</v>
      </c>
      <c r="F32">
        <f>IF(COUNT(Resultados!F32,Resultados!O32,Resultados!X32,Resultados!AG32,Resultados!AP32,Resultados!AY32,Resultados!BH32,Resultados!BQ32,Resultados!BZ32,Resultados!CI32)=0, "", AVERAGE(ABS(Resultados!F32),ABS(Resultados!O32),ABS(Resultados!X32),ABS(Resultados!AG32),ABS(Resultados!AP32),ABS(Resultados!AY32),ABS(Resultados!BH32),ABS(Resultados!BQ32),ABS(Resultados!BZ32),ABS(Resultados!CI32)))</f>
        <v>795.59663297348993</v>
      </c>
      <c r="G32">
        <f>IF(COUNT(Resultados!G32,Resultados!P32,Resultados!Y32,Resultados!AH32,Resultados!AQ32,Resultados!AZ32,Resultados!BI32,Resultados!BR32,Resultados!CA32,Resultados!CJ32)=0, "", AVERAGE(ABS(Resultados!G32),ABS(Resultados!P32),ABS(Resultados!Y32),ABS(Resultados!AH32),ABS(Resultados!AQ32),ABS(Resultados!AZ32),ABS(Resultados!BI32),ABS(Resultados!BR32),ABS(Resultados!CA32),ABS(Resultados!CJ32)))</f>
        <v>0.42400000000000004</v>
      </c>
      <c r="H32">
        <f>IF(COUNT(Resultados!H32,Resultados!Q32,Resultados!Z32,Resultados!AI32,Resultados!AR32,Resultados!BA32,Resultados!BJ32,Resultados!BS32,Resultados!CB32,Resultados!CK32)=0, "", AVERAGE(ABS(Resultados!H32),ABS(Resultados!Q32),ABS(Resultados!Z32),ABS(Resultados!AI32),ABS(Resultados!AR32),ABS(Resultados!BA32),ABS(Resultados!BJ32),ABS(Resultados!BS32),ABS(Resultados!CB32),ABS(Resultados!CK32)))</f>
        <v>3.1460000000000002E-2</v>
      </c>
      <c r="I32">
        <f>IF(COUNT(Resultados!I32,Resultados!R32,Resultados!AA32,Resultados!AJ32,Resultados!AS32,Resultados!BB32,Resultados!BK32,Resultados!BT32,Resultados!CC32,Resultados!CL32)=0, "", AVERAGE(ABS(Resultados!I32),ABS(Resultados!R32),ABS(Resultados!AA32),ABS(Resultados!AJ32),ABS(Resultados!AS32),ABS(Resultados!BB32),ABS(Resultados!BK32),ABS(Resultados!BT32),ABS(Resultados!CC32),ABS(Resultados!CL32)))</f>
        <v>5.999704999999997</v>
      </c>
      <c r="J32">
        <v>3.6729999999999999E-2</v>
      </c>
      <c r="K32">
        <v>3.1460000000000002E-2</v>
      </c>
    </row>
    <row r="33" spans="1:11" x14ac:dyDescent="0.3">
      <c r="A33">
        <f>IF(COUNT(Resultados!A33,Resultados!J33,Resultados!S33,Resultados!AB33,Resultados!AK33,Resultados!AT33,Resultados!BC33,Resultados!BL33,Resultados!BU33,Resultados!CD33)=0, "", AVERAGE(ABS(Resultados!A33),ABS(Resultados!J33),ABS(Resultados!S33),ABS(Resultados!AB33),ABS(Resultados!AK33),ABS(Resultados!AT33),ABS(Resultados!BC33),ABS(Resultados!BL33),ABS(Resultados!BU33),ABS(Resultados!CD33)))</f>
        <v>45681</v>
      </c>
      <c r="B33" t="str">
        <f>IF(COUNT(Resultados!B33,Resultados!K33,Resultados!T33,Resultados!AC33,Resultados!AL33,Resultados!AU33,Resultados!BD33,Resultados!BM33,Resultados!BV33,Resultados!CE33)=0, "", AVERAGE(ABS(Resultados!B33),ABS(Resultados!K33),ABS(Resultados!T33),ABS(Resultados!AC33),ABS(Resultados!AL33),ABS(Resultados!AU33),ABS(Resultados!BD33),ABS(Resultados!BM33),ABS(Resultados!BV33),ABS(Resultados!CE33)))</f>
        <v/>
      </c>
      <c r="C33">
        <f>IF(COUNT(Resultados!C33,Resultados!L33,Resultados!U33,Resultados!AD33,Resultados!AM33,Resultados!AV33,Resultados!BE33,Resultados!BN33,Resultados!BW33,Resultados!CF33)=0, "", AVERAGE(ABS(Resultados!C33),ABS(Resultados!L33),ABS(Resultados!U33),ABS(Resultados!AD33),ABS(Resultados!AM33),ABS(Resultados!AV33),ABS(Resultados!BE33),ABS(Resultados!BN33),ABS(Resultados!BW33),ABS(Resultados!CF33)))</f>
        <v>2.5</v>
      </c>
      <c r="D33">
        <f>IF(COUNT(Resultados!D33,Resultados!M33,Resultados!V33,Resultados!AE33,Resultados!AN33,Resultados!AW33,Resultados!BF33,Resultados!BO33,Resultados!BX33,Resultados!CG33)=0, "", AVERAGE(ABS(Resultados!D33),ABS(Resultados!M33),ABS(Resultados!V33),ABS(Resultados!AE33),ABS(Resultados!AN33),ABS(Resultados!AW33),ABS(Resultados!BF33),ABS(Resultados!BO33),ABS(Resultados!BX33),ABS(Resultados!CG33)))</f>
        <v>3.1600000000000003E-2</v>
      </c>
      <c r="E33">
        <f>IF(COUNT(Resultados!E33,Resultados!N33,Resultados!W33,Resultados!AF33,Resultados!AO33,Resultados!AX33,Resultados!BG33,Resultados!BP33,Resultados!BY33,Resultados!CH33)=0, "", AVERAGE(ABS(Resultados!E33),ABS(Resultados!N33),ABS(Resultados!W33),ABS(Resultados!AF33),ABS(Resultados!AO33),ABS(Resultados!AX33),ABS(Resultados!BG33),ABS(Resultados!BP33),ABS(Resultados!BY33),ABS(Resultados!CH33)))</f>
        <v>7.7038114151430772</v>
      </c>
      <c r="F33">
        <f>IF(COUNT(Resultados!F33,Resultados!O33,Resultados!X33,Resultados!AG33,Resultados!AP33,Resultados!AY33,Resultados!BH33,Resultados!BQ33,Resultados!BZ33,Resultados!CI33)=0, "", AVERAGE(ABS(Resultados!F33),ABS(Resultados!O33),ABS(Resultados!X33),ABS(Resultados!AG33),ABS(Resultados!AP33),ABS(Resultados!AY33),ABS(Resultados!BH33),ABS(Resultados!BQ33),ABS(Resultados!BZ33),ABS(Resultados!CI33)))</f>
        <v>765.99522389133472</v>
      </c>
      <c r="G33">
        <f>IF(COUNT(Resultados!G33,Resultados!P33,Resultados!Y33,Resultados!AH33,Resultados!AQ33,Resultados!AZ33,Resultados!BI33,Resultados!BR33,Resultados!CA33,Resultados!CJ33)=0, "", AVERAGE(ABS(Resultados!G33),ABS(Resultados!P33),ABS(Resultados!Y33),ABS(Resultados!AH33),ABS(Resultados!AQ33),ABS(Resultados!AZ33),ABS(Resultados!BI33),ABS(Resultados!BR33),ABS(Resultados!CA33),ABS(Resultados!CJ33)))</f>
        <v>0.42400000000000004</v>
      </c>
      <c r="H33">
        <f>IF(COUNT(Resultados!H33,Resultados!Q33,Resultados!Z33,Resultados!AI33,Resultados!AR33,Resultados!BA33,Resultados!BJ33,Resultados!BS33,Resultados!CB33,Resultados!CK33)=0, "", AVERAGE(ABS(Resultados!H33),ABS(Resultados!Q33),ABS(Resultados!Z33),ABS(Resultados!AI33),ABS(Resultados!AR33),ABS(Resultados!BA33),ABS(Resultados!BJ33),ABS(Resultados!BS33),ABS(Resultados!CB33),ABS(Resultados!CK33)))</f>
        <v>2.6549999999999997E-2</v>
      </c>
      <c r="I33">
        <f>IF(COUNT(Resultados!I33,Resultados!R33,Resultados!AA33,Resultados!AJ33,Resultados!AS33,Resultados!BB33,Resultados!BK33,Resultados!BT33,Resultados!CC33,Resultados!CL33)=0, "", AVERAGE(ABS(Resultados!I33),ABS(Resultados!R33),ABS(Resultados!AA33),ABS(Resultados!AJ33),ABS(Resultados!AS33),ABS(Resultados!BB33),ABS(Resultados!BK33),ABS(Resultados!BT33),ABS(Resultados!CC33),ABS(Resultados!CL33)))</f>
        <v>6.1999989999999974</v>
      </c>
      <c r="J33">
        <v>3.1600000000000003E-2</v>
      </c>
      <c r="K33">
        <v>2.6549999999999997E-2</v>
      </c>
    </row>
    <row r="34" spans="1:11" x14ac:dyDescent="0.3">
      <c r="A34">
        <f>IF(COUNT(Resultados!A34,Resultados!J34,Resultados!S34,Resultados!AB34,Resultados!AK34,Resultados!AT34,Resultados!BC34,Resultados!BL34,Resultados!BU34,Resultados!CD34)=0, "", AVERAGE(ABS(Resultados!A34),ABS(Resultados!J34),ABS(Resultados!S34),ABS(Resultados!AB34),ABS(Resultados!AK34),ABS(Resultados!AT34),ABS(Resultados!BC34),ABS(Resultados!BL34),ABS(Resultados!BU34),ABS(Resultados!CD34)))</f>
        <v>45681</v>
      </c>
      <c r="B34" t="str">
        <f>IF(COUNT(Resultados!B34,Resultados!K34,Resultados!T34,Resultados!AC34,Resultados!AL34,Resultados!AU34,Resultados!BD34,Resultados!BM34,Resultados!BV34,Resultados!CE34)=0, "", AVERAGE(ABS(Resultados!B34),ABS(Resultados!K34),ABS(Resultados!T34),ABS(Resultados!AC34),ABS(Resultados!AL34),ABS(Resultados!AU34),ABS(Resultados!BD34),ABS(Resultados!BM34),ABS(Resultados!BV34),ABS(Resultados!CE34)))</f>
        <v/>
      </c>
      <c r="C34">
        <f>IF(COUNT(Resultados!C34,Resultados!L34,Resultados!U34,Resultados!AD34,Resultados!AM34,Resultados!AV34,Resultados!BE34,Resultados!BN34,Resultados!BW34,Resultados!CF34)=0, "", AVERAGE(ABS(Resultados!C34),ABS(Resultados!L34),ABS(Resultados!U34),ABS(Resultados!AD34),ABS(Resultados!AM34),ABS(Resultados!AV34),ABS(Resultados!BE34),ABS(Resultados!BN34),ABS(Resultados!BW34),ABS(Resultados!CF34)))</f>
        <v>2.5</v>
      </c>
      <c r="D34">
        <f>IF(COUNT(Resultados!D34,Resultados!M34,Resultados!V34,Resultados!AE34,Resultados!AN34,Resultados!AW34,Resultados!BF34,Resultados!BO34,Resultados!BX34,Resultados!CG34)=0, "", AVERAGE(ABS(Resultados!D34),ABS(Resultados!M34),ABS(Resultados!V34),ABS(Resultados!AE34),ABS(Resultados!AN34),ABS(Resultados!AW34),ABS(Resultados!BF34),ABS(Resultados!BO34),ABS(Resultados!BX34),ABS(Resultados!CG34)))</f>
        <v>2.6429999999999999E-2</v>
      </c>
      <c r="E34">
        <f>IF(COUNT(Resultados!E34,Resultados!N34,Resultados!W34,Resultados!AF34,Resultados!AO34,Resultados!AX34,Resultados!BG34,Resultados!BP34,Resultados!BY34,Resultados!CH34)=0, "", AVERAGE(ABS(Resultados!E34),ABS(Resultados!N34),ABS(Resultados!W34),ABS(Resultados!AF34),ABS(Resultados!AO34),ABS(Resultados!AX34),ABS(Resultados!BG34),ABS(Resultados!BP34),ABS(Resultados!BY34),ABS(Resultados!CH34)))</f>
        <v>7.3944485455553179</v>
      </c>
      <c r="F34">
        <f>IF(COUNT(Resultados!F34,Resultados!O34,Resultados!X34,Resultados!AG34,Resultados!AP34,Resultados!AY34,Resultados!BH34,Resultados!BQ34,Resultados!BZ34,Resultados!CI34)=0, "", AVERAGE(ABS(Resultados!F34),ABS(Resultados!O34),ABS(Resultados!X34),ABS(Resultados!AG34),ABS(Resultados!AP34),ABS(Resultados!AY34),ABS(Resultados!BH34),ABS(Resultados!BQ34),ABS(Resultados!BZ34),ABS(Resultados!CI34)))</f>
        <v>737.16260444575562</v>
      </c>
      <c r="G34">
        <f>IF(COUNT(Resultados!G34,Resultados!P34,Resultados!Y34,Resultados!AH34,Resultados!AQ34,Resultados!AZ34,Resultados!BI34,Resultados!BR34,Resultados!CA34,Resultados!CJ34)=0, "", AVERAGE(ABS(Resultados!G34),ABS(Resultados!P34),ABS(Resultados!Y34),ABS(Resultados!AH34),ABS(Resultados!AQ34),ABS(Resultados!AZ34),ABS(Resultados!BI34),ABS(Resultados!BR34),ABS(Resultados!CA34),ABS(Resultados!CJ34)))</f>
        <v>0.42400000000000004</v>
      </c>
      <c r="H34">
        <f>IF(COUNT(Resultados!H34,Resultados!Q34,Resultados!Z34,Resultados!AI34,Resultados!AR34,Resultados!BA34,Resultados!BJ34,Resultados!BS34,Resultados!CB34,Resultados!CK34)=0, "", AVERAGE(ABS(Resultados!H34),ABS(Resultados!Q34),ABS(Resultados!Z34),ABS(Resultados!AI34),ABS(Resultados!AR34),ABS(Resultados!BA34),ABS(Resultados!BJ34),ABS(Resultados!BS34),ABS(Resultados!CB34),ABS(Resultados!CK34)))</f>
        <v>2.1739999999999999E-2</v>
      </c>
      <c r="I34">
        <f>IF(COUNT(Resultados!I34,Resultados!R34,Resultados!AA34,Resultados!AJ34,Resultados!AS34,Resultados!BB34,Resultados!BK34,Resultados!BT34,Resultados!CC34,Resultados!CL34)=0, "", AVERAGE(ABS(Resultados!I34),ABS(Resultados!R34),ABS(Resultados!AA34),ABS(Resultados!AJ34),ABS(Resultados!AS34),ABS(Resultados!BB34),ABS(Resultados!BK34),ABS(Resultados!BT34),ABS(Resultados!CC34),ABS(Resultados!CL34)))</f>
        <v>6.4000749999999922</v>
      </c>
      <c r="J34">
        <v>2.6429999999999999E-2</v>
      </c>
      <c r="K34">
        <v>2.1739999999999999E-2</v>
      </c>
    </row>
    <row r="35" spans="1:11" x14ac:dyDescent="0.3">
      <c r="A35">
        <f>IF(COUNT(Resultados!A35,Resultados!J35,Resultados!S35,Resultados!AB35,Resultados!AK35,Resultados!AT35,Resultados!BC35,Resultados!BL35,Resultados!BU35,Resultados!CD35)=0, "", AVERAGE(ABS(Resultados!A35),ABS(Resultados!J35),ABS(Resultados!S35),ABS(Resultados!AB35),ABS(Resultados!AK35),ABS(Resultados!AT35),ABS(Resultados!BC35),ABS(Resultados!BL35),ABS(Resultados!BU35),ABS(Resultados!CD35)))</f>
        <v>45681</v>
      </c>
      <c r="B35" t="str">
        <f>IF(COUNT(Resultados!B35,Resultados!K35,Resultados!T35,Resultados!AC35,Resultados!AL35,Resultados!AU35,Resultados!BD35,Resultados!BM35,Resultados!BV35,Resultados!CE35)=0, "", AVERAGE(ABS(Resultados!B35),ABS(Resultados!K35),ABS(Resultados!T35),ABS(Resultados!AC35),ABS(Resultados!AL35),ABS(Resultados!AU35),ABS(Resultados!BD35),ABS(Resultados!BM35),ABS(Resultados!BV35),ABS(Resultados!CE35)))</f>
        <v/>
      </c>
      <c r="C35">
        <f>IF(COUNT(Resultados!C35,Resultados!L35,Resultados!U35,Resultados!AD35,Resultados!AM35,Resultados!AV35,Resultados!BE35,Resultados!BN35,Resultados!BW35,Resultados!CF35)=0, "", AVERAGE(ABS(Resultados!C35),ABS(Resultados!L35),ABS(Resultados!U35),ABS(Resultados!AD35),ABS(Resultados!AM35),ABS(Resultados!AV35),ABS(Resultados!BE35),ABS(Resultados!BN35),ABS(Resultados!BW35),ABS(Resultados!CF35)))</f>
        <v>2.5</v>
      </c>
      <c r="D35">
        <f>IF(COUNT(Resultados!D35,Resultados!M35,Resultados!V35,Resultados!AE35,Resultados!AN35,Resultados!AW35,Resultados!BF35,Resultados!BO35,Resultados!BX35,Resultados!CG35)=0, "", AVERAGE(ABS(Resultados!D35),ABS(Resultados!M35),ABS(Resultados!V35),ABS(Resultados!AE35),ABS(Resultados!AN35),ABS(Resultados!AW35),ABS(Resultados!BF35),ABS(Resultados!BO35),ABS(Resultados!BX35),ABS(Resultados!CG35)))</f>
        <v>2.1410000000000002E-2</v>
      </c>
      <c r="E35">
        <f>IF(COUNT(Resultados!E35,Resultados!N35,Resultados!W35,Resultados!AF35,Resultados!AO35,Resultados!AX35,Resultados!BG35,Resultados!BP35,Resultados!BY35,Resultados!CH35)=0, "", AVERAGE(ABS(Resultados!E35),ABS(Resultados!N35),ABS(Resultados!W35),ABS(Resultados!AF35),ABS(Resultados!AO35),ABS(Resultados!AX35),ABS(Resultados!BG35),ABS(Resultados!BP35),ABS(Resultados!BY35),ABS(Resultados!CH35)))</f>
        <v>7.1005148111334488</v>
      </c>
      <c r="F35">
        <f>IF(COUNT(Resultados!F35,Resultados!O35,Resultados!X35,Resultados!AG35,Resultados!AP35,Resultados!AY35,Resultados!BH35,Resultados!BQ35,Resultados!BZ35,Resultados!CI35)=0, "", AVERAGE(ABS(Resultados!F35),ABS(Resultados!O35),ABS(Resultados!X35),ABS(Resultados!AG35),ABS(Resultados!AP35),ABS(Resultados!AY35),ABS(Resultados!BH35),ABS(Resultados!BQ35),ABS(Resultados!BZ35),ABS(Resultados!CI35)))</f>
        <v>709.76798039763753</v>
      </c>
      <c r="G35">
        <f>IF(COUNT(Resultados!G35,Resultados!P35,Resultados!Y35,Resultados!AH35,Resultados!AQ35,Resultados!AZ35,Resultados!BI35,Resultados!BR35,Resultados!CA35,Resultados!CJ35)=0, "", AVERAGE(ABS(Resultados!G35),ABS(Resultados!P35),ABS(Resultados!Y35),ABS(Resultados!AH35),ABS(Resultados!AQ35),ABS(Resultados!AZ35),ABS(Resultados!BI35),ABS(Resultados!BR35),ABS(Resultados!CA35),ABS(Resultados!CJ35)))</f>
        <v>0.42400000000000004</v>
      </c>
      <c r="H35">
        <f>IF(COUNT(Resultados!H35,Resultados!Q35,Resultados!Z35,Resultados!AI35,Resultados!AR35,Resultados!BA35,Resultados!BJ35,Resultados!BS35,Resultados!CB35,Resultados!CK35)=0, "", AVERAGE(ABS(Resultados!H35),ABS(Resultados!Q35),ABS(Resultados!Z35),ABS(Resultados!AI35),ABS(Resultados!AR35),ABS(Resultados!BA35),ABS(Resultados!BJ35),ABS(Resultados!BS35),ABS(Resultados!CB35),ABS(Resultados!CK35)))</f>
        <v>1.7179999999999997E-2</v>
      </c>
      <c r="I35">
        <f>IF(COUNT(Resultados!I35,Resultados!R35,Resultados!AA35,Resultados!AJ35,Resultados!AS35,Resultados!BB35,Resultados!BK35,Resultados!BT35,Resultados!CC35,Resultados!CL35)=0, "", AVERAGE(ABS(Resultados!I35),ABS(Resultados!R35),ABS(Resultados!AA35),ABS(Resultados!AJ35),ABS(Resultados!AS35),ABS(Resultados!BB35),ABS(Resultados!BK35),ABS(Resultados!BT35),ABS(Resultados!CC35),ABS(Resultados!CL35)))</f>
        <v>6.6001749999999904</v>
      </c>
      <c r="J35">
        <v>2.1410000000000002E-2</v>
      </c>
      <c r="K35">
        <v>1.7179999999999997E-2</v>
      </c>
    </row>
    <row r="36" spans="1:11" x14ac:dyDescent="0.3">
      <c r="A36">
        <f>IF(COUNT(Resultados!A36,Resultados!J36,Resultados!S36,Resultados!AB36,Resultados!AK36,Resultados!AT36,Resultados!BC36,Resultados!BL36,Resultados!BU36,Resultados!CD36)=0, "", AVERAGE(ABS(Resultados!A36),ABS(Resultados!J36),ABS(Resultados!S36),ABS(Resultados!AB36),ABS(Resultados!AK36),ABS(Resultados!AT36),ABS(Resultados!BC36),ABS(Resultados!BL36),ABS(Resultados!BU36),ABS(Resultados!CD36)))</f>
        <v>45681</v>
      </c>
      <c r="B36" t="str">
        <f>IF(COUNT(Resultados!B36,Resultados!K36,Resultados!T36,Resultados!AC36,Resultados!AL36,Resultados!AU36,Resultados!BD36,Resultados!BM36,Resultados!BV36,Resultados!CE36)=0, "", AVERAGE(ABS(Resultados!B36),ABS(Resultados!K36),ABS(Resultados!T36),ABS(Resultados!AC36),ABS(Resultados!AL36),ABS(Resultados!AU36),ABS(Resultados!BD36),ABS(Resultados!BM36),ABS(Resultados!BV36),ABS(Resultados!CE36)))</f>
        <v/>
      </c>
      <c r="C36">
        <f>IF(COUNT(Resultados!C36,Resultados!L36,Resultados!U36,Resultados!AD36,Resultados!AM36,Resultados!AV36,Resultados!BE36,Resultados!BN36,Resultados!BW36,Resultados!CF36)=0, "", AVERAGE(ABS(Resultados!C36),ABS(Resultados!L36),ABS(Resultados!U36),ABS(Resultados!AD36),ABS(Resultados!AM36),ABS(Resultados!AV36),ABS(Resultados!BE36),ABS(Resultados!BN36),ABS(Resultados!BW36),ABS(Resultados!CF36)))</f>
        <v>2.5</v>
      </c>
      <c r="D36">
        <f>IF(COUNT(Resultados!D36,Resultados!M36,Resultados!V36,Resultados!AE36,Resultados!AN36,Resultados!AW36,Resultados!BF36,Resultados!BO36,Resultados!BX36,Resultados!CG36)=0, "", AVERAGE(ABS(Resultados!D36),ABS(Resultados!M36),ABS(Resultados!V36),ABS(Resultados!AE36),ABS(Resultados!AN36),ABS(Resultados!AW36),ABS(Resultados!BF36),ABS(Resultados!BO36),ABS(Resultados!BX36),ABS(Resultados!CG36)))</f>
        <v>1.6550000000000002E-2</v>
      </c>
      <c r="E36">
        <f>IF(COUNT(Resultados!E36,Resultados!N36,Resultados!W36,Resultados!AF36,Resultados!AO36,Resultados!AX36,Resultados!BG36,Resultados!BP36,Resultados!BY36,Resultados!CH36)=0, "", AVERAGE(ABS(Resultados!E36),ABS(Resultados!N36),ABS(Resultados!W36),ABS(Resultados!AF36),ABS(Resultados!AO36),ABS(Resultados!AX36),ABS(Resultados!BG36),ABS(Resultados!BP36),ABS(Resultados!BY36),ABS(Resultados!CH36)))</f>
        <v>6.8299662372920151</v>
      </c>
      <c r="F36">
        <f>IF(COUNT(Resultados!F36,Resultados!O36,Resultados!X36,Resultados!AG36,Resultados!AP36,Resultados!AY36,Resultados!BH36,Resultados!BQ36,Resultados!BZ36,Resultados!CI36)=0, "", AVERAGE(ABS(Resultados!F36),ABS(Resultados!O36),ABS(Resultados!X36),ABS(Resultados!AG36),ABS(Resultados!AP36),ABS(Resultados!AY36),ABS(Resultados!BH36),ABS(Resultados!BQ36),ABS(Resultados!BZ36),ABS(Resultados!CI36)))</f>
        <v>684.55285331561572</v>
      </c>
      <c r="G36">
        <f>IF(COUNT(Resultados!G36,Resultados!P36,Resultados!Y36,Resultados!AH36,Resultados!AQ36,Resultados!AZ36,Resultados!BI36,Resultados!BR36,Resultados!CA36,Resultados!CJ36)=0, "", AVERAGE(ABS(Resultados!G36),ABS(Resultados!P36),ABS(Resultados!Y36),ABS(Resultados!AH36),ABS(Resultados!AQ36),ABS(Resultados!AZ36),ABS(Resultados!BI36),ABS(Resultados!BR36),ABS(Resultados!CA36),ABS(Resultados!CJ36)))</f>
        <v>0.42400000000000004</v>
      </c>
      <c r="H36">
        <f>IF(COUNT(Resultados!H36,Resultados!Q36,Resultados!Z36,Resultados!AI36,Resultados!AR36,Resultados!BA36,Resultados!BJ36,Resultados!BS36,Resultados!CB36,Resultados!CK36)=0, "", AVERAGE(ABS(Resultados!H36),ABS(Resultados!Q36),ABS(Resultados!Z36),ABS(Resultados!AI36),ABS(Resultados!AR36),ABS(Resultados!BA36),ABS(Resultados!BJ36),ABS(Resultados!BS36),ABS(Resultados!CB36),ABS(Resultados!CK36)))</f>
        <v>1.298E-2</v>
      </c>
      <c r="I36">
        <f>IF(COUNT(Resultados!I36,Resultados!R36,Resultados!AA36,Resultados!AJ36,Resultados!AS36,Resultados!BB36,Resultados!BK36,Resultados!BT36,Resultados!CC36,Resultados!CL36)=0, "", AVERAGE(ABS(Resultados!I36),ABS(Resultados!R36),ABS(Resultados!AA36),ABS(Resultados!AJ36),ABS(Resultados!AS36),ABS(Resultados!BB36),ABS(Resultados!BK36),ABS(Resultados!BT36),ABS(Resultados!CC36),ABS(Resultados!CL36)))</f>
        <v>6.7997970000000052</v>
      </c>
      <c r="J36">
        <v>1.6550000000000002E-2</v>
      </c>
      <c r="K36">
        <v>1.298E-2</v>
      </c>
    </row>
    <row r="37" spans="1:11" x14ac:dyDescent="0.3">
      <c r="A37">
        <f>IF(COUNT(Resultados!A37,Resultados!J37,Resultados!S37,Resultados!AB37,Resultados!AK37,Resultados!AT37,Resultados!BC37,Resultados!BL37,Resultados!BU37,Resultados!CD37)=0, "", AVERAGE(ABS(Resultados!A37),ABS(Resultados!J37),ABS(Resultados!S37),ABS(Resultados!AB37),ABS(Resultados!AK37),ABS(Resultados!AT37),ABS(Resultados!BC37),ABS(Resultados!BL37),ABS(Resultados!BU37),ABS(Resultados!CD37)))</f>
        <v>45681</v>
      </c>
      <c r="B37" t="str">
        <f>IF(COUNT(Resultados!B37,Resultados!K37,Resultados!T37,Resultados!AC37,Resultados!AL37,Resultados!AU37,Resultados!BD37,Resultados!BM37,Resultados!BV37,Resultados!CE37)=0, "", AVERAGE(ABS(Resultados!B37),ABS(Resultados!K37),ABS(Resultados!T37),ABS(Resultados!AC37),ABS(Resultados!AL37),ABS(Resultados!AU37),ABS(Resultados!BD37),ABS(Resultados!BM37),ABS(Resultados!BV37),ABS(Resultados!CE37)))</f>
        <v/>
      </c>
      <c r="C37">
        <f>IF(COUNT(Resultados!C37,Resultados!L37,Resultados!U37,Resultados!AD37,Resultados!AM37,Resultados!AV37,Resultados!BE37,Resultados!BN37,Resultados!BW37,Resultados!CF37)=0, "", AVERAGE(ABS(Resultados!C37),ABS(Resultados!L37),ABS(Resultados!U37),ABS(Resultados!AD37),ABS(Resultados!AM37),ABS(Resultados!AV37),ABS(Resultados!BE37),ABS(Resultados!BN37),ABS(Resultados!BW37),ABS(Resultados!CF37)))</f>
        <v>2.5</v>
      </c>
      <c r="D37">
        <f>IF(COUNT(Resultados!D37,Resultados!M37,Resultados!V37,Resultados!AE37,Resultados!AN37,Resultados!AW37,Resultados!BF37,Resultados!BO37,Resultados!BX37,Resultados!CG37)=0, "", AVERAGE(ABS(Resultados!D37),ABS(Resultados!M37),ABS(Resultados!V37),ABS(Resultados!AE37),ABS(Resultados!AN37),ABS(Resultados!AW37),ABS(Resultados!BF37),ABS(Resultados!BO37),ABS(Resultados!BX37),ABS(Resultados!CG37)))</f>
        <v>1.174E-2</v>
      </c>
      <c r="E37">
        <f>IF(COUNT(Resultados!E37,Resultados!N37,Resultados!W37,Resultados!AF37,Resultados!AO37,Resultados!AX37,Resultados!BG37,Resultados!BP37,Resultados!BY37,Resultados!CH37)=0, "", AVERAGE(ABS(Resultados!E37),ABS(Resultados!N37),ABS(Resultados!W37),ABS(Resultados!AF37),ABS(Resultados!AO37),ABS(Resultados!AX37),ABS(Resultados!BG37),ABS(Resultados!BP37),ABS(Resultados!BY37),ABS(Resultados!CH37)))</f>
        <v>6.5881786363281734</v>
      </c>
      <c r="F37">
        <f>IF(COUNT(Resultados!F37,Resultados!O37,Resultados!X37,Resultados!AG37,Resultados!AP37,Resultados!AY37,Resultados!BH37,Resultados!BQ37,Resultados!BZ37,Resultados!CI37)=0, "", AVERAGE(ABS(Resultados!F37),ABS(Resultados!O37),ABS(Resultados!X37),ABS(Resultados!AG37),ABS(Resultados!AP37),ABS(Resultados!AY37),ABS(Resultados!BH37),ABS(Resultados!BQ37),ABS(Resultados!BZ37),ABS(Resultados!CI37)))</f>
        <v>662.01824890578564</v>
      </c>
      <c r="G37">
        <f>IF(COUNT(Resultados!G37,Resultados!P37,Resultados!Y37,Resultados!AH37,Resultados!AQ37,Resultados!AZ37,Resultados!BI37,Resultados!BR37,Resultados!CA37,Resultados!CJ37)=0, "", AVERAGE(ABS(Resultados!G37),ABS(Resultados!P37),ABS(Resultados!Y37),ABS(Resultados!AH37),ABS(Resultados!AQ37),ABS(Resultados!AZ37),ABS(Resultados!BI37),ABS(Resultados!BR37),ABS(Resultados!CA37),ABS(Resultados!CJ37)))</f>
        <v>0.42400000000000004</v>
      </c>
      <c r="H37">
        <f>IF(COUNT(Resultados!H37,Resultados!Q37,Resultados!Z37,Resultados!AI37,Resultados!AR37,Resultados!BA37,Resultados!BJ37,Resultados!BS37,Resultados!CB37,Resultados!CK37)=0, "", AVERAGE(ABS(Resultados!H37),ABS(Resultados!Q37),ABS(Resultados!Z37),ABS(Resultados!AI37),ABS(Resultados!AR37),ABS(Resultados!BA37),ABS(Resultados!BJ37),ABS(Resultados!BS37),ABS(Resultados!CB37),ABS(Resultados!CK37)))</f>
        <v>9.1999999999999998E-3</v>
      </c>
      <c r="I37">
        <f>IF(COUNT(Resultados!I37,Resultados!R37,Resultados!AA37,Resultados!AJ37,Resultados!AS37,Resultados!BB37,Resultados!BK37,Resultados!BT37,Resultados!CC37,Resultados!CL37)=0, "", AVERAGE(ABS(Resultados!I37),ABS(Resultados!R37),ABS(Resultados!AA37),ABS(Resultados!AJ37),ABS(Resultados!AS37),ABS(Resultados!BB37),ABS(Resultados!BK37),ABS(Resultados!BT37),ABS(Resultados!CC37),ABS(Resultados!CL37)))</f>
        <v>6.9998330000000024</v>
      </c>
      <c r="J37">
        <v>1.174E-2</v>
      </c>
      <c r="K37">
        <v>9.1999999999999998E-3</v>
      </c>
    </row>
    <row r="38" spans="1:11" x14ac:dyDescent="0.3">
      <c r="A38">
        <f>IF(COUNT(Resultados!A38,Resultados!J38,Resultados!S38,Resultados!AB38,Resultados!AK38,Resultados!AT38,Resultados!BC38,Resultados!BL38,Resultados!BU38,Resultados!CD38)=0, "", AVERAGE(ABS(Resultados!A38),ABS(Resultados!J38),ABS(Resultados!S38),ABS(Resultados!AB38),ABS(Resultados!AK38),ABS(Resultados!AT38),ABS(Resultados!BC38),ABS(Resultados!BL38),ABS(Resultados!BU38),ABS(Resultados!CD38)))</f>
        <v>45681</v>
      </c>
      <c r="B38" t="str">
        <f>IF(COUNT(Resultados!B38,Resultados!K38,Resultados!T38,Resultados!AC38,Resultados!AL38,Resultados!AU38,Resultados!BD38,Resultados!BM38,Resultados!BV38,Resultados!CE38)=0, "", AVERAGE(ABS(Resultados!B38),ABS(Resultados!K38),ABS(Resultados!T38),ABS(Resultados!AC38),ABS(Resultados!AL38),ABS(Resultados!AU38),ABS(Resultados!BD38),ABS(Resultados!BM38),ABS(Resultados!BV38),ABS(Resultados!CE38)))</f>
        <v/>
      </c>
      <c r="C38">
        <f>IF(COUNT(Resultados!C38,Resultados!L38,Resultados!U38,Resultados!AD38,Resultados!AM38,Resultados!AV38,Resultados!BE38,Resultados!BN38,Resultados!BW38,Resultados!CF38)=0, "", AVERAGE(ABS(Resultados!C38),ABS(Resultados!L38),ABS(Resultados!U38),ABS(Resultados!AD38),ABS(Resultados!AM38),ABS(Resultados!AV38),ABS(Resultados!BE38),ABS(Resultados!BN38),ABS(Resultados!BW38),ABS(Resultados!CF38)))</f>
        <v>2.5</v>
      </c>
      <c r="D38">
        <f>IF(COUNT(Resultados!D38,Resultados!M38,Resultados!V38,Resultados!AE38,Resultados!AN38,Resultados!AW38,Resultados!BF38,Resultados!BO38,Resultados!BX38,Resultados!CG38)=0, "", AVERAGE(ABS(Resultados!D38),ABS(Resultados!M38),ABS(Resultados!V38),ABS(Resultados!AE38),ABS(Resultados!AN38),ABS(Resultados!AW38),ABS(Resultados!BF38),ABS(Resultados!BO38),ABS(Resultados!BX38),ABS(Resultados!CG38)))</f>
        <v>7.2900000000000005E-3</v>
      </c>
      <c r="E38">
        <f>IF(COUNT(Resultados!E38,Resultados!N38,Resultados!W38,Resultados!AF38,Resultados!AO38,Resultados!AX38,Resultados!BG38,Resultados!BP38,Resultados!BY38,Resultados!CH38)=0, "", AVERAGE(ABS(Resultados!E38),ABS(Resultados!N38),ABS(Resultados!W38),ABS(Resultados!AF38),ABS(Resultados!AO38),ABS(Resultados!AX38),ABS(Resultados!BG38),ABS(Resultados!BP38),ABS(Resultados!BY38),ABS(Resultados!CH38)))</f>
        <v>6.3809385178070093</v>
      </c>
      <c r="F38">
        <f>IF(COUNT(Resultados!F38,Resultados!O38,Resultados!X38,Resultados!AG38,Resultados!AP38,Resultados!AY38,Resultados!BH38,Resultados!BQ38,Resultados!BZ38,Resultados!CI38)=0, "", AVERAGE(ABS(Resultados!F38),ABS(Resultados!O38),ABS(Resultados!X38),ABS(Resultados!AG38),ABS(Resultados!AP38),ABS(Resultados!AY38),ABS(Resultados!BH38),ABS(Resultados!BQ38),ABS(Resultados!BZ38),ABS(Resultados!CI38)))</f>
        <v>642.70346985961339</v>
      </c>
      <c r="G38">
        <f>IF(COUNT(Resultados!G38,Resultados!P38,Resultados!Y38,Resultados!AH38,Resultados!AQ38,Resultados!AZ38,Resultados!BI38,Resultados!BR38,Resultados!CA38,Resultados!CJ38)=0, "", AVERAGE(ABS(Resultados!G38),ABS(Resultados!P38),ABS(Resultados!Y38),ABS(Resultados!AH38),ABS(Resultados!AQ38),ABS(Resultados!AZ38),ABS(Resultados!BI38),ABS(Resultados!BR38),ABS(Resultados!CA38),ABS(Resultados!CJ38)))</f>
        <v>0.42400000000000004</v>
      </c>
      <c r="H38">
        <f>IF(COUNT(Resultados!H38,Resultados!Q38,Resultados!Z38,Resultados!AI38,Resultados!AR38,Resultados!BA38,Resultados!BJ38,Resultados!BS38,Resultados!CB38,Resultados!CK38)=0, "", AVERAGE(ABS(Resultados!H38),ABS(Resultados!Q38),ABS(Resultados!Z38),ABS(Resultados!AI38),ABS(Resultados!AR38),ABS(Resultados!BA38),ABS(Resultados!BJ38),ABS(Resultados!BS38),ABS(Resultados!CB38),ABS(Resultados!CK38)))</f>
        <v>5.9700000000000005E-3</v>
      </c>
      <c r="I38">
        <f>IF(COUNT(Resultados!I38,Resultados!R38,Resultados!AA38,Resultados!AJ38,Resultados!AS38,Resultados!BB38,Resultados!BK38,Resultados!BT38,Resultados!CC38,Resultados!CL38)=0, "", AVERAGE(ABS(Resultados!I38),ABS(Resultados!R38),ABS(Resultados!AA38),ABS(Resultados!AJ38),ABS(Resultados!AS38),ABS(Resultados!BB38),ABS(Resultados!BK38),ABS(Resultados!BT38),ABS(Resultados!CC38),ABS(Resultados!CL38)))</f>
        <v>7.200781000000001</v>
      </c>
      <c r="J38">
        <v>7.2900000000000005E-3</v>
      </c>
      <c r="K38">
        <v>5.9700000000000005E-3</v>
      </c>
    </row>
    <row r="39" spans="1:11" x14ac:dyDescent="0.3">
      <c r="A39">
        <f>IF(COUNT(Resultados!A39,Resultados!J39,Resultados!S39,Resultados!AB39,Resultados!AK39,Resultados!AT39,Resultados!BC39,Resultados!BL39,Resultados!BU39,Resultados!CD39)=0, "", AVERAGE(ABS(Resultados!A39),ABS(Resultados!J39),ABS(Resultados!S39),ABS(Resultados!AB39),ABS(Resultados!AK39),ABS(Resultados!AT39),ABS(Resultados!BC39),ABS(Resultados!BL39),ABS(Resultados!BU39),ABS(Resultados!CD39)))</f>
        <v>45681</v>
      </c>
      <c r="B39" t="str">
        <f>IF(COUNT(Resultados!B39,Resultados!K39,Resultados!T39,Resultados!AC39,Resultados!AL39,Resultados!AU39,Resultados!BD39,Resultados!BM39,Resultados!BV39,Resultados!CE39)=0, "", AVERAGE(ABS(Resultados!B39),ABS(Resultados!K39),ABS(Resultados!T39),ABS(Resultados!AC39),ABS(Resultados!AL39),ABS(Resultados!AU39),ABS(Resultados!BD39),ABS(Resultados!BM39),ABS(Resultados!BV39),ABS(Resultados!CE39)))</f>
        <v/>
      </c>
      <c r="C39">
        <f>IF(COUNT(Resultados!C39,Resultados!L39,Resultados!U39,Resultados!AD39,Resultados!AM39,Resultados!AV39,Resultados!BE39,Resultados!BN39,Resultados!BW39,Resultados!CF39)=0, "", AVERAGE(ABS(Resultados!C39),ABS(Resultados!L39),ABS(Resultados!U39),ABS(Resultados!AD39),ABS(Resultados!AM39),ABS(Resultados!AV39),ABS(Resultados!BE39),ABS(Resultados!BN39),ABS(Resultados!BW39),ABS(Resultados!CF39)))</f>
        <v>2.5</v>
      </c>
      <c r="D39">
        <f>IF(COUNT(Resultados!D39,Resultados!M39,Resultados!V39,Resultados!AE39,Resultados!AN39,Resultados!AW39,Resultados!BF39,Resultados!BO39,Resultados!BX39,Resultados!CG39)=0, "", AVERAGE(ABS(Resultados!D39),ABS(Resultados!M39),ABS(Resultados!V39),ABS(Resultados!AE39),ABS(Resultados!AN39),ABS(Resultados!AW39),ABS(Resultados!BF39),ABS(Resultados!BO39),ABS(Resultados!BX39),ABS(Resultados!CG39)))</f>
        <v>3.6499999999999996E-3</v>
      </c>
      <c r="E39">
        <f>IF(COUNT(Resultados!E39,Resultados!N39,Resultados!W39,Resultados!AF39,Resultados!AO39,Resultados!AX39,Resultados!BG39,Resultados!BP39,Resultados!BY39,Resultados!CH39)=0, "", AVERAGE(ABS(Resultados!E39),ABS(Resultados!N39),ABS(Resultados!W39),ABS(Resultados!AF39),ABS(Resultados!AO39),ABS(Resultados!AX39),ABS(Resultados!BG39),ABS(Resultados!BP39),ABS(Resultados!BY39),ABS(Resultados!CH39)))</f>
        <v>6.2158479433424789</v>
      </c>
      <c r="F39">
        <f>IF(COUNT(Resultados!F39,Resultados!O39,Resultados!X39,Resultados!AG39,Resultados!AP39,Resultados!AY39,Resultados!BH39,Resultados!BQ39,Resultados!BZ39,Resultados!CI39)=0, "", AVERAGE(ABS(Resultados!F39),ABS(Resultados!O39),ABS(Resultados!X39),ABS(Resultados!AG39),ABS(Resultados!AP39),ABS(Resultados!AY39),ABS(Resultados!BH39),ABS(Resultados!BQ39),ABS(Resultados!BZ39),ABS(Resultados!CI39)))</f>
        <v>627.31702831951918</v>
      </c>
      <c r="G39">
        <f>IF(COUNT(Resultados!G39,Resultados!P39,Resultados!Y39,Resultados!AH39,Resultados!AQ39,Resultados!AZ39,Resultados!BI39,Resultados!BR39,Resultados!CA39,Resultados!CJ39)=0, "", AVERAGE(ABS(Resultados!G39),ABS(Resultados!P39),ABS(Resultados!Y39),ABS(Resultados!AH39),ABS(Resultados!AQ39),ABS(Resultados!AZ39),ABS(Resultados!BI39),ABS(Resultados!BR39),ABS(Resultados!CA39),ABS(Resultados!CJ39)))</f>
        <v>0.42400000000000004</v>
      </c>
      <c r="H39">
        <f>IF(COUNT(Resultados!H39,Resultados!Q39,Resultados!Z39,Resultados!AI39,Resultados!AR39,Resultados!BA39,Resultados!BJ39,Resultados!BS39,Resultados!CB39,Resultados!CK39)=0, "", AVERAGE(ABS(Resultados!H39),ABS(Resultados!Q39),ABS(Resultados!Z39),ABS(Resultados!AI39),ABS(Resultados!AR39),ABS(Resultados!BA39),ABS(Resultados!BJ39),ABS(Resultados!BS39),ABS(Resultados!CB39),ABS(Resultados!CK39)))</f>
        <v>3.3999999999999994E-3</v>
      </c>
      <c r="I39">
        <f>IF(COUNT(Resultados!I39,Resultados!R39,Resultados!AA39,Resultados!AJ39,Resultados!AS39,Resultados!BB39,Resultados!BK39,Resultados!BT39,Resultados!CC39,Resultados!CL39)=0, "", AVERAGE(ABS(Resultados!I39),ABS(Resultados!R39),ABS(Resultados!AA39),ABS(Resultados!AJ39),ABS(Resultados!AS39),ABS(Resultados!BB39),ABS(Resultados!BK39),ABS(Resultados!BT39),ABS(Resultados!CC39),ABS(Resultados!CL39)))</f>
        <v>7.3998220000000057</v>
      </c>
      <c r="J39">
        <v>3.6499999999999996E-3</v>
      </c>
      <c r="K39">
        <v>3.3999999999999994E-3</v>
      </c>
    </row>
    <row r="40" spans="1:11" x14ac:dyDescent="0.3">
      <c r="A40">
        <f>IF(COUNT(Resultados!A40,Resultados!J40,Resultados!S40,Resultados!AB40,Resultados!AK40,Resultados!AT40,Resultados!BC40,Resultados!BL40,Resultados!BU40,Resultados!CD40)=0, "", AVERAGE(ABS(Resultados!A40),ABS(Resultados!J40),ABS(Resultados!S40),ABS(Resultados!AB40),ABS(Resultados!AK40),ABS(Resultados!AT40),ABS(Resultados!BC40),ABS(Resultados!BL40),ABS(Resultados!BU40),ABS(Resultados!CD40)))</f>
        <v>45681</v>
      </c>
      <c r="B40" t="str">
        <f>IF(COUNT(Resultados!B40,Resultados!K40,Resultados!T40,Resultados!AC40,Resultados!AL40,Resultados!AU40,Resultados!BD40,Resultados!BM40,Resultados!BV40,Resultados!CE40)=0, "", AVERAGE(ABS(Resultados!B40),ABS(Resultados!K40),ABS(Resultados!T40),ABS(Resultados!AC40),ABS(Resultados!AL40),ABS(Resultados!AU40),ABS(Resultados!BD40),ABS(Resultados!BM40),ABS(Resultados!BV40),ABS(Resultados!CE40)))</f>
        <v/>
      </c>
      <c r="C40">
        <f>IF(COUNT(Resultados!C40,Resultados!L40,Resultados!U40,Resultados!AD40,Resultados!AM40,Resultados!AV40,Resultados!BE40,Resultados!BN40,Resultados!BW40,Resultados!CF40)=0, "", AVERAGE(ABS(Resultados!C40),ABS(Resultados!L40),ABS(Resultados!U40),ABS(Resultados!AD40),ABS(Resultados!AM40),ABS(Resultados!AV40),ABS(Resultados!BE40),ABS(Resultados!BN40),ABS(Resultados!BW40),ABS(Resultados!CF40)))</f>
        <v>2.5</v>
      </c>
      <c r="D40">
        <f>IF(COUNT(Resultados!D40,Resultados!M40,Resultados!V40,Resultados!AE40,Resultados!AN40,Resultados!AW40,Resultados!BF40,Resultados!BO40,Resultados!BX40,Resultados!CG40)=0, "", AVERAGE(ABS(Resultados!D40),ABS(Resultados!M40),ABS(Resultados!V40),ABS(Resultados!AE40),ABS(Resultados!AN40),ABS(Resultados!AW40),ABS(Resultados!BF40),ABS(Resultados!BO40),ABS(Resultados!BX40),ABS(Resultados!CG40)))</f>
        <v>8.9999999999999998E-4</v>
      </c>
      <c r="E40">
        <f>IF(COUNT(Resultados!E40,Resultados!N40,Resultados!W40,Resultados!AF40,Resultados!AO40,Resultados!AX40,Resultados!BG40,Resultados!BP40,Resultados!BY40,Resultados!CH40)=0, "", AVERAGE(ABS(Resultados!E40),ABS(Resultados!N40),ABS(Resultados!W40),ABS(Resultados!AF40),ABS(Resultados!AO40),ABS(Resultados!AX40),ABS(Resultados!BG40),ABS(Resultados!BP40),ABS(Resultados!BY40),ABS(Resultados!CH40)))</f>
        <v>6.0945367593799613</v>
      </c>
      <c r="F40">
        <f>IF(COUNT(Resultados!F40,Resultados!O40,Resultados!X40,Resultados!AG40,Resultados!AP40,Resultados!AY40,Resultados!BH40,Resultados!BQ40,Resultados!BZ40,Resultados!CI40)=0, "", AVERAGE(ABS(Resultados!F40),ABS(Resultados!O40),ABS(Resultados!X40),ABS(Resultados!AG40),ABS(Resultados!AP40),ABS(Resultados!AY40),ABS(Resultados!BH40),ABS(Resultados!BQ40),ABS(Resultados!BZ40),ABS(Resultados!CI40)))</f>
        <v>616.01082597421259</v>
      </c>
      <c r="G40">
        <f>IF(COUNT(Resultados!G40,Resultados!P40,Resultados!Y40,Resultados!AH40,Resultados!AQ40,Resultados!AZ40,Resultados!BI40,Resultados!BR40,Resultados!CA40,Resultados!CJ40)=0, "", AVERAGE(ABS(Resultados!G40),ABS(Resultados!P40),ABS(Resultados!Y40),ABS(Resultados!AH40),ABS(Resultados!AQ40),ABS(Resultados!AZ40),ABS(Resultados!BI40),ABS(Resultados!BR40),ABS(Resultados!CA40),ABS(Resultados!CJ40)))</f>
        <v>0.42400000000000004</v>
      </c>
      <c r="H40">
        <f>IF(COUNT(Resultados!H40,Resultados!Q40,Resultados!Z40,Resultados!AI40,Resultados!AR40,Resultados!BA40,Resultados!BJ40,Resultados!BS40,Resultados!CB40,Resultados!CK40)=0, "", AVERAGE(ABS(Resultados!H40),ABS(Resultados!Q40),ABS(Resultados!Z40),ABS(Resultados!AI40),ABS(Resultados!AR40),ABS(Resultados!BA40),ABS(Resultados!BJ40),ABS(Resultados!BS40),ABS(Resultados!CB40),ABS(Resultados!CK40)))</f>
        <v>1.5099999999999998E-3</v>
      </c>
      <c r="I40">
        <f>IF(COUNT(Resultados!I40,Resultados!R40,Resultados!AA40,Resultados!AJ40,Resultados!AS40,Resultados!BB40,Resultados!BK40,Resultados!BT40,Resultados!CC40,Resultados!CL40)=0, "", AVERAGE(ABS(Resultados!I40),ABS(Resultados!R40),ABS(Resultados!AA40),ABS(Resultados!AJ40),ABS(Resultados!AS40),ABS(Resultados!BB40),ABS(Resultados!BK40),ABS(Resultados!BT40),ABS(Resultados!CC40),ABS(Resultados!CL40)))</f>
        <v>7.5995100000000004</v>
      </c>
      <c r="J40">
        <v>8.9999999999999998E-4</v>
      </c>
      <c r="K40">
        <v>1.5099999999999998E-3</v>
      </c>
    </row>
    <row r="41" spans="1:11" x14ac:dyDescent="0.3">
      <c r="A41">
        <f>IF(COUNT(Resultados!A41,Resultados!J41,Resultados!S41,Resultados!AB41,Resultados!AK41,Resultados!AT41,Resultados!BC41,Resultados!BL41,Resultados!BU41,Resultados!CD41)=0, "", AVERAGE(ABS(Resultados!A41),ABS(Resultados!J41),ABS(Resultados!S41),ABS(Resultados!AB41),ABS(Resultados!AK41),ABS(Resultados!AT41),ABS(Resultados!BC41),ABS(Resultados!BL41),ABS(Resultados!BU41),ABS(Resultados!CD41)))</f>
        <v>45681</v>
      </c>
      <c r="B41" t="str">
        <f>IF(COUNT(Resultados!B41,Resultados!K41,Resultados!T41,Resultados!AC41,Resultados!AL41,Resultados!AU41,Resultados!BD41,Resultados!BM41,Resultados!BV41,Resultados!CE41)=0, "", AVERAGE(ABS(Resultados!B41),ABS(Resultados!K41),ABS(Resultados!T41),ABS(Resultados!AC41),ABS(Resultados!AL41),ABS(Resultados!AU41),ABS(Resultados!BD41),ABS(Resultados!BM41),ABS(Resultados!BV41),ABS(Resultados!CE41)))</f>
        <v/>
      </c>
      <c r="C41">
        <f>IF(COUNT(Resultados!C41,Resultados!L41,Resultados!U41,Resultados!AD41,Resultados!AM41,Resultados!AV41,Resultados!BE41,Resultados!BN41,Resultados!BW41,Resultados!CF41)=0, "", AVERAGE(ABS(Resultados!C41),ABS(Resultados!L41),ABS(Resultados!U41),ABS(Resultados!AD41),ABS(Resultados!AM41),ABS(Resultados!AV41),ABS(Resultados!BE41),ABS(Resultados!BN41),ABS(Resultados!BW41),ABS(Resultados!CF41)))</f>
        <v>2.5</v>
      </c>
      <c r="D41">
        <f>IF(COUNT(Resultados!D41,Resultados!M41,Resultados!V41,Resultados!AE41,Resultados!AN41,Resultados!AW41,Resultados!BF41,Resultados!BO41,Resultados!BX41,Resultados!CG41)=0, "", AVERAGE(ABS(Resultados!D41),ABS(Resultados!M41),ABS(Resultados!V41),ABS(Resultados!AE41),ABS(Resultados!AN41),ABS(Resultados!AW41),ABS(Resultados!BF41),ABS(Resultados!BO41),ABS(Resultados!BX41),ABS(Resultados!CG41)))</f>
        <v>1.4E-3</v>
      </c>
      <c r="E41">
        <f>IF(COUNT(Resultados!E41,Resultados!N41,Resultados!W41,Resultados!AF41,Resultados!AO41,Resultados!AX41,Resultados!BG41,Resultados!BP41,Resultados!BY41,Resultados!CH41)=0, "", AVERAGE(ABS(Resultados!E41),ABS(Resultados!N41),ABS(Resultados!W41),ABS(Resultados!AF41),ABS(Resultados!AO41),ABS(Resultados!AX41),ABS(Resultados!BG41),ABS(Resultados!BP41),ABS(Resultados!BY41),ABS(Resultados!CH41)))</f>
        <v>6.020477043578107</v>
      </c>
      <c r="F41">
        <f>IF(COUNT(Resultados!F41,Resultados!O41,Resultados!X41,Resultados!AG41,Resultados!AP41,Resultados!AY41,Resultados!BH41,Resultados!BQ41,Resultados!BZ41,Resultados!CI41)=0, "", AVERAGE(ABS(Resultados!F41),ABS(Resultados!O41),ABS(Resultados!X41),ABS(Resultados!AG41),ABS(Resultados!AP41),ABS(Resultados!AY41),ABS(Resultados!BH41),ABS(Resultados!BQ41),ABS(Resultados!BZ41),ABS(Resultados!CI41)))</f>
        <v>609.10846046147958</v>
      </c>
      <c r="G41">
        <f>IF(COUNT(Resultados!G41,Resultados!P41,Resultados!Y41,Resultados!AH41,Resultados!AQ41,Resultados!AZ41,Resultados!BI41,Resultados!BR41,Resultados!CA41,Resultados!CJ41)=0, "", AVERAGE(ABS(Resultados!G41),ABS(Resultados!P41),ABS(Resultados!Y41),ABS(Resultados!AH41),ABS(Resultados!AQ41),ABS(Resultados!AZ41),ABS(Resultados!BI41),ABS(Resultados!BR41),ABS(Resultados!CA41),ABS(Resultados!CJ41)))</f>
        <v>0.42400000000000004</v>
      </c>
      <c r="H41">
        <f>IF(COUNT(Resultados!H41,Resultados!Q41,Resultados!Z41,Resultados!AI41,Resultados!AR41,Resultados!BA41,Resultados!BJ41,Resultados!BS41,Resultados!CB41,Resultados!CK41)=0, "", AVERAGE(ABS(Resultados!H41),ABS(Resultados!Q41),ABS(Resultados!Z41),ABS(Resultados!AI41),ABS(Resultados!AR41),ABS(Resultados!BA41),ABS(Resultados!BJ41),ABS(Resultados!BS41),ABS(Resultados!CB41),ABS(Resultados!CK41)))</f>
        <v>4.0000000000000007E-4</v>
      </c>
      <c r="I41">
        <f>IF(COUNT(Resultados!I41,Resultados!R41,Resultados!AA41,Resultados!AJ41,Resultados!AS41,Resultados!BB41,Resultados!BK41,Resultados!BT41,Resultados!CC41,Resultados!CL41)=0, "", AVERAGE(ABS(Resultados!I41),ABS(Resultados!R41),ABS(Resultados!AA41),ABS(Resultados!AJ41),ABS(Resultados!AS41),ABS(Resultados!BB41),ABS(Resultados!BK41),ABS(Resultados!BT41),ABS(Resultados!CC41),ABS(Resultados!CL41)))</f>
        <v>7.7995169999999971</v>
      </c>
      <c r="J41">
        <v>1.4E-3</v>
      </c>
      <c r="K41">
        <v>4.0000000000000007E-4</v>
      </c>
    </row>
    <row r="42" spans="1:11" x14ac:dyDescent="0.3">
      <c r="A42">
        <f>IF(COUNT(Resultados!A42,Resultados!J42,Resultados!S42,Resultados!AB42,Resultados!AK42,Resultados!AT42,Resultados!BC42,Resultados!BL42,Resultados!BU42,Resultados!CD42)=0, "", AVERAGE(ABS(Resultados!A42),ABS(Resultados!J42),ABS(Resultados!S42),ABS(Resultados!AB42),ABS(Resultados!AK42),ABS(Resultados!AT42),ABS(Resultados!BC42),ABS(Resultados!BL42),ABS(Resultados!BU42),ABS(Resultados!CD42)))</f>
        <v>45681</v>
      </c>
      <c r="B42" t="str">
        <f>IF(COUNT(Resultados!B42,Resultados!K42,Resultados!T42,Resultados!AC42,Resultados!AL42,Resultados!AU42,Resultados!BD42,Resultados!BM42,Resultados!BV42,Resultados!CE42)=0, "", AVERAGE(ABS(Resultados!B42),ABS(Resultados!K42),ABS(Resultados!T42),ABS(Resultados!AC42),ABS(Resultados!AL42),ABS(Resultados!AU42),ABS(Resultados!BD42),ABS(Resultados!BM42),ABS(Resultados!BV42),ABS(Resultados!CE42)))</f>
        <v/>
      </c>
      <c r="C42">
        <f>IF(COUNT(Resultados!C42,Resultados!L42,Resultados!U42,Resultados!AD42,Resultados!AM42,Resultados!AV42,Resultados!BE42,Resultados!BN42,Resultados!BW42,Resultados!CF42)=0, "", AVERAGE(ABS(Resultados!C42),ABS(Resultados!L42),ABS(Resultados!U42),ABS(Resultados!AD42),ABS(Resultados!AM42),ABS(Resultados!AV42),ABS(Resultados!BE42),ABS(Resultados!BN42),ABS(Resultados!BW42),ABS(Resultados!CF42)))</f>
        <v>2.5</v>
      </c>
      <c r="D42">
        <f>IF(COUNT(Resultados!D42,Resultados!M42,Resultados!V42,Resultados!AE42,Resultados!AN42,Resultados!AW42,Resultados!BF42,Resultados!BO42,Resultados!BX42,Resultados!CG42)=0, "", AVERAGE(ABS(Resultados!D42),ABS(Resultados!M42),ABS(Resultados!V42),ABS(Resultados!AE42),ABS(Resultados!AN42),ABS(Resultados!AW42),ABS(Resultados!BF42),ABS(Resultados!BO42),ABS(Resultados!BX42),ABS(Resultados!CG42)))</f>
        <v>2.7799999999999999E-3</v>
      </c>
      <c r="E42">
        <f>IF(COUNT(Resultados!E42,Resultados!N42,Resultados!W42,Resultados!AF42,Resultados!AO42,Resultados!AX42,Resultados!BG42,Resultados!BP42,Resultados!BY42,Resultados!CH42)=0, "", AVERAGE(ABS(Resultados!E42),ABS(Resultados!N42),ABS(Resultados!W42),ABS(Resultados!AF42),ABS(Resultados!AO42),ABS(Resultados!AX42),ABS(Resultados!BG42),ABS(Resultados!BP42),ABS(Resultados!BY42),ABS(Resultados!CH42)))</f>
        <v>5.9957387161702842</v>
      </c>
      <c r="F42">
        <f>IF(COUNT(Resultados!F42,Resultados!O42,Resultados!X42,Resultados!AG42,Resultados!AP42,Resultados!AY42,Resultados!BH42,Resultados!BQ42,Resultados!BZ42,Resultados!CI42)=0, "", AVERAGE(ABS(Resultados!F42),ABS(Resultados!O42),ABS(Resultados!X42),ABS(Resultados!AG42),ABS(Resultados!AP42),ABS(Resultados!AY42),ABS(Resultados!BH42),ABS(Resultados!BQ42),ABS(Resultados!BZ42),ABS(Resultados!CI42)))</f>
        <v>606.80284834707049</v>
      </c>
      <c r="G42">
        <f>IF(COUNT(Resultados!G42,Resultados!P42,Resultados!Y42,Resultados!AH42,Resultados!AQ42,Resultados!AZ42,Resultados!BI42,Resultados!BR42,Resultados!CA42,Resultados!CJ42)=0, "", AVERAGE(ABS(Resultados!G42),ABS(Resultados!P42),ABS(Resultados!Y42),ABS(Resultados!AH42),ABS(Resultados!AQ42),ABS(Resultados!AZ42),ABS(Resultados!BI42),ABS(Resultados!BR42),ABS(Resultados!CA42),ABS(Resultados!CJ42)))</f>
        <v>0.42400000000000004</v>
      </c>
      <c r="H42">
        <f>IF(COUNT(Resultados!H42,Resultados!Q42,Resultados!Z42,Resultados!AI42,Resultados!AR42,Resultados!BA42,Resultados!BJ42,Resultados!BS42,Resultados!CB42,Resultados!CK42)=0, "", AVERAGE(ABS(Resultados!H42),ABS(Resultados!Q42),ABS(Resultados!Z42),ABS(Resultados!AI42),ABS(Resultados!AR42),ABS(Resultados!BA42),ABS(Resultados!BJ42),ABS(Resultados!BS42),ABS(Resultados!CB42),ABS(Resultados!CK42)))</f>
        <v>0</v>
      </c>
      <c r="I42">
        <f>IF(COUNT(Resultados!I42,Resultados!R42,Resultados!AA42,Resultados!AJ42,Resultados!AS42,Resultados!BB42,Resultados!BK42,Resultados!BT42,Resultados!CC42,Resultados!CL42)=0, "", AVERAGE(ABS(Resultados!I42),ABS(Resultados!R42),ABS(Resultados!AA42),ABS(Resultados!AJ42),ABS(Resultados!AS42),ABS(Resultados!BB42),ABS(Resultados!BK42),ABS(Resultados!BT42),ABS(Resultados!CC42),ABS(Resultados!CL42)))</f>
        <v>8.000433000000001</v>
      </c>
      <c r="J42">
        <v>2.7799999999999999E-3</v>
      </c>
      <c r="K42">
        <v>0</v>
      </c>
    </row>
    <row r="43" spans="1:11" x14ac:dyDescent="0.3">
      <c r="A43">
        <f>IF(COUNT(Resultados!A43,Resultados!J43,Resultados!S43,Resultados!AB43,Resultados!AK43,Resultados!AT43,Resultados!BC43,Resultados!BL43,Resultados!BU43,Resultados!CD43)=0, "", AVERAGE(ABS(Resultados!A43),ABS(Resultados!J43),ABS(Resultados!S43),ABS(Resultados!AB43),ABS(Resultados!AK43),ABS(Resultados!AT43),ABS(Resultados!BC43),ABS(Resultados!BL43),ABS(Resultados!BU43),ABS(Resultados!CD43)))</f>
        <v>45681</v>
      </c>
      <c r="B43" t="str">
        <f>IF(COUNT(Resultados!B43,Resultados!K43,Resultados!T43,Resultados!AC43,Resultados!AL43,Resultados!AU43,Resultados!BD43,Resultados!BM43,Resultados!BV43,Resultados!CE43)=0, "", AVERAGE(ABS(Resultados!B43),ABS(Resultados!K43),ABS(Resultados!T43),ABS(Resultados!AC43),ABS(Resultados!AL43),ABS(Resultados!AU43),ABS(Resultados!BD43),ABS(Resultados!BM43),ABS(Resultados!BV43),ABS(Resultados!CE43)))</f>
        <v/>
      </c>
      <c r="C43">
        <f>IF(COUNT(Resultados!C43,Resultados!L43,Resultados!U43,Resultados!AD43,Resultados!AM43,Resultados!AV43,Resultados!BE43,Resultados!BN43,Resultados!BW43,Resultados!CF43)=0, "", AVERAGE(ABS(Resultados!C43),ABS(Resultados!L43),ABS(Resultados!U43),ABS(Resultados!AD43),ABS(Resultados!AM43),ABS(Resultados!AV43),ABS(Resultados!BE43),ABS(Resultados!BN43),ABS(Resultados!BW43),ABS(Resultados!CF43)))</f>
        <v>2.5</v>
      </c>
      <c r="D43">
        <f>IF(COUNT(Resultados!D43,Resultados!M43,Resultados!V43,Resultados!AE43,Resultados!AN43,Resultados!AW43,Resultados!BF43,Resultados!BO43,Resultados!BX43,Resultados!CG43)=0, "", AVERAGE(ABS(Resultados!D43),ABS(Resultados!M43),ABS(Resultados!V43),ABS(Resultados!AE43),ABS(Resultados!AN43),ABS(Resultados!AW43),ABS(Resultados!BF43),ABS(Resultados!BO43),ABS(Resultados!BX43),ABS(Resultados!CG43)))</f>
        <v>3.0399999999999993E-3</v>
      </c>
      <c r="E43">
        <f>IF(COUNT(Resultados!E43,Resultados!N43,Resultados!W43,Resultados!AF43,Resultados!AO43,Resultados!AX43,Resultados!BG43,Resultados!BP43,Resultados!BY43,Resultados!CH43)=0, "", AVERAGE(ABS(Resultados!E43),ABS(Resultados!N43),ABS(Resultados!W43),ABS(Resultados!AF43),ABS(Resultados!AO43),ABS(Resultados!AX43),ABS(Resultados!BG43),ABS(Resultados!BP43),ABS(Resultados!BY43),ABS(Resultados!CH43)))</f>
        <v>6.0210008963791708</v>
      </c>
      <c r="F43">
        <f>IF(COUNT(Resultados!F43,Resultados!O43,Resultados!X43,Resultados!AG43,Resultados!AP43,Resultados!AY43,Resultados!BH43,Resultados!BQ43,Resultados!BZ43,Resultados!CI43)=0, "", AVERAGE(ABS(Resultados!F43),ABS(Resultados!O43),ABS(Resultados!X43),ABS(Resultados!AG43),ABS(Resultados!AP43),ABS(Resultados!AY43),ABS(Resultados!BH43),ABS(Resultados!BQ43),ABS(Resultados!BZ43),ABS(Resultados!CI43)))</f>
        <v>711.39298506638329</v>
      </c>
      <c r="G43">
        <f>IF(COUNT(Resultados!G43,Resultados!P43,Resultados!Y43,Resultados!AH43,Resultados!AQ43,Resultados!AZ43,Resultados!BI43,Resultados!BR43,Resultados!CA43,Resultados!CJ43)=0, "", AVERAGE(ABS(Resultados!G43),ABS(Resultados!P43),ABS(Resultados!Y43),ABS(Resultados!AH43),ABS(Resultados!AQ43),ABS(Resultados!AZ43),ABS(Resultados!BI43),ABS(Resultados!BR43),ABS(Resultados!CA43),ABS(Resultados!CJ43)))</f>
        <v>0.42400000000000004</v>
      </c>
      <c r="H43">
        <f>IF(COUNT(Resultados!H43,Resultados!Q43,Resultados!Z43,Resultados!AI43,Resultados!AR43,Resultados!BA43,Resultados!BJ43,Resultados!BS43,Resultados!CB43,Resultados!CK43)=0, "", AVERAGE(ABS(Resultados!H43),ABS(Resultados!Q43),ABS(Resultados!Z43),ABS(Resultados!AI43),ABS(Resultados!AR43),ABS(Resultados!BA43),ABS(Resultados!BJ43),ABS(Resultados!BS43),ABS(Resultados!CB43),ABS(Resultados!CK43)))</f>
        <v>4.0000000000000007E-4</v>
      </c>
      <c r="I43">
        <f>IF(COUNT(Resultados!I43,Resultados!R43,Resultados!AA43,Resultados!AJ43,Resultados!AS43,Resultados!BB43,Resultados!BK43,Resultados!BT43,Resultados!CC43,Resultados!CL43)=0, "", AVERAGE(ABS(Resultados!I43),ABS(Resultados!R43),ABS(Resultados!AA43),ABS(Resultados!AJ43),ABS(Resultados!AS43),ABS(Resultados!BB43),ABS(Resultados!BK43),ABS(Resultados!BT43),ABS(Resultados!CC43),ABS(Resultados!CL43)))</f>
        <v>8.1998789999999975</v>
      </c>
      <c r="J43">
        <v>3.0399999999999993E-3</v>
      </c>
      <c r="K43">
        <v>4.0000000000000007E-4</v>
      </c>
    </row>
    <row r="44" spans="1:11" x14ac:dyDescent="0.3">
      <c r="A44">
        <f>IF(COUNT(Resultados!A44,Resultados!J44,Resultados!S44,Resultados!AB44,Resultados!AK44,Resultados!AT44,Resultados!BC44,Resultados!BL44,Resultados!BU44,Resultados!CD44)=0, "", AVERAGE(ABS(Resultados!A44),ABS(Resultados!J44),ABS(Resultados!S44),ABS(Resultados!AB44),ABS(Resultados!AK44),ABS(Resultados!AT44),ABS(Resultados!BC44),ABS(Resultados!BL44),ABS(Resultados!BU44),ABS(Resultados!CD44)))</f>
        <v>45681</v>
      </c>
      <c r="B44" t="str">
        <f>IF(COUNT(Resultados!B44,Resultados!K44,Resultados!T44,Resultados!AC44,Resultados!AL44,Resultados!AU44,Resultados!BD44,Resultados!BM44,Resultados!BV44,Resultados!CE44)=0, "", AVERAGE(ABS(Resultados!B44),ABS(Resultados!K44),ABS(Resultados!T44),ABS(Resultados!AC44),ABS(Resultados!AL44),ABS(Resultados!AU44),ABS(Resultados!BD44),ABS(Resultados!BM44),ABS(Resultados!BV44),ABS(Resultados!CE44)))</f>
        <v/>
      </c>
      <c r="C44">
        <f>IF(COUNT(Resultados!C44,Resultados!L44,Resultados!U44,Resultados!AD44,Resultados!AM44,Resultados!AV44,Resultados!BE44,Resultados!BN44,Resultados!BW44,Resultados!CF44)=0, "", AVERAGE(ABS(Resultados!C44),ABS(Resultados!L44),ABS(Resultados!U44),ABS(Resultados!AD44),ABS(Resultados!AM44),ABS(Resultados!AV44),ABS(Resultados!BE44),ABS(Resultados!BN44),ABS(Resultados!BW44),ABS(Resultados!CF44)))</f>
        <v>2.5</v>
      </c>
      <c r="D44">
        <f>IF(COUNT(Resultados!D44,Resultados!M44,Resultados!V44,Resultados!AE44,Resultados!AN44,Resultados!AW44,Resultados!BF44,Resultados!BO44,Resultados!BX44,Resultados!CG44)=0, "", AVERAGE(ABS(Resultados!D44),ABS(Resultados!M44),ABS(Resultados!V44),ABS(Resultados!AE44),ABS(Resultados!AN44),ABS(Resultados!AW44),ABS(Resultados!BF44),ABS(Resultados!BO44),ABS(Resultados!BX44),ABS(Resultados!CG44)))</f>
        <v>1.0500000000000002E-3</v>
      </c>
      <c r="E44">
        <f>IF(COUNT(Resultados!E44,Resultados!N44,Resultados!W44,Resultados!AF44,Resultados!AO44,Resultados!AX44,Resultados!BG44,Resultados!BP44,Resultados!BY44,Resultados!CH44)=0, "", AVERAGE(ABS(Resultados!E44),ABS(Resultados!N44),ABS(Resultados!W44),ABS(Resultados!AF44),ABS(Resultados!AO44),ABS(Resultados!AX44),ABS(Resultados!BG44),ABS(Resultados!BP44),ABS(Resultados!BY44),ABS(Resultados!CH44)))</f>
        <v>6.1242659761349287</v>
      </c>
      <c r="F44">
        <f>IF(COUNT(Resultados!F44,Resultados!O44,Resultados!X44,Resultados!AG44,Resultados!AP44,Resultados!AY44,Resultados!BH44,Resultados!BQ44,Resultados!BZ44,Resultados!CI44)=0, "", AVERAGE(ABS(Resultados!F44),ABS(Resultados!O44),ABS(Resultados!X44),ABS(Resultados!AG44),ABS(Resultados!AP44),ABS(Resultados!AY44),ABS(Resultados!BH44),ABS(Resultados!BQ44),ABS(Resultados!BZ44),ABS(Resultados!CI44)))</f>
        <v>721.19284113520473</v>
      </c>
      <c r="G44">
        <f>IF(COUNT(Resultados!G44,Resultados!P44,Resultados!Y44,Resultados!AH44,Resultados!AQ44,Resultados!AZ44,Resultados!BI44,Resultados!BR44,Resultados!CA44,Resultados!CJ44)=0, "", AVERAGE(ABS(Resultados!G44),ABS(Resultados!P44),ABS(Resultados!Y44),ABS(Resultados!AH44),ABS(Resultados!AQ44),ABS(Resultados!AZ44),ABS(Resultados!BI44),ABS(Resultados!BR44),ABS(Resultados!CA44),ABS(Resultados!CJ44)))</f>
        <v>0.42400000000000004</v>
      </c>
      <c r="H44">
        <f>IF(COUNT(Resultados!H44,Resultados!Q44,Resultados!Z44,Resultados!AI44,Resultados!AR44,Resultados!BA44,Resultados!BJ44,Resultados!BS44,Resultados!CB44,Resultados!CK44)=0, "", AVERAGE(ABS(Resultados!H44),ABS(Resultados!Q44),ABS(Resultados!Z44),ABS(Resultados!AI44),ABS(Resultados!AR44),ABS(Resultados!BA44),ABS(Resultados!BJ44),ABS(Resultados!BS44),ABS(Resultados!CB44),ABS(Resultados!CK44)))</f>
        <v>1.99E-3</v>
      </c>
      <c r="I44">
        <f>IF(COUNT(Resultados!I44,Resultados!R44,Resultados!AA44,Resultados!AJ44,Resultados!AS44,Resultados!BB44,Resultados!BK44,Resultados!BT44,Resultados!CC44,Resultados!CL44)=0, "", AVERAGE(ABS(Resultados!I44),ABS(Resultados!R44),ABS(Resultados!AA44),ABS(Resultados!AJ44),ABS(Resultados!AS44),ABS(Resultados!BB44),ABS(Resultados!BK44),ABS(Resultados!BT44),ABS(Resultados!CC44),ABS(Resultados!CL44)))</f>
        <v>8.4397880000000036</v>
      </c>
      <c r="J44">
        <v>1.0500000000000002E-3</v>
      </c>
      <c r="K44">
        <v>1.99E-3</v>
      </c>
    </row>
    <row r="45" spans="1:11" x14ac:dyDescent="0.3">
      <c r="A45">
        <f>IF(COUNT(Resultados!A45,Resultados!J45,Resultados!S45,Resultados!AB45,Resultados!AK45,Resultados!AT45,Resultados!BC45,Resultados!BL45,Resultados!BU45,Resultados!CD45)=0, "", AVERAGE(ABS(Resultados!A45),ABS(Resultados!J45),ABS(Resultados!S45),ABS(Resultados!AB45),ABS(Resultados!AK45),ABS(Resultados!AT45),ABS(Resultados!BC45),ABS(Resultados!BL45),ABS(Resultados!BU45),ABS(Resultados!CD45)))</f>
        <v>45681</v>
      </c>
      <c r="B45" t="str">
        <f>IF(COUNT(Resultados!B45,Resultados!K45,Resultados!T45,Resultados!AC45,Resultados!AL45,Resultados!AU45,Resultados!BD45,Resultados!BM45,Resultados!BV45,Resultados!CE45)=0, "", AVERAGE(ABS(Resultados!B45),ABS(Resultados!K45),ABS(Resultados!T45),ABS(Resultados!AC45),ABS(Resultados!AL45),ABS(Resultados!AU45),ABS(Resultados!BD45),ABS(Resultados!BM45),ABS(Resultados!BV45),ABS(Resultados!CE45)))</f>
        <v/>
      </c>
      <c r="C45">
        <f>IF(COUNT(Resultados!C45,Resultados!L45,Resultados!U45,Resultados!AD45,Resultados!AM45,Resultados!AV45,Resultados!BE45,Resultados!BN45,Resultados!BW45,Resultados!CF45)=0, "", AVERAGE(ABS(Resultados!C45),ABS(Resultados!L45),ABS(Resultados!U45),ABS(Resultados!AD45),ABS(Resultados!AM45),ABS(Resultados!AV45),ABS(Resultados!BE45),ABS(Resultados!BN45),ABS(Resultados!BW45),ABS(Resultados!CF45)))</f>
        <v>2.5</v>
      </c>
      <c r="D45">
        <f>IF(COUNT(Resultados!D45,Resultados!M45,Resultados!V45,Resultados!AE45,Resultados!AN45,Resultados!AW45,Resultados!BF45,Resultados!BO45,Resultados!BX45,Resultados!CG45)=0, "", AVERAGE(ABS(Resultados!D45),ABS(Resultados!M45),ABS(Resultados!V45),ABS(Resultados!AE45),ABS(Resultados!AN45),ABS(Resultados!AW45),ABS(Resultados!BF45),ABS(Resultados!BO45),ABS(Resultados!BX45),ABS(Resultados!CG45)))</f>
        <v>2.0100000000000001E-3</v>
      </c>
      <c r="E45">
        <f>IF(COUNT(Resultados!E45,Resultados!N45,Resultados!W45,Resultados!AF45,Resultados!AO45,Resultados!AX45,Resultados!BG45,Resultados!BP45,Resultados!BY45,Resultados!CH45)=0, "", AVERAGE(ABS(Resultados!E45),ABS(Resultados!N45),ABS(Resultados!W45),ABS(Resultados!AF45),ABS(Resultados!AO45),ABS(Resultados!AX45),ABS(Resultados!BG45),ABS(Resultados!BP45),ABS(Resultados!BY45),ABS(Resultados!CH45)))</f>
        <v>6.2549838544329655</v>
      </c>
      <c r="F45">
        <f>IF(COUNT(Resultados!F45,Resultados!O45,Resultados!X45,Resultados!AG45,Resultados!AP45,Resultados!AY45,Resultados!BH45,Resultados!BQ45,Resultados!BZ45,Resultados!CI45)=0, "", AVERAGE(ABS(Resultados!F45),ABS(Resultados!O45),ABS(Resultados!X45),ABS(Resultados!AG45),ABS(Resultados!AP45),ABS(Resultados!AY45),ABS(Resultados!BH45),ABS(Resultados!BQ45),ABS(Resultados!BZ45),ABS(Resultados!CI45)))</f>
        <v>733.5979677856883</v>
      </c>
      <c r="G45">
        <f>IF(COUNT(Resultados!G45,Resultados!P45,Resultados!Y45,Resultados!AH45,Resultados!AQ45,Resultados!AZ45,Resultados!BI45,Resultados!BR45,Resultados!CA45,Resultados!CJ45)=0, "", AVERAGE(ABS(Resultados!G45),ABS(Resultados!P45),ABS(Resultados!Y45),ABS(Resultados!AH45),ABS(Resultados!AQ45),ABS(Resultados!AZ45),ABS(Resultados!BI45),ABS(Resultados!BR45),ABS(Resultados!CA45),ABS(Resultados!CJ45)))</f>
        <v>0.42400000000000004</v>
      </c>
      <c r="H45">
        <f>IF(COUNT(Resultados!H45,Resultados!Q45,Resultados!Z45,Resultados!AI45,Resultados!AR45,Resultados!BA45,Resultados!BJ45,Resultados!BS45,Resultados!CB45,Resultados!CK45)=0, "", AVERAGE(ABS(Resultados!H45),ABS(Resultados!Q45),ABS(Resultados!Z45),ABS(Resultados!AI45),ABS(Resultados!AR45),ABS(Resultados!BA45),ABS(Resultados!BJ45),ABS(Resultados!BS45),ABS(Resultados!CB45),ABS(Resultados!CK45)))</f>
        <v>4.0100000000000005E-3</v>
      </c>
      <c r="I45">
        <f>IF(COUNT(Resultados!I45,Resultados!R45,Resultados!AA45,Resultados!AJ45,Resultados!AS45,Resultados!BB45,Resultados!BK45,Resultados!BT45,Resultados!CC45,Resultados!CL45)=0, "", AVERAGE(ABS(Resultados!I45),ABS(Resultados!R45),ABS(Resultados!AA45),ABS(Resultados!AJ45),ABS(Resultados!AS45),ABS(Resultados!BB45),ABS(Resultados!BK45),ABS(Resultados!BT45),ABS(Resultados!CC45),ABS(Resultados!CL45)))</f>
        <v>8.640032999999999</v>
      </c>
      <c r="J45">
        <v>2.0100000000000001E-3</v>
      </c>
      <c r="K45">
        <v>4.0100000000000005E-3</v>
      </c>
    </row>
    <row r="46" spans="1:11" x14ac:dyDescent="0.3">
      <c r="A46">
        <f>IF(COUNT(Resultados!A46,Resultados!J46,Resultados!S46,Resultados!AB46,Resultados!AK46,Resultados!AT46,Resultados!BC46,Resultados!BL46,Resultados!BU46,Resultados!CD46)=0, "", AVERAGE(ABS(Resultados!A46),ABS(Resultados!J46),ABS(Resultados!S46),ABS(Resultados!AB46),ABS(Resultados!AK46),ABS(Resultados!AT46),ABS(Resultados!BC46),ABS(Resultados!BL46),ABS(Resultados!BU46),ABS(Resultados!CD46)))</f>
        <v>45681</v>
      </c>
      <c r="B46" t="str">
        <f>IF(COUNT(Resultados!B46,Resultados!K46,Resultados!T46,Resultados!AC46,Resultados!AL46,Resultados!AU46,Resultados!BD46,Resultados!BM46,Resultados!BV46,Resultados!CE46)=0, "", AVERAGE(ABS(Resultados!B46),ABS(Resultados!K46),ABS(Resultados!T46),ABS(Resultados!AC46),ABS(Resultados!AL46),ABS(Resultados!AU46),ABS(Resultados!BD46),ABS(Resultados!BM46),ABS(Resultados!BV46),ABS(Resultados!CE46)))</f>
        <v/>
      </c>
      <c r="C46">
        <f>IF(COUNT(Resultados!C46,Resultados!L46,Resultados!U46,Resultados!AD46,Resultados!AM46,Resultados!AV46,Resultados!BE46,Resultados!BN46,Resultados!BW46,Resultados!CF46)=0, "", AVERAGE(ABS(Resultados!C46),ABS(Resultados!L46),ABS(Resultados!U46),ABS(Resultados!AD46),ABS(Resultados!AM46),ABS(Resultados!AV46),ABS(Resultados!BE46),ABS(Resultados!BN46),ABS(Resultados!BW46),ABS(Resultados!CF46)))</f>
        <v>2.5</v>
      </c>
      <c r="D46">
        <f>IF(COUNT(Resultados!D46,Resultados!M46,Resultados!V46,Resultados!AE46,Resultados!AN46,Resultados!AW46,Resultados!BF46,Resultados!BO46,Resultados!BX46,Resultados!CG46)=0, "", AVERAGE(ABS(Resultados!D46),ABS(Resultados!M46),ABS(Resultados!V46),ABS(Resultados!AE46),ABS(Resultados!AN46),ABS(Resultados!AW46),ABS(Resultados!BF46),ABS(Resultados!BO46),ABS(Resultados!BX46),ABS(Resultados!CG46)))</f>
        <v>4.5999999999999991E-3</v>
      </c>
      <c r="E46">
        <f>IF(COUNT(Resultados!E46,Resultados!N46,Resultados!W46,Resultados!AF46,Resultados!AO46,Resultados!AX46,Resultados!BG46,Resultados!BP46,Resultados!BY46,Resultados!CH46)=0, "", AVERAGE(ABS(Resultados!E46),ABS(Resultados!N46),ABS(Resultados!W46),ABS(Resultados!AF46),ABS(Resultados!AO46),ABS(Resultados!AX46),ABS(Resultados!BG46),ABS(Resultados!BP46),ABS(Resultados!BY46),ABS(Resultados!CH46)))</f>
        <v>6.4288484064012348</v>
      </c>
      <c r="F46">
        <f>IF(COUNT(Resultados!F46,Resultados!O46,Resultados!X46,Resultados!AG46,Resultados!AP46,Resultados!AY46,Resultados!BH46,Resultados!BQ46,Resultados!BZ46,Resultados!CI46)=0, "", AVERAGE(ABS(Resultados!F46),ABS(Resultados!O46),ABS(Resultados!X46),ABS(Resultados!AG46),ABS(Resultados!AP46),ABS(Resultados!AY46),ABS(Resultados!BH46),ABS(Resultados!BQ46),ABS(Resultados!BZ46),ABS(Resultados!CI46)))</f>
        <v>750.09771376747722</v>
      </c>
      <c r="G46">
        <f>IF(COUNT(Resultados!G46,Resultados!P46,Resultados!Y46,Resultados!AH46,Resultados!AQ46,Resultados!AZ46,Resultados!BI46,Resultados!BR46,Resultados!CA46,Resultados!CJ46)=0, "", AVERAGE(ABS(Resultados!G46),ABS(Resultados!P46),ABS(Resultados!Y46),ABS(Resultados!AH46),ABS(Resultados!AQ46),ABS(Resultados!AZ46),ABS(Resultados!BI46),ABS(Resultados!BR46),ABS(Resultados!CA46),ABS(Resultados!CJ46)))</f>
        <v>0.42400000000000004</v>
      </c>
      <c r="H46">
        <f>IF(COUNT(Resultados!H46,Resultados!Q46,Resultados!Z46,Resultados!AI46,Resultados!AR46,Resultados!BA46,Resultados!BJ46,Resultados!BS46,Resultados!CB46,Resultados!CK46)=0, "", AVERAGE(ABS(Resultados!H46),ABS(Resultados!Q46),ABS(Resultados!Z46),ABS(Resultados!AI46),ABS(Resultados!AR46),ABS(Resultados!BA46),ABS(Resultados!BJ46),ABS(Resultados!BS46),ABS(Resultados!CB46),ABS(Resultados!CK46)))</f>
        <v>6.7199999999999994E-3</v>
      </c>
      <c r="I46">
        <f>IF(COUNT(Resultados!I46,Resultados!R46,Resultados!AA46,Resultados!AJ46,Resultados!AS46,Resultados!BB46,Resultados!BK46,Resultados!BT46,Resultados!CC46,Resultados!CL46)=0, "", AVERAGE(ABS(Resultados!I46),ABS(Resultados!R46),ABS(Resultados!AA46),ABS(Resultados!AJ46),ABS(Resultados!AS46),ABS(Resultados!BB46),ABS(Resultados!BK46),ABS(Resultados!BT46),ABS(Resultados!CC46),ABS(Resultados!CL46)))</f>
        <v>8.8398479999999946</v>
      </c>
      <c r="J46">
        <v>4.5999999999999991E-3</v>
      </c>
      <c r="K46">
        <v>6.7199999999999994E-3</v>
      </c>
    </row>
    <row r="47" spans="1:11" x14ac:dyDescent="0.3">
      <c r="A47">
        <f>IF(COUNT(Resultados!A47,Resultados!J47,Resultados!S47,Resultados!AB47,Resultados!AK47,Resultados!AT47,Resultados!BC47,Resultados!BL47,Resultados!BU47,Resultados!CD47)=0, "", AVERAGE(ABS(Resultados!A47),ABS(Resultados!J47),ABS(Resultados!S47),ABS(Resultados!AB47),ABS(Resultados!AK47),ABS(Resultados!AT47),ABS(Resultados!BC47),ABS(Resultados!BL47),ABS(Resultados!BU47),ABS(Resultados!CD47)))</f>
        <v>45681</v>
      </c>
      <c r="B47" t="str">
        <f>IF(COUNT(Resultados!B47,Resultados!K47,Resultados!T47,Resultados!AC47,Resultados!AL47,Resultados!AU47,Resultados!BD47,Resultados!BM47,Resultados!BV47,Resultados!CE47)=0, "", AVERAGE(ABS(Resultados!B47),ABS(Resultados!K47),ABS(Resultados!T47),ABS(Resultados!AC47),ABS(Resultados!AL47),ABS(Resultados!AU47),ABS(Resultados!BD47),ABS(Resultados!BM47),ABS(Resultados!BV47),ABS(Resultados!CE47)))</f>
        <v/>
      </c>
      <c r="C47">
        <f>IF(COUNT(Resultados!C47,Resultados!L47,Resultados!U47,Resultados!AD47,Resultados!AM47,Resultados!AV47,Resultados!BE47,Resultados!BN47,Resultados!BW47,Resultados!CF47)=0, "", AVERAGE(ABS(Resultados!C47),ABS(Resultados!L47),ABS(Resultados!U47),ABS(Resultados!AD47),ABS(Resultados!AM47),ABS(Resultados!AV47),ABS(Resultados!BE47),ABS(Resultados!BN47),ABS(Resultados!BW47),ABS(Resultados!CF47)))</f>
        <v>2.5</v>
      </c>
      <c r="D47">
        <f>IF(COUNT(Resultados!D47,Resultados!M47,Resultados!V47,Resultados!AE47,Resultados!AN47,Resultados!AW47,Resultados!BF47,Resultados!BO47,Resultados!BX47,Resultados!CG47)=0, "", AVERAGE(ABS(Resultados!D47),ABS(Resultados!M47),ABS(Resultados!V47),ABS(Resultados!AE47),ABS(Resultados!AN47),ABS(Resultados!AW47),ABS(Resultados!BF47),ABS(Resultados!BO47),ABS(Resultados!BX47),ABS(Resultados!CG47)))</f>
        <v>7.7099999999999998E-3</v>
      </c>
      <c r="E47">
        <f>IF(COUNT(Resultados!E47,Resultados!N47,Resultados!W47,Resultados!AF47,Resultados!AO47,Resultados!AX47,Resultados!BG47,Resultados!BP47,Resultados!BY47,Resultados!CH47)=0, "", AVERAGE(ABS(Resultados!E47),ABS(Resultados!N47),ABS(Resultados!W47),ABS(Resultados!AF47),ABS(Resultados!AO47),ABS(Resultados!AX47),ABS(Resultados!BG47),ABS(Resultados!BP47),ABS(Resultados!BY47),ABS(Resultados!CH47)))</f>
        <v>6.6420543458172414</v>
      </c>
      <c r="F47">
        <f>IF(COUNT(Resultados!F47,Resultados!O47,Resultados!X47,Resultados!AG47,Resultados!AP47,Resultados!AY47,Resultados!BH47,Resultados!BQ47,Resultados!BZ47,Resultados!CI47)=0, "", AVERAGE(ABS(Resultados!F47),ABS(Resultados!O47),ABS(Resultados!X47),ABS(Resultados!AG47),ABS(Resultados!AP47),ABS(Resultados!AY47),ABS(Resultados!BH47),ABS(Resultados!BQ47),ABS(Resultados!BZ47),ABS(Resultados!CI47)))</f>
        <v>770.33095741805607</v>
      </c>
      <c r="G47">
        <f>IF(COUNT(Resultados!G47,Resultados!P47,Resultados!Y47,Resultados!AH47,Resultados!AQ47,Resultados!AZ47,Resultados!BI47,Resultados!BR47,Resultados!CA47,Resultados!CJ47)=0, "", AVERAGE(ABS(Resultados!G47),ABS(Resultados!P47),ABS(Resultados!Y47),ABS(Resultados!AH47),ABS(Resultados!AQ47),ABS(Resultados!AZ47),ABS(Resultados!BI47),ABS(Resultados!BR47),ABS(Resultados!CA47),ABS(Resultados!CJ47)))</f>
        <v>0.42400000000000004</v>
      </c>
      <c r="H47">
        <f>IF(COUNT(Resultados!H47,Resultados!Q47,Resultados!Z47,Resultados!AI47,Resultados!AR47,Resultados!BA47,Resultados!BJ47,Resultados!BS47,Resultados!CB47,Resultados!CK47)=0, "", AVERAGE(ABS(Resultados!H47),ABS(Resultados!Q47),ABS(Resultados!Z47),ABS(Resultados!AI47),ABS(Resultados!AR47),ABS(Resultados!BA47),ABS(Resultados!BJ47),ABS(Resultados!BS47),ABS(Resultados!CB47),ABS(Resultados!CK47)))</f>
        <v>1.0030000000000001E-2</v>
      </c>
      <c r="I47">
        <f>IF(COUNT(Resultados!I47,Resultados!R47,Resultados!AA47,Resultados!AJ47,Resultados!AS47,Resultados!BB47,Resultados!BK47,Resultados!BT47,Resultados!CC47,Resultados!CL47)=0, "", AVERAGE(ABS(Resultados!I47),ABS(Resultados!R47),ABS(Resultados!AA47),ABS(Resultados!AJ47),ABS(Resultados!AS47),ABS(Resultados!BB47),ABS(Resultados!BK47),ABS(Resultados!BT47),ABS(Resultados!CC47),ABS(Resultados!CL47)))</f>
        <v>9.0397470000000002</v>
      </c>
      <c r="J47">
        <v>7.7099999999999998E-3</v>
      </c>
      <c r="K47">
        <v>1.0030000000000001E-2</v>
      </c>
    </row>
    <row r="48" spans="1:11" x14ac:dyDescent="0.3">
      <c r="A48">
        <f>IF(COUNT(Resultados!A48,Resultados!J48,Resultados!S48,Resultados!AB48,Resultados!AK48,Resultados!AT48,Resultados!BC48,Resultados!BL48,Resultados!BU48,Resultados!CD48)=0, "", AVERAGE(ABS(Resultados!A48),ABS(Resultados!J48),ABS(Resultados!S48),ABS(Resultados!AB48),ABS(Resultados!AK48),ABS(Resultados!AT48),ABS(Resultados!BC48),ABS(Resultados!BL48),ABS(Resultados!BU48),ABS(Resultados!CD48)))</f>
        <v>45681</v>
      </c>
      <c r="B48" t="str">
        <f>IF(COUNT(Resultados!B48,Resultados!K48,Resultados!T48,Resultados!AC48,Resultados!AL48,Resultados!AU48,Resultados!BD48,Resultados!BM48,Resultados!BV48,Resultados!CE48)=0, "", AVERAGE(ABS(Resultados!B48),ABS(Resultados!K48),ABS(Resultados!T48),ABS(Resultados!AC48),ABS(Resultados!AL48),ABS(Resultados!AU48),ABS(Resultados!BD48),ABS(Resultados!BM48),ABS(Resultados!BV48),ABS(Resultados!CE48)))</f>
        <v/>
      </c>
      <c r="C48">
        <f>IF(COUNT(Resultados!C48,Resultados!L48,Resultados!U48,Resultados!AD48,Resultados!AM48,Resultados!AV48,Resultados!BE48,Resultados!BN48,Resultados!BW48,Resultados!CF48)=0, "", AVERAGE(ABS(Resultados!C48),ABS(Resultados!L48),ABS(Resultados!U48),ABS(Resultados!AD48),ABS(Resultados!AM48),ABS(Resultados!AV48),ABS(Resultados!BE48),ABS(Resultados!BN48),ABS(Resultados!BW48),ABS(Resultados!CF48)))</f>
        <v>2.5</v>
      </c>
      <c r="D48">
        <f>IF(COUNT(Resultados!D48,Resultados!M48,Resultados!V48,Resultados!AE48,Resultados!AN48,Resultados!AW48,Resultados!BF48,Resultados!BO48,Resultados!BX48,Resultados!CG48)=0, "", AVERAGE(ABS(Resultados!D48),ABS(Resultados!M48),ABS(Resultados!V48),ABS(Resultados!AE48),ABS(Resultados!AN48),ABS(Resultados!AW48),ABS(Resultados!BF48),ABS(Resultados!BO48),ABS(Resultados!BX48),ABS(Resultados!CG48)))</f>
        <v>1.116E-2</v>
      </c>
      <c r="E48">
        <f>IF(COUNT(Resultados!E48,Resultados!N48,Resultados!W48,Resultados!AF48,Resultados!AO48,Resultados!AX48,Resultados!BG48,Resultados!BP48,Resultados!BY48,Resultados!CH48)=0, "", AVERAGE(ABS(Resultados!E48),ABS(Resultados!N48),ABS(Resultados!W48),ABS(Resultados!AF48),ABS(Resultados!AO48),ABS(Resultados!AX48),ABS(Resultados!BG48),ABS(Resultados!BP48),ABS(Resultados!BY48),ABS(Resultados!CH48)))</f>
        <v>6.8915115476578546</v>
      </c>
      <c r="F48">
        <f>IF(COUNT(Resultados!F48,Resultados!O48,Resultados!X48,Resultados!AG48,Resultados!AP48,Resultados!AY48,Resultados!BH48,Resultados!BQ48,Resultados!BZ48,Resultados!CI48)=0, "", AVERAGE(ABS(Resultados!F48),ABS(Resultados!O48),ABS(Resultados!X48),ABS(Resultados!AG48),ABS(Resultados!AP48),ABS(Resultados!AY48),ABS(Resultados!BH48),ABS(Resultados!BQ48),ABS(Resultados!BZ48),ABS(Resultados!CI48)))</f>
        <v>794.00444587273057</v>
      </c>
      <c r="G48">
        <f>IF(COUNT(Resultados!G48,Resultados!P48,Resultados!Y48,Resultados!AH48,Resultados!AQ48,Resultados!AZ48,Resultados!BI48,Resultados!BR48,Resultados!CA48,Resultados!CJ48)=0, "", AVERAGE(ABS(Resultados!G48),ABS(Resultados!P48),ABS(Resultados!Y48),ABS(Resultados!AH48),ABS(Resultados!AQ48),ABS(Resultados!AZ48),ABS(Resultados!BI48),ABS(Resultados!BR48),ABS(Resultados!CA48),ABS(Resultados!CJ48)))</f>
        <v>0.42400000000000004</v>
      </c>
      <c r="H48">
        <f>IF(COUNT(Resultados!H48,Resultados!Q48,Resultados!Z48,Resultados!AI48,Resultados!AR48,Resultados!BA48,Resultados!BJ48,Resultados!BS48,Resultados!CB48,Resultados!CK48)=0, "", AVERAGE(ABS(Resultados!H48),ABS(Resultados!Q48),ABS(Resultados!Z48),ABS(Resultados!AI48),ABS(Resultados!AR48),ABS(Resultados!BA48),ABS(Resultados!BJ48),ABS(Resultados!BS48),ABS(Resultados!CB48),ABS(Resultados!CK48)))</f>
        <v>1.3929999999999998E-2</v>
      </c>
      <c r="I48">
        <f>IF(COUNT(Resultados!I48,Resultados!R48,Resultados!AA48,Resultados!AJ48,Resultados!AS48,Resultados!BB48,Resultados!BK48,Resultados!BT48,Resultados!CC48,Resultados!CL48)=0, "", AVERAGE(ABS(Resultados!I48),ABS(Resultados!R48),ABS(Resultados!AA48),ABS(Resultados!AJ48),ABS(Resultados!AS48),ABS(Resultados!BB48),ABS(Resultados!BK48),ABS(Resultados!BT48),ABS(Resultados!CC48),ABS(Resultados!CL48)))</f>
        <v>9.2413969999999939</v>
      </c>
      <c r="J48">
        <v>1.116E-2</v>
      </c>
      <c r="K48">
        <v>1.3929999999999998E-2</v>
      </c>
    </row>
    <row r="49" spans="1:11" x14ac:dyDescent="0.3">
      <c r="A49">
        <f>IF(COUNT(Resultados!A49,Resultados!J49,Resultados!S49,Resultados!AB49,Resultados!AK49,Resultados!AT49,Resultados!BC49,Resultados!BL49,Resultados!BU49,Resultados!CD49)=0, "", AVERAGE(ABS(Resultados!A49),ABS(Resultados!J49),ABS(Resultados!S49),ABS(Resultados!AB49),ABS(Resultados!AK49),ABS(Resultados!AT49),ABS(Resultados!BC49),ABS(Resultados!BL49),ABS(Resultados!BU49),ABS(Resultados!CD49)))</f>
        <v>45681</v>
      </c>
      <c r="B49" t="str">
        <f>IF(COUNT(Resultados!B49,Resultados!K49,Resultados!T49,Resultados!AC49,Resultados!AL49,Resultados!AU49,Resultados!BD49,Resultados!BM49,Resultados!BV49,Resultados!CE49)=0, "", AVERAGE(ABS(Resultados!B49),ABS(Resultados!K49),ABS(Resultados!T49),ABS(Resultados!AC49),ABS(Resultados!AL49),ABS(Resultados!AU49),ABS(Resultados!BD49),ABS(Resultados!BM49),ABS(Resultados!BV49),ABS(Resultados!CE49)))</f>
        <v/>
      </c>
      <c r="C49">
        <f>IF(COUNT(Resultados!C49,Resultados!L49,Resultados!U49,Resultados!AD49,Resultados!AM49,Resultados!AV49,Resultados!BE49,Resultados!BN49,Resultados!BW49,Resultados!CF49)=0, "", AVERAGE(ABS(Resultados!C49),ABS(Resultados!L49),ABS(Resultados!U49),ABS(Resultados!AD49),ABS(Resultados!AM49),ABS(Resultados!AV49),ABS(Resultados!BE49),ABS(Resultados!BN49),ABS(Resultados!BW49),ABS(Resultados!CF49)))</f>
        <v>2.5</v>
      </c>
      <c r="D49">
        <f>IF(COUNT(Resultados!D49,Resultados!M49,Resultados!V49,Resultados!AE49,Resultados!AN49,Resultados!AW49,Resultados!BF49,Resultados!BO49,Resultados!BX49,Resultados!CG49)=0, "", AVERAGE(ABS(Resultados!D49),ABS(Resultados!M49),ABS(Resultados!V49),ABS(Resultados!AE49),ABS(Resultados!AN49),ABS(Resultados!AW49),ABS(Resultados!BF49),ABS(Resultados!BO49),ABS(Resultados!BX49),ABS(Resultados!CG49)))</f>
        <v>1.4919999999999999E-2</v>
      </c>
      <c r="E49">
        <f>IF(COUNT(Resultados!E49,Resultados!N49,Resultados!W49,Resultados!AF49,Resultados!AO49,Resultados!AX49,Resultados!BG49,Resultados!BP49,Resultados!BY49,Resultados!CH49)=0, "", AVERAGE(ABS(Resultados!E49),ABS(Resultados!N49),ABS(Resultados!W49),ABS(Resultados!AF49),ABS(Resultados!AO49),ABS(Resultados!AX49),ABS(Resultados!BG49),ABS(Resultados!BP49),ABS(Resultados!BY49),ABS(Resultados!CH49)))</f>
        <v>7.1646184391961807</v>
      </c>
      <c r="F49">
        <f>IF(COUNT(Resultados!F49,Resultados!O49,Resultados!X49,Resultados!AG49,Resultados!AP49,Resultados!AY49,Resultados!BH49,Resultados!BQ49,Resultados!BZ49,Resultados!CI49)=0, "", AVERAGE(ABS(Resultados!F49),ABS(Resultados!O49),ABS(Resultados!X49),ABS(Resultados!AG49),ABS(Resultados!AP49),ABS(Resultados!AY49),ABS(Resultados!BH49),ABS(Resultados!BQ49),ABS(Resultados!BZ49),ABS(Resultados!CI49)))</f>
        <v>819.92228987971771</v>
      </c>
      <c r="G49">
        <f>IF(COUNT(Resultados!G49,Resultados!P49,Resultados!Y49,Resultados!AH49,Resultados!AQ49,Resultados!AZ49,Resultados!BI49,Resultados!BR49,Resultados!CA49,Resultados!CJ49)=0, "", AVERAGE(ABS(Resultados!G49),ABS(Resultados!P49),ABS(Resultados!Y49),ABS(Resultados!AH49),ABS(Resultados!AQ49),ABS(Resultados!AZ49),ABS(Resultados!BI49),ABS(Resultados!BR49),ABS(Resultados!CA49),ABS(Resultados!CJ49)))</f>
        <v>0.42400000000000004</v>
      </c>
      <c r="H49">
        <f>IF(COUNT(Resultados!H49,Resultados!Q49,Resultados!Z49,Resultados!AI49,Resultados!AR49,Resultados!BA49,Resultados!BJ49,Resultados!BS49,Resultados!CB49,Resultados!CK49)=0, "", AVERAGE(ABS(Resultados!H49),ABS(Resultados!Q49),ABS(Resultados!Z49),ABS(Resultados!AI49),ABS(Resultados!AR49),ABS(Resultados!BA49),ABS(Resultados!BJ49),ABS(Resultados!BS49),ABS(Resultados!CB49),ABS(Resultados!CK49)))</f>
        <v>1.8160000000000003E-2</v>
      </c>
      <c r="I49">
        <f>IF(COUNT(Resultados!I49,Resultados!R49,Resultados!AA49,Resultados!AJ49,Resultados!AS49,Resultados!BB49,Resultados!BK49,Resultados!BT49,Resultados!CC49,Resultados!CL49)=0, "", AVERAGE(ABS(Resultados!I49),ABS(Resultados!R49),ABS(Resultados!AA49),ABS(Resultados!AJ49),ABS(Resultados!AS49),ABS(Resultados!BB49),ABS(Resultados!BK49),ABS(Resultados!BT49),ABS(Resultados!CC49),ABS(Resultados!CL49)))</f>
        <v>9.4397999999999946</v>
      </c>
      <c r="J49">
        <v>1.4919999999999999E-2</v>
      </c>
      <c r="K49">
        <v>1.8160000000000003E-2</v>
      </c>
    </row>
    <row r="50" spans="1:11" x14ac:dyDescent="0.3">
      <c r="A50">
        <f>IF(COUNT(Resultados!A50,Resultados!J50,Resultados!S50,Resultados!AB50,Resultados!AK50,Resultados!AT50,Resultados!BC50,Resultados!BL50,Resultados!BU50,Resultados!CD50)=0, "", AVERAGE(ABS(Resultados!A50),ABS(Resultados!J50),ABS(Resultados!S50),ABS(Resultados!AB50),ABS(Resultados!AK50),ABS(Resultados!AT50),ABS(Resultados!BC50),ABS(Resultados!BL50),ABS(Resultados!BU50),ABS(Resultados!CD50)))</f>
        <v>45681</v>
      </c>
      <c r="B50" t="str">
        <f>IF(COUNT(Resultados!B50,Resultados!K50,Resultados!T50,Resultados!AC50,Resultados!AL50,Resultados!AU50,Resultados!BD50,Resultados!BM50,Resultados!BV50,Resultados!CE50)=0, "", AVERAGE(ABS(Resultados!B50),ABS(Resultados!K50),ABS(Resultados!T50),ABS(Resultados!AC50),ABS(Resultados!AL50),ABS(Resultados!AU50),ABS(Resultados!BD50),ABS(Resultados!BM50),ABS(Resultados!BV50),ABS(Resultados!CE50)))</f>
        <v/>
      </c>
      <c r="C50">
        <f>IF(COUNT(Resultados!C50,Resultados!L50,Resultados!U50,Resultados!AD50,Resultados!AM50,Resultados!AV50,Resultados!BE50,Resultados!BN50,Resultados!BW50,Resultados!CF50)=0, "", AVERAGE(ABS(Resultados!C50),ABS(Resultados!L50),ABS(Resultados!U50),ABS(Resultados!AD50),ABS(Resultados!AM50),ABS(Resultados!AV50),ABS(Resultados!BE50),ABS(Resultados!BN50),ABS(Resultados!BW50),ABS(Resultados!CF50)))</f>
        <v>2.6</v>
      </c>
      <c r="D50">
        <f>IF(COUNT(Resultados!D50,Resultados!M50,Resultados!V50,Resultados!AE50,Resultados!AN50,Resultados!AW50,Resultados!BF50,Resultados!BO50,Resultados!BX50,Resultados!CG50)=0, "", AVERAGE(ABS(Resultados!D50),ABS(Resultados!M50),ABS(Resultados!V50),ABS(Resultados!AE50),ABS(Resultados!AN50),ABS(Resultados!AW50),ABS(Resultados!BF50),ABS(Resultados!BO50),ABS(Resultados!BX50),ABS(Resultados!CG50)))</f>
        <v>1.9349999999999999E-2</v>
      </c>
      <c r="E50">
        <f>IF(COUNT(Resultados!E50,Resultados!N50,Resultados!W50,Resultados!AF50,Resultados!AO50,Resultados!AX50,Resultados!BG50,Resultados!BP50,Resultados!BY50,Resultados!CH50)=0, "", AVERAGE(ABS(Resultados!E50),ABS(Resultados!N50),ABS(Resultados!W50),ABS(Resultados!AF50),ABS(Resultados!AO50),ABS(Resultados!AX50),ABS(Resultados!BG50),ABS(Resultados!BP50),ABS(Resultados!BY50),ABS(Resultados!CH50)))</f>
        <v>7.4607969813310691</v>
      </c>
      <c r="F50">
        <f>IF(COUNT(Resultados!F50,Resultados!O50,Resultados!X50,Resultados!AG50,Resultados!AP50,Resultados!AY50,Resultados!BH50,Resultados!BQ50,Resultados!BZ50,Resultados!CI50)=0, "", AVERAGE(ABS(Resultados!F50),ABS(Resultados!O50),ABS(Resultados!X50),ABS(Resultados!AG50),ABS(Resultados!AP50),ABS(Resultados!AY50),ABS(Resultados!BH50),ABS(Resultados!BQ50),ABS(Resultados!BZ50),ABS(Resultados!CI50)))</f>
        <v>848.02963352831864</v>
      </c>
      <c r="G50">
        <f>IF(COUNT(Resultados!G50,Resultados!P50,Resultados!Y50,Resultados!AH50,Resultados!AQ50,Resultados!AZ50,Resultados!BI50,Resultados!BR50,Resultados!CA50,Resultados!CJ50)=0, "", AVERAGE(ABS(Resultados!G50),ABS(Resultados!P50),ABS(Resultados!Y50),ABS(Resultados!AH50),ABS(Resultados!AQ50),ABS(Resultados!AZ50),ABS(Resultados!BI50),ABS(Resultados!BR50),ABS(Resultados!CA50),ABS(Resultados!CJ50)))</f>
        <v>0.42400000000000004</v>
      </c>
      <c r="H50">
        <f>IF(COUNT(Resultados!H50,Resultados!Q50,Resultados!Z50,Resultados!AI50,Resultados!AR50,Resultados!BA50,Resultados!BJ50,Resultados!BS50,Resultados!CB50,Resultados!CK50)=0, "", AVERAGE(ABS(Resultados!H50),ABS(Resultados!Q50),ABS(Resultados!Z50),ABS(Resultados!AI50),ABS(Resultados!AR50),ABS(Resultados!BA50),ABS(Resultados!BJ50),ABS(Resultados!BS50),ABS(Resultados!CB50),ABS(Resultados!CK50)))</f>
        <v>2.2769999999999999E-2</v>
      </c>
      <c r="I50">
        <f>IF(COUNT(Resultados!I50,Resultados!R50,Resultados!AA50,Resultados!AJ50,Resultados!AS50,Resultados!BB50,Resultados!BK50,Resultados!BT50,Resultados!CC50,Resultados!CL50)=0, "", AVERAGE(ABS(Resultados!I50),ABS(Resultados!R50),ABS(Resultados!AA50),ABS(Resultados!AJ50),ABS(Resultados!AS50),ABS(Resultados!BB50),ABS(Resultados!BK50),ABS(Resultados!BT50),ABS(Resultados!CC50),ABS(Resultados!CL50)))</f>
        <v>9.639678</v>
      </c>
      <c r="J50">
        <v>1.9349999999999999E-2</v>
      </c>
      <c r="K50">
        <v>2.2769999999999999E-2</v>
      </c>
    </row>
    <row r="51" spans="1:11" x14ac:dyDescent="0.3">
      <c r="A51">
        <f>IF(COUNT(Resultados!A51,Resultados!J51,Resultados!S51,Resultados!AB51,Resultados!AK51,Resultados!AT51,Resultados!BC51,Resultados!BL51,Resultados!BU51,Resultados!CD51)=0, "", AVERAGE(ABS(Resultados!A51),ABS(Resultados!J51),ABS(Resultados!S51),ABS(Resultados!AB51),ABS(Resultados!AK51),ABS(Resultados!AT51),ABS(Resultados!BC51),ABS(Resultados!BL51),ABS(Resultados!BU51),ABS(Resultados!CD51)))</f>
        <v>45681</v>
      </c>
      <c r="B51" t="str">
        <f>IF(COUNT(Resultados!B51,Resultados!K51,Resultados!T51,Resultados!AC51,Resultados!AL51,Resultados!AU51,Resultados!BD51,Resultados!BM51,Resultados!BV51,Resultados!CE51)=0, "", AVERAGE(ABS(Resultados!B51),ABS(Resultados!K51),ABS(Resultados!T51),ABS(Resultados!AC51),ABS(Resultados!AL51),ABS(Resultados!AU51),ABS(Resultados!BD51),ABS(Resultados!BM51),ABS(Resultados!BV51),ABS(Resultados!CE51)))</f>
        <v/>
      </c>
      <c r="C51">
        <f>IF(COUNT(Resultados!C51,Resultados!L51,Resultados!U51,Resultados!AD51,Resultados!AM51,Resultados!AV51,Resultados!BE51,Resultados!BN51,Resultados!BW51,Resultados!CF51)=0, "", AVERAGE(ABS(Resultados!C51),ABS(Resultados!L51),ABS(Resultados!U51),ABS(Resultados!AD51),ABS(Resultados!AM51),ABS(Resultados!AV51),ABS(Resultados!BE51),ABS(Resultados!BN51),ABS(Resultados!BW51),ABS(Resultados!CF51)))</f>
        <v>2.6</v>
      </c>
      <c r="D51">
        <f>IF(COUNT(Resultados!D51,Resultados!M51,Resultados!V51,Resultados!AE51,Resultados!AN51,Resultados!AW51,Resultados!BF51,Resultados!BO51,Resultados!BX51,Resultados!CG51)=0, "", AVERAGE(ABS(Resultados!D51),ABS(Resultados!M51),ABS(Resultados!V51),ABS(Resultados!AE51),ABS(Resultados!AN51),ABS(Resultados!AW51),ABS(Resultados!BF51),ABS(Resultados!BO51),ABS(Resultados!BX51),ABS(Resultados!CG51)))</f>
        <v>2.385E-2</v>
      </c>
      <c r="E51">
        <f>IF(COUNT(Resultados!E51,Resultados!N51,Resultados!W51,Resultados!AF51,Resultados!AO51,Resultados!AX51,Resultados!BG51,Resultados!BP51,Resultados!BY51,Resultados!CH51)=0, "", AVERAGE(ABS(Resultados!E51),ABS(Resultados!N51),ABS(Resultados!W51),ABS(Resultados!AF51),ABS(Resultados!AO51),ABS(Resultados!AX51),ABS(Resultados!BG51),ABS(Resultados!BP51),ABS(Resultados!BY51),ABS(Resultados!CH51)))</f>
        <v>7.7716085168142941</v>
      </c>
      <c r="F51">
        <f>IF(COUNT(Resultados!F51,Resultados!O51,Resultados!X51,Resultados!AG51,Resultados!AP51,Resultados!AY51,Resultados!BH51,Resultados!BQ51,Resultados!BZ51,Resultados!CI51)=0, "", AVERAGE(ABS(Resultados!F51),ABS(Resultados!O51),ABS(Resultados!X51),ABS(Resultados!AG51),ABS(Resultados!AP51),ABS(Resultados!AY51),ABS(Resultados!BH51),ABS(Resultados!BQ51),ABS(Resultados!BZ51),ABS(Resultados!CI51)))</f>
        <v>877.52564824567651</v>
      </c>
      <c r="G51">
        <f>IF(COUNT(Resultados!G51,Resultados!P51,Resultados!Y51,Resultados!AH51,Resultados!AQ51,Resultados!AZ51,Resultados!BI51,Resultados!BR51,Resultados!CA51,Resultados!CJ51)=0, "", AVERAGE(ABS(Resultados!G51),ABS(Resultados!P51),ABS(Resultados!Y51),ABS(Resultados!AH51),ABS(Resultados!AQ51),ABS(Resultados!AZ51),ABS(Resultados!BI51),ABS(Resultados!BR51),ABS(Resultados!CA51),ABS(Resultados!CJ51)))</f>
        <v>0.42400000000000004</v>
      </c>
      <c r="H51">
        <f>IF(COUNT(Resultados!H51,Resultados!Q51,Resultados!Z51,Resultados!AI51,Resultados!AR51,Resultados!BA51,Resultados!BJ51,Resultados!BS51,Resultados!CB51,Resultados!CK51)=0, "", AVERAGE(ABS(Resultados!H51),ABS(Resultados!Q51),ABS(Resultados!Z51),ABS(Resultados!AI51),ABS(Resultados!AR51),ABS(Resultados!BA51),ABS(Resultados!BJ51),ABS(Resultados!BS51),ABS(Resultados!CB51),ABS(Resultados!CK51)))</f>
        <v>2.758E-2</v>
      </c>
      <c r="I51">
        <f>IF(COUNT(Resultados!I51,Resultados!R51,Resultados!AA51,Resultados!AJ51,Resultados!AS51,Resultados!BB51,Resultados!BK51,Resultados!BT51,Resultados!CC51,Resultados!CL51)=0, "", AVERAGE(ABS(Resultados!I51),ABS(Resultados!R51),ABS(Resultados!AA51),ABS(Resultados!AJ51),ABS(Resultados!AS51),ABS(Resultados!BB51),ABS(Resultados!BK51),ABS(Resultados!BT51),ABS(Resultados!CC51),ABS(Resultados!CL51)))</f>
        <v>9.8400819999999918</v>
      </c>
      <c r="J51">
        <v>2.385E-2</v>
      </c>
      <c r="K51">
        <v>2.758E-2</v>
      </c>
    </row>
    <row r="52" spans="1:11" x14ac:dyDescent="0.3">
      <c r="A52">
        <f>IF(COUNT(Resultados!A52,Resultados!J52,Resultados!S52,Resultados!AB52,Resultados!AK52,Resultados!AT52,Resultados!BC52,Resultados!BL52,Resultados!BU52,Resultados!CD52)=0, "", AVERAGE(ABS(Resultados!A52),ABS(Resultados!J52),ABS(Resultados!S52),ABS(Resultados!AB52),ABS(Resultados!AK52),ABS(Resultados!AT52),ABS(Resultados!BC52),ABS(Resultados!BL52),ABS(Resultados!BU52),ABS(Resultados!CD52)))</f>
        <v>45681</v>
      </c>
      <c r="B52" t="str">
        <f>IF(COUNT(Resultados!B52,Resultados!K52,Resultados!T52,Resultados!AC52,Resultados!AL52,Resultados!AU52,Resultados!BD52,Resultados!BM52,Resultados!BV52,Resultados!CE52)=0, "", AVERAGE(ABS(Resultados!B52),ABS(Resultados!K52),ABS(Resultados!T52),ABS(Resultados!AC52),ABS(Resultados!AL52),ABS(Resultados!AU52),ABS(Resultados!BD52),ABS(Resultados!BM52),ABS(Resultados!BV52),ABS(Resultados!CE52)))</f>
        <v/>
      </c>
      <c r="C52">
        <f>IF(COUNT(Resultados!C52,Resultados!L52,Resultados!U52,Resultados!AD52,Resultados!AM52,Resultados!AV52,Resultados!BE52,Resultados!BN52,Resultados!BW52,Resultados!CF52)=0, "", AVERAGE(ABS(Resultados!C52),ABS(Resultados!L52),ABS(Resultados!U52),ABS(Resultados!AD52),ABS(Resultados!AM52),ABS(Resultados!AV52),ABS(Resultados!BE52),ABS(Resultados!BN52),ABS(Resultados!BW52),ABS(Resultados!CF52)))</f>
        <v>2.6</v>
      </c>
      <c r="D52">
        <f>IF(COUNT(Resultados!D52,Resultados!M52,Resultados!V52,Resultados!AE52,Resultados!AN52,Resultados!AW52,Resultados!BF52,Resultados!BO52,Resultados!BX52,Resultados!CG52)=0, "", AVERAGE(ABS(Resultados!D52),ABS(Resultados!M52),ABS(Resultados!V52),ABS(Resultados!AE52),ABS(Resultados!AN52),ABS(Resultados!AW52),ABS(Resultados!BF52),ABS(Resultados!BO52),ABS(Resultados!BX52),ABS(Resultados!CG52)))</f>
        <v>2.8830000000000001E-2</v>
      </c>
      <c r="E52">
        <f>IF(COUNT(Resultados!E52,Resultados!N52,Resultados!W52,Resultados!AF52,Resultados!AO52,Resultados!AX52,Resultados!BG52,Resultados!BP52,Resultados!BY52,Resultados!CH52)=0, "", AVERAGE(ABS(Resultados!E52),ABS(Resultados!N52),ABS(Resultados!W52),ABS(Resultados!AF52),ABS(Resultados!AO52),ABS(Resultados!AX52),ABS(Resultados!BG52),ABS(Resultados!BP52),ABS(Resultados!BY52),ABS(Resultados!CH52)))</f>
        <v>8.0882330431572846</v>
      </c>
      <c r="F52">
        <f>IF(COUNT(Resultados!F52,Resultados!O52,Resultados!X52,Resultados!AG52,Resultados!AP52,Resultados!AY52,Resultados!BH52,Resultados!BQ52,Resultados!BZ52,Resultados!CI52)=0, "", AVERAGE(ABS(Resultados!F52),ABS(Resultados!O52),ABS(Resultados!X52),ABS(Resultados!AG52),ABS(Resultados!AP52),ABS(Resultados!AY52),ABS(Resultados!BH52),ABS(Resultados!BQ52),ABS(Resultados!BZ52),ABS(Resultados!CI52)))</f>
        <v>907.57331579562651</v>
      </c>
      <c r="G52">
        <f>IF(COUNT(Resultados!G52,Resultados!P52,Resultados!Y52,Resultados!AH52,Resultados!AQ52,Resultados!AZ52,Resultados!BI52,Resultados!BR52,Resultados!CA52,Resultados!CJ52)=0, "", AVERAGE(ABS(Resultados!G52),ABS(Resultados!P52),ABS(Resultados!Y52),ABS(Resultados!AH52),ABS(Resultados!AQ52),ABS(Resultados!AZ52),ABS(Resultados!BI52),ABS(Resultados!BR52),ABS(Resultados!CA52),ABS(Resultados!CJ52)))</f>
        <v>0.42400000000000004</v>
      </c>
      <c r="H52">
        <f>IF(COUNT(Resultados!H52,Resultados!Q52,Resultados!Z52,Resultados!AI52,Resultados!AR52,Resultados!BA52,Resultados!BJ52,Resultados!BS52,Resultados!CB52,Resultados!CK52)=0, "", AVERAGE(ABS(Resultados!H52),ABS(Resultados!Q52),ABS(Resultados!Z52),ABS(Resultados!AI52),ABS(Resultados!AR52),ABS(Resultados!BA52),ABS(Resultados!BJ52),ABS(Resultados!BS52),ABS(Resultados!CB52),ABS(Resultados!CK52)))</f>
        <v>3.2520000000000007E-2</v>
      </c>
      <c r="I52">
        <f>IF(COUNT(Resultados!I52,Resultados!R52,Resultados!AA52,Resultados!AJ52,Resultados!AS52,Resultados!BB52,Resultados!BK52,Resultados!BT52,Resultados!CC52,Resultados!CL52)=0, "", AVERAGE(ABS(Resultados!I52),ABS(Resultados!R52),ABS(Resultados!AA52),ABS(Resultados!AJ52),ABS(Resultados!AS52),ABS(Resultados!BB52),ABS(Resultados!BK52),ABS(Resultados!BT52),ABS(Resultados!CC52),ABS(Resultados!CL52)))</f>
        <v>10.040218999999997</v>
      </c>
      <c r="J52">
        <v>2.8830000000000001E-2</v>
      </c>
      <c r="K52">
        <v>3.2520000000000007E-2</v>
      </c>
    </row>
    <row r="53" spans="1:11" x14ac:dyDescent="0.3">
      <c r="A53">
        <f>IF(COUNT(Resultados!A53,Resultados!J53,Resultados!S53,Resultados!AB53,Resultados!AK53,Resultados!AT53,Resultados!BC53,Resultados!BL53,Resultados!BU53,Resultados!CD53)=0, "", AVERAGE(ABS(Resultados!A53),ABS(Resultados!J53),ABS(Resultados!S53),ABS(Resultados!AB53),ABS(Resultados!AK53),ABS(Resultados!AT53),ABS(Resultados!BC53),ABS(Resultados!BL53),ABS(Resultados!BU53),ABS(Resultados!CD53)))</f>
        <v>45681</v>
      </c>
      <c r="B53" t="str">
        <f>IF(COUNT(Resultados!B53,Resultados!K53,Resultados!T53,Resultados!AC53,Resultados!AL53,Resultados!AU53,Resultados!BD53,Resultados!BM53,Resultados!BV53,Resultados!CE53)=0, "", AVERAGE(ABS(Resultados!B53),ABS(Resultados!K53),ABS(Resultados!T53),ABS(Resultados!AC53),ABS(Resultados!AL53),ABS(Resultados!AU53),ABS(Resultados!BD53),ABS(Resultados!BM53),ABS(Resultados!BV53),ABS(Resultados!CE53)))</f>
        <v/>
      </c>
      <c r="C53">
        <f>IF(COUNT(Resultados!C53,Resultados!L53,Resultados!U53,Resultados!AD53,Resultados!AM53,Resultados!AV53,Resultados!BE53,Resultados!BN53,Resultados!BW53,Resultados!CF53)=0, "", AVERAGE(ABS(Resultados!C53),ABS(Resultados!L53),ABS(Resultados!U53),ABS(Resultados!AD53),ABS(Resultados!AM53),ABS(Resultados!AV53),ABS(Resultados!BE53),ABS(Resultados!BN53),ABS(Resultados!BW53),ABS(Resultados!CF53)))</f>
        <v>2.6</v>
      </c>
      <c r="D53">
        <f>IF(COUNT(Resultados!D53,Resultados!M53,Resultados!V53,Resultados!AE53,Resultados!AN53,Resultados!AW53,Resultados!BF53,Resultados!BO53,Resultados!BX53,Resultados!CG53)=0, "", AVERAGE(ABS(Resultados!D53),ABS(Resultados!M53),ABS(Resultados!V53),ABS(Resultados!AE53),ABS(Resultados!AN53),ABS(Resultados!AW53),ABS(Resultados!BF53),ABS(Resultados!BO53),ABS(Resultados!BX53),ABS(Resultados!CG53)))</f>
        <v>3.3839999999999995E-2</v>
      </c>
      <c r="E53">
        <f>IF(COUNT(Resultados!E53,Resultados!N53,Resultados!W53,Resultados!AF53,Resultados!AO53,Resultados!AX53,Resultados!BG53,Resultados!BP53,Resultados!BY53,Resultados!CH53)=0, "", AVERAGE(ABS(Resultados!E53),ABS(Resultados!N53),ABS(Resultados!W53),ABS(Resultados!AF53),ABS(Resultados!AO53),ABS(Resultados!AX53),ABS(Resultados!BG53),ABS(Resultados!BP53),ABS(Resultados!BY53),ABS(Resultados!CH53)))</f>
        <v>8.4031038679596115</v>
      </c>
      <c r="F53">
        <f>IF(COUNT(Resultados!F53,Resultados!O53,Resultados!X53,Resultados!AG53,Resultados!AP53,Resultados!AY53,Resultados!BH53,Resultados!BQ53,Resultados!BZ53,Resultados!CI53)=0, "", AVERAGE(ABS(Resultados!F53),ABS(Resultados!O53),ABS(Resultados!X53),ABS(Resultados!AG53),ABS(Resultados!AP53),ABS(Resultados!AY53),ABS(Resultados!BH53),ABS(Resultados!BQ53),ABS(Resultados!BZ53),ABS(Resultados!CI53)))</f>
        <v>937.45455706936718</v>
      </c>
      <c r="G53">
        <f>IF(COUNT(Resultados!G53,Resultados!P53,Resultados!Y53,Resultados!AH53,Resultados!AQ53,Resultados!AZ53,Resultados!BI53,Resultados!BR53,Resultados!CA53,Resultados!CJ53)=0, "", AVERAGE(ABS(Resultados!G53),ABS(Resultados!P53),ABS(Resultados!Y53),ABS(Resultados!AH53),ABS(Resultados!AQ53),ABS(Resultados!AZ53),ABS(Resultados!BI53),ABS(Resultados!BR53),ABS(Resultados!CA53),ABS(Resultados!CJ53)))</f>
        <v>0.42400000000000004</v>
      </c>
      <c r="H53">
        <f>IF(COUNT(Resultados!H53,Resultados!Q53,Resultados!Z53,Resultados!AI53,Resultados!AR53,Resultados!BA53,Resultados!BJ53,Resultados!BS53,Resultados!CB53,Resultados!CK53)=0, "", AVERAGE(ABS(Resultados!H53),ABS(Resultados!Q53),ABS(Resultados!Z53),ABS(Resultados!AI53),ABS(Resultados!AR53),ABS(Resultados!BA53),ABS(Resultados!BJ53),ABS(Resultados!BS53),ABS(Resultados!CB53),ABS(Resultados!CK53)))</f>
        <v>3.7419999999999995E-2</v>
      </c>
      <c r="I53">
        <f>IF(COUNT(Resultados!I53,Resultados!R53,Resultados!AA53,Resultados!AJ53,Resultados!AS53,Resultados!BB53,Resultados!BK53,Resultados!BT53,Resultados!CC53,Resultados!CL53)=0, "", AVERAGE(ABS(Resultados!I53),ABS(Resultados!R53),ABS(Resultados!AA53),ABS(Resultados!AJ53),ABS(Resultados!AS53),ABS(Resultados!BB53),ABS(Resultados!BK53),ABS(Resultados!BT53),ABS(Resultados!CC53),ABS(Resultados!CL53)))</f>
        <v>10.240256000000002</v>
      </c>
      <c r="J53">
        <v>3.3839999999999995E-2</v>
      </c>
      <c r="K53">
        <v>3.7419999999999995E-2</v>
      </c>
    </row>
    <row r="54" spans="1:11" x14ac:dyDescent="0.3">
      <c r="A54">
        <f>IF(COUNT(Resultados!A54,Resultados!J54,Resultados!S54,Resultados!AB54,Resultados!AK54,Resultados!AT54,Resultados!BC54,Resultados!BL54,Resultados!BU54,Resultados!CD54)=0, "", AVERAGE(ABS(Resultados!A54),ABS(Resultados!J54),ABS(Resultados!S54),ABS(Resultados!AB54),ABS(Resultados!AK54),ABS(Resultados!AT54),ABS(Resultados!BC54),ABS(Resultados!BL54),ABS(Resultados!BU54),ABS(Resultados!CD54)))</f>
        <v>45681</v>
      </c>
      <c r="B54" t="str">
        <f>IF(COUNT(Resultados!B54,Resultados!K54,Resultados!T54,Resultados!AC54,Resultados!AL54,Resultados!AU54,Resultados!BD54,Resultados!BM54,Resultados!BV54,Resultados!CE54)=0, "", AVERAGE(ABS(Resultados!B54),ABS(Resultados!K54),ABS(Resultados!T54),ABS(Resultados!AC54),ABS(Resultados!AL54),ABS(Resultados!AU54),ABS(Resultados!BD54),ABS(Resultados!BM54),ABS(Resultados!BV54),ABS(Resultados!CE54)))</f>
        <v/>
      </c>
      <c r="C54">
        <f>IF(COUNT(Resultados!C54,Resultados!L54,Resultados!U54,Resultados!AD54,Resultados!AM54,Resultados!AV54,Resultados!BE54,Resultados!BN54,Resultados!BW54,Resultados!CF54)=0, "", AVERAGE(ABS(Resultados!C54),ABS(Resultados!L54),ABS(Resultados!U54),ABS(Resultados!AD54),ABS(Resultados!AM54),ABS(Resultados!AV54),ABS(Resultados!BE54),ABS(Resultados!BN54),ABS(Resultados!BW54),ABS(Resultados!CF54)))</f>
        <v>2.6</v>
      </c>
      <c r="D54">
        <f>IF(COUNT(Resultados!D54,Resultados!M54,Resultados!V54,Resultados!AE54,Resultados!AN54,Resultados!AW54,Resultados!BF54,Resultados!BO54,Resultados!BX54,Resultados!CG54)=0, "", AVERAGE(ABS(Resultados!D54),ABS(Resultados!M54),ABS(Resultados!V54),ABS(Resultados!AE54),ABS(Resultados!AN54),ABS(Resultados!AW54),ABS(Resultados!BF54),ABS(Resultados!BO54),ABS(Resultados!BX54),ABS(Resultados!CG54)))</f>
        <v>3.8919999999999996E-2</v>
      </c>
      <c r="E54">
        <f>IF(COUNT(Resultados!E54,Resultados!N54,Resultados!W54,Resultados!AF54,Resultados!AO54,Resultados!AX54,Resultados!BG54,Resultados!BP54,Resultados!BY54,Resultados!CH54)=0, "", AVERAGE(ABS(Resultados!E54),ABS(Resultados!N54),ABS(Resultados!W54),ABS(Resultados!AF54),ABS(Resultados!AO54),ABS(Resultados!AX54),ABS(Resultados!BG54),ABS(Resultados!BP54),ABS(Resultados!BY54),ABS(Resultados!CH54)))</f>
        <v>8.7076621929898348</v>
      </c>
      <c r="F54">
        <f>IF(COUNT(Resultados!F54,Resultados!O54,Resultados!X54,Resultados!AG54,Resultados!AP54,Resultados!AY54,Resultados!BH54,Resultados!BQ54,Resultados!BZ54,Resultados!CI54)=0, "", AVERAGE(ABS(Resultados!F54),ABS(Resultados!O54),ABS(Resultados!X54),ABS(Resultados!AG54),ABS(Resultados!AP54),ABS(Resultados!AY54),ABS(Resultados!BH54),ABS(Resultados!BQ54),ABS(Resultados!BZ54),ABS(Resultados!CI54)))</f>
        <v>966.35714211473532</v>
      </c>
      <c r="G54">
        <f>IF(COUNT(Resultados!G54,Resultados!P54,Resultados!Y54,Resultados!AH54,Resultados!AQ54,Resultados!AZ54,Resultados!BI54,Resultados!BR54,Resultados!CA54,Resultados!CJ54)=0, "", AVERAGE(ABS(Resultados!G54),ABS(Resultados!P54),ABS(Resultados!Y54),ABS(Resultados!AH54),ABS(Resultados!AQ54),ABS(Resultados!AZ54),ABS(Resultados!BI54),ABS(Resultados!BR54),ABS(Resultados!CA54),ABS(Resultados!CJ54)))</f>
        <v>0.42400000000000004</v>
      </c>
      <c r="H54">
        <f>IF(COUNT(Resultados!H54,Resultados!Q54,Resultados!Z54,Resultados!AI54,Resultados!AR54,Resultados!BA54,Resultados!BJ54,Resultados!BS54,Resultados!CB54,Resultados!CK54)=0, "", AVERAGE(ABS(Resultados!H54),ABS(Resultados!Q54),ABS(Resultados!Z54),ABS(Resultados!AI54),ABS(Resultados!AR54),ABS(Resultados!BA54),ABS(Resultados!BJ54),ABS(Resultados!BS54),ABS(Resultados!CB54),ABS(Resultados!CK54)))</f>
        <v>4.2130000000000001E-2</v>
      </c>
      <c r="I54">
        <f>IF(COUNT(Resultados!I54,Resultados!R54,Resultados!AA54,Resultados!AJ54,Resultados!AS54,Resultados!BB54,Resultados!BK54,Resultados!BT54,Resultados!CC54,Resultados!CL54)=0, "", AVERAGE(ABS(Resultados!I54),ABS(Resultados!R54),ABS(Resultados!AA54),ABS(Resultados!AJ54),ABS(Resultados!AS54),ABS(Resultados!BB54),ABS(Resultados!BK54),ABS(Resultados!BT54),ABS(Resultados!CC54),ABS(Resultados!CL54)))</f>
        <v>10.439677999999995</v>
      </c>
      <c r="J54">
        <v>3.8919999999999996E-2</v>
      </c>
      <c r="K54">
        <v>4.2130000000000001E-2</v>
      </c>
    </row>
    <row r="55" spans="1:11" x14ac:dyDescent="0.3">
      <c r="A55">
        <f>IF(COUNT(Resultados!A55,Resultados!J55,Resultados!S55,Resultados!AB55,Resultados!AK55,Resultados!AT55,Resultados!BC55,Resultados!BL55,Resultados!BU55,Resultados!CD55)=0, "", AVERAGE(ABS(Resultados!A55),ABS(Resultados!J55),ABS(Resultados!S55),ABS(Resultados!AB55),ABS(Resultados!AK55),ABS(Resultados!AT55),ABS(Resultados!BC55),ABS(Resultados!BL55),ABS(Resultados!BU55),ABS(Resultados!CD55)))</f>
        <v>45681</v>
      </c>
      <c r="B55" t="str">
        <f>IF(COUNT(Resultados!B55,Resultados!K55,Resultados!T55,Resultados!AC55,Resultados!AL55,Resultados!AU55,Resultados!BD55,Resultados!BM55,Resultados!BV55,Resultados!CE55)=0, "", AVERAGE(ABS(Resultados!B55),ABS(Resultados!K55),ABS(Resultados!T55),ABS(Resultados!AC55),ABS(Resultados!AL55),ABS(Resultados!AU55),ABS(Resultados!BD55),ABS(Resultados!BM55),ABS(Resultados!BV55),ABS(Resultados!CE55)))</f>
        <v/>
      </c>
      <c r="C55">
        <f>IF(COUNT(Resultados!C55,Resultados!L55,Resultados!U55,Resultados!AD55,Resultados!AM55,Resultados!AV55,Resultados!BE55,Resultados!BN55,Resultados!BW55,Resultados!CF55)=0, "", AVERAGE(ABS(Resultados!C55),ABS(Resultados!L55),ABS(Resultados!U55),ABS(Resultados!AD55),ABS(Resultados!AM55),ABS(Resultados!AV55),ABS(Resultados!BE55),ABS(Resultados!BN55),ABS(Resultados!BW55),ABS(Resultados!CF55)))</f>
        <v>2.6</v>
      </c>
      <c r="D55">
        <f>IF(COUNT(Resultados!D55,Resultados!M55,Resultados!V55,Resultados!AE55,Resultados!AN55,Resultados!AW55,Resultados!BF55,Resultados!BO55,Resultados!BX55,Resultados!CG55)=0, "", AVERAGE(ABS(Resultados!D55),ABS(Resultados!M55),ABS(Resultados!V55),ABS(Resultados!AE55),ABS(Resultados!AN55),ABS(Resultados!AW55),ABS(Resultados!BF55),ABS(Resultados!BO55),ABS(Resultados!BX55),ABS(Resultados!CG55)))</f>
        <v>4.3869999999999992E-2</v>
      </c>
      <c r="E55">
        <f>IF(COUNT(Resultados!E55,Resultados!N55,Resultados!W55,Resultados!AF55,Resultados!AO55,Resultados!AX55,Resultados!BG55,Resultados!BP55,Resultados!BY55,Resultados!CH55)=0, "", AVERAGE(ABS(Resultados!E55),ABS(Resultados!N55),ABS(Resultados!W55),ABS(Resultados!AF55),ABS(Resultados!AO55),ABS(Resultados!AX55),ABS(Resultados!BG55),ABS(Resultados!BP55),ABS(Resultados!BY55),ABS(Resultados!CH55)))</f>
        <v>8.9968147785164412</v>
      </c>
      <c r="F55">
        <f>IF(COUNT(Resultados!F55,Resultados!O55,Resultados!X55,Resultados!AG55,Resultados!AP55,Resultados!AY55,Resultados!BH55,Resultados!BQ55,Resultados!BZ55,Resultados!CI55)=0, "", AVERAGE(ABS(Resultados!F55),ABS(Resultados!O55),ABS(Resultados!X55),ABS(Resultados!AG55),ABS(Resultados!AP55),ABS(Resultados!AY55),ABS(Resultados!BH55),ABS(Resultados!BQ55),ABS(Resultados!BZ55),ABS(Resultados!CI55)))</f>
        <v>993.79772248121049</v>
      </c>
      <c r="G55">
        <f>IF(COUNT(Resultados!G55,Resultados!P55,Resultados!Y55,Resultados!AH55,Resultados!AQ55,Resultados!AZ55,Resultados!BI55,Resultados!BR55,Resultados!CA55,Resultados!CJ55)=0, "", AVERAGE(ABS(Resultados!G55),ABS(Resultados!P55),ABS(Resultados!Y55),ABS(Resultados!AH55),ABS(Resultados!AQ55),ABS(Resultados!AZ55),ABS(Resultados!BI55),ABS(Resultados!BR55),ABS(Resultados!CA55),ABS(Resultados!CJ55)))</f>
        <v>0.42400000000000004</v>
      </c>
      <c r="H55">
        <f>IF(COUNT(Resultados!H55,Resultados!Q55,Resultados!Z55,Resultados!AI55,Resultados!AR55,Resultados!BA55,Resultados!BJ55,Resultados!BS55,Resultados!CB55,Resultados!CK55)=0, "", AVERAGE(ABS(Resultados!H55),ABS(Resultados!Q55),ABS(Resultados!Z55),ABS(Resultados!AI55),ABS(Resultados!AR55),ABS(Resultados!BA55),ABS(Resultados!BJ55),ABS(Resultados!BS55),ABS(Resultados!CB55),ABS(Resultados!CK55)))</f>
        <v>4.6629999999999998E-2</v>
      </c>
      <c r="I55">
        <f>IF(COUNT(Resultados!I55,Resultados!R55,Resultados!AA55,Resultados!AJ55,Resultados!AS55,Resultados!BB55,Resultados!BK55,Resultados!BT55,Resultados!CC55,Resultados!CL55)=0, "", AVERAGE(ABS(Resultados!I55),ABS(Resultados!R55),ABS(Resultados!AA55),ABS(Resultados!AJ55),ABS(Resultados!AS55),ABS(Resultados!BB55),ABS(Resultados!BK55),ABS(Resultados!BT55),ABS(Resultados!CC55),ABS(Resultados!CL55)))</f>
        <v>10.640070999999997</v>
      </c>
      <c r="J55">
        <v>4.3869999999999992E-2</v>
      </c>
      <c r="K55">
        <v>4.6629999999999998E-2</v>
      </c>
    </row>
    <row r="56" spans="1:11" x14ac:dyDescent="0.3">
      <c r="A56">
        <f>IF(COUNT(Resultados!A56,Resultados!J56,Resultados!S56,Resultados!AB56,Resultados!AK56,Resultados!AT56,Resultados!BC56,Resultados!BL56,Resultados!BU56,Resultados!CD56)=0, "", AVERAGE(ABS(Resultados!A56),ABS(Resultados!J56),ABS(Resultados!S56),ABS(Resultados!AB56),ABS(Resultados!AK56),ABS(Resultados!AT56),ABS(Resultados!BC56),ABS(Resultados!BL56),ABS(Resultados!BU56),ABS(Resultados!CD56)))</f>
        <v>45681</v>
      </c>
      <c r="B56" t="str">
        <f>IF(COUNT(Resultados!B56,Resultados!K56,Resultados!T56,Resultados!AC56,Resultados!AL56,Resultados!AU56,Resultados!BD56,Resultados!BM56,Resultados!BV56,Resultados!CE56)=0, "", AVERAGE(ABS(Resultados!B56),ABS(Resultados!K56),ABS(Resultados!T56),ABS(Resultados!AC56),ABS(Resultados!AL56),ABS(Resultados!AU56),ABS(Resultados!BD56),ABS(Resultados!BM56),ABS(Resultados!BV56),ABS(Resultados!CE56)))</f>
        <v/>
      </c>
      <c r="C56">
        <f>IF(COUNT(Resultados!C56,Resultados!L56,Resultados!U56,Resultados!AD56,Resultados!AM56,Resultados!AV56,Resultados!BE56,Resultados!BN56,Resultados!BW56,Resultados!CF56)=0, "", AVERAGE(ABS(Resultados!C56),ABS(Resultados!L56),ABS(Resultados!U56),ABS(Resultados!AD56),ABS(Resultados!AM56),ABS(Resultados!AV56),ABS(Resultados!BE56),ABS(Resultados!BN56),ABS(Resultados!BW56),ABS(Resultados!CF56)))</f>
        <v>2.6</v>
      </c>
      <c r="D56">
        <f>IF(COUNT(Resultados!D56,Resultados!M56,Resultados!V56,Resultados!AE56,Resultados!AN56,Resultados!AW56,Resultados!BF56,Resultados!BO56,Resultados!BX56,Resultados!CG56)=0, "", AVERAGE(ABS(Resultados!D56),ABS(Resultados!M56),ABS(Resultados!V56),ABS(Resultados!AE56),ABS(Resultados!AN56),ABS(Resultados!AW56),ABS(Resultados!BF56),ABS(Resultados!BO56),ABS(Resultados!BX56),ABS(Resultados!CG56)))</f>
        <v>4.8650000000000006E-2</v>
      </c>
      <c r="E56">
        <f>IF(COUNT(Resultados!E56,Resultados!N56,Resultados!W56,Resultados!AF56,Resultados!AO56,Resultados!AX56,Resultados!BG56,Resultados!BP56,Resultados!BY56,Resultados!CH56)=0, "", AVERAGE(ABS(Resultados!E56),ABS(Resultados!N56),ABS(Resultados!W56),ABS(Resultados!AF56),ABS(Resultados!AO56),ABS(Resultados!AX56),ABS(Resultados!BG56),ABS(Resultados!BP56),ABS(Resultados!BY56),ABS(Resultados!CH56)))</f>
        <v>9.26154646897891</v>
      </c>
      <c r="F56">
        <f>IF(COUNT(Resultados!F56,Resultados!O56,Resultados!X56,Resultados!AG56,Resultados!AP56,Resultados!AY56,Resultados!BH56,Resultados!BQ56,Resultados!BZ56,Resultados!CI56)=0, "", AVERAGE(ABS(Resultados!F56),ABS(Resultados!O56),ABS(Resultados!X56),ABS(Resultados!AG56),ABS(Resultados!AP56),ABS(Resultados!AY56),ABS(Resultados!BH56),ABS(Resultados!BQ56),ABS(Resultados!BZ56),ABS(Resultados!CI56)))</f>
        <v>1018.9207599060986</v>
      </c>
      <c r="G56">
        <f>IF(COUNT(Resultados!G56,Resultados!P56,Resultados!Y56,Resultados!AH56,Resultados!AQ56,Resultados!AZ56,Resultados!BI56,Resultados!BR56,Resultados!CA56,Resultados!CJ56)=0, "", AVERAGE(ABS(Resultados!G56),ABS(Resultados!P56),ABS(Resultados!Y56),ABS(Resultados!AH56),ABS(Resultados!AQ56),ABS(Resultados!AZ56),ABS(Resultados!BI56),ABS(Resultados!BR56),ABS(Resultados!CA56),ABS(Resultados!CJ56)))</f>
        <v>0.42400000000000004</v>
      </c>
      <c r="H56">
        <f>IF(COUNT(Resultados!H56,Resultados!Q56,Resultados!Z56,Resultados!AI56,Resultados!AR56,Resultados!BA56,Resultados!BJ56,Resultados!BS56,Resultados!CB56,Resultados!CK56)=0, "", AVERAGE(ABS(Resultados!H56),ABS(Resultados!Q56),ABS(Resultados!Z56),ABS(Resultados!AI56),ABS(Resultados!AR56),ABS(Resultados!BA56),ABS(Resultados!BJ56),ABS(Resultados!BS56),ABS(Resultados!CB56),ABS(Resultados!CK56)))</f>
        <v>5.0729999999999997E-2</v>
      </c>
      <c r="I56">
        <f>IF(COUNT(Resultados!I56,Resultados!R56,Resultados!AA56,Resultados!AJ56,Resultados!AS56,Resultados!BB56,Resultados!BK56,Resultados!BT56,Resultados!CC56,Resultados!CL56)=0, "", AVERAGE(ABS(Resultados!I56),ABS(Resultados!R56),ABS(Resultados!AA56),ABS(Resultados!AJ56),ABS(Resultados!AS56),ABS(Resultados!BB56),ABS(Resultados!BK56),ABS(Resultados!BT56),ABS(Resultados!CC56),ABS(Resultados!CL56)))</f>
        <v>10.840148000000003</v>
      </c>
      <c r="J56">
        <v>4.8650000000000006E-2</v>
      </c>
      <c r="K56">
        <v>5.0729999999999997E-2</v>
      </c>
    </row>
    <row r="57" spans="1:11" x14ac:dyDescent="0.3">
      <c r="A57">
        <f>IF(COUNT(Resultados!A57,Resultados!J57,Resultados!S57,Resultados!AB57,Resultados!AK57,Resultados!AT57,Resultados!BC57,Resultados!BL57,Resultados!BU57,Resultados!CD57)=0, "", AVERAGE(ABS(Resultados!A57),ABS(Resultados!J57),ABS(Resultados!S57),ABS(Resultados!AB57),ABS(Resultados!AK57),ABS(Resultados!AT57),ABS(Resultados!BC57),ABS(Resultados!BL57),ABS(Resultados!BU57),ABS(Resultados!CD57)))</f>
        <v>45681</v>
      </c>
      <c r="B57" t="str">
        <f>IF(COUNT(Resultados!B57,Resultados!K57,Resultados!T57,Resultados!AC57,Resultados!AL57,Resultados!AU57,Resultados!BD57,Resultados!BM57,Resultados!BV57,Resultados!CE57)=0, "", AVERAGE(ABS(Resultados!B57),ABS(Resultados!K57),ABS(Resultados!T57),ABS(Resultados!AC57),ABS(Resultados!AL57),ABS(Resultados!AU57),ABS(Resultados!BD57),ABS(Resultados!BM57),ABS(Resultados!BV57),ABS(Resultados!CE57)))</f>
        <v/>
      </c>
      <c r="C57">
        <f>IF(COUNT(Resultados!C57,Resultados!L57,Resultados!U57,Resultados!AD57,Resultados!AM57,Resultados!AV57,Resultados!BE57,Resultados!BN57,Resultados!BW57,Resultados!CF57)=0, "", AVERAGE(ABS(Resultados!C57),ABS(Resultados!L57),ABS(Resultados!U57),ABS(Resultados!AD57),ABS(Resultados!AM57),ABS(Resultados!AV57),ABS(Resultados!BE57),ABS(Resultados!BN57),ABS(Resultados!BW57),ABS(Resultados!CF57)))</f>
        <v>2.6</v>
      </c>
      <c r="D57">
        <f>IF(COUNT(Resultados!D57,Resultados!M57,Resultados!V57,Resultados!AE57,Resultados!AN57,Resultados!AW57,Resultados!BF57,Resultados!BO57,Resultados!BX57,Resultados!CG57)=0, "", AVERAGE(ABS(Resultados!D57),ABS(Resultados!M57),ABS(Resultados!V57),ABS(Resultados!AE57),ABS(Resultados!AN57),ABS(Resultados!AW57),ABS(Resultados!BF57),ABS(Resultados!BO57),ABS(Resultados!BX57),ABS(Resultados!CG57)))</f>
        <v>5.3100000000000015E-2</v>
      </c>
      <c r="E57">
        <f>IF(COUNT(Resultados!E57,Resultados!N57,Resultados!W57,Resultados!AF57,Resultados!AO57,Resultados!AX57,Resultados!BG57,Resultados!BP57,Resultados!BY57,Resultados!CH57)=0, "", AVERAGE(ABS(Resultados!E57),ABS(Resultados!N57),ABS(Resultados!W57),ABS(Resultados!AF57),ABS(Resultados!AO57),ABS(Resultados!AX57),ABS(Resultados!BG57),ABS(Resultados!BP57),ABS(Resultados!BY57),ABS(Resultados!CH57)))</f>
        <v>9.4954980638701905</v>
      </c>
      <c r="F57">
        <f>IF(COUNT(Resultados!F57,Resultados!O57,Resultados!X57,Resultados!AG57,Resultados!AP57,Resultados!AY57,Resultados!BH57,Resultados!BQ57,Resultados!BZ57,Resultados!CI57)=0, "", AVERAGE(ABS(Resultados!F57),ABS(Resultados!O57),ABS(Resultados!X57),ABS(Resultados!AG57),ABS(Resultados!AP57),ABS(Resultados!AY57),ABS(Resultados!BH57),ABS(Resultados!BQ57),ABS(Resultados!BZ57),ABS(Resultados!CI57)))</f>
        <v>1041.1227662612814</v>
      </c>
      <c r="G57">
        <f>IF(COUNT(Resultados!G57,Resultados!P57,Resultados!Y57,Resultados!AH57,Resultados!AQ57,Resultados!AZ57,Resultados!BI57,Resultados!BR57,Resultados!CA57,Resultados!CJ57)=0, "", AVERAGE(ABS(Resultados!G57),ABS(Resultados!P57),ABS(Resultados!Y57),ABS(Resultados!AH57),ABS(Resultados!AQ57),ABS(Resultados!AZ57),ABS(Resultados!BI57),ABS(Resultados!BR57),ABS(Resultados!CA57),ABS(Resultados!CJ57)))</f>
        <v>0.42400000000000004</v>
      </c>
      <c r="H57">
        <f>IF(COUNT(Resultados!H57,Resultados!Q57,Resultados!Z57,Resultados!AI57,Resultados!AR57,Resultados!BA57,Resultados!BJ57,Resultados!BS57,Resultados!CB57,Resultados!CK57)=0, "", AVERAGE(ABS(Resultados!H57),ABS(Resultados!Q57),ABS(Resultados!Z57),ABS(Resultados!AI57),ABS(Resultados!AR57),ABS(Resultados!BA57),ABS(Resultados!BJ57),ABS(Resultados!BS57),ABS(Resultados!CB57),ABS(Resultados!CK57)))</f>
        <v>5.4390000000000008E-2</v>
      </c>
      <c r="I57">
        <f>IF(COUNT(Resultados!I57,Resultados!R57,Resultados!AA57,Resultados!AJ57,Resultados!AS57,Resultados!BB57,Resultados!BK57,Resultados!BT57,Resultados!CC57,Resultados!CL57)=0, "", AVERAGE(ABS(Resultados!I57),ABS(Resultados!R57),ABS(Resultados!AA57),ABS(Resultados!AJ57),ABS(Resultados!AS57),ABS(Resultados!BB57),ABS(Resultados!BK57),ABS(Resultados!BT57),ABS(Resultados!CC57),ABS(Resultados!CL57)))</f>
        <v>11.040042</v>
      </c>
      <c r="J57">
        <v>5.3100000000000015E-2</v>
      </c>
      <c r="K57">
        <v>5.4390000000000008E-2</v>
      </c>
    </row>
    <row r="58" spans="1:11" x14ac:dyDescent="0.3">
      <c r="A58">
        <f>IF(COUNT(Resultados!A58,Resultados!J58,Resultados!S58,Resultados!AB58,Resultados!AK58,Resultados!AT58,Resultados!BC58,Resultados!BL58,Resultados!BU58,Resultados!CD58)=0, "", AVERAGE(ABS(Resultados!A58),ABS(Resultados!J58),ABS(Resultados!S58),ABS(Resultados!AB58),ABS(Resultados!AK58),ABS(Resultados!AT58),ABS(Resultados!BC58),ABS(Resultados!BL58),ABS(Resultados!BU58),ABS(Resultados!CD58)))</f>
        <v>45681</v>
      </c>
      <c r="B58" t="str">
        <f>IF(COUNT(Resultados!B58,Resultados!K58,Resultados!T58,Resultados!AC58,Resultados!AL58,Resultados!AU58,Resultados!BD58,Resultados!BM58,Resultados!BV58,Resultados!CE58)=0, "", AVERAGE(ABS(Resultados!B58),ABS(Resultados!K58),ABS(Resultados!T58),ABS(Resultados!AC58),ABS(Resultados!AL58),ABS(Resultados!AU58),ABS(Resultados!BD58),ABS(Resultados!BM58),ABS(Resultados!BV58),ABS(Resultados!CE58)))</f>
        <v/>
      </c>
      <c r="C58">
        <f>IF(COUNT(Resultados!C58,Resultados!L58,Resultados!U58,Resultados!AD58,Resultados!AM58,Resultados!AV58,Resultados!BE58,Resultados!BN58,Resultados!BW58,Resultados!CF58)=0, "", AVERAGE(ABS(Resultados!C58),ABS(Resultados!L58),ABS(Resultados!U58),ABS(Resultados!AD58),ABS(Resultados!AM58),ABS(Resultados!AV58),ABS(Resultados!BE58),ABS(Resultados!BN58),ABS(Resultados!BW58),ABS(Resultados!CF58)))</f>
        <v>2.6</v>
      </c>
      <c r="D58">
        <f>IF(COUNT(Resultados!D58,Resultados!M58,Resultados!V58,Resultados!AE58,Resultados!AN58,Resultados!AW58,Resultados!BF58,Resultados!BO58,Resultados!BX58,Resultados!CG58)=0, "", AVERAGE(ABS(Resultados!D58),ABS(Resultados!M58),ABS(Resultados!V58),ABS(Resultados!AE58),ABS(Resultados!AN58),ABS(Resultados!AW58),ABS(Resultados!BF58),ABS(Resultados!BO58),ABS(Resultados!BX58),ABS(Resultados!CG58)))</f>
        <v>5.6729999999999989E-2</v>
      </c>
      <c r="E58">
        <f>IF(COUNT(Resultados!E58,Resultados!N58,Resultados!W58,Resultados!AF58,Resultados!AO58,Resultados!AX58,Resultados!BG58,Resultados!BP58,Resultados!BY58,Resultados!CH58)=0, "", AVERAGE(ABS(Resultados!E58),ABS(Resultados!N58),ABS(Resultados!W58),ABS(Resultados!AF58),ABS(Resultados!AO58),ABS(Resultados!AX58),ABS(Resultados!BG58),ABS(Resultados!BP58),ABS(Resultados!BY58),ABS(Resultados!CH58)))</f>
        <v>9.6935270587626672</v>
      </c>
      <c r="F58">
        <f>IF(COUNT(Resultados!F58,Resultados!O58,Resultados!X58,Resultados!AG58,Resultados!AP58,Resultados!AY58,Resultados!BH58,Resultados!BQ58,Resultados!BZ58,Resultados!CI58)=0, "", AVERAGE(ABS(Resultados!F58),ABS(Resultados!O58),ABS(Resultados!X58),ABS(Resultados!AG58),ABS(Resultados!AP58),ABS(Resultados!AY58),ABS(Resultados!BH58),ABS(Resultados!BQ58),ABS(Resultados!BZ58),ABS(Resultados!CI58)))</f>
        <v>1059.9157178765768</v>
      </c>
      <c r="G58">
        <f>IF(COUNT(Resultados!G58,Resultados!P58,Resultados!Y58,Resultados!AH58,Resultados!AQ58,Resultados!AZ58,Resultados!BI58,Resultados!BR58,Resultados!CA58,Resultados!CJ58)=0, "", AVERAGE(ABS(Resultados!G58),ABS(Resultados!P58),ABS(Resultados!Y58),ABS(Resultados!AH58),ABS(Resultados!AQ58),ABS(Resultados!AZ58),ABS(Resultados!BI58),ABS(Resultados!BR58),ABS(Resultados!CA58),ABS(Resultados!CJ58)))</f>
        <v>0.42400000000000004</v>
      </c>
      <c r="H58">
        <f>IF(COUNT(Resultados!H58,Resultados!Q58,Resultados!Z58,Resultados!AI58,Resultados!AR58,Resultados!BA58,Resultados!BJ58,Resultados!BS58,Resultados!CB58,Resultados!CK58)=0, "", AVERAGE(ABS(Resultados!H58),ABS(Resultados!Q58),ABS(Resultados!Z58),ABS(Resultados!AI58),ABS(Resultados!AR58),ABS(Resultados!BA58),ABS(Resultados!BJ58),ABS(Resultados!BS58),ABS(Resultados!CB58),ABS(Resultados!CK58)))</f>
        <v>5.7460000000000011E-2</v>
      </c>
      <c r="I58">
        <f>IF(COUNT(Resultados!I58,Resultados!R58,Resultados!AA58,Resultados!AJ58,Resultados!AS58,Resultados!BB58,Resultados!BK58,Resultados!BT58,Resultados!CC58,Resultados!CL58)=0, "", AVERAGE(ABS(Resultados!I58),ABS(Resultados!R58),ABS(Resultados!AA58),ABS(Resultados!AJ58),ABS(Resultados!AS58),ABS(Resultados!BB58),ABS(Resultados!BK58),ABS(Resultados!BT58),ABS(Resultados!CC58),ABS(Resultados!CL58)))</f>
        <v>11.240229000000003</v>
      </c>
      <c r="J58">
        <v>5.6729999999999989E-2</v>
      </c>
      <c r="K58">
        <v>5.7460000000000011E-2</v>
      </c>
    </row>
    <row r="59" spans="1:11" x14ac:dyDescent="0.3">
      <c r="A59">
        <f>IF(COUNT(Resultados!A59,Resultados!J59,Resultados!S59,Resultados!AB59,Resultados!AK59,Resultados!AT59,Resultados!BC59,Resultados!BL59,Resultados!BU59,Resultados!CD59)=0, "", AVERAGE(ABS(Resultados!A59),ABS(Resultados!J59),ABS(Resultados!S59),ABS(Resultados!AB59),ABS(Resultados!AK59),ABS(Resultados!AT59),ABS(Resultados!BC59),ABS(Resultados!BL59),ABS(Resultados!BU59),ABS(Resultados!CD59)))</f>
        <v>45681</v>
      </c>
      <c r="B59" t="str">
        <f>IF(COUNT(Resultados!B59,Resultados!K59,Resultados!T59,Resultados!AC59,Resultados!AL59,Resultados!AU59,Resultados!BD59,Resultados!BM59,Resultados!BV59,Resultados!CE59)=0, "", AVERAGE(ABS(Resultados!B59),ABS(Resultados!K59),ABS(Resultados!T59),ABS(Resultados!AC59),ABS(Resultados!AL59),ABS(Resultados!AU59),ABS(Resultados!BD59),ABS(Resultados!BM59),ABS(Resultados!BV59),ABS(Resultados!CE59)))</f>
        <v/>
      </c>
      <c r="C59">
        <f>IF(COUNT(Resultados!C59,Resultados!L59,Resultados!U59,Resultados!AD59,Resultados!AM59,Resultados!AV59,Resultados!BE59,Resultados!BN59,Resultados!BW59,Resultados!CF59)=0, "", AVERAGE(ABS(Resultados!C59),ABS(Resultados!L59),ABS(Resultados!U59),ABS(Resultados!AD59),ABS(Resultados!AM59),ABS(Resultados!AV59),ABS(Resultados!BE59),ABS(Resultados!BN59),ABS(Resultados!BW59),ABS(Resultados!CF59)))</f>
        <v>2.6</v>
      </c>
      <c r="D59">
        <f>IF(COUNT(Resultados!D59,Resultados!M59,Resultados!V59,Resultados!AE59,Resultados!AN59,Resultados!AW59,Resultados!BF59,Resultados!BO59,Resultados!BX59,Resultados!CG59)=0, "", AVERAGE(ABS(Resultados!D59),ABS(Resultados!M59),ABS(Resultados!V59),ABS(Resultados!AE59),ABS(Resultados!AN59),ABS(Resultados!AW59),ABS(Resultados!BF59),ABS(Resultados!BO59),ABS(Resultados!BX59),ABS(Resultados!CG59)))</f>
        <v>5.96E-2</v>
      </c>
      <c r="E59">
        <f>IF(COUNT(Resultados!E59,Resultados!N59,Resultados!W59,Resultados!AF59,Resultados!AO59,Resultados!AX59,Resultados!BG59,Resultados!BP59,Resultados!BY59,Resultados!CH59)=0, "", AVERAGE(ABS(Resultados!E59),ABS(Resultados!N59),ABS(Resultados!W59),ABS(Resultados!AF59),ABS(Resultados!AO59),ABS(Resultados!AX59),ABS(Resultados!BG59),ABS(Resultados!BP59),ABS(Resultados!BY59),ABS(Resultados!CH59)))</f>
        <v>9.8500303344567417</v>
      </c>
      <c r="F59">
        <f>IF(COUNT(Resultados!F59,Resultados!O59,Resultados!X59,Resultados!AG59,Resultados!AP59,Resultados!AY59,Resultados!BH59,Resultados!BQ59,Resultados!BZ59,Resultados!CI59)=0, "", AVERAGE(ABS(Resultados!F59),ABS(Resultados!O59),ABS(Resultados!X59),ABS(Resultados!AG59),ABS(Resultados!AP59),ABS(Resultados!AY59),ABS(Resultados!BH59),ABS(Resultados!BQ59),ABS(Resultados!BZ59),ABS(Resultados!CI59)))</f>
        <v>1074.7678787399445</v>
      </c>
      <c r="G59">
        <f>IF(COUNT(Resultados!G59,Resultados!P59,Resultados!Y59,Resultados!AH59,Resultados!AQ59,Resultados!AZ59,Resultados!BI59,Resultados!BR59,Resultados!CA59,Resultados!CJ59)=0, "", AVERAGE(ABS(Resultados!G59),ABS(Resultados!P59),ABS(Resultados!Y59),ABS(Resultados!AH59),ABS(Resultados!AQ59),ABS(Resultados!AZ59),ABS(Resultados!BI59),ABS(Resultados!BR59),ABS(Resultados!CA59),ABS(Resultados!CJ59)))</f>
        <v>0.42400000000000004</v>
      </c>
      <c r="H59">
        <f>IF(COUNT(Resultados!H59,Resultados!Q59,Resultados!Z59,Resultados!AI59,Resultados!AR59,Resultados!BA59,Resultados!BJ59,Resultados!BS59,Resultados!CB59,Resultados!CK59)=0, "", AVERAGE(ABS(Resultados!H59),ABS(Resultados!Q59),ABS(Resultados!Z59),ABS(Resultados!AI59),ABS(Resultados!AR59),ABS(Resultados!BA59),ABS(Resultados!BJ59),ABS(Resultados!BS59),ABS(Resultados!CB59),ABS(Resultados!CK59)))</f>
        <v>5.9889999999999999E-2</v>
      </c>
      <c r="I59">
        <f>IF(COUNT(Resultados!I59,Resultados!R59,Resultados!AA59,Resultados!AJ59,Resultados!AS59,Resultados!BB59,Resultados!BK59,Resultados!BT59,Resultados!CC59,Resultados!CL59)=0, "", AVERAGE(ABS(Resultados!I59),ABS(Resultados!R59),ABS(Resultados!AA59),ABS(Resultados!AJ59),ABS(Resultados!AS59),ABS(Resultados!BB59),ABS(Resultados!BK59),ABS(Resultados!BT59),ABS(Resultados!CC59),ABS(Resultados!CL59)))</f>
        <v>11.439856999999995</v>
      </c>
      <c r="J59">
        <v>5.96E-2</v>
      </c>
      <c r="K59">
        <v>5.9889999999999999E-2</v>
      </c>
    </row>
    <row r="60" spans="1:11" x14ac:dyDescent="0.3">
      <c r="A60">
        <f>IF(COUNT(Resultados!A60,Resultados!J60,Resultados!S60,Resultados!AB60,Resultados!AK60,Resultados!AT60,Resultados!BC60,Resultados!BL60,Resultados!BU60,Resultados!CD60)=0, "", AVERAGE(ABS(Resultados!A60),ABS(Resultados!J60),ABS(Resultados!S60),ABS(Resultados!AB60),ABS(Resultados!AK60),ABS(Resultados!AT60),ABS(Resultados!BC60),ABS(Resultados!BL60),ABS(Resultados!BU60),ABS(Resultados!CD60)))</f>
        <v>45681</v>
      </c>
      <c r="B60" t="str">
        <f>IF(COUNT(Resultados!B60,Resultados!K60,Resultados!T60,Resultados!AC60,Resultados!AL60,Resultados!AU60,Resultados!BD60,Resultados!BM60,Resultados!BV60,Resultados!CE60)=0, "", AVERAGE(ABS(Resultados!B60),ABS(Resultados!K60),ABS(Resultados!T60),ABS(Resultados!AC60),ABS(Resultados!AL60),ABS(Resultados!AU60),ABS(Resultados!BD60),ABS(Resultados!BM60),ABS(Resultados!BV60),ABS(Resultados!CE60)))</f>
        <v/>
      </c>
      <c r="C60">
        <f>IF(COUNT(Resultados!C60,Resultados!L60,Resultados!U60,Resultados!AD60,Resultados!AM60,Resultados!AV60,Resultados!BE60,Resultados!BN60,Resultados!BW60,Resultados!CF60)=0, "", AVERAGE(ABS(Resultados!C60),ABS(Resultados!L60),ABS(Resultados!U60),ABS(Resultados!AD60),ABS(Resultados!AM60),ABS(Resultados!AV60),ABS(Resultados!BE60),ABS(Resultados!BN60),ABS(Resultados!BW60),ABS(Resultados!CF60)))</f>
        <v>2.6</v>
      </c>
      <c r="D60">
        <f>IF(COUNT(Resultados!D60,Resultados!M60,Resultados!V60,Resultados!AE60,Resultados!AN60,Resultados!AW60,Resultados!BF60,Resultados!BO60,Resultados!BX60,Resultados!CG60)=0, "", AVERAGE(ABS(Resultados!D60),ABS(Resultados!M60),ABS(Resultados!V60),ABS(Resultados!AE60),ABS(Resultados!AN60),ABS(Resultados!AW60),ABS(Resultados!BF60),ABS(Resultados!BO60),ABS(Resultados!BX60),ABS(Resultados!CG60)))</f>
        <v>6.2359999999999992E-2</v>
      </c>
      <c r="E60">
        <f>IF(COUNT(Resultados!E60,Resultados!N60,Resultados!W60,Resultados!AF60,Resultados!AO60,Resultados!AX60,Resultados!BG60,Resultados!BP60,Resultados!BY60,Resultados!CH60)=0, "", AVERAGE(ABS(Resultados!E60),ABS(Resultados!N60),ABS(Resultados!W60),ABS(Resultados!AF60),ABS(Resultados!AO60),ABS(Resultados!AX60),ABS(Resultados!BG60),ABS(Resultados!BP60),ABS(Resultados!BY60),ABS(Resultados!CH60)))</f>
        <v>9.9616233860554004</v>
      </c>
      <c r="F60">
        <f>IF(COUNT(Resultados!F60,Resultados!O60,Resultados!X60,Resultados!AG60,Resultados!AP60,Resultados!AY60,Resultados!BH60,Resultados!BQ60,Resultados!BZ60,Resultados!CI60)=0, "", AVERAGE(ABS(Resultados!F60),ABS(Resultados!O60),ABS(Resultados!X60),ABS(Resultados!AG60),ABS(Resultados!AP60),ABS(Resultados!AY60),ABS(Resultados!BH60),ABS(Resultados!BQ60),ABS(Resultados!BZ60),ABS(Resultados!CI60)))</f>
        <v>1085.3580593366576</v>
      </c>
      <c r="G60">
        <f>IF(COUNT(Resultados!G60,Resultados!P60,Resultados!Y60,Resultados!AH60,Resultados!AQ60,Resultados!AZ60,Resultados!BI60,Resultados!BR60,Resultados!CA60,Resultados!CJ60)=0, "", AVERAGE(ABS(Resultados!G60),ABS(Resultados!P60),ABS(Resultados!Y60),ABS(Resultados!AH60),ABS(Resultados!AQ60),ABS(Resultados!AZ60),ABS(Resultados!BI60),ABS(Resultados!BR60),ABS(Resultados!CA60),ABS(Resultados!CJ60)))</f>
        <v>0.42400000000000004</v>
      </c>
      <c r="H60">
        <f>IF(COUNT(Resultados!H60,Resultados!Q60,Resultados!Z60,Resultados!AI60,Resultados!AR60,Resultados!BA60,Resultados!BJ60,Resultados!BS60,Resultados!CB60,Resultados!CK60)=0, "", AVERAGE(ABS(Resultados!H60),ABS(Resultados!Q60),ABS(Resultados!Z60),ABS(Resultados!AI60),ABS(Resultados!AR60),ABS(Resultados!BA60),ABS(Resultados!BJ60),ABS(Resultados!BS60),ABS(Resultados!CB60),ABS(Resultados!CK60)))</f>
        <v>6.1639999999999993E-2</v>
      </c>
      <c r="I60">
        <f>IF(COUNT(Resultados!I60,Resultados!R60,Resultados!AA60,Resultados!AJ60,Resultados!AS60,Resultados!BB60,Resultados!BK60,Resultados!BT60,Resultados!CC60,Resultados!CL60)=0, "", AVERAGE(ABS(Resultados!I60),ABS(Resultados!R60),ABS(Resultados!AA60),ABS(Resultados!AJ60),ABS(Resultados!AS60),ABS(Resultados!BB60),ABS(Resultados!BK60),ABS(Resultados!BT60),ABS(Resultados!CC60),ABS(Resultados!CL60)))</f>
        <v>11.639722000000001</v>
      </c>
      <c r="J60">
        <v>6.2359999999999992E-2</v>
      </c>
      <c r="K60">
        <v>6.1639999999999993E-2</v>
      </c>
    </row>
    <row r="61" spans="1:11" x14ac:dyDescent="0.3">
      <c r="A61">
        <f>IF(COUNT(Resultados!A61,Resultados!J61,Resultados!S61,Resultados!AB61,Resultados!AK61,Resultados!AT61,Resultados!BC61,Resultados!BL61,Resultados!BU61,Resultados!CD61)=0, "", AVERAGE(ABS(Resultados!A61),ABS(Resultados!J61),ABS(Resultados!S61),ABS(Resultados!AB61),ABS(Resultados!AK61),ABS(Resultados!AT61),ABS(Resultados!BC61),ABS(Resultados!BL61),ABS(Resultados!BU61),ABS(Resultados!CD61)))</f>
        <v>45681</v>
      </c>
      <c r="B61" t="str">
        <f>IF(COUNT(Resultados!B61,Resultados!K61,Resultados!T61,Resultados!AC61,Resultados!AL61,Resultados!AU61,Resultados!BD61,Resultados!BM61,Resultados!BV61,Resultados!CE61)=0, "", AVERAGE(ABS(Resultados!B61),ABS(Resultados!K61),ABS(Resultados!T61),ABS(Resultados!AC61),ABS(Resultados!AL61),ABS(Resultados!AU61),ABS(Resultados!BD61),ABS(Resultados!BM61),ABS(Resultados!BV61),ABS(Resultados!CE61)))</f>
        <v/>
      </c>
      <c r="C61">
        <f>IF(COUNT(Resultados!C61,Resultados!L61,Resultados!U61,Resultados!AD61,Resultados!AM61,Resultados!AV61,Resultados!BE61,Resultados!BN61,Resultados!BW61,Resultados!CF61)=0, "", AVERAGE(ABS(Resultados!C61),ABS(Resultados!L61),ABS(Resultados!U61),ABS(Resultados!AD61),ABS(Resultados!AM61),ABS(Resultados!AV61),ABS(Resultados!BE61),ABS(Resultados!BN61),ABS(Resultados!BW61),ABS(Resultados!CF61)))</f>
        <v>2.6</v>
      </c>
      <c r="D61">
        <f>IF(COUNT(Resultados!D61,Resultados!M61,Resultados!V61,Resultados!AE61,Resultados!AN61,Resultados!AW61,Resultados!BF61,Resultados!BO61,Resultados!BX61,Resultados!CG61)=0, "", AVERAGE(ABS(Resultados!D61),ABS(Resultados!M61),ABS(Resultados!V61),ABS(Resultados!AE61),ABS(Resultados!AN61),ABS(Resultados!AW61),ABS(Resultados!BF61),ABS(Resultados!BO61),ABS(Resultados!BX61),ABS(Resultados!CG61)))</f>
        <v>6.4819999999999989E-2</v>
      </c>
      <c r="E61">
        <f>IF(COUNT(Resultados!E61,Resultados!N61,Resultados!W61,Resultados!AF61,Resultados!AO61,Resultados!AX61,Resultados!BG61,Resultados!BP61,Resultados!BY61,Resultados!CH61)=0, "", AVERAGE(ABS(Resultados!E61),ABS(Resultados!N61),ABS(Resultados!W61),ABS(Resultados!AF61),ABS(Resultados!AO61),ABS(Resultados!AX61),ABS(Resultados!BG61),ABS(Resultados!BP61),ABS(Resultados!BY61),ABS(Resultados!CH61)))</f>
        <v>10.025934574595038</v>
      </c>
      <c r="F61">
        <f>IF(COUNT(Resultados!F61,Resultados!O61,Resultados!X61,Resultados!AG61,Resultados!AP61,Resultados!AY61,Resultados!BH61,Resultados!BQ61,Resultados!BZ61,Resultados!CI61)=0, "", AVERAGE(ABS(Resultados!F61),ABS(Resultados!O61),ABS(Resultados!X61),ABS(Resultados!AG61),ABS(Resultados!AP61),ABS(Resultados!AY61),ABS(Resultados!BH61),ABS(Resultados!BQ61),ABS(Resultados!BZ61),ABS(Resultados!CI61)))</f>
        <v>1080.5568614933477</v>
      </c>
      <c r="G61">
        <f>IF(COUNT(Resultados!G61,Resultados!P61,Resultados!Y61,Resultados!AH61,Resultados!AQ61,Resultados!AZ61,Resultados!BI61,Resultados!BR61,Resultados!CA61,Resultados!CJ61)=0, "", AVERAGE(ABS(Resultados!G61),ABS(Resultados!P61),ABS(Resultados!Y61),ABS(Resultados!AH61),ABS(Resultados!AQ61),ABS(Resultados!AZ61),ABS(Resultados!BI61),ABS(Resultados!BR61),ABS(Resultados!CA61),ABS(Resultados!CJ61)))</f>
        <v>0.42400000000000004</v>
      </c>
      <c r="H61">
        <f>IF(COUNT(Resultados!H61,Resultados!Q61,Resultados!Z61,Resultados!AI61,Resultados!AR61,Resultados!BA61,Resultados!BJ61,Resultados!BS61,Resultados!CB61,Resultados!CK61)=0, "", AVERAGE(ABS(Resultados!H61),ABS(Resultados!Q61),ABS(Resultados!Z61),ABS(Resultados!AI61),ABS(Resultados!AR61),ABS(Resultados!BA61),ABS(Resultados!BJ61),ABS(Resultados!BS61),ABS(Resultados!CB61),ABS(Resultados!CK61)))</f>
        <v>6.2600000000000003E-2</v>
      </c>
      <c r="I61">
        <f>IF(COUNT(Resultados!I61,Resultados!R61,Resultados!AA61,Resultados!AJ61,Resultados!AS61,Resultados!BB61,Resultados!BK61,Resultados!BT61,Resultados!CC61,Resultados!CL61)=0, "", AVERAGE(ABS(Resultados!I61),ABS(Resultados!R61),ABS(Resultados!AA61),ABS(Resultados!AJ61),ABS(Resultados!AS61),ABS(Resultados!BB61),ABS(Resultados!BK61),ABS(Resultados!BT61),ABS(Resultados!CC61),ABS(Resultados!CL61)))</f>
        <v>11.840501</v>
      </c>
      <c r="J61">
        <v>6.4819999999999989E-2</v>
      </c>
      <c r="K61">
        <v>6.2600000000000003E-2</v>
      </c>
    </row>
    <row r="62" spans="1:11" x14ac:dyDescent="0.3">
      <c r="A62">
        <f>IF(COUNT(Resultados!A62,Resultados!J62,Resultados!S62,Resultados!AB62,Resultados!AK62,Resultados!AT62,Resultados!BC62,Resultados!BL62,Resultados!BU62,Resultados!CD62)=0, "", AVERAGE(ABS(Resultados!A62),ABS(Resultados!J62),ABS(Resultados!S62),ABS(Resultados!AB62),ABS(Resultados!AK62),ABS(Resultados!AT62),ABS(Resultados!BC62),ABS(Resultados!BL62),ABS(Resultados!BU62),ABS(Resultados!CD62)))</f>
        <v>45681</v>
      </c>
      <c r="B62" t="str">
        <f>IF(COUNT(Resultados!B62,Resultados!K62,Resultados!T62,Resultados!AC62,Resultados!AL62,Resultados!AU62,Resultados!BD62,Resultados!BM62,Resultados!BV62,Resultados!CE62)=0, "", AVERAGE(ABS(Resultados!B62),ABS(Resultados!K62),ABS(Resultados!T62),ABS(Resultados!AC62),ABS(Resultados!AL62),ABS(Resultados!AU62),ABS(Resultados!BD62),ABS(Resultados!BM62),ABS(Resultados!BV62),ABS(Resultados!CE62)))</f>
        <v/>
      </c>
      <c r="C62">
        <f>IF(COUNT(Resultados!C62,Resultados!L62,Resultados!U62,Resultados!AD62,Resultados!AM62,Resultados!AV62,Resultados!BE62,Resultados!BN62,Resultados!BW62,Resultados!CF62)=0, "", AVERAGE(ABS(Resultados!C62),ABS(Resultados!L62),ABS(Resultados!U62),ABS(Resultados!AD62),ABS(Resultados!AM62),ABS(Resultados!AV62),ABS(Resultados!BE62),ABS(Resultados!BN62),ABS(Resultados!BW62),ABS(Resultados!CF62)))</f>
        <v>2.6</v>
      </c>
      <c r="D62">
        <f>IF(COUNT(Resultados!D62,Resultados!M62,Resultados!V62,Resultados!AE62,Resultados!AN62,Resultados!AW62,Resultados!BF62,Resultados!BO62,Resultados!BX62,Resultados!CG62)=0, "", AVERAGE(ABS(Resultados!D62),ABS(Resultados!M62),ABS(Resultados!V62),ABS(Resultados!AE62),ABS(Resultados!AN62),ABS(Resultados!AW62),ABS(Resultados!BF62),ABS(Resultados!BO62),ABS(Resultados!BX62),ABS(Resultados!CG62)))</f>
        <v>6.5880000000000008E-2</v>
      </c>
      <c r="E62">
        <f>IF(COUNT(Resultados!E62,Resultados!N62,Resultados!W62,Resultados!AF62,Resultados!AO62,Resultados!AX62,Resultados!BG62,Resultados!BP62,Resultados!BY62,Resultados!CH62)=0, "", AVERAGE(ABS(Resultados!E62),ABS(Resultados!N62),ABS(Resultados!W62),ABS(Resultados!AF62),ABS(Resultados!AO62),ABS(Resultados!AX62),ABS(Resultados!BG62),ABS(Resultados!BP62),ABS(Resultados!BY62),ABS(Resultados!CH62)))</f>
        <v>10.040577015411847</v>
      </c>
      <c r="F62">
        <f>IF(COUNT(Resultados!F62,Resultados!O62,Resultados!X62,Resultados!AG62,Resultados!AP62,Resultados!AY62,Resultados!BH62,Resultados!BQ62,Resultados!BZ62,Resultados!CI62)=0, "", AVERAGE(ABS(Resultados!F62),ABS(Resultados!O62),ABS(Resultados!X62),ABS(Resultados!AG62),ABS(Resultados!AP62),ABS(Resultados!AY62),ABS(Resultados!BH62),ABS(Resultados!BQ62),ABS(Resultados!BZ62),ABS(Resultados!CI62)))</f>
        <v>1081.9589422704739</v>
      </c>
      <c r="G62">
        <f>IF(COUNT(Resultados!G62,Resultados!P62,Resultados!Y62,Resultados!AH62,Resultados!AQ62,Resultados!AZ62,Resultados!BI62,Resultados!BR62,Resultados!CA62,Resultados!CJ62)=0, "", AVERAGE(ABS(Resultados!G62),ABS(Resultados!P62),ABS(Resultados!Y62),ABS(Resultados!AH62),ABS(Resultados!AQ62),ABS(Resultados!AZ62),ABS(Resultados!BI62),ABS(Resultados!BR62),ABS(Resultados!CA62),ABS(Resultados!CJ62)))</f>
        <v>0.42400000000000004</v>
      </c>
      <c r="H62">
        <f>IF(COUNT(Resultados!H62,Resultados!Q62,Resultados!Z62,Resultados!AI62,Resultados!AR62,Resultados!BA62,Resultados!BJ62,Resultados!BS62,Resultados!CB62,Resultados!CK62)=0, "", AVERAGE(ABS(Resultados!H62),ABS(Resultados!Q62),ABS(Resultados!Z62),ABS(Resultados!AI62),ABS(Resultados!AR62),ABS(Resultados!BA62),ABS(Resultados!BJ62),ABS(Resultados!BS62),ABS(Resultados!CB62),ABS(Resultados!CK62)))</f>
        <v>6.2849999999999989E-2</v>
      </c>
      <c r="I62">
        <f>IF(COUNT(Resultados!I62,Resultados!R62,Resultados!AA62,Resultados!AJ62,Resultados!AS62,Resultados!BB62,Resultados!BK62,Resultados!BT62,Resultados!CC62,Resultados!CL62)=0, "", AVERAGE(ABS(Resultados!I62),ABS(Resultados!R62),ABS(Resultados!AA62),ABS(Resultados!AJ62),ABS(Resultados!AS62),ABS(Resultados!BB62),ABS(Resultados!BK62),ABS(Resultados!BT62),ABS(Resultados!CC62),ABS(Resultados!CL62)))</f>
        <v>12.040154999999999</v>
      </c>
      <c r="J62">
        <v>6.5880000000000008E-2</v>
      </c>
      <c r="K62">
        <v>6.2849999999999989E-2</v>
      </c>
    </row>
    <row r="63" spans="1:11" x14ac:dyDescent="0.3">
      <c r="A63">
        <f>IF(COUNT(Resultados!A63,Resultados!J63,Resultados!S63,Resultados!AB63,Resultados!AK63,Resultados!AT63,Resultados!BC63,Resultados!BL63,Resultados!BU63,Resultados!CD63)=0, "", AVERAGE(ABS(Resultados!A63),ABS(Resultados!J63),ABS(Resultados!S63),ABS(Resultados!AB63),ABS(Resultados!AK63),ABS(Resultados!AT63),ABS(Resultados!BC63),ABS(Resultados!BL63),ABS(Resultados!BU63),ABS(Resultados!CD63)))</f>
        <v>45681</v>
      </c>
      <c r="B63" t="str">
        <f>IF(COUNT(Resultados!B63,Resultados!K63,Resultados!T63,Resultados!AC63,Resultados!AL63,Resultados!AU63,Resultados!BD63,Resultados!BM63,Resultados!BV63,Resultados!CE63)=0, "", AVERAGE(ABS(Resultados!B63),ABS(Resultados!K63),ABS(Resultados!T63),ABS(Resultados!AC63),ABS(Resultados!AL63),ABS(Resultados!AU63),ABS(Resultados!BD63),ABS(Resultados!BM63),ABS(Resultados!BV63),ABS(Resultados!CE63)))</f>
        <v/>
      </c>
      <c r="C63">
        <f>IF(COUNT(Resultados!C63,Resultados!L63,Resultados!U63,Resultados!AD63,Resultados!AM63,Resultados!AV63,Resultados!BE63,Resultados!BN63,Resultados!BW63,Resultados!CF63)=0, "", AVERAGE(ABS(Resultados!C63),ABS(Resultados!L63),ABS(Resultados!U63),ABS(Resultados!AD63),ABS(Resultados!AM63),ABS(Resultados!AV63),ABS(Resultados!BE63),ABS(Resultados!BN63),ABS(Resultados!BW63),ABS(Resultados!CF63)))</f>
        <v>2.6</v>
      </c>
      <c r="D63">
        <f>IF(COUNT(Resultados!D63,Resultados!M63,Resultados!V63,Resultados!AE63,Resultados!AN63,Resultados!AW63,Resultados!BF63,Resultados!BO63,Resultados!BX63,Resultados!CG63)=0, "", AVERAGE(ABS(Resultados!D63),ABS(Resultados!M63),ABS(Resultados!V63),ABS(Resultados!AE63),ABS(Resultados!AN63),ABS(Resultados!AW63),ABS(Resultados!BF63),ABS(Resultados!BO63),ABS(Resultados!BX63),ABS(Resultados!CG63)))</f>
        <v>6.5959999999999991E-2</v>
      </c>
      <c r="E63">
        <f>IF(COUNT(Resultados!E63,Resultados!N63,Resultados!W63,Resultados!AF63,Resultados!AO63,Resultados!AX63,Resultados!BG63,Resultados!BP63,Resultados!BY63,Resultados!CH63)=0, "", AVERAGE(ABS(Resultados!E63),ABS(Resultados!N63),ABS(Resultados!W63),ABS(Resultados!AF63),ABS(Resultados!AO63),ABS(Resultados!AX63),ABS(Resultados!BG63),ABS(Resultados!BP63),ABS(Resultados!BY63),ABS(Resultados!CH63)))</f>
        <v>10.005435149342089</v>
      </c>
      <c r="F63">
        <f>IF(COUNT(Resultados!F63,Resultados!O63,Resultados!X63,Resultados!AG63,Resultados!AP63,Resultados!AY63,Resultados!BH63,Resultados!BQ63,Resultados!BZ63,Resultados!CI63)=0, "", AVERAGE(ABS(Resultados!F63),ABS(Resultados!O63),ABS(Resultados!X63),ABS(Resultados!AG63),ABS(Resultados!AP63),ABS(Resultados!AY63),ABS(Resultados!BH63),ABS(Resultados!BQ63),ABS(Resultados!BZ63),ABS(Resultados!CI63)))</f>
        <v>980.50655591868303</v>
      </c>
      <c r="G63">
        <f>IF(COUNT(Resultados!G63,Resultados!P63,Resultados!Y63,Resultados!AH63,Resultados!AQ63,Resultados!AZ63,Resultados!BI63,Resultados!BR63,Resultados!CA63,Resultados!CJ63)=0, "", AVERAGE(ABS(Resultados!G63),ABS(Resultados!P63),ABS(Resultados!Y63),ABS(Resultados!AH63),ABS(Resultados!AQ63),ABS(Resultados!AZ63),ABS(Resultados!BI63),ABS(Resultados!BR63),ABS(Resultados!CA63),ABS(Resultados!CJ63)))</f>
        <v>0.42400000000000004</v>
      </c>
      <c r="H63">
        <f>IF(COUNT(Resultados!H63,Resultados!Q63,Resultados!Z63,Resultados!AI63,Resultados!AR63,Resultados!BA63,Resultados!BJ63,Resultados!BS63,Resultados!CB63,Resultados!CK63)=0, "", AVERAGE(ABS(Resultados!H63),ABS(Resultados!Q63),ABS(Resultados!Z63),ABS(Resultados!AI63),ABS(Resultados!AR63),ABS(Resultados!BA63),ABS(Resultados!BJ63),ABS(Resultados!BS63),ABS(Resultados!CB63),ABS(Resultados!CK63)))</f>
        <v>6.2300000000000001E-2</v>
      </c>
      <c r="I63">
        <f>IF(COUNT(Resultados!I63,Resultados!R63,Resultados!AA63,Resultados!AJ63,Resultados!AS63,Resultados!BB63,Resultados!BK63,Resultados!BT63,Resultados!CC63,Resultados!CL63)=0, "", AVERAGE(ABS(Resultados!I63),ABS(Resultados!R63),ABS(Resultados!AA63),ABS(Resultados!AJ63),ABS(Resultados!AS63),ABS(Resultados!BB63),ABS(Resultados!BK63),ABS(Resultados!BT63),ABS(Resultados!CC63),ABS(Resultados!CL63)))</f>
        <v>12.240303000000001</v>
      </c>
      <c r="J63">
        <v>6.5959999999999991E-2</v>
      </c>
      <c r="K63">
        <v>6.2300000000000001E-2</v>
      </c>
    </row>
    <row r="64" spans="1:11" x14ac:dyDescent="0.3">
      <c r="A64">
        <f>IF(COUNT(Resultados!A64,Resultados!J64,Resultados!S64,Resultados!AB64,Resultados!AK64,Resultados!AT64,Resultados!BC64,Resultados!BL64,Resultados!BU64,Resultados!CD64)=0, "", AVERAGE(ABS(Resultados!A64),ABS(Resultados!J64),ABS(Resultados!S64),ABS(Resultados!AB64),ABS(Resultados!AK64),ABS(Resultados!AT64),ABS(Resultados!BC64),ABS(Resultados!BL64),ABS(Resultados!BU64),ABS(Resultados!CD64)))</f>
        <v>45681</v>
      </c>
      <c r="B64" t="str">
        <f>IF(COUNT(Resultados!B64,Resultados!K64,Resultados!T64,Resultados!AC64,Resultados!AL64,Resultados!AU64,Resultados!BD64,Resultados!BM64,Resultados!BV64,Resultados!CE64)=0, "", AVERAGE(ABS(Resultados!B64),ABS(Resultados!K64),ABS(Resultados!T64),ABS(Resultados!AC64),ABS(Resultados!AL64),ABS(Resultados!AU64),ABS(Resultados!BD64),ABS(Resultados!BM64),ABS(Resultados!BV64),ABS(Resultados!CE64)))</f>
        <v/>
      </c>
      <c r="C64">
        <f>IF(COUNT(Resultados!C64,Resultados!L64,Resultados!U64,Resultados!AD64,Resultados!AM64,Resultados!AV64,Resultados!BE64,Resultados!BN64,Resultados!BW64,Resultados!CF64)=0, "", AVERAGE(ABS(Resultados!C64),ABS(Resultados!L64),ABS(Resultados!U64),ABS(Resultados!AD64),ABS(Resultados!AM64),ABS(Resultados!AV64),ABS(Resultados!BE64),ABS(Resultados!BN64),ABS(Resultados!BW64),ABS(Resultados!CF64)))</f>
        <v>2.6</v>
      </c>
      <c r="D64">
        <f>IF(COUNT(Resultados!D64,Resultados!M64,Resultados!V64,Resultados!AE64,Resultados!AN64,Resultados!AW64,Resultados!BF64,Resultados!BO64,Resultados!BX64,Resultados!CG64)=0, "", AVERAGE(ABS(Resultados!D64),ABS(Resultados!M64),ABS(Resultados!V64),ABS(Resultados!AE64),ABS(Resultados!AN64),ABS(Resultados!AW64),ABS(Resultados!BF64),ABS(Resultados!BO64),ABS(Resultados!BX64),ABS(Resultados!CG64)))</f>
        <v>6.3959999999999989E-2</v>
      </c>
      <c r="E64">
        <f>IF(COUNT(Resultados!E64,Resultados!N64,Resultados!W64,Resultados!AF64,Resultados!AO64,Resultados!AX64,Resultados!BG64,Resultados!BP64,Resultados!BY64,Resultados!CH64)=0, "", AVERAGE(ABS(Resultados!E64),ABS(Resultados!N64),ABS(Resultados!W64),ABS(Resultados!AF64),ABS(Resultados!AO64),ABS(Resultados!AX64),ABS(Resultados!BG64),ABS(Resultados!BP64),ABS(Resultados!BY64),ABS(Resultados!CH64)))</f>
        <v>9.9217073451872775</v>
      </c>
      <c r="F64">
        <f>IF(COUNT(Resultados!F64,Resultados!O64,Resultados!X64,Resultados!AG64,Resultados!AP64,Resultados!AY64,Resultados!BH64,Resultados!BQ64,Resultados!BZ64,Resultados!CI64)=0, "", AVERAGE(ABS(Resultados!F64),ABS(Resultados!O64),ABS(Resultados!X64),ABS(Resultados!AG64),ABS(Resultados!AP64),ABS(Resultados!AY64),ABS(Resultados!BH64),ABS(Resultados!BQ64),ABS(Resultados!BZ64),ABS(Resultados!CI64)))</f>
        <v>972.70312457145451</v>
      </c>
      <c r="G64">
        <f>IF(COUNT(Resultados!G64,Resultados!P64,Resultados!Y64,Resultados!AH64,Resultados!AQ64,Resultados!AZ64,Resultados!BI64,Resultados!BR64,Resultados!CA64,Resultados!CJ64)=0, "", AVERAGE(ABS(Resultados!G64),ABS(Resultados!P64),ABS(Resultados!Y64),ABS(Resultados!AH64),ABS(Resultados!AQ64),ABS(Resultados!AZ64),ABS(Resultados!BI64),ABS(Resultados!BR64),ABS(Resultados!CA64),ABS(Resultados!CJ64)))</f>
        <v>0.42400000000000004</v>
      </c>
      <c r="H64">
        <f>IF(COUNT(Resultados!H64,Resultados!Q64,Resultados!Z64,Resultados!AI64,Resultados!AR64,Resultados!BA64,Resultados!BJ64,Resultados!BS64,Resultados!CB64,Resultados!CK64)=0, "", AVERAGE(ABS(Resultados!H64),ABS(Resultados!Q64),ABS(Resultados!Z64),ABS(Resultados!AI64),ABS(Resultados!AR64),ABS(Resultados!BA64),ABS(Resultados!BJ64),ABS(Resultados!BS64),ABS(Resultados!CB64),ABS(Resultados!CK64)))</f>
        <v>6.1009999999999995E-2</v>
      </c>
      <c r="I64">
        <f>IF(COUNT(Resultados!I64,Resultados!R64,Resultados!AA64,Resultados!AJ64,Resultados!AS64,Resultados!BB64,Resultados!BK64,Resultados!BT64,Resultados!CC64,Resultados!CL64)=0, "", AVERAGE(ABS(Resultados!I64),ABS(Resultados!R64),ABS(Resultados!AA64),ABS(Resultados!AJ64),ABS(Resultados!AS64),ABS(Resultados!BB64),ABS(Resultados!BK64),ABS(Resultados!BT64),ABS(Resultados!CC64),ABS(Resultados!CL64)))</f>
        <v>12.440081000000001</v>
      </c>
      <c r="J64">
        <v>6.3959999999999989E-2</v>
      </c>
      <c r="K64">
        <v>6.1009999999999995E-2</v>
      </c>
    </row>
    <row r="65" spans="1:11" x14ac:dyDescent="0.3">
      <c r="A65">
        <f>IF(COUNT(Resultados!A65,Resultados!J65,Resultados!S65,Resultados!AB65,Resultados!AK65,Resultados!AT65,Resultados!BC65,Resultados!BL65,Resultados!BU65,Resultados!CD65)=0, "", AVERAGE(ABS(Resultados!A65),ABS(Resultados!J65),ABS(Resultados!S65),ABS(Resultados!AB65),ABS(Resultados!AK65),ABS(Resultados!AT65),ABS(Resultados!BC65),ABS(Resultados!BL65),ABS(Resultados!BU65),ABS(Resultados!CD65)))</f>
        <v>45681</v>
      </c>
      <c r="B65" t="str">
        <f>IF(COUNT(Resultados!B65,Resultados!K65,Resultados!T65,Resultados!AC65,Resultados!AL65,Resultados!AU65,Resultados!BD65,Resultados!BM65,Resultados!BV65,Resultados!CE65)=0, "", AVERAGE(ABS(Resultados!B65),ABS(Resultados!K65),ABS(Resultados!T65),ABS(Resultados!AC65),ABS(Resultados!AL65),ABS(Resultados!AU65),ABS(Resultados!BD65),ABS(Resultados!BM65),ABS(Resultados!BV65),ABS(Resultados!CE65)))</f>
        <v/>
      </c>
      <c r="C65">
        <f>IF(COUNT(Resultados!C65,Resultados!L65,Resultados!U65,Resultados!AD65,Resultados!AM65,Resultados!AV65,Resultados!BE65,Resultados!BN65,Resultados!BW65,Resultados!CF65)=0, "", AVERAGE(ABS(Resultados!C65),ABS(Resultados!L65),ABS(Resultados!U65),ABS(Resultados!AD65),ABS(Resultados!AM65),ABS(Resultados!AV65),ABS(Resultados!BE65),ABS(Resultados!BN65),ABS(Resultados!BW65),ABS(Resultados!CF65)))</f>
        <v>2.6</v>
      </c>
      <c r="D65">
        <f>IF(COUNT(Resultados!D65,Resultados!M65,Resultados!V65,Resultados!AE65,Resultados!AN65,Resultados!AW65,Resultados!BF65,Resultados!BO65,Resultados!BX65,Resultados!CG65)=0, "", AVERAGE(ABS(Resultados!D65),ABS(Resultados!M65),ABS(Resultados!V65),ABS(Resultados!AE65),ABS(Resultados!AN65),ABS(Resultados!AW65),ABS(Resultados!BF65),ABS(Resultados!BO65),ABS(Resultados!BX65),ABS(Resultados!CG65)))</f>
        <v>6.2009999999999996E-2</v>
      </c>
      <c r="E65">
        <f>IF(COUNT(Resultados!E65,Resultados!N65,Resultados!W65,Resultados!AF65,Resultados!AO65,Resultados!AX65,Resultados!BG65,Resultados!BP65,Resultados!BY65,Resultados!CH65)=0, "", AVERAGE(ABS(Resultados!E65),ABS(Resultados!N65),ABS(Resultados!W65),ABS(Resultados!AF65),ABS(Resultados!AO65),ABS(Resultados!AX65),ABS(Resultados!BG65),ABS(Resultados!BP65),ABS(Resultados!BY65),ABS(Resultados!CH65)))</f>
        <v>9.7912601064507196</v>
      </c>
      <c r="F65">
        <f>IF(COUNT(Resultados!F65,Resultados!O65,Resultados!X65,Resultados!AG65,Resultados!AP65,Resultados!AY65,Resultados!BH65,Resultados!BQ65,Resultados!BZ65,Resultados!CI65)=0, "", AVERAGE(ABS(Resultados!F65),ABS(Resultados!O65),ABS(Resultados!X65),ABS(Resultados!AG65),ABS(Resultados!AP65),ABS(Resultados!AY65),ABS(Resultados!BH65),ABS(Resultados!BQ65),ABS(Resultados!BZ65),ABS(Resultados!CI65)))</f>
        <v>960.54544192120704</v>
      </c>
      <c r="G65">
        <f>IF(COUNT(Resultados!G65,Resultados!P65,Resultados!Y65,Resultados!AH65,Resultados!AQ65,Resultados!AZ65,Resultados!BI65,Resultados!BR65,Resultados!CA65,Resultados!CJ65)=0, "", AVERAGE(ABS(Resultados!G65),ABS(Resultados!P65),ABS(Resultados!Y65),ABS(Resultados!AH65),ABS(Resultados!AQ65),ABS(Resultados!AZ65),ABS(Resultados!BI65),ABS(Resultados!BR65),ABS(Resultados!CA65),ABS(Resultados!CJ65)))</f>
        <v>0.42400000000000004</v>
      </c>
      <c r="H65">
        <f>IF(COUNT(Resultados!H65,Resultados!Q65,Resultados!Z65,Resultados!AI65,Resultados!AR65,Resultados!BA65,Resultados!BJ65,Resultados!BS65,Resultados!CB65,Resultados!CK65)=0, "", AVERAGE(ABS(Resultados!H65),ABS(Resultados!Q65),ABS(Resultados!Z65),ABS(Resultados!AI65),ABS(Resultados!AR65),ABS(Resultados!BA65),ABS(Resultados!BJ65),ABS(Resultados!BS65),ABS(Resultados!CB65),ABS(Resultados!CK65)))</f>
        <v>5.8990000000000001E-2</v>
      </c>
      <c r="I65">
        <f>IF(COUNT(Resultados!I65,Resultados!R65,Resultados!AA65,Resultados!AJ65,Resultados!AS65,Resultados!BB65,Resultados!BK65,Resultados!BT65,Resultados!CC65,Resultados!CL65)=0, "", AVERAGE(ABS(Resultados!I65),ABS(Resultados!R65),ABS(Resultados!AA65),ABS(Resultados!AJ65),ABS(Resultados!AS65),ABS(Resultados!BB65),ABS(Resultados!BK65),ABS(Resultados!BT65),ABS(Resultados!CC65),ABS(Resultados!CL65)))</f>
        <v>12.639958999999996</v>
      </c>
      <c r="J65">
        <v>6.2009999999999996E-2</v>
      </c>
      <c r="K65">
        <v>5.8990000000000001E-2</v>
      </c>
    </row>
    <row r="66" spans="1:11" x14ac:dyDescent="0.3">
      <c r="A66">
        <f>IF(COUNT(Resultados!A66,Resultados!J66,Resultados!S66,Resultados!AB66,Resultados!AK66,Resultados!AT66,Resultados!BC66,Resultados!BL66,Resultados!BU66,Resultados!CD66)=0, "", AVERAGE(ABS(Resultados!A66),ABS(Resultados!J66),ABS(Resultados!S66),ABS(Resultados!AB66),ABS(Resultados!AK66),ABS(Resultados!AT66),ABS(Resultados!BC66),ABS(Resultados!BL66),ABS(Resultados!BU66),ABS(Resultados!CD66)))</f>
        <v>45681</v>
      </c>
      <c r="B66" t="str">
        <f>IF(COUNT(Resultados!B66,Resultados!K66,Resultados!T66,Resultados!AC66,Resultados!AL66,Resultados!AU66,Resultados!BD66,Resultados!BM66,Resultados!BV66,Resultados!CE66)=0, "", AVERAGE(ABS(Resultados!B66),ABS(Resultados!K66),ABS(Resultados!T66),ABS(Resultados!AC66),ABS(Resultados!AL66),ABS(Resultados!AU66),ABS(Resultados!BD66),ABS(Resultados!BM66),ABS(Resultados!BV66),ABS(Resultados!CE66)))</f>
        <v/>
      </c>
      <c r="C66">
        <f>IF(COUNT(Resultados!C66,Resultados!L66,Resultados!U66,Resultados!AD66,Resultados!AM66,Resultados!AV66,Resultados!BE66,Resultados!BN66,Resultados!BW66,Resultados!CF66)=0, "", AVERAGE(ABS(Resultados!C66),ABS(Resultados!L66),ABS(Resultados!U66),ABS(Resultados!AD66),ABS(Resultados!AM66),ABS(Resultados!AV66),ABS(Resultados!BE66),ABS(Resultados!BN66),ABS(Resultados!BW66),ABS(Resultados!CF66)))</f>
        <v>2.6</v>
      </c>
      <c r="D66">
        <f>IF(COUNT(Resultados!D66,Resultados!M66,Resultados!V66,Resultados!AE66,Resultados!AN66,Resultados!AW66,Resultados!BF66,Resultados!BO66,Resultados!BX66,Resultados!CG66)=0, "", AVERAGE(ABS(Resultados!D66),ABS(Resultados!M66),ABS(Resultados!V66),ABS(Resultados!AE66),ABS(Resultados!AN66),ABS(Resultados!AW66),ABS(Resultados!BF66),ABS(Resultados!BO66),ABS(Resultados!BX66),ABS(Resultados!CG66)))</f>
        <v>6.0319999999999999E-2</v>
      </c>
      <c r="E66">
        <f>IF(COUNT(Resultados!E66,Resultados!N66,Resultados!W66,Resultados!AF66,Resultados!AO66,Resultados!AX66,Resultados!BG66,Resultados!BP66,Resultados!BY66,Resultados!CH66)=0, "", AVERAGE(ABS(Resultados!E66),ABS(Resultados!N66),ABS(Resultados!W66),ABS(Resultados!AF66),ABS(Resultados!AO66),ABS(Resultados!AX66),ABS(Resultados!BG66),ABS(Resultados!BP66),ABS(Resultados!BY66),ABS(Resultados!CH66)))</f>
        <v>9.6174353636006806</v>
      </c>
      <c r="F66">
        <f>IF(COUNT(Resultados!F66,Resultados!O66,Resultados!X66,Resultados!AG66,Resultados!AP66,Resultados!AY66,Resultados!BH66,Resultados!BQ66,Resultados!BZ66,Resultados!CI66)=0, "", AVERAGE(ABS(Resultados!F66),ABS(Resultados!O66),ABS(Resultados!X66),ABS(Resultados!AG66),ABS(Resultados!AP66),ABS(Resultados!AY66),ABS(Resultados!BH66),ABS(Resultados!BQ66),ABS(Resultados!BZ66),ABS(Resultados!CI66)))</f>
        <v>944.3449758875837</v>
      </c>
      <c r="G66">
        <f>IF(COUNT(Resultados!G66,Resultados!P66,Resultados!Y66,Resultados!AH66,Resultados!AQ66,Resultados!AZ66,Resultados!BI66,Resultados!BR66,Resultados!CA66,Resultados!CJ66)=0, "", AVERAGE(ABS(Resultados!G66),ABS(Resultados!P66),ABS(Resultados!Y66),ABS(Resultados!AH66),ABS(Resultados!AQ66),ABS(Resultados!AZ66),ABS(Resultados!BI66),ABS(Resultados!BR66),ABS(Resultados!CA66),ABS(Resultados!CJ66)))</f>
        <v>0.42400000000000004</v>
      </c>
      <c r="H66">
        <f>IF(COUNT(Resultados!H66,Resultados!Q66,Resultados!Z66,Resultados!AI66,Resultados!AR66,Resultados!BA66,Resultados!BJ66,Resultados!BS66,Resultados!CB66,Resultados!CK66)=0, "", AVERAGE(ABS(Resultados!H66),ABS(Resultados!Q66),ABS(Resultados!Z66),ABS(Resultados!AI66),ABS(Resultados!AR66),ABS(Resultados!BA66),ABS(Resultados!BJ66),ABS(Resultados!BS66),ABS(Resultados!CB66),ABS(Resultados!CK66)))</f>
        <v>5.6279999999999997E-2</v>
      </c>
      <c r="I66">
        <f>IF(COUNT(Resultados!I66,Resultados!R66,Resultados!AA66,Resultados!AJ66,Resultados!AS66,Resultados!BB66,Resultados!BK66,Resultados!BT66,Resultados!CC66,Resultados!CL66)=0, "", AVERAGE(ABS(Resultados!I66),ABS(Resultados!R66),ABS(Resultados!AA66),ABS(Resultados!AJ66),ABS(Resultados!AS66),ABS(Resultados!BB66),ABS(Resultados!BK66),ABS(Resultados!BT66),ABS(Resultados!CC66),ABS(Resultados!CL66)))</f>
        <v>12.839679000000004</v>
      </c>
      <c r="J66">
        <v>6.0319999999999999E-2</v>
      </c>
      <c r="K66">
        <v>5.6279999999999997E-2</v>
      </c>
    </row>
    <row r="67" spans="1:11" x14ac:dyDescent="0.3">
      <c r="A67">
        <f>IF(COUNT(Resultados!A67,Resultados!J67,Resultados!S67,Resultados!AB67,Resultados!AK67,Resultados!AT67,Resultados!BC67,Resultados!BL67,Resultados!BU67,Resultados!CD67)=0, "", AVERAGE(ABS(Resultados!A67),ABS(Resultados!J67),ABS(Resultados!S67),ABS(Resultados!AB67),ABS(Resultados!AK67),ABS(Resultados!AT67),ABS(Resultados!BC67),ABS(Resultados!BL67),ABS(Resultados!BU67),ABS(Resultados!CD67)))</f>
        <v>45681</v>
      </c>
      <c r="B67" t="str">
        <f>IF(COUNT(Resultados!B67,Resultados!K67,Resultados!T67,Resultados!AC67,Resultados!AL67,Resultados!AU67,Resultados!BD67,Resultados!BM67,Resultados!BV67,Resultados!CE67)=0, "", AVERAGE(ABS(Resultados!B67),ABS(Resultados!K67),ABS(Resultados!T67),ABS(Resultados!AC67),ABS(Resultados!AL67),ABS(Resultados!AU67),ABS(Resultados!BD67),ABS(Resultados!BM67),ABS(Resultados!BV67),ABS(Resultados!CE67)))</f>
        <v/>
      </c>
      <c r="C67">
        <f>IF(COUNT(Resultados!C67,Resultados!L67,Resultados!U67,Resultados!AD67,Resultados!AM67,Resultados!AV67,Resultados!BE67,Resultados!BN67,Resultados!BW67,Resultados!CF67)=0, "", AVERAGE(ABS(Resultados!C67),ABS(Resultados!L67),ABS(Resultados!U67),ABS(Resultados!AD67),ABS(Resultados!AM67),ABS(Resultados!AV67),ABS(Resultados!BE67),ABS(Resultados!BN67),ABS(Resultados!BW67),ABS(Resultados!CF67)))</f>
        <v>2.6</v>
      </c>
      <c r="D67">
        <f>IF(COUNT(Resultados!D67,Resultados!M67,Resultados!V67,Resultados!AE67,Resultados!AN67,Resultados!AW67,Resultados!BF67,Resultados!BO67,Resultados!BX67,Resultados!CG67)=0, "", AVERAGE(ABS(Resultados!D67),ABS(Resultados!M67),ABS(Resultados!V67),ABS(Resultados!AE67),ABS(Resultados!AN67),ABS(Resultados!AW67),ABS(Resultados!BF67),ABS(Resultados!BO67),ABS(Resultados!BX67),ABS(Resultados!CG67)))</f>
        <v>5.7849999999999999E-2</v>
      </c>
      <c r="E67">
        <f>IF(COUNT(Resultados!E67,Resultados!N67,Resultados!W67,Resultados!AF67,Resultados!AO67,Resultados!AX67,Resultados!BG67,Resultados!BP67,Resultados!BY67,Resultados!CH67)=0, "", AVERAGE(ABS(Resultados!E67),ABS(Resultados!N67),ABS(Resultados!W67),ABS(Resultados!AF67),ABS(Resultados!AO67),ABS(Resultados!AX67),ABS(Resultados!BG67),ABS(Resultados!BP67),ABS(Resultados!BY67),ABS(Resultados!CH67)))</f>
        <v>9.4034718953466427</v>
      </c>
      <c r="F67">
        <f>IF(COUNT(Resultados!F67,Resultados!O67,Resultados!X67,Resultados!AG67,Resultados!AP67,Resultados!AY67,Resultados!BH67,Resultados!BQ67,Resultados!BZ67,Resultados!CI67)=0, "", AVERAGE(ABS(Resultados!F67),ABS(Resultados!O67),ABS(Resultados!X67),ABS(Resultados!AG67),ABS(Resultados!AP67),ABS(Resultados!AY67),ABS(Resultados!BH67),ABS(Resultados!BQ67),ABS(Resultados!BZ67),ABS(Resultados!CI67)))</f>
        <v>924.40358064630709</v>
      </c>
      <c r="G67">
        <f>IF(COUNT(Resultados!G67,Resultados!P67,Resultados!Y67,Resultados!AH67,Resultados!AQ67,Resultados!AZ67,Resultados!BI67,Resultados!BR67,Resultados!CA67,Resultados!CJ67)=0, "", AVERAGE(ABS(Resultados!G67),ABS(Resultados!P67),ABS(Resultados!Y67),ABS(Resultados!AH67),ABS(Resultados!AQ67),ABS(Resultados!AZ67),ABS(Resultados!BI67),ABS(Resultados!BR67),ABS(Resultados!CA67),ABS(Resultados!CJ67)))</f>
        <v>0.42400000000000004</v>
      </c>
      <c r="H67">
        <f>IF(COUNT(Resultados!H67,Resultados!Q67,Resultados!Z67,Resultados!AI67,Resultados!AR67,Resultados!BA67,Resultados!BJ67,Resultados!BS67,Resultados!CB67,Resultados!CK67)=0, "", AVERAGE(ABS(Resultados!H67),ABS(Resultados!Q67),ABS(Resultados!Z67),ABS(Resultados!AI67),ABS(Resultados!AR67),ABS(Resultados!BA67),ABS(Resultados!BJ67),ABS(Resultados!BS67),ABS(Resultados!CB67),ABS(Resultados!CK67)))</f>
        <v>5.2959999999999993E-2</v>
      </c>
      <c r="I67">
        <f>IF(COUNT(Resultados!I67,Resultados!R67,Resultados!AA67,Resultados!AJ67,Resultados!AS67,Resultados!BB67,Resultados!BK67,Resultados!BT67,Resultados!CC67,Resultados!CL67)=0, "", AVERAGE(ABS(Resultados!I67),ABS(Resultados!R67),ABS(Resultados!AA67),ABS(Resultados!AJ67),ABS(Resultados!AS67),ABS(Resultados!BB67),ABS(Resultados!BK67),ABS(Resultados!BT67),ABS(Resultados!CC67),ABS(Resultados!CL67)))</f>
        <v>13.040317000000002</v>
      </c>
      <c r="J67">
        <v>5.7849999999999999E-2</v>
      </c>
      <c r="K67">
        <v>5.2959999999999993E-2</v>
      </c>
    </row>
    <row r="68" spans="1:11" x14ac:dyDescent="0.3">
      <c r="A68">
        <f>IF(COUNT(Resultados!A68,Resultados!J68,Resultados!S68,Resultados!AB68,Resultados!AK68,Resultados!AT68,Resultados!BC68,Resultados!BL68,Resultados!BU68,Resultados!CD68)=0, "", AVERAGE(ABS(Resultados!A68),ABS(Resultados!J68),ABS(Resultados!S68),ABS(Resultados!AB68),ABS(Resultados!AK68),ABS(Resultados!AT68),ABS(Resultados!BC68),ABS(Resultados!BL68),ABS(Resultados!BU68),ABS(Resultados!CD68)))</f>
        <v>45681</v>
      </c>
      <c r="B68" t="str">
        <f>IF(COUNT(Resultados!B68,Resultados!K68,Resultados!T68,Resultados!AC68,Resultados!AL68,Resultados!AU68,Resultados!BD68,Resultados!BM68,Resultados!BV68,Resultados!CE68)=0, "", AVERAGE(ABS(Resultados!B68),ABS(Resultados!K68),ABS(Resultados!T68),ABS(Resultados!AC68),ABS(Resultados!AL68),ABS(Resultados!AU68),ABS(Resultados!BD68),ABS(Resultados!BM68),ABS(Resultados!BV68),ABS(Resultados!CE68)))</f>
        <v/>
      </c>
      <c r="C68">
        <f>IF(COUNT(Resultados!C68,Resultados!L68,Resultados!U68,Resultados!AD68,Resultados!AM68,Resultados!AV68,Resultados!BE68,Resultados!BN68,Resultados!BW68,Resultados!CF68)=0, "", AVERAGE(ABS(Resultados!C68),ABS(Resultados!L68),ABS(Resultados!U68),ABS(Resultados!AD68),ABS(Resultados!AM68),ABS(Resultados!AV68),ABS(Resultados!BE68),ABS(Resultados!BN68),ABS(Resultados!BW68),ABS(Resultados!CF68)))</f>
        <v>2.7</v>
      </c>
      <c r="D68">
        <f>IF(COUNT(Resultados!D68,Resultados!M68,Resultados!V68,Resultados!AE68,Resultados!AN68,Resultados!AW68,Resultados!BF68,Resultados!BO68,Resultados!BX68,Resultados!CG68)=0, "", AVERAGE(ABS(Resultados!D68),ABS(Resultados!M68),ABS(Resultados!V68),ABS(Resultados!AE68),ABS(Resultados!AN68),ABS(Resultados!AW68),ABS(Resultados!BF68),ABS(Resultados!BO68),ABS(Resultados!BX68),ABS(Resultados!CG68)))</f>
        <v>5.4400000000000004E-2</v>
      </c>
      <c r="E68">
        <f>IF(COUNT(Resultados!E68,Resultados!N68,Resultados!W68,Resultados!AF68,Resultados!AO68,Resultados!AX68,Resultados!BG68,Resultados!BP68,Resultados!BY68,Resultados!CH68)=0, "", AVERAGE(ABS(Resultados!E68),ABS(Resultados!N68),ABS(Resultados!W68),ABS(Resultados!AF68),ABS(Resultados!AO68),ABS(Resultados!AX68),ABS(Resultados!BG68),ABS(Resultados!BP68),ABS(Resultados!BY68),ABS(Resultados!CH68)))</f>
        <v>9.1560755391397883</v>
      </c>
      <c r="F68">
        <f>IF(COUNT(Resultados!F68,Resultados!O68,Resultados!X68,Resultados!AG68,Resultados!AP68,Resultados!AY68,Resultados!BH68,Resultados!BQ68,Resultados!BZ68,Resultados!CI68)=0, "", AVERAGE(ABS(Resultados!F68),ABS(Resultados!O68),ABS(Resultados!X68),ABS(Resultados!AG68),ABS(Resultados!AP68),ABS(Resultados!AY68),ABS(Resultados!BH68),ABS(Resultados!BQ68),ABS(Resultados!BZ68),ABS(Resultados!CI68)))</f>
        <v>901.3462402478284</v>
      </c>
      <c r="G68">
        <f>IF(COUNT(Resultados!G68,Resultados!P68,Resultados!Y68,Resultados!AH68,Resultados!AQ68,Resultados!AZ68,Resultados!BI68,Resultados!BR68,Resultados!CA68,Resultados!CJ68)=0, "", AVERAGE(ABS(Resultados!G68),ABS(Resultados!P68),ABS(Resultados!Y68),ABS(Resultados!AH68),ABS(Resultados!AQ68),ABS(Resultados!AZ68),ABS(Resultados!BI68),ABS(Resultados!BR68),ABS(Resultados!CA68),ABS(Resultados!CJ68)))</f>
        <v>0.42400000000000004</v>
      </c>
      <c r="H68">
        <f>IF(COUNT(Resultados!H68,Resultados!Q68,Resultados!Z68,Resultados!AI68,Resultados!AR68,Resultados!BA68,Resultados!BJ68,Resultados!BS68,Resultados!CB68,Resultados!CK68)=0, "", AVERAGE(ABS(Resultados!H68),ABS(Resultados!Q68),ABS(Resultados!Z68),ABS(Resultados!AI68),ABS(Resultados!AR68),ABS(Resultados!BA68),ABS(Resultados!BJ68),ABS(Resultados!BS68),ABS(Resultados!CB68),ABS(Resultados!CK68)))</f>
        <v>4.9099999999999998E-2</v>
      </c>
      <c r="I68">
        <f>IF(COUNT(Resultados!I68,Resultados!R68,Resultados!AA68,Resultados!AJ68,Resultados!AS68,Resultados!BB68,Resultados!BK68,Resultados!BT68,Resultados!CC68,Resultados!CL68)=0, "", AVERAGE(ABS(Resultados!I68),ABS(Resultados!R68),ABS(Resultados!AA68),ABS(Resultados!AJ68),ABS(Resultados!AS68),ABS(Resultados!BB68),ABS(Resultados!BK68),ABS(Resultados!BT68),ABS(Resultados!CC68),ABS(Resultados!CL68)))</f>
        <v>13.240298999999998</v>
      </c>
      <c r="J68">
        <v>5.4400000000000004E-2</v>
      </c>
      <c r="K68">
        <v>4.9099999999999998E-2</v>
      </c>
    </row>
    <row r="69" spans="1:11" x14ac:dyDescent="0.3">
      <c r="A69">
        <f>IF(COUNT(Resultados!A69,Resultados!J69,Resultados!S69,Resultados!AB69,Resultados!AK69,Resultados!AT69,Resultados!BC69,Resultados!BL69,Resultados!BU69,Resultados!CD69)=0, "", AVERAGE(ABS(Resultados!A69),ABS(Resultados!J69),ABS(Resultados!S69),ABS(Resultados!AB69),ABS(Resultados!AK69),ABS(Resultados!AT69),ABS(Resultados!BC69),ABS(Resultados!BL69),ABS(Resultados!BU69),ABS(Resultados!CD69)))</f>
        <v>45681</v>
      </c>
      <c r="B69" t="str">
        <f>IF(COUNT(Resultados!B69,Resultados!K69,Resultados!T69,Resultados!AC69,Resultados!AL69,Resultados!AU69,Resultados!BD69,Resultados!BM69,Resultados!BV69,Resultados!CE69)=0, "", AVERAGE(ABS(Resultados!B69),ABS(Resultados!K69),ABS(Resultados!T69),ABS(Resultados!AC69),ABS(Resultados!AL69),ABS(Resultados!AU69),ABS(Resultados!BD69),ABS(Resultados!BM69),ABS(Resultados!BV69),ABS(Resultados!CE69)))</f>
        <v/>
      </c>
      <c r="C69">
        <f>IF(COUNT(Resultados!C69,Resultados!L69,Resultados!U69,Resultados!AD69,Resultados!AM69,Resultados!AV69,Resultados!BE69,Resultados!BN69,Resultados!BW69,Resultados!CF69)=0, "", AVERAGE(ABS(Resultados!C69),ABS(Resultados!L69),ABS(Resultados!U69),ABS(Resultados!AD69),ABS(Resultados!AM69),ABS(Resultados!AV69),ABS(Resultados!BE69),ABS(Resultados!BN69),ABS(Resultados!BW69),ABS(Resultados!CF69)))</f>
        <v>2.7</v>
      </c>
      <c r="D69">
        <f>IF(COUNT(Resultados!D69,Resultados!M69,Resultados!V69,Resultados!AE69,Resultados!AN69,Resultados!AW69,Resultados!BF69,Resultados!BO69,Resultados!BX69,Resultados!CG69)=0, "", AVERAGE(ABS(Resultados!D69),ABS(Resultados!M69),ABS(Resultados!V69),ABS(Resultados!AE69),ABS(Resultados!AN69),ABS(Resultados!AW69),ABS(Resultados!BF69),ABS(Resultados!BO69),ABS(Resultados!BX69),ABS(Resultados!CG69)))</f>
        <v>4.9870000000000005E-2</v>
      </c>
      <c r="E69">
        <f>IF(COUNT(Resultados!E69,Resultados!N69,Resultados!W69,Resultados!AF69,Resultados!AO69,Resultados!AX69,Resultados!BG69,Resultados!BP69,Resultados!BY69,Resultados!CH69)=0, "", AVERAGE(ABS(Resultados!E69),ABS(Resultados!N69),ABS(Resultados!W69),ABS(Resultados!AF69),ABS(Resultados!AO69),ABS(Resultados!AX69),ABS(Resultados!BG69),ABS(Resultados!BP69),ABS(Resultados!BY69),ABS(Resultados!CH69)))</f>
        <v>8.8810150084339909</v>
      </c>
      <c r="F69">
        <f>IF(COUNT(Resultados!F69,Resultados!O69,Resultados!X69,Resultados!AG69,Resultados!AP69,Resultados!AY69,Resultados!BH69,Resultados!BQ69,Resultados!BZ69,Resultados!CI69)=0, "", AVERAGE(ABS(Resultados!F69),ABS(Resultados!O69),ABS(Resultados!X69),ABS(Resultados!AG69),ABS(Resultados!AP69),ABS(Resultados!AY69),ABS(Resultados!BH69),ABS(Resultados!BQ69),ABS(Resultados!BZ69),ABS(Resultados!CI69)))</f>
        <v>875.71059878604797</v>
      </c>
      <c r="G69">
        <f>IF(COUNT(Resultados!G69,Resultados!P69,Resultados!Y69,Resultados!AH69,Resultados!AQ69,Resultados!AZ69,Resultados!BI69,Resultados!BR69,Resultados!CA69,Resultados!CJ69)=0, "", AVERAGE(ABS(Resultados!G69),ABS(Resultados!P69),ABS(Resultados!Y69),ABS(Resultados!AH69),ABS(Resultados!AQ69),ABS(Resultados!AZ69),ABS(Resultados!BI69),ABS(Resultados!BR69),ABS(Resultados!CA69),ABS(Resultados!CJ69)))</f>
        <v>0.42400000000000004</v>
      </c>
      <c r="H69">
        <f>IF(COUNT(Resultados!H69,Resultados!Q69,Resultados!Z69,Resultados!AI69,Resultados!AR69,Resultados!BA69,Resultados!BJ69,Resultados!BS69,Resultados!CB69,Resultados!CK69)=0, "", AVERAGE(ABS(Resultados!H69),ABS(Resultados!Q69),ABS(Resultados!Z69),ABS(Resultados!AI69),ABS(Resultados!AR69),ABS(Resultados!BA69),ABS(Resultados!BJ69),ABS(Resultados!BS69),ABS(Resultados!CB69),ABS(Resultados!CK69)))</f>
        <v>4.4830000000000002E-2</v>
      </c>
      <c r="I69">
        <f>IF(COUNT(Resultados!I69,Resultados!R69,Resultados!AA69,Resultados!AJ69,Resultados!AS69,Resultados!BB69,Resultados!BK69,Resultados!BT69,Resultados!CC69,Resultados!CL69)=0, "", AVERAGE(ABS(Resultados!I69),ABS(Resultados!R69),ABS(Resultados!AA69),ABS(Resultados!AJ69),ABS(Resultados!AS69),ABS(Resultados!BB69),ABS(Resultados!BK69),ABS(Resultados!BT69),ABS(Resultados!CC69),ABS(Resultados!CL69)))</f>
        <v>13.440175999999999</v>
      </c>
      <c r="J69">
        <v>4.9870000000000005E-2</v>
      </c>
      <c r="K69">
        <v>4.4830000000000002E-2</v>
      </c>
    </row>
    <row r="70" spans="1:11" x14ac:dyDescent="0.3">
      <c r="A70">
        <f>IF(COUNT(Resultados!A70,Resultados!J70,Resultados!S70,Resultados!AB70,Resultados!AK70,Resultados!AT70,Resultados!BC70,Resultados!BL70,Resultados!BU70,Resultados!CD70)=0, "", AVERAGE(ABS(Resultados!A70),ABS(Resultados!J70),ABS(Resultados!S70),ABS(Resultados!AB70),ABS(Resultados!AK70),ABS(Resultados!AT70),ABS(Resultados!BC70),ABS(Resultados!BL70),ABS(Resultados!BU70),ABS(Resultados!CD70)))</f>
        <v>45681</v>
      </c>
      <c r="B70" t="str">
        <f>IF(COUNT(Resultados!B70,Resultados!K70,Resultados!T70,Resultados!AC70,Resultados!AL70,Resultados!AU70,Resultados!BD70,Resultados!BM70,Resultados!BV70,Resultados!CE70)=0, "", AVERAGE(ABS(Resultados!B70),ABS(Resultados!K70),ABS(Resultados!T70),ABS(Resultados!AC70),ABS(Resultados!AL70),ABS(Resultados!AU70),ABS(Resultados!BD70),ABS(Resultados!BM70),ABS(Resultados!BV70),ABS(Resultados!CE70)))</f>
        <v/>
      </c>
      <c r="C70">
        <f>IF(COUNT(Resultados!C70,Resultados!L70,Resultados!U70,Resultados!AD70,Resultados!AM70,Resultados!AV70,Resultados!BE70,Resultados!BN70,Resultados!BW70,Resultados!CF70)=0, "", AVERAGE(ABS(Resultados!C70),ABS(Resultados!L70),ABS(Resultados!U70),ABS(Resultados!AD70),ABS(Resultados!AM70),ABS(Resultados!AV70),ABS(Resultados!BE70),ABS(Resultados!BN70),ABS(Resultados!BW70),ABS(Resultados!CF70)))</f>
        <v>2.7</v>
      </c>
      <c r="D70">
        <f>IF(COUNT(Resultados!D70,Resultados!M70,Resultados!V70,Resultados!AE70,Resultados!AN70,Resultados!AW70,Resultados!BF70,Resultados!BO70,Resultados!BX70,Resultados!CG70)=0, "", AVERAGE(ABS(Resultados!D70),ABS(Resultados!M70),ABS(Resultados!V70),ABS(Resultados!AE70),ABS(Resultados!AN70),ABS(Resultados!AW70),ABS(Resultados!BF70),ABS(Resultados!BO70),ABS(Resultados!BX70),ABS(Resultados!CG70)))</f>
        <v>4.5310000000000003E-2</v>
      </c>
      <c r="E70">
        <f>IF(COUNT(Resultados!E70,Resultados!N70,Resultados!W70,Resultados!AF70,Resultados!AO70,Resultados!AX70,Resultados!BG70,Resultados!BP70,Resultados!BY70,Resultados!CH70)=0, "", AVERAGE(ABS(Resultados!E70),ABS(Resultados!N70),ABS(Resultados!W70),ABS(Resultados!AF70),ABS(Resultados!AO70),ABS(Resultados!AX70),ABS(Resultados!BG70),ABS(Resultados!BP70),ABS(Resultados!BY70),ABS(Resultados!CH70)))</f>
        <v>8.5848124218836297</v>
      </c>
      <c r="F70">
        <f>IF(COUNT(Resultados!F70,Resultados!O70,Resultados!X70,Resultados!AG70,Resultados!AP70,Resultados!AY70,Resultados!BH70,Resultados!BQ70,Resultados!BZ70,Resultados!CI70)=0, "", AVERAGE(ABS(Resultados!F70),ABS(Resultados!O70),ABS(Resultados!X70),ABS(Resultados!AG70),ABS(Resultados!AP70),ABS(Resultados!AY70),ABS(Resultados!BH70),ABS(Resultados!BQ70),ABS(Resultados!BZ70),ABS(Resultados!CI70)))</f>
        <v>848.10451771955434</v>
      </c>
      <c r="G70">
        <f>IF(COUNT(Resultados!G70,Resultados!P70,Resultados!Y70,Resultados!AH70,Resultados!AQ70,Resultados!AZ70,Resultados!BI70,Resultados!BR70,Resultados!CA70,Resultados!CJ70)=0, "", AVERAGE(ABS(Resultados!G70),ABS(Resultados!P70),ABS(Resultados!Y70),ABS(Resultados!AH70),ABS(Resultados!AQ70),ABS(Resultados!AZ70),ABS(Resultados!BI70),ABS(Resultados!BR70),ABS(Resultados!CA70),ABS(Resultados!CJ70)))</f>
        <v>0.42400000000000004</v>
      </c>
      <c r="H70">
        <f>IF(COUNT(Resultados!H70,Resultados!Q70,Resultados!Z70,Resultados!AI70,Resultados!AR70,Resultados!BA70,Resultados!BJ70,Resultados!BS70,Resultados!CB70,Resultados!CK70)=0, "", AVERAGE(ABS(Resultados!H70),ABS(Resultados!Q70),ABS(Resultados!Z70),ABS(Resultados!AI70),ABS(Resultados!AR70),ABS(Resultados!BA70),ABS(Resultados!BJ70),ABS(Resultados!BS70),ABS(Resultados!CB70),ABS(Resultados!CK70)))</f>
        <v>4.0230000000000002E-2</v>
      </c>
      <c r="I70">
        <f>IF(COUNT(Resultados!I70,Resultados!R70,Resultados!AA70,Resultados!AJ70,Resultados!AS70,Resultados!BB70,Resultados!BK70,Resultados!BT70,Resultados!CC70,Resultados!CL70)=0, "", AVERAGE(ABS(Resultados!I70),ABS(Resultados!R70),ABS(Resultados!AA70),ABS(Resultados!AJ70),ABS(Resultados!AS70),ABS(Resultados!BB70),ABS(Resultados!BK70),ABS(Resultados!BT70),ABS(Resultados!CC70),ABS(Resultados!CL70)))</f>
        <v>13.640030000000001</v>
      </c>
      <c r="J70">
        <v>4.5310000000000003E-2</v>
      </c>
      <c r="K70">
        <v>4.0230000000000002E-2</v>
      </c>
    </row>
    <row r="71" spans="1:11" x14ac:dyDescent="0.3">
      <c r="A71">
        <f>IF(COUNT(Resultados!A71,Resultados!J71,Resultados!S71,Resultados!AB71,Resultados!AK71,Resultados!AT71,Resultados!BC71,Resultados!BL71,Resultados!BU71,Resultados!CD71)=0, "", AVERAGE(ABS(Resultados!A71),ABS(Resultados!J71),ABS(Resultados!S71),ABS(Resultados!AB71),ABS(Resultados!AK71),ABS(Resultados!AT71),ABS(Resultados!BC71),ABS(Resultados!BL71),ABS(Resultados!BU71),ABS(Resultados!CD71)))</f>
        <v>45681</v>
      </c>
      <c r="B71" t="str">
        <f>IF(COUNT(Resultados!B71,Resultados!K71,Resultados!T71,Resultados!AC71,Resultados!AL71,Resultados!AU71,Resultados!BD71,Resultados!BM71,Resultados!BV71,Resultados!CE71)=0, "", AVERAGE(ABS(Resultados!B71),ABS(Resultados!K71),ABS(Resultados!T71),ABS(Resultados!AC71),ABS(Resultados!AL71),ABS(Resultados!AU71),ABS(Resultados!BD71),ABS(Resultados!BM71),ABS(Resultados!BV71),ABS(Resultados!CE71)))</f>
        <v/>
      </c>
      <c r="C71">
        <f>IF(COUNT(Resultados!C71,Resultados!L71,Resultados!U71,Resultados!AD71,Resultados!AM71,Resultados!AV71,Resultados!BE71,Resultados!BN71,Resultados!BW71,Resultados!CF71)=0, "", AVERAGE(ABS(Resultados!C71),ABS(Resultados!L71),ABS(Resultados!U71),ABS(Resultados!AD71),ABS(Resultados!AM71),ABS(Resultados!AV71),ABS(Resultados!BE71),ABS(Resultados!BN71),ABS(Resultados!BW71),ABS(Resultados!CF71)))</f>
        <v>2.7</v>
      </c>
      <c r="D71">
        <f>IF(COUNT(Resultados!D71,Resultados!M71,Resultados!V71,Resultados!AE71,Resultados!AN71,Resultados!AW71,Resultados!BF71,Resultados!BO71,Resultados!BX71,Resultados!CG71)=0, "", AVERAGE(ABS(Resultados!D71),ABS(Resultados!M71),ABS(Resultados!V71),ABS(Resultados!AE71),ABS(Resultados!AN71),ABS(Resultados!AW71),ABS(Resultados!BF71),ABS(Resultados!BO71),ABS(Resultados!BX71),ABS(Resultados!CG71)))</f>
        <v>4.0680000000000001E-2</v>
      </c>
      <c r="E71">
        <f>IF(COUNT(Resultados!E71,Resultados!N71,Resultados!W71,Resultados!AF71,Resultados!AO71,Resultados!AX71,Resultados!BG71,Resultados!BP71,Resultados!BY71,Resultados!CH71)=0, "", AVERAGE(ABS(Resultados!E71),ABS(Resultados!N71),ABS(Resultados!W71),ABS(Resultados!AF71),ABS(Resultados!AO71),ABS(Resultados!AX71),ABS(Resultados!BG71),ABS(Resultados!BP71),ABS(Resultados!BY71),ABS(Resultados!CH71)))</f>
        <v>8.2747456145268625</v>
      </c>
      <c r="F71">
        <f>IF(COUNT(Resultados!F71,Resultados!O71,Resultados!X71,Resultados!AG71,Resultados!AP71,Resultados!AY71,Resultados!BH71,Resultados!BQ71,Resultados!BZ71,Resultados!CI71)=0, "", AVERAGE(ABS(Resultados!F71),ABS(Resultados!O71),ABS(Resultados!X71),ABS(Resultados!AG71),ABS(Resultados!AP71),ABS(Resultados!AY71),ABS(Resultados!BH71),ABS(Resultados!BQ71),ABS(Resultados!BZ71),ABS(Resultados!CI71)))</f>
        <v>819.20629127390362</v>
      </c>
      <c r="G71">
        <f>IF(COUNT(Resultados!G71,Resultados!P71,Resultados!Y71,Resultados!AH71,Resultados!AQ71,Resultados!AZ71,Resultados!BI71,Resultados!BR71,Resultados!CA71,Resultados!CJ71)=0, "", AVERAGE(ABS(Resultados!G71),ABS(Resultados!P71),ABS(Resultados!Y71),ABS(Resultados!AH71),ABS(Resultados!AQ71),ABS(Resultados!AZ71),ABS(Resultados!BI71),ABS(Resultados!BR71),ABS(Resultados!CA71),ABS(Resultados!CJ71)))</f>
        <v>0.42400000000000004</v>
      </c>
      <c r="H71">
        <f>IF(COUNT(Resultados!H71,Resultados!Q71,Resultados!Z71,Resultados!AI71,Resultados!AR71,Resultados!BA71,Resultados!BJ71,Resultados!BS71,Resultados!CB71,Resultados!CK71)=0, "", AVERAGE(ABS(Resultados!H71),ABS(Resultados!Q71),ABS(Resultados!Z71),ABS(Resultados!AI71),ABS(Resultados!AR71),ABS(Resultados!BA71),ABS(Resultados!BJ71),ABS(Resultados!BS71),ABS(Resultados!CB71),ABS(Resultados!CK71)))</f>
        <v>3.542E-2</v>
      </c>
      <c r="I71">
        <f>IF(COUNT(Resultados!I71,Resultados!R71,Resultados!AA71,Resultados!AJ71,Resultados!AS71,Resultados!BB71,Resultados!BK71,Resultados!BT71,Resultados!CC71,Resultados!CL71)=0, "", AVERAGE(ABS(Resultados!I71),ABS(Resultados!R71),ABS(Resultados!AA71),ABS(Resultados!AJ71),ABS(Resultados!AS71),ABS(Resultados!BB71),ABS(Resultados!BK71),ABS(Resultados!BT71),ABS(Resultados!CC71),ABS(Resultados!CL71)))</f>
        <v>13.839971999999998</v>
      </c>
      <c r="J71">
        <v>4.0680000000000001E-2</v>
      </c>
      <c r="K71">
        <v>3.542E-2</v>
      </c>
    </row>
    <row r="72" spans="1:11" x14ac:dyDescent="0.3">
      <c r="A72">
        <f>IF(COUNT(Resultados!A72,Resultados!J72,Resultados!S72,Resultados!AB72,Resultados!AK72,Resultados!AT72,Resultados!BC72,Resultados!BL72,Resultados!BU72,Resultados!CD72)=0, "", AVERAGE(ABS(Resultados!A72),ABS(Resultados!J72),ABS(Resultados!S72),ABS(Resultados!AB72),ABS(Resultados!AK72),ABS(Resultados!AT72),ABS(Resultados!BC72),ABS(Resultados!BL72),ABS(Resultados!BU72),ABS(Resultados!CD72)))</f>
        <v>45681</v>
      </c>
      <c r="B72" t="str">
        <f>IF(COUNT(Resultados!B72,Resultados!K72,Resultados!T72,Resultados!AC72,Resultados!AL72,Resultados!AU72,Resultados!BD72,Resultados!BM72,Resultados!BV72,Resultados!CE72)=0, "", AVERAGE(ABS(Resultados!B72),ABS(Resultados!K72),ABS(Resultados!T72),ABS(Resultados!AC72),ABS(Resultados!AL72),ABS(Resultados!AU72),ABS(Resultados!BD72),ABS(Resultados!BM72),ABS(Resultados!BV72),ABS(Resultados!CE72)))</f>
        <v/>
      </c>
      <c r="C72">
        <f>IF(COUNT(Resultados!C72,Resultados!L72,Resultados!U72,Resultados!AD72,Resultados!AM72,Resultados!AV72,Resultados!BE72,Resultados!BN72,Resultados!BW72,Resultados!CF72)=0, "", AVERAGE(ABS(Resultados!C72),ABS(Resultados!L72),ABS(Resultados!U72),ABS(Resultados!AD72),ABS(Resultados!AM72),ABS(Resultados!AV72),ABS(Resultados!BE72),ABS(Resultados!BN72),ABS(Resultados!BW72),ABS(Resultados!CF72)))</f>
        <v>2.7</v>
      </c>
      <c r="D72">
        <f>IF(COUNT(Resultados!D72,Resultados!M72,Resultados!V72,Resultados!AE72,Resultados!AN72,Resultados!AW72,Resultados!BF72,Resultados!BO72,Resultados!BX72,Resultados!CG72)=0, "", AVERAGE(ABS(Resultados!D72),ABS(Resultados!M72),ABS(Resultados!V72),ABS(Resultados!AE72),ABS(Resultados!AN72),ABS(Resultados!AW72),ABS(Resultados!BF72),ABS(Resultados!BO72),ABS(Resultados!BX72),ABS(Resultados!CG72)))</f>
        <v>3.5719999999999995E-2</v>
      </c>
      <c r="E72">
        <f>IF(COUNT(Resultados!E72,Resultados!N72,Resultados!W72,Resultados!AF72,Resultados!AO72,Resultados!AX72,Resultados!BG72,Resultados!BP72,Resultados!BY72,Resultados!CH72)=0, "", AVERAGE(ABS(Resultados!E72),ABS(Resultados!N72),ABS(Resultados!W72),ABS(Resultados!AF72),ABS(Resultados!AO72),ABS(Resultados!AX72),ABS(Resultados!BG72),ABS(Resultados!BP72),ABS(Resultados!BY72),ABS(Resultados!CH72)))</f>
        <v>7.9578098893832729</v>
      </c>
      <c r="F72">
        <f>IF(COUNT(Resultados!F72,Resultados!O72,Resultados!X72,Resultados!AG72,Resultados!AP72,Resultados!AY72,Resultados!BH72,Resultados!BQ72,Resultados!BZ72,Resultados!CI72)=0, "", AVERAGE(ABS(Resultados!F72),ABS(Resultados!O72),ABS(Resultados!X72),ABS(Resultados!AG72),ABS(Resultados!AP72),ABS(Resultados!AY72),ABS(Resultados!BH72),ABS(Resultados!BQ72),ABS(Resultados!BZ72),ABS(Resultados!CI72)))</f>
        <v>789.6678816905212</v>
      </c>
      <c r="G72">
        <f>IF(COUNT(Resultados!G72,Resultados!P72,Resultados!Y72,Resultados!AH72,Resultados!AQ72,Resultados!AZ72,Resultados!BI72,Resultados!BR72,Resultados!CA72,Resultados!CJ72)=0, "", AVERAGE(ABS(Resultados!G72),ABS(Resultados!P72),ABS(Resultados!Y72),ABS(Resultados!AH72),ABS(Resultados!AQ72),ABS(Resultados!AZ72),ABS(Resultados!BI72),ABS(Resultados!BR72),ABS(Resultados!CA72),ABS(Resultados!CJ72)))</f>
        <v>0.42400000000000004</v>
      </c>
      <c r="H72">
        <f>IF(COUNT(Resultados!H72,Resultados!Q72,Resultados!Z72,Resultados!AI72,Resultados!AR72,Resultados!BA72,Resultados!BJ72,Resultados!BS72,Resultados!CB72,Resultados!CK72)=0, "", AVERAGE(ABS(Resultados!H72),ABS(Resultados!Q72),ABS(Resultados!Z72),ABS(Resultados!AI72),ABS(Resultados!AR72),ABS(Resultados!BA72),ABS(Resultados!BJ72),ABS(Resultados!BS72),ABS(Resultados!CB72),ABS(Resultados!CK72)))</f>
        <v>3.0499999999999992E-2</v>
      </c>
      <c r="I72">
        <f>IF(COUNT(Resultados!I72,Resultados!R72,Resultados!AA72,Resultados!AJ72,Resultados!AS72,Resultados!BB72,Resultados!BK72,Resultados!BT72,Resultados!CC72,Resultados!CL72)=0, "", AVERAGE(ABS(Resultados!I72),ABS(Resultados!R72),ABS(Resultados!AA72),ABS(Resultados!AJ72),ABS(Resultados!AS72),ABS(Resultados!BB72),ABS(Resultados!BK72),ABS(Resultados!BT72),ABS(Resultados!CC72),ABS(Resultados!CL72)))</f>
        <v>14.040285000000003</v>
      </c>
      <c r="J72">
        <v>3.5719999999999995E-2</v>
      </c>
      <c r="K72">
        <v>3.0499999999999992E-2</v>
      </c>
    </row>
    <row r="73" spans="1:11" x14ac:dyDescent="0.3">
      <c r="A73">
        <f>IF(COUNT(Resultados!A73,Resultados!J73,Resultados!S73,Resultados!AB73,Resultados!AK73,Resultados!AT73,Resultados!BC73,Resultados!BL73,Resultados!BU73,Resultados!CD73)=0, "", AVERAGE(ABS(Resultados!A73),ABS(Resultados!J73),ABS(Resultados!S73),ABS(Resultados!AB73),ABS(Resultados!AK73),ABS(Resultados!AT73),ABS(Resultados!BC73),ABS(Resultados!BL73),ABS(Resultados!BU73),ABS(Resultados!CD73)))</f>
        <v>45681</v>
      </c>
      <c r="B73" t="str">
        <f>IF(COUNT(Resultados!B73,Resultados!K73,Resultados!T73,Resultados!AC73,Resultados!AL73,Resultados!AU73,Resultados!BD73,Resultados!BM73,Resultados!BV73,Resultados!CE73)=0, "", AVERAGE(ABS(Resultados!B73),ABS(Resultados!K73),ABS(Resultados!T73),ABS(Resultados!AC73),ABS(Resultados!AL73),ABS(Resultados!AU73),ABS(Resultados!BD73),ABS(Resultados!BM73),ABS(Resultados!BV73),ABS(Resultados!CE73)))</f>
        <v/>
      </c>
      <c r="C73">
        <f>IF(COUNT(Resultados!C73,Resultados!L73,Resultados!U73,Resultados!AD73,Resultados!AM73,Resultados!AV73,Resultados!BE73,Resultados!BN73,Resultados!BW73,Resultados!CF73)=0, "", AVERAGE(ABS(Resultados!C73),ABS(Resultados!L73),ABS(Resultados!U73),ABS(Resultados!AD73),ABS(Resultados!AM73),ABS(Resultados!AV73),ABS(Resultados!BE73),ABS(Resultados!BN73),ABS(Resultados!BW73),ABS(Resultados!CF73)))</f>
        <v>2.7</v>
      </c>
      <c r="D73">
        <f>IF(COUNT(Resultados!D73,Resultados!M73,Resultados!V73,Resultados!AE73,Resultados!AN73,Resultados!AW73,Resultados!BF73,Resultados!BO73,Resultados!BX73,Resultados!CG73)=0, "", AVERAGE(ABS(Resultados!D73),ABS(Resultados!M73),ABS(Resultados!V73),ABS(Resultados!AE73),ABS(Resultados!AN73),ABS(Resultados!AW73),ABS(Resultados!BF73),ABS(Resultados!BO73),ABS(Resultados!BX73),ABS(Resultados!CG73)))</f>
        <v>3.0709999999999998E-2</v>
      </c>
      <c r="E73">
        <f>IF(COUNT(Resultados!E73,Resultados!N73,Resultados!W73,Resultados!AF73,Resultados!AO73,Resultados!AX73,Resultados!BG73,Resultados!BP73,Resultados!BY73,Resultados!CH73)=0, "", AVERAGE(ABS(Resultados!E73),ABS(Resultados!N73),ABS(Resultados!W73),ABS(Resultados!AF73),ABS(Resultados!AO73),ABS(Resultados!AX73),ABS(Resultados!BG73),ABS(Resultados!BP73),ABS(Resultados!BY73),ABS(Resultados!CH73)))</f>
        <v>7.6415927800498453</v>
      </c>
      <c r="F73">
        <f>IF(COUNT(Resultados!F73,Resultados!O73,Resultados!X73,Resultados!AG73,Resultados!AP73,Resultados!AY73,Resultados!BH73,Resultados!BQ73,Resultados!BZ73,Resultados!CI73)=0, "", AVERAGE(ABS(Resultados!F73),ABS(Resultados!O73),ABS(Resultados!X73),ABS(Resultados!AG73),ABS(Resultados!AP73),ABS(Resultados!AY73),ABS(Resultados!BH73),ABS(Resultados!BQ73),ABS(Resultados!BZ73),ABS(Resultados!CI73)))</f>
        <v>760.19644710064563</v>
      </c>
      <c r="G73">
        <f>IF(COUNT(Resultados!G73,Resultados!P73,Resultados!Y73,Resultados!AH73,Resultados!AQ73,Resultados!AZ73,Resultados!BI73,Resultados!BR73,Resultados!CA73,Resultados!CJ73)=0, "", AVERAGE(ABS(Resultados!G73),ABS(Resultados!P73),ABS(Resultados!Y73),ABS(Resultados!AH73),ABS(Resultados!AQ73),ABS(Resultados!AZ73),ABS(Resultados!BI73),ABS(Resultados!BR73),ABS(Resultados!CA73),ABS(Resultados!CJ73)))</f>
        <v>0.42400000000000004</v>
      </c>
      <c r="H73">
        <f>IF(COUNT(Resultados!H73,Resultados!Q73,Resultados!Z73,Resultados!AI73,Resultados!AR73,Resultados!BA73,Resultados!BJ73,Resultados!BS73,Resultados!CB73,Resultados!CK73)=0, "", AVERAGE(ABS(Resultados!H73),ABS(Resultados!Q73),ABS(Resultados!Z73),ABS(Resultados!AI73),ABS(Resultados!AR73),ABS(Resultados!BA73),ABS(Resultados!BJ73),ABS(Resultados!BS73),ABS(Resultados!CB73),ABS(Resultados!CK73)))</f>
        <v>2.555E-2</v>
      </c>
      <c r="I73">
        <f>IF(COUNT(Resultados!I73,Resultados!R73,Resultados!AA73,Resultados!AJ73,Resultados!AS73,Resultados!BB73,Resultados!BK73,Resultados!BT73,Resultados!CC73,Resultados!CL73)=0, "", AVERAGE(ABS(Resultados!I73),ABS(Resultados!R73),ABS(Resultados!AA73),ABS(Resultados!AJ73),ABS(Resultados!AS73),ABS(Resultados!BB73),ABS(Resultados!BK73),ABS(Resultados!BT73),ABS(Resultados!CC73),ABS(Resultados!CL73)))</f>
        <v>14.241227</v>
      </c>
      <c r="J73">
        <v>3.0709999999999998E-2</v>
      </c>
      <c r="K73">
        <v>2.555E-2</v>
      </c>
    </row>
    <row r="74" spans="1:11" x14ac:dyDescent="0.3">
      <c r="A74">
        <f>IF(COUNT(Resultados!A74,Resultados!J74,Resultados!S74,Resultados!AB74,Resultados!AK74,Resultados!AT74,Resultados!BC74,Resultados!BL74,Resultados!BU74,Resultados!CD74)=0, "", AVERAGE(ABS(Resultados!A74),ABS(Resultados!J74),ABS(Resultados!S74),ABS(Resultados!AB74),ABS(Resultados!AK74),ABS(Resultados!AT74),ABS(Resultados!BC74),ABS(Resultados!BL74),ABS(Resultados!BU74),ABS(Resultados!CD74)))</f>
        <v>45681</v>
      </c>
      <c r="B74" t="str">
        <f>IF(COUNT(Resultados!B74,Resultados!K74,Resultados!T74,Resultados!AC74,Resultados!AL74,Resultados!AU74,Resultados!BD74,Resultados!BM74,Resultados!BV74,Resultados!CE74)=0, "", AVERAGE(ABS(Resultados!B74),ABS(Resultados!K74),ABS(Resultados!T74),ABS(Resultados!AC74),ABS(Resultados!AL74),ABS(Resultados!AU74),ABS(Resultados!BD74),ABS(Resultados!BM74),ABS(Resultados!BV74),ABS(Resultados!CE74)))</f>
        <v/>
      </c>
      <c r="C74">
        <f>IF(COUNT(Resultados!C74,Resultados!L74,Resultados!U74,Resultados!AD74,Resultados!AM74,Resultados!AV74,Resultados!BE74,Resultados!BN74,Resultados!BW74,Resultados!CF74)=0, "", AVERAGE(ABS(Resultados!C74),ABS(Resultados!L74),ABS(Resultados!U74),ABS(Resultados!AD74),ABS(Resultados!AM74),ABS(Resultados!AV74),ABS(Resultados!BE74),ABS(Resultados!BN74),ABS(Resultados!BW74),ABS(Resultados!CF74)))</f>
        <v>2.7</v>
      </c>
      <c r="D74">
        <f>IF(COUNT(Resultados!D74,Resultados!M74,Resultados!V74,Resultados!AE74,Resultados!AN74,Resultados!AW74,Resultados!BF74,Resultados!BO74,Resultados!BX74,Resultados!CG74)=0, "", AVERAGE(ABS(Resultados!D74),ABS(Resultados!M74),ABS(Resultados!V74),ABS(Resultados!AE74),ABS(Resultados!AN74),ABS(Resultados!AW74),ABS(Resultados!BF74),ABS(Resultados!BO74),ABS(Resultados!BX74),ABS(Resultados!CG74)))</f>
        <v>2.5470000000000003E-2</v>
      </c>
      <c r="E74">
        <f>IF(COUNT(Resultados!E74,Resultados!N74,Resultados!W74,Resultados!AF74,Resultados!AO74,Resultados!AX74,Resultados!BG74,Resultados!BP74,Resultados!BY74,Resultados!CH74)=0, "", AVERAGE(ABS(Resultados!E74),ABS(Resultados!N74),ABS(Resultados!W74),ABS(Resultados!AF74),ABS(Resultados!AO74),ABS(Resultados!AX74),ABS(Resultados!BG74),ABS(Resultados!BP74),ABS(Resultados!BY74),ABS(Resultados!CH74)))</f>
        <v>7.3361147662645578</v>
      </c>
      <c r="F74">
        <f>IF(COUNT(Resultados!F74,Resultados!O74,Resultados!X74,Resultados!AG74,Resultados!AP74,Resultados!AY74,Resultados!BH74,Resultados!BQ74,Resultados!BZ74,Resultados!CI74)=0, "", AVERAGE(ABS(Resultados!F74),ABS(Resultados!O74),ABS(Resultados!X74),ABS(Resultados!AG74),ABS(Resultados!AP74),ABS(Resultados!AY74),ABS(Resultados!BH74),ABS(Resultados!BQ74),ABS(Resultados!BZ74),ABS(Resultados!CI74)))</f>
        <v>731.72589621585689</v>
      </c>
      <c r="G74">
        <f>IF(COUNT(Resultados!G74,Resultados!P74,Resultados!Y74,Resultados!AH74,Resultados!AQ74,Resultados!AZ74,Resultados!BI74,Resultados!BR74,Resultados!CA74,Resultados!CJ74)=0, "", AVERAGE(ABS(Resultados!G74),ABS(Resultados!P74),ABS(Resultados!Y74),ABS(Resultados!AH74),ABS(Resultados!AQ74),ABS(Resultados!AZ74),ABS(Resultados!BI74),ABS(Resultados!BR74),ABS(Resultados!CA74),ABS(Resultados!CJ74)))</f>
        <v>0.42400000000000004</v>
      </c>
      <c r="H74">
        <f>IF(COUNT(Resultados!H74,Resultados!Q74,Resultados!Z74,Resultados!AI74,Resultados!AR74,Resultados!BA74,Resultados!BJ74,Resultados!BS74,Resultados!CB74,Resultados!CK74)=0, "", AVERAGE(ABS(Resultados!H74),ABS(Resultados!Q74),ABS(Resultados!Z74),ABS(Resultados!AI74),ABS(Resultados!AR74),ABS(Resultados!BA74),ABS(Resultados!BJ74),ABS(Resultados!BS74),ABS(Resultados!CB74),ABS(Resultados!CK74)))</f>
        <v>2.0819999999999998E-2</v>
      </c>
      <c r="I74">
        <f>IF(COUNT(Resultados!I74,Resultados!R74,Resultados!AA74,Resultados!AJ74,Resultados!AS74,Resultados!BB74,Resultados!BK74,Resultados!BT74,Resultados!CC74,Resultados!CL74)=0, "", AVERAGE(ABS(Resultados!I74),ABS(Resultados!R74),ABS(Resultados!AA74),ABS(Resultados!AJ74),ABS(Resultados!AS74),ABS(Resultados!BB74),ABS(Resultados!BK74),ABS(Resultados!BT74),ABS(Resultados!CC74),ABS(Resultados!CL74)))</f>
        <v>14.441304000000002</v>
      </c>
      <c r="J74">
        <v>2.5470000000000003E-2</v>
      </c>
      <c r="K74">
        <v>2.0819999999999998E-2</v>
      </c>
    </row>
    <row r="75" spans="1:11" x14ac:dyDescent="0.3">
      <c r="A75">
        <f>IF(COUNT(Resultados!A75,Resultados!J75,Resultados!S75,Resultados!AB75,Resultados!AK75,Resultados!AT75,Resultados!BC75,Resultados!BL75,Resultados!BU75,Resultados!CD75)=0, "", AVERAGE(ABS(Resultados!A75),ABS(Resultados!J75),ABS(Resultados!S75),ABS(Resultados!AB75),ABS(Resultados!AK75),ABS(Resultados!AT75),ABS(Resultados!BC75),ABS(Resultados!BL75),ABS(Resultados!BU75),ABS(Resultados!CD75)))</f>
        <v>45681</v>
      </c>
      <c r="B75" t="str">
        <f>IF(COUNT(Resultados!B75,Resultados!K75,Resultados!T75,Resultados!AC75,Resultados!AL75,Resultados!AU75,Resultados!BD75,Resultados!BM75,Resultados!BV75,Resultados!CE75)=0, "", AVERAGE(ABS(Resultados!B75),ABS(Resultados!K75),ABS(Resultados!T75),ABS(Resultados!AC75),ABS(Resultados!AL75),ABS(Resultados!AU75),ABS(Resultados!BD75),ABS(Resultados!BM75),ABS(Resultados!BV75),ABS(Resultados!CE75)))</f>
        <v/>
      </c>
      <c r="C75">
        <f>IF(COUNT(Resultados!C75,Resultados!L75,Resultados!U75,Resultados!AD75,Resultados!AM75,Resultados!AV75,Resultados!BE75,Resultados!BN75,Resultados!BW75,Resultados!CF75)=0, "", AVERAGE(ABS(Resultados!C75),ABS(Resultados!L75),ABS(Resultados!U75),ABS(Resultados!AD75),ABS(Resultados!AM75),ABS(Resultados!AV75),ABS(Resultados!BE75),ABS(Resultados!BN75),ABS(Resultados!BW75),ABS(Resultados!CF75)))</f>
        <v>2.7</v>
      </c>
      <c r="D75">
        <f>IF(COUNT(Resultados!D75,Resultados!M75,Resultados!V75,Resultados!AE75,Resultados!AN75,Resultados!AW75,Resultados!BF75,Resultados!BO75,Resultados!BX75,Resultados!CG75)=0, "", AVERAGE(ABS(Resultados!D75),ABS(Resultados!M75),ABS(Resultados!V75),ABS(Resultados!AE75),ABS(Resultados!AN75),ABS(Resultados!AW75),ABS(Resultados!BF75),ABS(Resultados!BO75),ABS(Resultados!BX75),ABS(Resultados!CG75)))</f>
        <v>2.0389999999999998E-2</v>
      </c>
      <c r="E75">
        <f>IF(COUNT(Resultados!E75,Resultados!N75,Resultados!W75,Resultados!AF75,Resultados!AO75,Resultados!AX75,Resultados!BG75,Resultados!BP75,Resultados!BY75,Resultados!CH75)=0, "", AVERAGE(ABS(Resultados!E75),ABS(Resultados!N75),ABS(Resultados!W75),ABS(Resultados!AF75),ABS(Resultados!AO75),ABS(Resultados!AX75),ABS(Resultados!BG75),ABS(Resultados!BP75),ABS(Resultados!BY75),ABS(Resultados!CH75)))</f>
        <v>7.0495372849238906</v>
      </c>
      <c r="F75">
        <f>IF(COUNT(Resultados!F75,Resultados!O75,Resultados!X75,Resultados!AG75,Resultados!AP75,Resultados!AY75,Resultados!BH75,Resultados!BQ75,Resultados!BZ75,Resultados!CI75)=0, "", AVERAGE(ABS(Resultados!F75),ABS(Resultados!O75),ABS(Resultados!X75),ABS(Resultados!AG75),ABS(Resultados!AP75),ABS(Resultados!AY75),ABS(Resultados!BH75),ABS(Resultados!BQ75),ABS(Resultados!BZ75),ABS(Resultados!CI75)))</f>
        <v>705.0168749549066</v>
      </c>
      <c r="G75">
        <f>IF(COUNT(Resultados!G75,Resultados!P75,Resultados!Y75,Resultados!AH75,Resultados!AQ75,Resultados!AZ75,Resultados!BI75,Resultados!BR75,Resultados!CA75,Resultados!CJ75)=0, "", AVERAGE(ABS(Resultados!G75),ABS(Resultados!P75),ABS(Resultados!Y75),ABS(Resultados!AH75),ABS(Resultados!AQ75),ABS(Resultados!AZ75),ABS(Resultados!BI75),ABS(Resultados!BR75),ABS(Resultados!CA75),ABS(Resultados!CJ75)))</f>
        <v>0.42400000000000004</v>
      </c>
      <c r="H75">
        <f>IF(COUNT(Resultados!H75,Resultados!Q75,Resultados!Z75,Resultados!AI75,Resultados!AR75,Resultados!BA75,Resultados!BJ75,Resultados!BS75,Resultados!CB75,Resultados!CK75)=0, "", AVERAGE(ABS(Resultados!H75),ABS(Resultados!Q75),ABS(Resultados!Z75),ABS(Resultados!AI75),ABS(Resultados!AR75),ABS(Resultados!BA75),ABS(Resultados!BJ75),ABS(Resultados!BS75),ABS(Resultados!CB75),ABS(Resultados!CK75)))</f>
        <v>1.6349999999999996E-2</v>
      </c>
      <c r="I75">
        <f>IF(COUNT(Resultados!I75,Resultados!R75,Resultados!AA75,Resultados!AJ75,Resultados!AS75,Resultados!BB75,Resultados!BK75,Resultados!BT75,Resultados!CC75,Resultados!CL75)=0, "", AVERAGE(ABS(Resultados!I75),ABS(Resultados!R75),ABS(Resultados!AA75),ABS(Resultados!AJ75),ABS(Resultados!AS75),ABS(Resultados!BB75),ABS(Resultados!BK75),ABS(Resultados!BT75),ABS(Resultados!CC75),ABS(Resultados!CL75)))</f>
        <v>14.639934000000002</v>
      </c>
      <c r="J75">
        <v>2.0389999999999998E-2</v>
      </c>
      <c r="K75">
        <v>1.6349999999999996E-2</v>
      </c>
    </row>
    <row r="76" spans="1:11" x14ac:dyDescent="0.3">
      <c r="A76">
        <f>IF(COUNT(Resultados!A76,Resultados!J76,Resultados!S76,Resultados!AB76,Resultados!AK76,Resultados!AT76,Resultados!BC76,Resultados!BL76,Resultados!BU76,Resultados!CD76)=0, "", AVERAGE(ABS(Resultados!A76),ABS(Resultados!J76),ABS(Resultados!S76),ABS(Resultados!AB76),ABS(Resultados!AK76),ABS(Resultados!AT76),ABS(Resultados!BC76),ABS(Resultados!BL76),ABS(Resultados!BU76),ABS(Resultados!CD76)))</f>
        <v>45681</v>
      </c>
      <c r="B76" t="str">
        <f>IF(COUNT(Resultados!B76,Resultados!K76,Resultados!T76,Resultados!AC76,Resultados!AL76,Resultados!AU76,Resultados!BD76,Resultados!BM76,Resultados!BV76,Resultados!CE76)=0, "", AVERAGE(ABS(Resultados!B76),ABS(Resultados!K76),ABS(Resultados!T76),ABS(Resultados!AC76),ABS(Resultados!AL76),ABS(Resultados!AU76),ABS(Resultados!BD76),ABS(Resultados!BM76),ABS(Resultados!BV76),ABS(Resultados!CE76)))</f>
        <v/>
      </c>
      <c r="C76">
        <f>IF(COUNT(Resultados!C76,Resultados!L76,Resultados!U76,Resultados!AD76,Resultados!AM76,Resultados!AV76,Resultados!BE76,Resultados!BN76,Resultados!BW76,Resultados!CF76)=0, "", AVERAGE(ABS(Resultados!C76),ABS(Resultados!L76),ABS(Resultados!U76),ABS(Resultados!AD76),ABS(Resultados!AM76),ABS(Resultados!AV76),ABS(Resultados!BE76),ABS(Resultados!BN76),ABS(Resultados!BW76),ABS(Resultados!CF76)))</f>
        <v>2.7</v>
      </c>
      <c r="D76">
        <f>IF(COUNT(Resultados!D76,Resultados!M76,Resultados!V76,Resultados!AE76,Resultados!AN76,Resultados!AW76,Resultados!BF76,Resultados!BO76,Resultados!BX76,Resultados!CG76)=0, "", AVERAGE(ABS(Resultados!D76),ABS(Resultados!M76),ABS(Resultados!V76),ABS(Resultados!AE76),ABS(Resultados!AN76),ABS(Resultados!AW76),ABS(Resultados!BF76),ABS(Resultados!BO76),ABS(Resultados!BX76),ABS(Resultados!CG76)))</f>
        <v>1.5590000000000001E-2</v>
      </c>
      <c r="E76">
        <f>IF(COUNT(Resultados!E76,Resultados!N76,Resultados!W76,Resultados!AF76,Resultados!AO76,Resultados!AX76,Resultados!BG76,Resultados!BP76,Resultados!BY76,Resultados!CH76)=0, "", AVERAGE(ABS(Resultados!E76),ABS(Resultados!N76),ABS(Resultados!W76),ABS(Resultados!AF76),ABS(Resultados!AO76),ABS(Resultados!AX76),ABS(Resultados!BG76),ABS(Resultados!BP76),ABS(Resultados!BY76),ABS(Resultados!CH76)))</f>
        <v>6.7847610210618798</v>
      </c>
      <c r="F76">
        <f>IF(COUNT(Resultados!F76,Resultados!O76,Resultados!X76,Resultados!AG76,Resultados!AP76,Resultados!AY76,Resultados!BH76,Resultados!BQ76,Resultados!BZ76,Resultados!CI76)=0, "", AVERAGE(ABS(Resultados!F76),ABS(Resultados!O76),ABS(Resultados!X76),ABS(Resultados!AG76),ABS(Resultados!AP76),ABS(Resultados!AY76),ABS(Resultados!BH76),ABS(Resultados!BQ76),ABS(Resultados!BZ76),ABS(Resultados!CI76)))</f>
        <v>680.33972716296716</v>
      </c>
      <c r="G76">
        <f>IF(COUNT(Resultados!G76,Resultados!P76,Resultados!Y76,Resultados!AH76,Resultados!AQ76,Resultados!AZ76,Resultados!BI76,Resultados!BR76,Resultados!CA76,Resultados!CJ76)=0, "", AVERAGE(ABS(Resultados!G76),ABS(Resultados!P76),ABS(Resultados!Y76),ABS(Resultados!AH76),ABS(Resultados!AQ76),ABS(Resultados!AZ76),ABS(Resultados!BI76),ABS(Resultados!BR76),ABS(Resultados!CA76),ABS(Resultados!CJ76)))</f>
        <v>0.42400000000000004</v>
      </c>
      <c r="H76">
        <f>IF(COUNT(Resultados!H76,Resultados!Q76,Resultados!Z76,Resultados!AI76,Resultados!AR76,Resultados!BA76,Resultados!BJ76,Resultados!BS76,Resultados!CB76,Resultados!CK76)=0, "", AVERAGE(ABS(Resultados!H76),ABS(Resultados!Q76),ABS(Resultados!Z76),ABS(Resultados!AI76),ABS(Resultados!AR76),ABS(Resultados!BA76),ABS(Resultados!BJ76),ABS(Resultados!BS76),ABS(Resultados!CB76),ABS(Resultados!CK76)))</f>
        <v>1.2249999999999999E-2</v>
      </c>
      <c r="I76">
        <f>IF(COUNT(Resultados!I76,Resultados!R76,Resultados!AA76,Resultados!AJ76,Resultados!AS76,Resultados!BB76,Resultados!BK76,Resultados!BT76,Resultados!CC76,Resultados!CL76)=0, "", AVERAGE(ABS(Resultados!I76),ABS(Resultados!R76),ABS(Resultados!AA76),ABS(Resultados!AJ76),ABS(Resultados!AS76),ABS(Resultados!BB76),ABS(Resultados!BK76),ABS(Resultados!BT76),ABS(Resultados!CC76),ABS(Resultados!CL76)))</f>
        <v>14.840097</v>
      </c>
      <c r="J76">
        <v>1.5590000000000001E-2</v>
      </c>
      <c r="K76">
        <v>1.2249999999999999E-2</v>
      </c>
    </row>
    <row r="77" spans="1:11" x14ac:dyDescent="0.3">
      <c r="A77">
        <f>IF(COUNT(Resultados!A77,Resultados!J77,Resultados!S77,Resultados!AB77,Resultados!AK77,Resultados!AT77,Resultados!BC77,Resultados!BL77,Resultados!BU77,Resultados!CD77)=0, "", AVERAGE(ABS(Resultados!A77),ABS(Resultados!J77),ABS(Resultados!S77),ABS(Resultados!AB77),ABS(Resultados!AK77),ABS(Resultados!AT77),ABS(Resultados!BC77),ABS(Resultados!BL77),ABS(Resultados!BU77),ABS(Resultados!CD77)))</f>
        <v>45681</v>
      </c>
      <c r="B77" t="str">
        <f>IF(COUNT(Resultados!B77,Resultados!K77,Resultados!T77,Resultados!AC77,Resultados!AL77,Resultados!AU77,Resultados!BD77,Resultados!BM77,Resultados!BV77,Resultados!CE77)=0, "", AVERAGE(ABS(Resultados!B77),ABS(Resultados!K77),ABS(Resultados!T77),ABS(Resultados!AC77),ABS(Resultados!AL77),ABS(Resultados!AU77),ABS(Resultados!BD77),ABS(Resultados!BM77),ABS(Resultados!BV77),ABS(Resultados!CE77)))</f>
        <v/>
      </c>
      <c r="C77">
        <f>IF(COUNT(Resultados!C77,Resultados!L77,Resultados!U77,Resultados!AD77,Resultados!AM77,Resultados!AV77,Resultados!BE77,Resultados!BN77,Resultados!BW77,Resultados!CF77)=0, "", AVERAGE(ABS(Resultados!C77),ABS(Resultados!L77),ABS(Resultados!U77),ABS(Resultados!AD77),ABS(Resultados!AM77),ABS(Resultados!AV77),ABS(Resultados!BE77),ABS(Resultados!BN77),ABS(Resultados!BW77),ABS(Resultados!CF77)))</f>
        <v>2.7</v>
      </c>
      <c r="D77">
        <f>IF(COUNT(Resultados!D77,Resultados!M77,Resultados!V77,Resultados!AE77,Resultados!AN77,Resultados!AW77,Resultados!BF77,Resultados!BO77,Resultados!BX77,Resultados!CG77)=0, "", AVERAGE(ABS(Resultados!D77),ABS(Resultados!M77),ABS(Resultados!V77),ABS(Resultados!AE77),ABS(Resultados!AN77),ABS(Resultados!AW77),ABS(Resultados!BF77),ABS(Resultados!BO77),ABS(Resultados!BX77),ABS(Resultados!CG77)))</f>
        <v>1.0810000000000002E-2</v>
      </c>
      <c r="E77">
        <f>IF(COUNT(Resultados!E77,Resultados!N77,Resultados!W77,Resultados!AF77,Resultados!AO77,Resultados!AX77,Resultados!BG77,Resultados!BP77,Resultados!BY77,Resultados!CH77)=0, "", AVERAGE(ABS(Resultados!E77),ABS(Resultados!N77),ABS(Resultados!W77),ABS(Resultados!AF77),ABS(Resultados!AO77),ABS(Resultados!AX77),ABS(Resultados!BG77),ABS(Resultados!BP77),ABS(Resultados!BY77),ABS(Resultados!CH77)))</f>
        <v>6.5502523255789757</v>
      </c>
      <c r="F77">
        <f>IF(COUNT(Resultados!F77,Resultados!O77,Resultados!X77,Resultados!AG77,Resultados!AP77,Resultados!AY77,Resultados!BH77,Resultados!BQ77,Resultados!BZ77,Resultados!CI77)=0, "", AVERAGE(ABS(Resultados!F77),ABS(Resultados!O77),ABS(Resultados!X77),ABS(Resultados!AG77),ABS(Resultados!AP77),ABS(Resultados!AY77),ABS(Resultados!BH77),ABS(Resultados!BQ77),ABS(Resultados!BZ77),ABS(Resultados!CI77)))</f>
        <v>658.48351674396054</v>
      </c>
      <c r="G77">
        <f>IF(COUNT(Resultados!G77,Resultados!P77,Resultados!Y77,Resultados!AH77,Resultados!AQ77,Resultados!AZ77,Resultados!BI77,Resultados!BR77,Resultados!CA77,Resultados!CJ77)=0, "", AVERAGE(ABS(Resultados!G77),ABS(Resultados!P77),ABS(Resultados!Y77),ABS(Resultados!AH77),ABS(Resultados!AQ77),ABS(Resultados!AZ77),ABS(Resultados!BI77),ABS(Resultados!BR77),ABS(Resultados!CA77),ABS(Resultados!CJ77)))</f>
        <v>0.42400000000000004</v>
      </c>
      <c r="H77">
        <f>IF(COUNT(Resultados!H77,Resultados!Q77,Resultados!Z77,Resultados!AI77,Resultados!AR77,Resultados!BA77,Resultados!BJ77,Resultados!BS77,Resultados!CB77,Resultados!CK77)=0, "", AVERAGE(ABS(Resultados!H77),ABS(Resultados!Q77),ABS(Resultados!Z77),ABS(Resultados!AI77),ABS(Resultados!AR77),ABS(Resultados!BA77),ABS(Resultados!BJ77),ABS(Resultados!BS77),ABS(Resultados!CB77),ABS(Resultados!CK77)))</f>
        <v>8.6099999999999996E-3</v>
      </c>
      <c r="I77">
        <f>IF(COUNT(Resultados!I77,Resultados!R77,Resultados!AA77,Resultados!AJ77,Resultados!AS77,Resultados!BB77,Resultados!BK77,Resultados!BT77,Resultados!CC77,Resultados!CL77)=0, "", AVERAGE(ABS(Resultados!I77),ABS(Resultados!R77),ABS(Resultados!AA77),ABS(Resultados!AJ77),ABS(Resultados!AS77),ABS(Resultados!BB77),ABS(Resultados!BK77),ABS(Resultados!BT77),ABS(Resultados!CC77),ABS(Resultados!CL77)))</f>
        <v>15.040467999999994</v>
      </c>
      <c r="J77">
        <v>1.0810000000000002E-2</v>
      </c>
      <c r="K77">
        <v>8.6099999999999996E-3</v>
      </c>
    </row>
    <row r="78" spans="1:11" x14ac:dyDescent="0.3">
      <c r="A78">
        <f>IF(COUNT(Resultados!A78,Resultados!J78,Resultados!S78,Resultados!AB78,Resultados!AK78,Resultados!AT78,Resultados!BC78,Resultados!BL78,Resultados!BU78,Resultados!CD78)=0, "", AVERAGE(ABS(Resultados!A78),ABS(Resultados!J78),ABS(Resultados!S78),ABS(Resultados!AB78),ABS(Resultados!AK78),ABS(Resultados!AT78),ABS(Resultados!BC78),ABS(Resultados!BL78),ABS(Resultados!BU78),ABS(Resultados!CD78)))</f>
        <v>45681</v>
      </c>
      <c r="B78" t="str">
        <f>IF(COUNT(Resultados!B78,Resultados!K78,Resultados!T78,Resultados!AC78,Resultados!AL78,Resultados!AU78,Resultados!BD78,Resultados!BM78,Resultados!BV78,Resultados!CE78)=0, "", AVERAGE(ABS(Resultados!B78),ABS(Resultados!K78),ABS(Resultados!T78),ABS(Resultados!AC78),ABS(Resultados!AL78),ABS(Resultados!AU78),ABS(Resultados!BD78),ABS(Resultados!BM78),ABS(Resultados!BV78),ABS(Resultados!CE78)))</f>
        <v/>
      </c>
      <c r="C78">
        <f>IF(COUNT(Resultados!C78,Resultados!L78,Resultados!U78,Resultados!AD78,Resultados!AM78,Resultados!AV78,Resultados!BE78,Resultados!BN78,Resultados!BW78,Resultados!CF78)=0, "", AVERAGE(ABS(Resultados!C78),ABS(Resultados!L78),ABS(Resultados!U78),ABS(Resultados!AD78),ABS(Resultados!AM78),ABS(Resultados!AV78),ABS(Resultados!BE78),ABS(Resultados!BN78),ABS(Resultados!BW78),ABS(Resultados!CF78)))</f>
        <v>2.7</v>
      </c>
      <c r="D78">
        <f>IF(COUNT(Resultados!D78,Resultados!M78,Resultados!V78,Resultados!AE78,Resultados!AN78,Resultados!AW78,Resultados!BF78,Resultados!BO78,Resultados!BX78,Resultados!CG78)=0, "", AVERAGE(ABS(Resultados!D78),ABS(Resultados!M78),ABS(Resultados!V78),ABS(Resultados!AE78),ABS(Resultados!AN78),ABS(Resultados!AW78),ABS(Resultados!BF78),ABS(Resultados!BO78),ABS(Resultados!BX78),ABS(Resultados!CG78)))</f>
        <v>6.6700000000000006E-3</v>
      </c>
      <c r="E78">
        <f>IF(COUNT(Resultados!E78,Resultados!N78,Resultados!W78,Resultados!AF78,Resultados!AO78,Resultados!AX78,Resultados!BG78,Resultados!BP78,Resultados!BY78,Resultados!CH78)=0, "", AVERAGE(ABS(Resultados!E78),ABS(Resultados!N78),ABS(Resultados!W78),ABS(Resultados!AF78),ABS(Resultados!AO78),ABS(Resultados!AX78),ABS(Resultados!BG78),ABS(Resultados!BP78),ABS(Resultados!BY78),ABS(Resultados!CH78)))</f>
        <v>6.352729483878389</v>
      </c>
      <c r="F78">
        <f>IF(COUNT(Resultados!F78,Resultados!O78,Resultados!X78,Resultados!AG78,Resultados!AP78,Resultados!AY78,Resultados!BH78,Resultados!BQ78,Resultados!BZ78,Resultados!CI78)=0, "", AVERAGE(ABS(Resultados!F78),ABS(Resultados!O78),ABS(Resultados!X78),ABS(Resultados!AG78),ABS(Resultados!AP78),ABS(Resultados!AY78),ABS(Resultados!BH78),ABS(Resultados!BQ78),ABS(Resultados!BZ78),ABS(Resultados!CI78)))</f>
        <v>640.07438789746584</v>
      </c>
      <c r="G78">
        <f>IF(COUNT(Resultados!G78,Resultados!P78,Resultados!Y78,Resultados!AH78,Resultados!AQ78,Resultados!AZ78,Resultados!BI78,Resultados!BR78,Resultados!CA78,Resultados!CJ78)=0, "", AVERAGE(ABS(Resultados!G78),ABS(Resultados!P78),ABS(Resultados!Y78),ABS(Resultados!AH78),ABS(Resultados!AQ78),ABS(Resultados!AZ78),ABS(Resultados!BI78),ABS(Resultados!BR78),ABS(Resultados!CA78),ABS(Resultados!CJ78)))</f>
        <v>0.42400000000000004</v>
      </c>
      <c r="H78">
        <f>IF(COUNT(Resultados!H78,Resultados!Q78,Resultados!Z78,Resultados!AI78,Resultados!AR78,Resultados!BA78,Resultados!BJ78,Resultados!BS78,Resultados!CB78,Resultados!CK78)=0, "", AVERAGE(ABS(Resultados!H78),ABS(Resultados!Q78),ABS(Resultados!Z78),ABS(Resultados!AI78),ABS(Resultados!AR78),ABS(Resultados!BA78),ABS(Resultados!BJ78),ABS(Resultados!BS78),ABS(Resultados!CB78),ABS(Resultados!CK78)))</f>
        <v>5.5399999999999998E-3</v>
      </c>
      <c r="I78">
        <f>IF(COUNT(Resultados!I78,Resultados!R78,Resultados!AA78,Resultados!AJ78,Resultados!AS78,Resultados!BB78,Resultados!BK78,Resultados!BT78,Resultados!CC78,Resultados!CL78)=0, "", AVERAGE(ABS(Resultados!I78),ABS(Resultados!R78),ABS(Resultados!AA78),ABS(Resultados!AJ78),ABS(Resultados!AS78),ABS(Resultados!BB78),ABS(Resultados!BK78),ABS(Resultados!BT78),ABS(Resultados!CC78),ABS(Resultados!CL78)))</f>
        <v>15.240103999999997</v>
      </c>
      <c r="J78">
        <v>6.6700000000000006E-3</v>
      </c>
      <c r="K78">
        <v>5.5399999999999998E-3</v>
      </c>
    </row>
    <row r="79" spans="1:11" x14ac:dyDescent="0.3">
      <c r="A79">
        <f>IF(COUNT(Resultados!A79,Resultados!J79,Resultados!S79,Resultados!AB79,Resultados!AK79,Resultados!AT79,Resultados!BC79,Resultados!BL79,Resultados!BU79,Resultados!CD79)=0, "", AVERAGE(ABS(Resultados!A79),ABS(Resultados!J79),ABS(Resultados!S79),ABS(Resultados!AB79),ABS(Resultados!AK79),ABS(Resultados!AT79),ABS(Resultados!BC79),ABS(Resultados!BL79),ABS(Resultados!BU79),ABS(Resultados!CD79)))</f>
        <v>45681</v>
      </c>
      <c r="B79" t="str">
        <f>IF(COUNT(Resultados!B79,Resultados!K79,Resultados!T79,Resultados!AC79,Resultados!AL79,Resultados!AU79,Resultados!BD79,Resultados!BM79,Resultados!BV79,Resultados!CE79)=0, "", AVERAGE(ABS(Resultados!B79),ABS(Resultados!K79),ABS(Resultados!T79),ABS(Resultados!AC79),ABS(Resultados!AL79),ABS(Resultados!AU79),ABS(Resultados!BD79),ABS(Resultados!BM79),ABS(Resultados!BV79),ABS(Resultados!CE79)))</f>
        <v/>
      </c>
      <c r="C79">
        <f>IF(COUNT(Resultados!C79,Resultados!L79,Resultados!U79,Resultados!AD79,Resultados!AM79,Resultados!AV79,Resultados!BE79,Resultados!BN79,Resultados!BW79,Resultados!CF79)=0, "", AVERAGE(ABS(Resultados!C79),ABS(Resultados!L79),ABS(Resultados!U79),ABS(Resultados!AD79),ABS(Resultados!AM79),ABS(Resultados!AV79),ABS(Resultados!BE79),ABS(Resultados!BN79),ABS(Resultados!BW79),ABS(Resultados!CF79)))</f>
        <v>2.7</v>
      </c>
      <c r="D79">
        <f>IF(COUNT(Resultados!D79,Resultados!M79,Resultados!V79,Resultados!AE79,Resultados!AN79,Resultados!AW79,Resultados!BF79,Resultados!BO79,Resultados!BX79,Resultados!CG79)=0, "", AVERAGE(ABS(Resultados!D79),ABS(Resultados!M79),ABS(Resultados!V79),ABS(Resultados!AE79),ABS(Resultados!AN79),ABS(Resultados!AW79),ABS(Resultados!BF79),ABS(Resultados!BO79),ABS(Resultados!BX79),ABS(Resultados!CG79)))</f>
        <v>3.4299999999999999E-3</v>
      </c>
      <c r="E79">
        <f>IF(COUNT(Resultados!E79,Resultados!N79,Resultados!W79,Resultados!AF79,Resultados!AO79,Resultados!AX79,Resultados!BG79,Resultados!BP79,Resultados!BY79,Resultados!CH79)=0, "", AVERAGE(ABS(Resultados!E79),ABS(Resultados!N79),ABS(Resultados!W79),ABS(Resultados!AF79),ABS(Resultados!AO79),ABS(Resultados!AX79),ABS(Resultados!BG79),ABS(Resultados!BP79),ABS(Resultados!BY79),ABS(Resultados!CH79)))</f>
        <v>6.1961825097906509</v>
      </c>
      <c r="F79">
        <f>IF(COUNT(Resultados!F79,Resultados!O79,Resultados!X79,Resultados!AG79,Resultados!AP79,Resultados!AY79,Resultados!BH79,Resultados!BQ79,Resultados!BZ79,Resultados!CI79)=0, "", AVERAGE(ABS(Resultados!F79),ABS(Resultados!O79),ABS(Resultados!X79),ABS(Resultados!AG79),ABS(Resultados!AP79),ABS(Resultados!AY79),ABS(Resultados!BH79),ABS(Resultados!BQ79),ABS(Resultados!BZ79),ABS(Resultados!CI79)))</f>
        <v>625.48420991248872</v>
      </c>
      <c r="G79">
        <f>IF(COUNT(Resultados!G79,Resultados!P79,Resultados!Y79,Resultados!AH79,Resultados!AQ79,Resultados!AZ79,Resultados!BI79,Resultados!BR79,Resultados!CA79,Resultados!CJ79)=0, "", AVERAGE(ABS(Resultados!G79),ABS(Resultados!P79),ABS(Resultados!Y79),ABS(Resultados!AH79),ABS(Resultados!AQ79),ABS(Resultados!AZ79),ABS(Resultados!BI79),ABS(Resultados!BR79),ABS(Resultados!CA79),ABS(Resultados!CJ79)))</f>
        <v>0.42400000000000004</v>
      </c>
      <c r="H79">
        <f>IF(COUNT(Resultados!H79,Resultados!Q79,Resultados!Z79,Resultados!AI79,Resultados!AR79,Resultados!BA79,Resultados!BJ79,Resultados!BS79,Resultados!CB79,Resultados!CK79)=0, "", AVERAGE(ABS(Resultados!H79),ABS(Resultados!Q79),ABS(Resultados!Z79),ABS(Resultados!AI79),ABS(Resultados!AR79),ABS(Resultados!BA79),ABS(Resultados!BJ79),ABS(Resultados!BS79),ABS(Resultados!CB79),ABS(Resultados!CK79)))</f>
        <v>3.0999999999999999E-3</v>
      </c>
      <c r="I79">
        <f>IF(COUNT(Resultados!I79,Resultados!R79,Resultados!AA79,Resultados!AJ79,Resultados!AS79,Resultados!BB79,Resultados!BK79,Resultados!BT79,Resultados!CC79,Resultados!CL79)=0, "", AVERAGE(ABS(Resultados!I79),ABS(Resultados!R79),ABS(Resultados!AA79),ABS(Resultados!AJ79),ABS(Resultados!AS79),ABS(Resultados!BB79),ABS(Resultados!BK79),ABS(Resultados!BT79),ABS(Resultados!CC79),ABS(Resultados!CL79)))</f>
        <v>15.440086999999991</v>
      </c>
      <c r="J79">
        <v>3.4299999999999999E-3</v>
      </c>
      <c r="K79">
        <v>3.0999999999999999E-3</v>
      </c>
    </row>
    <row r="80" spans="1:11" x14ac:dyDescent="0.3">
      <c r="A80">
        <f>IF(COUNT(Resultados!A80,Resultados!J80,Resultados!S80,Resultados!AB80,Resultados!AK80,Resultados!AT80,Resultados!BC80,Resultados!BL80,Resultados!BU80,Resultados!CD80)=0, "", AVERAGE(ABS(Resultados!A80),ABS(Resultados!J80),ABS(Resultados!S80),ABS(Resultados!AB80),ABS(Resultados!AK80),ABS(Resultados!AT80),ABS(Resultados!BC80),ABS(Resultados!BL80),ABS(Resultados!BU80),ABS(Resultados!CD80)))</f>
        <v>45681</v>
      </c>
      <c r="B80" t="str">
        <f>IF(COUNT(Resultados!B80,Resultados!K80,Resultados!T80,Resultados!AC80,Resultados!AL80,Resultados!AU80,Resultados!BD80,Resultados!BM80,Resultados!BV80,Resultados!CE80)=0, "", AVERAGE(ABS(Resultados!B80),ABS(Resultados!K80),ABS(Resultados!T80),ABS(Resultados!AC80),ABS(Resultados!AL80),ABS(Resultados!AU80),ABS(Resultados!BD80),ABS(Resultados!BM80),ABS(Resultados!BV80),ABS(Resultados!CE80)))</f>
        <v/>
      </c>
      <c r="C80">
        <f>IF(COUNT(Resultados!C80,Resultados!L80,Resultados!U80,Resultados!AD80,Resultados!AM80,Resultados!AV80,Resultados!BE80,Resultados!BN80,Resultados!BW80,Resultados!CF80)=0, "", AVERAGE(ABS(Resultados!C80),ABS(Resultados!L80),ABS(Resultados!U80),ABS(Resultados!AD80),ABS(Resultados!AM80),ABS(Resultados!AV80),ABS(Resultados!BE80),ABS(Resultados!BN80),ABS(Resultados!BW80),ABS(Resultados!CF80)))</f>
        <v>2.7</v>
      </c>
      <c r="D80">
        <f>IF(COUNT(Resultados!D80,Resultados!M80,Resultados!V80,Resultados!AE80,Resultados!AN80,Resultados!AW80,Resultados!BF80,Resultados!BO80,Resultados!BX80,Resultados!CG80)=0, "", AVERAGE(ABS(Resultados!D80),ABS(Resultados!M80),ABS(Resultados!V80),ABS(Resultados!AE80),ABS(Resultados!AN80),ABS(Resultados!AW80),ABS(Resultados!BF80),ABS(Resultados!BO80),ABS(Resultados!BX80),ABS(Resultados!CG80)))</f>
        <v>1.07E-3</v>
      </c>
      <c r="E80">
        <f>IF(COUNT(Resultados!E80,Resultados!N80,Resultados!W80,Resultados!AF80,Resultados!AO80,Resultados!AX80,Resultados!BG80,Resultados!BP80,Resultados!BY80,Resultados!CH80)=0, "", AVERAGE(ABS(Resultados!E80),ABS(Resultados!N80),ABS(Resultados!W80),ABS(Resultados!AF80),ABS(Resultados!AO80),ABS(Resultados!AX80),ABS(Resultados!BG80),ABS(Resultados!BP80),ABS(Resultados!BY80),ABS(Resultados!CH80)))</f>
        <v>6.0843190829974407</v>
      </c>
      <c r="F80">
        <f>IF(COUNT(Resultados!F80,Resultados!O80,Resultados!X80,Resultados!AG80,Resultados!AP80,Resultados!AY80,Resultados!BH80,Resultados!BQ80,Resultados!BZ80,Resultados!CI80)=0, "", AVERAGE(ABS(Resultados!F80),ABS(Resultados!O80),ABS(Resultados!X80),ABS(Resultados!AG80),ABS(Resultados!AP80),ABS(Resultados!AY80),ABS(Resultados!BH80),ABS(Resultados!BQ80),ABS(Resultados!BZ80),ABS(Resultados!CI80)))</f>
        <v>615.05853853536166</v>
      </c>
      <c r="G80">
        <f>IF(COUNT(Resultados!G80,Resultados!P80,Resultados!Y80,Resultados!AH80,Resultados!AQ80,Resultados!AZ80,Resultados!BI80,Resultados!BR80,Resultados!CA80,Resultados!CJ80)=0, "", AVERAGE(ABS(Resultados!G80),ABS(Resultados!P80),ABS(Resultados!Y80),ABS(Resultados!AH80),ABS(Resultados!AQ80),ABS(Resultados!AZ80),ABS(Resultados!BI80),ABS(Resultados!BR80),ABS(Resultados!CA80),ABS(Resultados!CJ80)))</f>
        <v>0.42400000000000004</v>
      </c>
      <c r="H80">
        <f>IF(COUNT(Resultados!H80,Resultados!Q80,Resultados!Z80,Resultados!AI80,Resultados!AR80,Resultados!BA80,Resultados!BJ80,Resultados!BS80,Resultados!CB80,Resultados!CK80)=0, "", AVERAGE(ABS(Resultados!H80),ABS(Resultados!Q80),ABS(Resultados!Z80),ABS(Resultados!AI80),ABS(Resultados!AR80),ABS(Resultados!BA80),ABS(Resultados!BJ80),ABS(Resultados!BS80),ABS(Resultados!CB80),ABS(Resultados!CK80)))</f>
        <v>1.3700000000000001E-3</v>
      </c>
      <c r="I80">
        <f>IF(COUNT(Resultados!I80,Resultados!R80,Resultados!AA80,Resultados!AJ80,Resultados!AS80,Resultados!BB80,Resultados!BK80,Resultados!BT80,Resultados!CC80,Resultados!CL80)=0, "", AVERAGE(ABS(Resultados!I80),ABS(Resultados!R80),ABS(Resultados!AA80),ABS(Resultados!AJ80),ABS(Resultados!AS80),ABS(Resultados!BB80),ABS(Resultados!BK80),ABS(Resultados!BT80),ABS(Resultados!CC80),ABS(Resultados!CL80)))</f>
        <v>15.640139999999999</v>
      </c>
      <c r="J80">
        <v>1.07E-3</v>
      </c>
      <c r="K80">
        <v>1.3700000000000001E-3</v>
      </c>
    </row>
    <row r="81" spans="1:11" x14ac:dyDescent="0.3">
      <c r="A81">
        <f>IF(COUNT(Resultados!A81,Resultados!J81,Resultados!S81,Resultados!AB81,Resultados!AK81,Resultados!AT81,Resultados!BC81,Resultados!BL81,Resultados!BU81,Resultados!CD81)=0, "", AVERAGE(ABS(Resultados!A81),ABS(Resultados!J81),ABS(Resultados!S81),ABS(Resultados!AB81),ABS(Resultados!AK81),ABS(Resultados!AT81),ABS(Resultados!BC81),ABS(Resultados!BL81),ABS(Resultados!BU81),ABS(Resultados!CD81)))</f>
        <v>45681</v>
      </c>
      <c r="B81" t="str">
        <f>IF(COUNT(Resultados!B81,Resultados!K81,Resultados!T81,Resultados!AC81,Resultados!AL81,Resultados!AU81,Resultados!BD81,Resultados!BM81,Resultados!BV81,Resultados!CE81)=0, "", AVERAGE(ABS(Resultados!B81),ABS(Resultados!K81),ABS(Resultados!T81),ABS(Resultados!AC81),ABS(Resultados!AL81),ABS(Resultados!AU81),ABS(Resultados!BD81),ABS(Resultados!BM81),ABS(Resultados!BV81),ABS(Resultados!CE81)))</f>
        <v/>
      </c>
      <c r="C81">
        <f>IF(COUNT(Resultados!C81,Resultados!L81,Resultados!U81,Resultados!AD81,Resultados!AM81,Resultados!AV81,Resultados!BE81,Resultados!BN81,Resultados!BW81,Resultados!CF81)=0, "", AVERAGE(ABS(Resultados!C81),ABS(Resultados!L81),ABS(Resultados!U81),ABS(Resultados!AD81),ABS(Resultados!AM81),ABS(Resultados!AV81),ABS(Resultados!BE81),ABS(Resultados!BN81),ABS(Resultados!BW81),ABS(Resultados!CF81)))</f>
        <v>2.7</v>
      </c>
      <c r="D81">
        <f>IF(COUNT(Resultados!D81,Resultados!M81,Resultados!V81,Resultados!AE81,Resultados!AN81,Resultados!AW81,Resultados!BF81,Resultados!BO81,Resultados!BX81,Resultados!CG81)=0, "", AVERAGE(ABS(Resultados!D81),ABS(Resultados!M81),ABS(Resultados!V81),ABS(Resultados!AE81),ABS(Resultados!AN81),ABS(Resultados!AW81),ABS(Resultados!BF81),ABS(Resultados!BO81),ABS(Resultados!BX81),ABS(Resultados!CG81)))</f>
        <v>1.48E-3</v>
      </c>
      <c r="E81">
        <f>IF(COUNT(Resultados!E81,Resultados!N81,Resultados!W81,Resultados!AF81,Resultados!AO81,Resultados!AX81,Resultados!BG81,Resultados!BP81,Resultados!BY81,Resultados!CH81)=0, "", AVERAGE(ABS(Resultados!E81),ABS(Resultados!N81),ABS(Resultados!W81),ABS(Resultados!AF81),ABS(Resultados!AO81),ABS(Resultados!AX81),ABS(Resultados!BG81),ABS(Resultados!BP81),ABS(Resultados!BY81),ABS(Resultados!CH81)))</f>
        <v>6.0203238790296618</v>
      </c>
      <c r="F81">
        <f>IF(COUNT(Resultados!F81,Resultados!O81,Resultados!X81,Resultados!AG81,Resultados!AP81,Resultados!AY81,Resultados!BH81,Resultados!BQ81,Resultados!BZ81,Resultados!CI81)=0, "", AVERAGE(ABS(Resultados!F81),ABS(Resultados!O81),ABS(Resultados!X81),ABS(Resultados!AG81),ABS(Resultados!AP81),ABS(Resultados!AY81),ABS(Resultados!BH81),ABS(Resultados!BQ81),ABS(Resultados!BZ81),ABS(Resultados!CI81)))</f>
        <v>619.31776634762787</v>
      </c>
      <c r="G81">
        <f>IF(COUNT(Resultados!G81,Resultados!P81,Resultados!Y81,Resultados!AH81,Resultados!AQ81,Resultados!AZ81,Resultados!BI81,Resultados!BR81,Resultados!CA81,Resultados!CJ81)=0, "", AVERAGE(ABS(Resultados!G81),ABS(Resultados!P81),ABS(Resultados!Y81),ABS(Resultados!AH81),ABS(Resultados!AQ81),ABS(Resultados!AZ81),ABS(Resultados!BI81),ABS(Resultados!BR81),ABS(Resultados!CA81),ABS(Resultados!CJ81)))</f>
        <v>0.42400000000000004</v>
      </c>
      <c r="H81">
        <f>IF(COUNT(Resultados!H81,Resultados!Q81,Resultados!Z81,Resultados!AI81,Resultados!AR81,Resultados!BA81,Resultados!BJ81,Resultados!BS81,Resultados!CB81,Resultados!CK81)=0, "", AVERAGE(ABS(Resultados!H81),ABS(Resultados!Q81),ABS(Resultados!Z81),ABS(Resultados!AI81),ABS(Resultados!AR81),ABS(Resultados!BA81),ABS(Resultados!BJ81),ABS(Resultados!BS81),ABS(Resultados!CB81),ABS(Resultados!CK81)))</f>
        <v>4.0000000000000007E-4</v>
      </c>
      <c r="I81">
        <f>IF(COUNT(Resultados!I81,Resultados!R81,Resultados!AA81,Resultados!AJ81,Resultados!AS81,Resultados!BB81,Resultados!BK81,Resultados!BT81,Resultados!CC81,Resultados!CL81)=0, "", AVERAGE(ABS(Resultados!I81),ABS(Resultados!R81),ABS(Resultados!AA81),ABS(Resultados!AJ81),ABS(Resultados!AS81),ABS(Resultados!BB81),ABS(Resultados!BK81),ABS(Resultados!BT81),ABS(Resultados!CC81),ABS(Resultados!CL81)))</f>
        <v>15.840461999999997</v>
      </c>
      <c r="J81">
        <v>1.48E-3</v>
      </c>
      <c r="K81">
        <v>4.0000000000000007E-4</v>
      </c>
    </row>
    <row r="82" spans="1:11" x14ac:dyDescent="0.3">
      <c r="A82">
        <f>IF(COUNT(Resultados!A82,Resultados!J82,Resultados!S82,Resultados!AB82,Resultados!AK82,Resultados!AT82,Resultados!BC82,Resultados!BL82,Resultados!BU82,Resultados!CD82)=0, "", AVERAGE(ABS(Resultados!A82),ABS(Resultados!J82),ABS(Resultados!S82),ABS(Resultados!AB82),ABS(Resultados!AK82),ABS(Resultados!AT82),ABS(Resultados!BC82),ABS(Resultados!BL82),ABS(Resultados!BU82),ABS(Resultados!CD82)))</f>
        <v>45681</v>
      </c>
      <c r="B82" t="str">
        <f>IF(COUNT(Resultados!B82,Resultados!K82,Resultados!T82,Resultados!AC82,Resultados!AL82,Resultados!AU82,Resultados!BD82,Resultados!BM82,Resultados!BV82,Resultados!CE82)=0, "", AVERAGE(ABS(Resultados!B82),ABS(Resultados!K82),ABS(Resultados!T82),ABS(Resultados!AC82),ABS(Resultados!AL82),ABS(Resultados!AU82),ABS(Resultados!BD82),ABS(Resultados!BM82),ABS(Resultados!BV82),ABS(Resultados!CE82)))</f>
        <v/>
      </c>
      <c r="C82">
        <f>IF(COUNT(Resultados!C82,Resultados!L82,Resultados!U82,Resultados!AD82,Resultados!AM82,Resultados!AV82,Resultados!BE82,Resultados!BN82,Resultados!BW82,Resultados!CF82)=0, "", AVERAGE(ABS(Resultados!C82),ABS(Resultados!L82),ABS(Resultados!U82),ABS(Resultados!AD82),ABS(Resultados!AM82),ABS(Resultados!AV82),ABS(Resultados!BE82),ABS(Resultados!BN82),ABS(Resultados!BW82),ABS(Resultados!CF82)))</f>
        <v>2.7</v>
      </c>
      <c r="D82">
        <f>IF(COUNT(Resultados!D82,Resultados!M82,Resultados!V82,Resultados!AE82,Resultados!AN82,Resultados!AW82,Resultados!BF82,Resultados!BO82,Resultados!BX82,Resultados!CG82)=0, "", AVERAGE(ABS(Resultados!D82),ABS(Resultados!M82),ABS(Resultados!V82),ABS(Resultados!AE82),ABS(Resultados!AN82),ABS(Resultados!AW82),ABS(Resultados!BF82),ABS(Resultados!BO82),ABS(Resultados!BX82),ABS(Resultados!CG82)))</f>
        <v>2.5799999999999998E-3</v>
      </c>
      <c r="E82">
        <f>IF(COUNT(Resultados!E82,Resultados!N82,Resultados!W82,Resultados!AF82,Resultados!AO82,Resultados!AX82,Resultados!BG82,Resultados!BP82,Resultados!BY82,Resultados!CH82)=0, "", AVERAGE(ABS(Resultados!E82),ABS(Resultados!N82),ABS(Resultados!W82),ABS(Resultados!AF82),ABS(Resultados!AO82),ABS(Resultados!AX82),ABS(Resultados!BG82),ABS(Resultados!BP82),ABS(Resultados!BY82),ABS(Resultados!CH82)))</f>
        <v>6.0057211502345291</v>
      </c>
      <c r="F82">
        <f>IF(COUNT(Resultados!F82,Resultados!O82,Resultados!X82,Resultados!AG82,Resultados!AP82,Resultados!AY82,Resultados!BH82,Resultados!BQ82,Resultados!BZ82,Resultados!CI82)=0, "", AVERAGE(ABS(Resultados!F82),ABS(Resultados!O82),ABS(Resultados!X82),ABS(Resultados!AG82),ABS(Resultados!AP82),ABS(Resultados!AY82),ABS(Resultados!BH82),ABS(Resultados!BQ82),ABS(Resultados!BZ82),ABS(Resultados!CI82)))</f>
        <v>617.96945490216331</v>
      </c>
      <c r="G82">
        <f>IF(COUNT(Resultados!G82,Resultados!P82,Resultados!Y82,Resultados!AH82,Resultados!AQ82,Resultados!AZ82,Resultados!BI82,Resultados!BR82,Resultados!CA82,Resultados!CJ82)=0, "", AVERAGE(ABS(Resultados!G82),ABS(Resultados!P82),ABS(Resultados!Y82),ABS(Resultados!AH82),ABS(Resultados!AQ82),ABS(Resultados!AZ82),ABS(Resultados!BI82),ABS(Resultados!BR82),ABS(Resultados!CA82),ABS(Resultados!CJ82)))</f>
        <v>0.42400000000000004</v>
      </c>
      <c r="H82">
        <f>IF(COUNT(Resultados!H82,Resultados!Q82,Resultados!Z82,Resultados!AI82,Resultados!AR82,Resultados!BA82,Resultados!BJ82,Resultados!BS82,Resultados!CB82,Resultados!CK82)=0, "", AVERAGE(ABS(Resultados!H82),ABS(Resultados!Q82),ABS(Resultados!Z82),ABS(Resultados!AI82),ABS(Resultados!AR82),ABS(Resultados!BA82),ABS(Resultados!BJ82),ABS(Resultados!BS82),ABS(Resultados!CB82),ABS(Resultados!CK82)))</f>
        <v>1.6000000000000001E-4</v>
      </c>
      <c r="I82">
        <f>IF(COUNT(Resultados!I82,Resultados!R82,Resultados!AA82,Resultados!AJ82,Resultados!AS82,Resultados!BB82,Resultados!BK82,Resultados!BT82,Resultados!CC82,Resultados!CL82)=0, "", AVERAGE(ABS(Resultados!I82),ABS(Resultados!R82),ABS(Resultados!AA82),ABS(Resultados!AJ82),ABS(Resultados!AS82),ABS(Resultados!BB82),ABS(Resultados!BK82),ABS(Resultados!BT82),ABS(Resultados!CC82),ABS(Resultados!CL82)))</f>
        <v>16.040736999999996</v>
      </c>
      <c r="J82">
        <v>2.5799999999999998E-3</v>
      </c>
      <c r="K82">
        <v>1.6000000000000001E-4</v>
      </c>
    </row>
    <row r="83" spans="1:11" x14ac:dyDescent="0.3">
      <c r="A83">
        <f>IF(COUNT(Resultados!A83,Resultados!J83,Resultados!S83,Resultados!AB83,Resultados!AK83,Resultados!AT83,Resultados!BC83,Resultados!BL83,Resultados!BU83,Resultados!CD83)=0, "", AVERAGE(ABS(Resultados!A83),ABS(Resultados!J83),ABS(Resultados!S83),ABS(Resultados!AB83),ABS(Resultados!AK83),ABS(Resultados!AT83),ABS(Resultados!BC83),ABS(Resultados!BL83),ABS(Resultados!BU83),ABS(Resultados!CD83)))</f>
        <v>45681</v>
      </c>
      <c r="B83" t="str">
        <f>IF(COUNT(Resultados!B83,Resultados!K83,Resultados!T83,Resultados!AC83,Resultados!AL83,Resultados!AU83,Resultados!BD83,Resultados!BM83,Resultados!BV83,Resultados!CE83)=0, "", AVERAGE(ABS(Resultados!B83),ABS(Resultados!K83),ABS(Resultados!T83),ABS(Resultados!AC83),ABS(Resultados!AL83),ABS(Resultados!AU83),ABS(Resultados!BD83),ABS(Resultados!BM83),ABS(Resultados!BV83),ABS(Resultados!CE83)))</f>
        <v/>
      </c>
      <c r="C83">
        <f>IF(COUNT(Resultados!C83,Resultados!L83,Resultados!U83,Resultados!AD83,Resultados!AM83,Resultados!AV83,Resultados!BE83,Resultados!BN83,Resultados!BW83,Resultados!CF83)=0, "", AVERAGE(ABS(Resultados!C83),ABS(Resultados!L83),ABS(Resultados!U83),ABS(Resultados!AD83),ABS(Resultados!AM83),ABS(Resultados!AV83),ABS(Resultados!BE83),ABS(Resultados!BN83),ABS(Resultados!BW83),ABS(Resultados!CF83)))</f>
        <v>2.7</v>
      </c>
      <c r="D83">
        <f>IF(COUNT(Resultados!D83,Resultados!M83,Resultados!V83,Resultados!AE83,Resultados!AN83,Resultados!AW83,Resultados!BF83,Resultados!BO83,Resultados!BX83,Resultados!CG83)=0, "", AVERAGE(ABS(Resultados!D83),ABS(Resultados!M83),ABS(Resultados!V83),ABS(Resultados!AE83),ABS(Resultados!AN83),ABS(Resultados!AW83),ABS(Resultados!BF83),ABS(Resultados!BO83),ABS(Resultados!BX83),ABS(Resultados!CG83)))</f>
        <v>2.9799999999999996E-3</v>
      </c>
      <c r="E83">
        <f>IF(COUNT(Resultados!E83,Resultados!N83,Resultados!W83,Resultados!AF83,Resultados!AO83,Resultados!AX83,Resultados!BG83,Resultados!BP83,Resultados!BY83,Resultados!CH83)=0, "", AVERAGE(ABS(Resultados!E83),ABS(Resultados!N83),ABS(Resultados!W83),ABS(Resultados!AF83),ABS(Resultados!AO83),ABS(Resultados!AX83),ABS(Resultados!BG83),ABS(Resultados!BP83),ABS(Resultados!BY83),ABS(Resultados!CH83)))</f>
        <v>6.0407189604398148</v>
      </c>
      <c r="F83">
        <f>IF(COUNT(Resultados!F83,Resultados!O83,Resultados!X83,Resultados!AG83,Resultados!AP83,Resultados!AY83,Resultados!BH83,Resultados!BQ83,Resultados!BZ83,Resultados!CI83)=0, "", AVERAGE(ABS(Resultados!F83),ABS(Resultados!O83),ABS(Resultados!X83),ABS(Resultados!AG83),ABS(Resultados!AP83),ABS(Resultados!AY83),ABS(Resultados!BH83),ABS(Resultados!BQ83),ABS(Resultados!BZ83),ABS(Resultados!CI83)))</f>
        <v>713.26422934573839</v>
      </c>
      <c r="G83">
        <f>IF(COUNT(Resultados!G83,Resultados!P83,Resultados!Y83,Resultados!AH83,Resultados!AQ83,Resultados!AZ83,Resultados!BI83,Resultados!BR83,Resultados!CA83,Resultados!CJ83)=0, "", AVERAGE(ABS(Resultados!G83),ABS(Resultados!P83),ABS(Resultados!Y83),ABS(Resultados!AH83),ABS(Resultados!AQ83),ABS(Resultados!AZ83),ABS(Resultados!BI83),ABS(Resultados!BR83),ABS(Resultados!CA83),ABS(Resultados!CJ83)))</f>
        <v>0.42400000000000004</v>
      </c>
      <c r="H83">
        <f>IF(COUNT(Resultados!H83,Resultados!Q83,Resultados!Z83,Resultados!AI83,Resultados!AR83,Resultados!BA83,Resultados!BJ83,Resultados!BS83,Resultados!CB83,Resultados!CK83)=0, "", AVERAGE(ABS(Resultados!H83),ABS(Resultados!Q83),ABS(Resultados!Z83),ABS(Resultados!AI83),ABS(Resultados!AR83),ABS(Resultados!BA83),ABS(Resultados!BJ83),ABS(Resultados!BS83),ABS(Resultados!CB83),ABS(Resultados!CK83)))</f>
        <v>6.9999999999999999E-4</v>
      </c>
      <c r="I83">
        <f>IF(COUNT(Resultados!I83,Resultados!R83,Resultados!AA83,Resultados!AJ83,Resultados!AS83,Resultados!BB83,Resultados!BK83,Resultados!BT83,Resultados!CC83,Resultados!CL83)=0, "", AVERAGE(ABS(Resultados!I83),ABS(Resultados!R83),ABS(Resultados!AA83),ABS(Resultados!AJ83),ABS(Resultados!AS83),ABS(Resultados!BB83),ABS(Resultados!BK83),ABS(Resultados!BT83),ABS(Resultados!CC83),ABS(Resultados!CL83)))</f>
        <v>16.240155000000005</v>
      </c>
      <c r="J83">
        <v>2.9799999999999996E-3</v>
      </c>
      <c r="K83">
        <v>6.9999999999999999E-4</v>
      </c>
    </row>
    <row r="84" spans="1:11" x14ac:dyDescent="0.3">
      <c r="A84">
        <f>IF(COUNT(Resultados!A84,Resultados!J84,Resultados!S84,Resultados!AB84,Resultados!AK84,Resultados!AT84,Resultados!BC84,Resultados!BL84,Resultados!BU84,Resultados!CD84)=0, "", AVERAGE(ABS(Resultados!A84),ABS(Resultados!J84),ABS(Resultados!S84),ABS(Resultados!AB84),ABS(Resultados!AK84),ABS(Resultados!AT84),ABS(Resultados!BC84),ABS(Resultados!BL84),ABS(Resultados!BU84),ABS(Resultados!CD84)))</f>
        <v>45681</v>
      </c>
      <c r="B84" t="str">
        <f>IF(COUNT(Resultados!B84,Resultados!K84,Resultados!T84,Resultados!AC84,Resultados!AL84,Resultados!AU84,Resultados!BD84,Resultados!BM84,Resultados!BV84,Resultados!CE84)=0, "", AVERAGE(ABS(Resultados!B84),ABS(Resultados!K84),ABS(Resultados!T84),ABS(Resultados!AC84),ABS(Resultados!AL84),ABS(Resultados!AU84),ABS(Resultados!BD84),ABS(Resultados!BM84),ABS(Resultados!BV84),ABS(Resultados!CE84)))</f>
        <v/>
      </c>
      <c r="C84">
        <f>IF(COUNT(Resultados!C84,Resultados!L84,Resultados!U84,Resultados!AD84,Resultados!AM84,Resultados!AV84,Resultados!BE84,Resultados!BN84,Resultados!BW84,Resultados!CF84)=0, "", AVERAGE(ABS(Resultados!C84),ABS(Resultados!L84),ABS(Resultados!U84),ABS(Resultados!AD84),ABS(Resultados!AM84),ABS(Resultados!AV84),ABS(Resultados!BE84),ABS(Resultados!BN84),ABS(Resultados!BW84),ABS(Resultados!CF84)))</f>
        <v>2.7</v>
      </c>
      <c r="D84">
        <f>IF(COUNT(Resultados!D84,Resultados!M84,Resultados!V84,Resultados!AE84,Resultados!AN84,Resultados!AW84,Resultados!BF84,Resultados!BO84,Resultados!BX84,Resultados!CG84)=0, "", AVERAGE(ABS(Resultados!D84),ABS(Resultados!M84),ABS(Resultados!V84),ABS(Resultados!AE84),ABS(Resultados!AN84),ABS(Resultados!AW84),ABS(Resultados!BF84),ABS(Resultados!BO84),ABS(Resultados!BX84),ABS(Resultados!CG84)))</f>
        <v>1.25E-3</v>
      </c>
      <c r="E84">
        <f>IF(COUNT(Resultados!E84,Resultados!N84,Resultados!W84,Resultados!AF84,Resultados!AO84,Resultados!AX84,Resultados!BG84,Resultados!BP84,Resultados!BY84,Resultados!CH84)=0, "", AVERAGE(ABS(Resultados!E84),ABS(Resultados!N84),ABS(Resultados!W84),ABS(Resultados!AF84),ABS(Resultados!AO84),ABS(Resultados!AX84),ABS(Resultados!BG84),ABS(Resultados!BP84),ABS(Resultados!BY84),ABS(Resultados!CH84)))</f>
        <v>6.1242202268702091</v>
      </c>
      <c r="F84">
        <f>IF(COUNT(Resultados!F84,Resultados!O84,Resultados!X84,Resultados!AG84,Resultados!AP84,Resultados!AY84,Resultados!BH84,Resultados!BQ84,Resultados!BZ84,Resultados!CI84)=0, "", AVERAGE(ABS(Resultados!F84),ABS(Resultados!O84),ABS(Resultados!X84),ABS(Resultados!AG84),ABS(Resultados!AP84),ABS(Resultados!AY84),ABS(Resultados!BH84),ABS(Resultados!BQ84),ABS(Resultados!BZ84),ABS(Resultados!CI84)))</f>
        <v>721.18849952998278</v>
      </c>
      <c r="G84">
        <f>IF(COUNT(Resultados!G84,Resultados!P84,Resultados!Y84,Resultados!AH84,Resultados!AQ84,Resultados!AZ84,Resultados!BI84,Resultados!BR84,Resultados!CA84,Resultados!CJ84)=0, "", AVERAGE(ABS(Resultados!G84),ABS(Resultados!P84),ABS(Resultados!Y84),ABS(Resultados!AH84),ABS(Resultados!AQ84),ABS(Resultados!AZ84),ABS(Resultados!BI84),ABS(Resultados!BR84),ABS(Resultados!CA84),ABS(Resultados!CJ84)))</f>
        <v>0.42400000000000004</v>
      </c>
      <c r="H84">
        <f>IF(COUNT(Resultados!H84,Resultados!Q84,Resultados!Z84,Resultados!AI84,Resultados!AR84,Resultados!BA84,Resultados!BJ84,Resultados!BS84,Resultados!CB84,Resultados!CK84)=0, "", AVERAGE(ABS(Resultados!H84),ABS(Resultados!Q84),ABS(Resultados!Z84),ABS(Resultados!AI84),ABS(Resultados!AR84),ABS(Resultados!BA84),ABS(Resultados!BJ84),ABS(Resultados!BS84),ABS(Resultados!CB84),ABS(Resultados!CK84)))</f>
        <v>1.99E-3</v>
      </c>
      <c r="I84">
        <f>IF(COUNT(Resultados!I84,Resultados!R84,Resultados!AA84,Resultados!AJ84,Resultados!AS84,Resultados!BB84,Resultados!BK84,Resultados!BT84,Resultados!CC84,Resultados!CL84)=0, "", AVERAGE(ABS(Resultados!I84),ABS(Resultados!R84),ABS(Resultados!AA84),ABS(Resultados!AJ84),ABS(Resultados!AS84),ABS(Resultados!BB84),ABS(Resultados!BK84),ABS(Resultados!BT84),ABS(Resultados!CC84),ABS(Resultados!CL84)))</f>
        <v>16.439639</v>
      </c>
      <c r="J84">
        <v>1.25E-3</v>
      </c>
      <c r="K84">
        <v>1.99E-3</v>
      </c>
    </row>
    <row r="85" spans="1:11" x14ac:dyDescent="0.3">
      <c r="A85">
        <f>IF(COUNT(Resultados!A85,Resultados!J85,Resultados!S85,Resultados!AB85,Resultados!AK85,Resultados!AT85,Resultados!BC85,Resultados!BL85,Resultados!BU85,Resultados!CD85)=0, "", AVERAGE(ABS(Resultados!A85),ABS(Resultados!J85),ABS(Resultados!S85),ABS(Resultados!AB85),ABS(Resultados!AK85),ABS(Resultados!AT85),ABS(Resultados!BC85),ABS(Resultados!BL85),ABS(Resultados!BU85),ABS(Resultados!CD85)))</f>
        <v>45681</v>
      </c>
      <c r="B85" t="str">
        <f>IF(COUNT(Resultados!B85,Resultados!K85,Resultados!T85,Resultados!AC85,Resultados!AL85,Resultados!AU85,Resultados!BD85,Resultados!BM85,Resultados!BV85,Resultados!CE85)=0, "", AVERAGE(ABS(Resultados!B85),ABS(Resultados!K85),ABS(Resultados!T85),ABS(Resultados!AC85),ABS(Resultados!AL85),ABS(Resultados!AU85),ABS(Resultados!BD85),ABS(Resultados!BM85),ABS(Resultados!BV85),ABS(Resultados!CE85)))</f>
        <v/>
      </c>
      <c r="C85">
        <f>IF(COUNT(Resultados!C85,Resultados!L85,Resultados!U85,Resultados!AD85,Resultados!AM85,Resultados!AV85,Resultados!BE85,Resultados!BN85,Resultados!BW85,Resultados!CF85)=0, "", AVERAGE(ABS(Resultados!C85),ABS(Resultados!L85),ABS(Resultados!U85),ABS(Resultados!AD85),ABS(Resultados!AM85),ABS(Resultados!AV85),ABS(Resultados!BE85),ABS(Resultados!BN85),ABS(Resultados!BW85),ABS(Resultados!CF85)))</f>
        <v>2.7</v>
      </c>
      <c r="D85">
        <f>IF(COUNT(Resultados!D85,Resultados!M85,Resultados!V85,Resultados!AE85,Resultados!AN85,Resultados!AW85,Resultados!BF85,Resultados!BO85,Resultados!BX85,Resultados!CG85)=0, "", AVERAGE(ABS(Resultados!D85),ABS(Resultados!M85),ABS(Resultados!V85),ABS(Resultados!AE85),ABS(Resultados!AN85),ABS(Resultados!AW85),ABS(Resultados!BF85),ABS(Resultados!BO85),ABS(Resultados!BX85),ABS(Resultados!CG85)))</f>
        <v>2.6200000000000004E-3</v>
      </c>
      <c r="E85">
        <f>IF(COUNT(Resultados!E85,Resultados!N85,Resultados!W85,Resultados!AF85,Resultados!AO85,Resultados!AX85,Resultados!BG85,Resultados!BP85,Resultados!BY85,Resultados!CH85)=0, "", AVERAGE(ABS(Resultados!E85),ABS(Resultados!N85),ABS(Resultados!W85),ABS(Resultados!AF85),ABS(Resultados!AO85),ABS(Resultados!AX85),ABS(Resultados!BG85),ABS(Resultados!BP85),ABS(Resultados!BY85),ABS(Resultados!CH85)))</f>
        <v>6.2549590517871891</v>
      </c>
      <c r="F85">
        <f>IF(COUNT(Resultados!F85,Resultados!O85,Resultados!X85,Resultados!AG85,Resultados!AP85,Resultados!AY85,Resultados!BH85,Resultados!BQ85,Resultados!BZ85,Resultados!CI85)=0, "", AVERAGE(ABS(Resultados!F85),ABS(Resultados!O85),ABS(Resultados!X85),ABS(Resultados!AG85),ABS(Resultados!AP85),ABS(Resultados!AY85),ABS(Resultados!BH85),ABS(Resultados!BQ85),ABS(Resultados!BZ85),ABS(Resultados!CI85)))</f>
        <v>733.59561401460428</v>
      </c>
      <c r="G85">
        <f>IF(COUNT(Resultados!G85,Resultados!P85,Resultados!Y85,Resultados!AH85,Resultados!AQ85,Resultados!AZ85,Resultados!BI85,Resultados!BR85,Resultados!CA85,Resultados!CJ85)=0, "", AVERAGE(ABS(Resultados!G85),ABS(Resultados!P85),ABS(Resultados!Y85),ABS(Resultados!AH85),ABS(Resultados!AQ85),ABS(Resultados!AZ85),ABS(Resultados!BI85),ABS(Resultados!BR85),ABS(Resultados!CA85),ABS(Resultados!CJ85)))</f>
        <v>0.42400000000000004</v>
      </c>
      <c r="H85">
        <f>IF(COUNT(Resultados!H85,Resultados!Q85,Resultados!Z85,Resultados!AI85,Resultados!AR85,Resultados!BA85,Resultados!BJ85,Resultados!BS85,Resultados!CB85,Resultados!CK85)=0, "", AVERAGE(ABS(Resultados!H85),ABS(Resultados!Q85),ABS(Resultados!Z85),ABS(Resultados!AI85),ABS(Resultados!AR85),ABS(Resultados!BA85),ABS(Resultados!BJ85),ABS(Resultados!BS85),ABS(Resultados!CB85),ABS(Resultados!CK85)))</f>
        <v>4.0000000000000001E-3</v>
      </c>
      <c r="I85">
        <f>IF(COUNT(Resultados!I85,Resultados!R85,Resultados!AA85,Resultados!AJ85,Resultados!AS85,Resultados!BB85,Resultados!BK85,Resultados!BT85,Resultados!CC85,Resultados!CL85)=0, "", AVERAGE(ABS(Resultados!I85),ABS(Resultados!R85),ABS(Resultados!AA85),ABS(Resultados!AJ85),ABS(Resultados!AS85),ABS(Resultados!BB85),ABS(Resultados!BK85),ABS(Resultados!BT85),ABS(Resultados!CC85),ABS(Resultados!CL85)))</f>
        <v>16.639974000000002</v>
      </c>
      <c r="J85">
        <v>2.6200000000000004E-3</v>
      </c>
      <c r="K85">
        <v>4.0000000000000001E-3</v>
      </c>
    </row>
    <row r="86" spans="1:11" x14ac:dyDescent="0.3">
      <c r="A86">
        <f>IF(COUNT(Resultados!A86,Resultados!J86,Resultados!S86,Resultados!AB86,Resultados!AK86,Resultados!AT86,Resultados!BC86,Resultados!BL86,Resultados!BU86,Resultados!CD86)=0, "", AVERAGE(ABS(Resultados!A86),ABS(Resultados!J86),ABS(Resultados!S86),ABS(Resultados!AB86),ABS(Resultados!AK86),ABS(Resultados!AT86),ABS(Resultados!BC86),ABS(Resultados!BL86),ABS(Resultados!BU86),ABS(Resultados!CD86)))</f>
        <v>45681</v>
      </c>
      <c r="B86" t="str">
        <f>IF(COUNT(Resultados!B86,Resultados!K86,Resultados!T86,Resultados!AC86,Resultados!AL86,Resultados!AU86,Resultados!BD86,Resultados!BM86,Resultados!BV86,Resultados!CE86)=0, "", AVERAGE(ABS(Resultados!B86),ABS(Resultados!K86),ABS(Resultados!T86),ABS(Resultados!AC86),ABS(Resultados!AL86),ABS(Resultados!AU86),ABS(Resultados!BD86),ABS(Resultados!BM86),ABS(Resultados!BV86),ABS(Resultados!CE86)))</f>
        <v/>
      </c>
      <c r="C86">
        <f>IF(COUNT(Resultados!C86,Resultados!L86,Resultados!U86,Resultados!AD86,Resultados!AM86,Resultados!AV86,Resultados!BE86,Resultados!BN86,Resultados!BW86,Resultados!CF86)=0, "", AVERAGE(ABS(Resultados!C86),ABS(Resultados!L86),ABS(Resultados!U86),ABS(Resultados!AD86),ABS(Resultados!AM86),ABS(Resultados!AV86),ABS(Resultados!BE86),ABS(Resultados!BN86),ABS(Resultados!BW86),ABS(Resultados!CF86)))</f>
        <v>2.7</v>
      </c>
      <c r="D86">
        <f>IF(COUNT(Resultados!D86,Resultados!M86,Resultados!V86,Resultados!AE86,Resultados!AN86,Resultados!AW86,Resultados!BF86,Resultados!BO86,Resultados!BX86,Resultados!CG86)=0, "", AVERAGE(ABS(Resultados!D86),ABS(Resultados!M86),ABS(Resultados!V86),ABS(Resultados!AE86),ABS(Resultados!AN86),ABS(Resultados!AW86),ABS(Resultados!BF86),ABS(Resultados!BO86),ABS(Resultados!BX86),ABS(Resultados!CG86)))</f>
        <v>4.7700000000000008E-3</v>
      </c>
      <c r="E86">
        <f>IF(COUNT(Resultados!E86,Resultados!N86,Resultados!W86,Resultados!AF86,Resultados!AO86,Resultados!AX86,Resultados!BG86,Resultados!BP86,Resultados!BY86,Resultados!CH86)=0, "", AVERAGE(ABS(Resultados!E86),ABS(Resultados!N86),ABS(Resultados!W86),ABS(Resultados!AF86),ABS(Resultados!AO86),ABS(Resultados!AX86),ABS(Resultados!BG86),ABS(Resultados!BP86),ABS(Resultados!BY86),ABS(Resultados!CH86)))</f>
        <v>6.4294430454748852</v>
      </c>
      <c r="F86">
        <f>IF(COUNT(Resultados!F86,Resultados!O86,Resultados!X86,Resultados!AG86,Resultados!AP86,Resultados!AY86,Resultados!BH86,Resultados!BQ86,Resultados!BZ86,Resultados!CI86)=0, "", AVERAGE(ABS(Resultados!F86),ABS(Resultados!O86),ABS(Resultados!X86),ABS(Resultados!AG86),ABS(Resultados!AP86),ABS(Resultados!AY86),ABS(Resultados!BH86),ABS(Resultados!BQ86),ABS(Resultados!BZ86),ABS(Resultados!CI86)))</f>
        <v>750.15414501556666</v>
      </c>
      <c r="G86">
        <f>IF(COUNT(Resultados!G86,Resultados!P86,Resultados!Y86,Resultados!AH86,Resultados!AQ86,Resultados!AZ86,Resultados!BI86,Resultados!BR86,Resultados!CA86,Resultados!CJ86)=0, "", AVERAGE(ABS(Resultados!G86),ABS(Resultados!P86),ABS(Resultados!Y86),ABS(Resultados!AH86),ABS(Resultados!AQ86),ABS(Resultados!AZ86),ABS(Resultados!BI86),ABS(Resultados!BR86),ABS(Resultados!CA86),ABS(Resultados!CJ86)))</f>
        <v>0.42400000000000004</v>
      </c>
      <c r="H86">
        <f>IF(COUNT(Resultados!H86,Resultados!Q86,Resultados!Z86,Resultados!AI86,Resultados!AR86,Resultados!BA86,Resultados!BJ86,Resultados!BS86,Resultados!CB86,Resultados!CK86)=0, "", AVERAGE(ABS(Resultados!H86),ABS(Resultados!Q86),ABS(Resultados!Z86),ABS(Resultados!AI86),ABS(Resultados!AR86),ABS(Resultados!BA86),ABS(Resultados!BJ86),ABS(Resultados!BS86),ABS(Resultados!CB86),ABS(Resultados!CK86)))</f>
        <v>6.7299999999999999E-3</v>
      </c>
      <c r="I86">
        <f>IF(COUNT(Resultados!I86,Resultados!R86,Resultados!AA86,Resultados!AJ86,Resultados!AS86,Resultados!BB86,Resultados!BK86,Resultados!BT86,Resultados!CC86,Resultados!CL86)=0, "", AVERAGE(ABS(Resultados!I86),ABS(Resultados!R86),ABS(Resultados!AA86),ABS(Resultados!AJ86),ABS(Resultados!AS86),ABS(Resultados!BB86),ABS(Resultados!BK86),ABS(Resultados!BT86),ABS(Resultados!CC86),ABS(Resultados!CL86)))</f>
        <v>16.840363999999994</v>
      </c>
      <c r="J86">
        <v>4.7700000000000008E-3</v>
      </c>
      <c r="K86">
        <v>6.7299999999999999E-3</v>
      </c>
    </row>
    <row r="87" spans="1:11" x14ac:dyDescent="0.3">
      <c r="A87">
        <f>IF(COUNT(Resultados!A87,Resultados!J87,Resultados!S87,Resultados!AB87,Resultados!AK87,Resultados!AT87,Resultados!BC87,Resultados!BL87,Resultados!BU87,Resultados!CD87)=0, "", AVERAGE(ABS(Resultados!A87),ABS(Resultados!J87),ABS(Resultados!S87),ABS(Resultados!AB87),ABS(Resultados!AK87),ABS(Resultados!AT87),ABS(Resultados!BC87),ABS(Resultados!BL87),ABS(Resultados!BU87),ABS(Resultados!CD87)))</f>
        <v>45681</v>
      </c>
      <c r="B87" t="str">
        <f>IF(COUNT(Resultados!B87,Resultados!K87,Resultados!T87,Resultados!AC87,Resultados!AL87,Resultados!AU87,Resultados!BD87,Resultados!BM87,Resultados!BV87,Resultados!CE87)=0, "", AVERAGE(ABS(Resultados!B87),ABS(Resultados!K87),ABS(Resultados!T87),ABS(Resultados!AC87),ABS(Resultados!AL87),ABS(Resultados!AU87),ABS(Resultados!BD87),ABS(Resultados!BM87),ABS(Resultados!BV87),ABS(Resultados!CE87)))</f>
        <v/>
      </c>
      <c r="C87">
        <f>IF(COUNT(Resultados!C87,Resultados!L87,Resultados!U87,Resultados!AD87,Resultados!AM87,Resultados!AV87,Resultados!BE87,Resultados!BN87,Resultados!BW87,Resultados!CF87)=0, "", AVERAGE(ABS(Resultados!C87),ABS(Resultados!L87),ABS(Resultados!U87),ABS(Resultados!AD87),ABS(Resultados!AM87),ABS(Resultados!AV87),ABS(Resultados!BE87),ABS(Resultados!BN87),ABS(Resultados!BW87),ABS(Resultados!CF87)))</f>
        <v>2.7</v>
      </c>
      <c r="D87">
        <f>IF(COUNT(Resultados!D87,Resultados!M87,Resultados!V87,Resultados!AE87,Resultados!AN87,Resultados!AW87,Resultados!BF87,Resultados!BO87,Resultados!BX87,Resultados!CG87)=0, "", AVERAGE(ABS(Resultados!D87),ABS(Resultados!M87),ABS(Resultados!V87),ABS(Resultados!AE87),ABS(Resultados!AN87),ABS(Resultados!AW87),ABS(Resultados!BF87),ABS(Resultados!BO87),ABS(Resultados!BX87),ABS(Resultados!CG87)))</f>
        <v>7.6399999999999992E-3</v>
      </c>
      <c r="E87">
        <f>IF(COUNT(Resultados!E87,Resultados!N87,Resultados!W87,Resultados!AF87,Resultados!AO87,Resultados!AX87,Resultados!BG87,Resultados!BP87,Resultados!BY87,Resultados!CH87)=0, "", AVERAGE(ABS(Resultados!E87),ABS(Resultados!N87),ABS(Resultados!W87),ABS(Resultados!AF87),ABS(Resultados!AO87),ABS(Resultados!AX87),ABS(Resultados!BG87),ABS(Resultados!BP87),ABS(Resultados!BY87),ABS(Resultados!CH87)))</f>
        <v>6.6429361636042588</v>
      </c>
      <c r="F87">
        <f>IF(COUNT(Resultados!F87,Resultados!O87,Resultados!X87,Resultados!AG87,Resultados!AP87,Resultados!AY87,Resultados!BH87,Resultados!BQ87,Resultados!BZ87,Resultados!CI87)=0, "", AVERAGE(ABS(Resultados!F87),ABS(Resultados!O87),ABS(Resultados!X87),ABS(Resultados!AG87),ABS(Resultados!AP87),ABS(Resultados!AY87),ABS(Resultados!BH87),ABS(Resultados!BQ87),ABS(Resultados!BZ87),ABS(Resultados!CI87)))</f>
        <v>770.4146419260444</v>
      </c>
      <c r="G87">
        <f>IF(COUNT(Resultados!G87,Resultados!P87,Resultados!Y87,Resultados!AH87,Resultados!AQ87,Resultados!AZ87,Resultados!BI87,Resultados!BR87,Resultados!CA87,Resultados!CJ87)=0, "", AVERAGE(ABS(Resultados!G87),ABS(Resultados!P87),ABS(Resultados!Y87),ABS(Resultados!AH87),ABS(Resultados!AQ87),ABS(Resultados!AZ87),ABS(Resultados!BI87),ABS(Resultados!BR87),ABS(Resultados!CA87),ABS(Resultados!CJ87)))</f>
        <v>0.42400000000000004</v>
      </c>
      <c r="H87">
        <f>IF(COUNT(Resultados!H87,Resultados!Q87,Resultados!Z87,Resultados!AI87,Resultados!AR87,Resultados!BA87,Resultados!BJ87,Resultados!BS87,Resultados!CB87,Resultados!CK87)=0, "", AVERAGE(ABS(Resultados!H87),ABS(Resultados!Q87),ABS(Resultados!Z87),ABS(Resultados!AI87),ABS(Resultados!AR87),ABS(Resultados!BA87),ABS(Resultados!BJ87),ABS(Resultados!BS87),ABS(Resultados!CB87),ABS(Resultados!CK87)))</f>
        <v>1.0060000000000001E-2</v>
      </c>
      <c r="I87">
        <f>IF(COUNT(Resultados!I87,Resultados!R87,Resultados!AA87,Resultados!AJ87,Resultados!AS87,Resultados!BB87,Resultados!BK87,Resultados!BT87,Resultados!CC87,Resultados!CL87)=0, "", AVERAGE(ABS(Resultados!I87),ABS(Resultados!R87),ABS(Resultados!AA87),ABS(Resultados!AJ87),ABS(Resultados!AS87),ABS(Resultados!BB87),ABS(Resultados!BK87),ABS(Resultados!BT87),ABS(Resultados!CC87),ABS(Resultados!CL87)))</f>
        <v>17.040515999999993</v>
      </c>
      <c r="J87">
        <v>7.6399999999999992E-3</v>
      </c>
      <c r="K87">
        <v>1.0060000000000001E-2</v>
      </c>
    </row>
    <row r="88" spans="1:11" x14ac:dyDescent="0.3">
      <c r="A88">
        <f>IF(COUNT(Resultados!A88,Resultados!J88,Resultados!S88,Resultados!AB88,Resultados!AK88,Resultados!AT88,Resultados!BC88,Resultados!BL88,Resultados!BU88,Resultados!CD88)=0, "", AVERAGE(ABS(Resultados!A88),ABS(Resultados!J88),ABS(Resultados!S88),ABS(Resultados!AB88),ABS(Resultados!AK88),ABS(Resultados!AT88),ABS(Resultados!BC88),ABS(Resultados!BL88),ABS(Resultados!BU88),ABS(Resultados!CD88)))</f>
        <v>45681</v>
      </c>
      <c r="B88" t="str">
        <f>IF(COUNT(Resultados!B88,Resultados!K88,Resultados!T88,Resultados!AC88,Resultados!AL88,Resultados!AU88,Resultados!BD88,Resultados!BM88,Resultados!BV88,Resultados!CE88)=0, "", AVERAGE(ABS(Resultados!B88),ABS(Resultados!K88),ABS(Resultados!T88),ABS(Resultados!AC88),ABS(Resultados!AL88),ABS(Resultados!AU88),ABS(Resultados!BD88),ABS(Resultados!BM88),ABS(Resultados!BV88),ABS(Resultados!CE88)))</f>
        <v/>
      </c>
      <c r="C88">
        <f>IF(COUNT(Resultados!C88,Resultados!L88,Resultados!U88,Resultados!AD88,Resultados!AM88,Resultados!AV88,Resultados!BE88,Resultados!BN88,Resultados!BW88,Resultados!CF88)=0, "", AVERAGE(ABS(Resultados!C88),ABS(Resultados!L88),ABS(Resultados!U88),ABS(Resultados!AD88),ABS(Resultados!AM88),ABS(Resultados!AV88),ABS(Resultados!BE88),ABS(Resultados!BN88),ABS(Resultados!BW88),ABS(Resultados!CF88)))</f>
        <v>2.7</v>
      </c>
      <c r="D88">
        <f>IF(COUNT(Resultados!D88,Resultados!M88,Resultados!V88,Resultados!AE88,Resultados!AN88,Resultados!AW88,Resultados!BF88,Resultados!BO88,Resultados!BX88,Resultados!CG88)=0, "", AVERAGE(ABS(Resultados!D88),ABS(Resultados!M88),ABS(Resultados!V88),ABS(Resultados!AE88),ABS(Resultados!AN88),ABS(Resultados!AW88),ABS(Resultados!BF88),ABS(Resultados!BO88),ABS(Resultados!BX88),ABS(Resultados!CG88)))</f>
        <v>1.115E-2</v>
      </c>
      <c r="E88">
        <f>IF(COUNT(Resultados!E88,Resultados!N88,Resultados!W88,Resultados!AF88,Resultados!AO88,Resultados!AX88,Resultados!BG88,Resultados!BP88,Resultados!BY88,Resultados!CH88)=0, "", AVERAGE(ABS(Resultados!E88),ABS(Resultados!N88),ABS(Resultados!W88),ABS(Resultados!AF88),ABS(Resultados!AO88),ABS(Resultados!AX88),ABS(Resultados!BG88),ABS(Resultados!BP88),ABS(Resultados!BY88),ABS(Resultados!CH88)))</f>
        <v>6.8902303411821224</v>
      </c>
      <c r="F88">
        <f>IF(COUNT(Resultados!F88,Resultados!O88,Resultados!X88,Resultados!AG88,Resultados!AP88,Resultados!AY88,Resultados!BH88,Resultados!BQ88,Resultados!BZ88,Resultados!CI88)=0, "", AVERAGE(ABS(Resultados!F88),ABS(Resultados!O88),ABS(Resultados!X88),ABS(Resultados!AG88),ABS(Resultados!AP88),ABS(Resultados!AY88),ABS(Resultados!BH88),ABS(Resultados!BQ88),ABS(Resultados!BZ88),ABS(Resultados!CI88)))</f>
        <v>793.88285937818341</v>
      </c>
      <c r="G88">
        <f>IF(COUNT(Resultados!G88,Resultados!P88,Resultados!Y88,Resultados!AH88,Resultados!AQ88,Resultados!AZ88,Resultados!BI88,Resultados!BR88,Resultados!CA88,Resultados!CJ88)=0, "", AVERAGE(ABS(Resultados!G88),ABS(Resultados!P88),ABS(Resultados!Y88),ABS(Resultados!AH88),ABS(Resultados!AQ88),ABS(Resultados!AZ88),ABS(Resultados!BI88),ABS(Resultados!BR88),ABS(Resultados!CA88),ABS(Resultados!CJ88)))</f>
        <v>0.42400000000000004</v>
      </c>
      <c r="H88">
        <f>IF(COUNT(Resultados!H88,Resultados!Q88,Resultados!Z88,Resultados!AI88,Resultados!AR88,Resultados!BA88,Resultados!BJ88,Resultados!BS88,Resultados!CB88,Resultados!CK88)=0, "", AVERAGE(ABS(Resultados!H88),ABS(Resultados!Q88),ABS(Resultados!Z88),ABS(Resultados!AI88),ABS(Resultados!AR88),ABS(Resultados!BA88),ABS(Resultados!BJ88),ABS(Resultados!BS88),ABS(Resultados!CB88),ABS(Resultados!CK88)))</f>
        <v>1.391E-2</v>
      </c>
      <c r="I88">
        <f>IF(COUNT(Resultados!I88,Resultados!R88,Resultados!AA88,Resultados!AJ88,Resultados!AS88,Resultados!BB88,Resultados!BK88,Resultados!BT88,Resultados!CC88,Resultados!CL88)=0, "", AVERAGE(ABS(Resultados!I88),ABS(Resultados!R88),ABS(Resultados!AA88),ABS(Resultados!AJ88),ABS(Resultados!AS88),ABS(Resultados!BB88),ABS(Resultados!BK88),ABS(Resultados!BT88),ABS(Resultados!CC88),ABS(Resultados!CL88)))</f>
        <v>17.240376000000005</v>
      </c>
      <c r="J88">
        <v>1.115E-2</v>
      </c>
      <c r="K88">
        <v>1.391E-2</v>
      </c>
    </row>
    <row r="89" spans="1:11" x14ac:dyDescent="0.3">
      <c r="A89">
        <f>IF(COUNT(Resultados!A89,Resultados!J89,Resultados!S89,Resultados!AB89,Resultados!AK89,Resultados!AT89,Resultados!BC89,Resultados!BL89,Resultados!BU89,Resultados!CD89)=0, "", AVERAGE(ABS(Resultados!A89),ABS(Resultados!J89),ABS(Resultados!S89),ABS(Resultados!AB89),ABS(Resultados!AK89),ABS(Resultados!AT89),ABS(Resultados!BC89),ABS(Resultados!BL89),ABS(Resultados!BU89),ABS(Resultados!CD89)))</f>
        <v>45681</v>
      </c>
      <c r="B89" t="str">
        <f>IF(COUNT(Resultados!B89,Resultados!K89,Resultados!T89,Resultados!AC89,Resultados!AL89,Resultados!AU89,Resultados!BD89,Resultados!BM89,Resultados!BV89,Resultados!CE89)=0, "", AVERAGE(ABS(Resultados!B89),ABS(Resultados!K89),ABS(Resultados!T89),ABS(Resultados!AC89),ABS(Resultados!AL89),ABS(Resultados!AU89),ABS(Resultados!BD89),ABS(Resultados!BM89),ABS(Resultados!BV89),ABS(Resultados!CE89)))</f>
        <v/>
      </c>
      <c r="C89">
        <f>IF(COUNT(Resultados!C89,Resultados!L89,Resultados!U89,Resultados!AD89,Resultados!AM89,Resultados!AV89,Resultados!BE89,Resultados!BN89,Resultados!BW89,Resultados!CF89)=0, "", AVERAGE(ABS(Resultados!C89),ABS(Resultados!L89),ABS(Resultados!U89),ABS(Resultados!AD89),ABS(Resultados!AM89),ABS(Resultados!AV89),ABS(Resultados!BE89),ABS(Resultados!BN89),ABS(Resultados!BW89),ABS(Resultados!CF89)))</f>
        <v>2.7</v>
      </c>
      <c r="D89">
        <f>IF(COUNT(Resultados!D89,Resultados!M89,Resultados!V89,Resultados!AE89,Resultados!AN89,Resultados!AW89,Resultados!BF89,Resultados!BO89,Resultados!BX89,Resultados!CG89)=0, "", AVERAGE(ABS(Resultados!D89),ABS(Resultados!M89),ABS(Resultados!V89),ABS(Resultados!AE89),ABS(Resultados!AN89),ABS(Resultados!AW89),ABS(Resultados!BF89),ABS(Resultados!BO89),ABS(Resultados!BX89),ABS(Resultados!CG89)))</f>
        <v>1.494E-2</v>
      </c>
      <c r="E89">
        <f>IF(COUNT(Resultados!E89,Resultados!N89,Resultados!W89,Resultados!AF89,Resultados!AO89,Resultados!AX89,Resultados!BG89,Resultados!BP89,Resultados!BY89,Resultados!CH89)=0, "", AVERAGE(ABS(Resultados!E89),ABS(Resultados!N89),ABS(Resultados!W89),ABS(Resultados!AF89),ABS(Resultados!AO89),ABS(Resultados!AX89),ABS(Resultados!BG89),ABS(Resultados!BP89),ABS(Resultados!BY89),ABS(Resultados!CH89)))</f>
        <v>7.1650046906325953</v>
      </c>
      <c r="F89">
        <f>IF(COUNT(Resultados!F89,Resultados!O89,Resultados!X89,Resultados!AG89,Resultados!AP89,Resultados!AY89,Resultados!BH89,Resultados!BQ89,Resultados!BZ89,Resultados!CI89)=0, "", AVERAGE(ABS(Resultados!F89),ABS(Resultados!O89),ABS(Resultados!X89),ABS(Resultados!AG89),ABS(Resultados!AP89),ABS(Resultados!AY89),ABS(Resultados!BH89),ABS(Resultados!BQ89),ABS(Resultados!BZ89),ABS(Resultados!CI89)))</f>
        <v>819.9589451410335</v>
      </c>
      <c r="G89">
        <f>IF(COUNT(Resultados!G89,Resultados!P89,Resultados!Y89,Resultados!AH89,Resultados!AQ89,Resultados!AZ89,Resultados!BI89,Resultados!BR89,Resultados!CA89,Resultados!CJ89)=0, "", AVERAGE(ABS(Resultados!G89),ABS(Resultados!P89),ABS(Resultados!Y89),ABS(Resultados!AH89),ABS(Resultados!AQ89),ABS(Resultados!AZ89),ABS(Resultados!BI89),ABS(Resultados!BR89),ABS(Resultados!CA89),ABS(Resultados!CJ89)))</f>
        <v>0.42400000000000004</v>
      </c>
      <c r="H89">
        <f>IF(COUNT(Resultados!H89,Resultados!Q89,Resultados!Z89,Resultados!AI89,Resultados!AR89,Resultados!BA89,Resultados!BJ89,Resultados!BS89,Resultados!CB89,Resultados!CK89)=0, "", AVERAGE(ABS(Resultados!H89),ABS(Resultados!Q89),ABS(Resultados!Z89),ABS(Resultados!AI89),ABS(Resultados!AR89),ABS(Resultados!BA89),ABS(Resultados!BJ89),ABS(Resultados!BS89),ABS(Resultados!CB89),ABS(Resultados!CK89)))</f>
        <v>1.8159999999999999E-2</v>
      </c>
      <c r="I89">
        <f>IF(COUNT(Resultados!I89,Resultados!R89,Resultados!AA89,Resultados!AJ89,Resultados!AS89,Resultados!BB89,Resultados!BK89,Resultados!BT89,Resultados!CC89,Resultados!CL89)=0, "", AVERAGE(ABS(Resultados!I89),ABS(Resultados!R89),ABS(Resultados!AA89),ABS(Resultados!AJ89),ABS(Resultados!AS89),ABS(Resultados!BB89),ABS(Resultados!BK89),ABS(Resultados!BT89),ABS(Resultados!CC89),ABS(Resultados!CL89)))</f>
        <v>17.440034000000001</v>
      </c>
      <c r="J89">
        <v>1.494E-2</v>
      </c>
      <c r="K89">
        <v>1.8159999999999999E-2</v>
      </c>
    </row>
    <row r="90" spans="1:11" x14ac:dyDescent="0.3">
      <c r="A90">
        <f>IF(COUNT(Resultados!A90,Resultados!J90,Resultados!S90,Resultados!AB90,Resultados!AK90,Resultados!AT90,Resultados!BC90,Resultados!BL90,Resultados!BU90,Resultados!CD90)=0, "", AVERAGE(ABS(Resultados!A90),ABS(Resultados!J90),ABS(Resultados!S90),ABS(Resultados!AB90),ABS(Resultados!AK90),ABS(Resultados!AT90),ABS(Resultados!BC90),ABS(Resultados!BL90),ABS(Resultados!BU90),ABS(Resultados!CD90)))</f>
        <v>45681</v>
      </c>
      <c r="B90" t="str">
        <f>IF(COUNT(Resultados!B90,Resultados!K90,Resultados!T90,Resultados!AC90,Resultados!AL90,Resultados!AU90,Resultados!BD90,Resultados!BM90,Resultados!BV90,Resultados!CE90)=0, "", AVERAGE(ABS(Resultados!B90),ABS(Resultados!K90),ABS(Resultados!T90),ABS(Resultados!AC90),ABS(Resultados!AL90),ABS(Resultados!AU90),ABS(Resultados!BD90),ABS(Resultados!BM90),ABS(Resultados!BV90),ABS(Resultados!CE90)))</f>
        <v/>
      </c>
      <c r="C90">
        <f>IF(COUNT(Resultados!C90,Resultados!L90,Resultados!U90,Resultados!AD90,Resultados!AM90,Resultados!AV90,Resultados!BE90,Resultados!BN90,Resultados!BW90,Resultados!CF90)=0, "", AVERAGE(ABS(Resultados!C90),ABS(Resultados!L90),ABS(Resultados!U90),ABS(Resultados!AD90),ABS(Resultados!AM90),ABS(Resultados!AV90),ABS(Resultados!BE90),ABS(Resultados!BN90),ABS(Resultados!BW90),ABS(Resultados!CF90)))</f>
        <v>2.7</v>
      </c>
      <c r="D90">
        <f>IF(COUNT(Resultados!D90,Resultados!M90,Resultados!V90,Resultados!AE90,Resultados!AN90,Resultados!AW90,Resultados!BF90,Resultados!BO90,Resultados!BX90,Resultados!CG90)=0, "", AVERAGE(ABS(Resultados!D90),ABS(Resultados!M90),ABS(Resultados!V90),ABS(Resultados!AE90),ABS(Resultados!AN90),ABS(Resultados!AW90),ABS(Resultados!BF90),ABS(Resultados!BO90),ABS(Resultados!BX90),ABS(Resultados!CG90)))</f>
        <v>1.9410000000000004E-2</v>
      </c>
      <c r="E90">
        <f>IF(COUNT(Resultados!E90,Resultados!N90,Resultados!W90,Resultados!AF90,Resultados!AO90,Resultados!AX90,Resultados!BG90,Resultados!BP90,Resultados!BY90,Resultados!CH90)=0, "", AVERAGE(ABS(Resultados!E90),ABS(Resultados!N90),ABS(Resultados!W90),ABS(Resultados!AF90),ABS(Resultados!AO90),ABS(Resultados!AX90),ABS(Resultados!BG90),ABS(Resultados!BP90),ABS(Resultados!BY90),ABS(Resultados!CH90)))</f>
        <v>7.4608631947045394</v>
      </c>
      <c r="F90">
        <f>IF(COUNT(Resultados!F90,Resultados!O90,Resultados!X90,Resultados!AG90,Resultados!AP90,Resultados!AY90,Resultados!BH90,Resultados!BQ90,Resultados!BZ90,Resultados!CI90)=0, "", AVERAGE(ABS(Resultados!F90),ABS(Resultados!O90),ABS(Resultados!X90),ABS(Resultados!AG90),ABS(Resultados!AP90),ABS(Resultados!AY90),ABS(Resultados!BH90),ABS(Resultados!BQ90),ABS(Resultados!BZ90),ABS(Resultados!CI90)))</f>
        <v>848.03591717746076</v>
      </c>
      <c r="G90">
        <f>IF(COUNT(Resultados!G90,Resultados!P90,Resultados!Y90,Resultados!AH90,Resultados!AQ90,Resultados!AZ90,Resultados!BI90,Resultados!BR90,Resultados!CA90,Resultados!CJ90)=0, "", AVERAGE(ABS(Resultados!G90),ABS(Resultados!P90),ABS(Resultados!Y90),ABS(Resultados!AH90),ABS(Resultados!AQ90),ABS(Resultados!AZ90),ABS(Resultados!BI90),ABS(Resultados!BR90),ABS(Resultados!CA90),ABS(Resultados!CJ90)))</f>
        <v>0.42400000000000004</v>
      </c>
      <c r="H90">
        <f>IF(COUNT(Resultados!H90,Resultados!Q90,Resultados!Z90,Resultados!AI90,Resultados!AR90,Resultados!BA90,Resultados!BJ90,Resultados!BS90,Resultados!CB90,Resultados!CK90)=0, "", AVERAGE(ABS(Resultados!H90),ABS(Resultados!Q90),ABS(Resultados!Z90),ABS(Resultados!AI90),ABS(Resultados!AR90),ABS(Resultados!BA90),ABS(Resultados!BJ90),ABS(Resultados!BS90),ABS(Resultados!CB90),ABS(Resultados!CK90)))</f>
        <v>2.2760000000000002E-2</v>
      </c>
      <c r="I90">
        <f>IF(COUNT(Resultados!I90,Resultados!R90,Resultados!AA90,Resultados!AJ90,Resultados!AS90,Resultados!BB90,Resultados!BK90,Resultados!BT90,Resultados!CC90,Resultados!CL90)=0, "", AVERAGE(ABS(Resultados!I90),ABS(Resultados!R90),ABS(Resultados!AA90),ABS(Resultados!AJ90),ABS(Resultados!AS90),ABS(Resultados!BB90),ABS(Resultados!BK90),ABS(Resultados!BT90),ABS(Resultados!CC90),ABS(Resultados!CL90)))</f>
        <v>17.639708000000006</v>
      </c>
      <c r="J90">
        <v>1.9410000000000004E-2</v>
      </c>
      <c r="K90">
        <v>2.2760000000000002E-2</v>
      </c>
    </row>
    <row r="91" spans="1:11" x14ac:dyDescent="0.3">
      <c r="A91">
        <f>IF(COUNT(Resultados!A91,Resultados!J91,Resultados!S91,Resultados!AB91,Resultados!AK91,Resultados!AT91,Resultados!BC91,Resultados!BL91,Resultados!BU91,Resultados!CD91)=0, "", AVERAGE(ABS(Resultados!A91),ABS(Resultados!J91),ABS(Resultados!S91),ABS(Resultados!AB91),ABS(Resultados!AK91),ABS(Resultados!AT91),ABS(Resultados!BC91),ABS(Resultados!BL91),ABS(Resultados!BU91),ABS(Resultados!CD91)))</f>
        <v>45681</v>
      </c>
      <c r="B91" t="str">
        <f>IF(COUNT(Resultados!B91,Resultados!K91,Resultados!T91,Resultados!AC91,Resultados!AL91,Resultados!AU91,Resultados!BD91,Resultados!BM91,Resultados!BV91,Resultados!CE91)=0, "", AVERAGE(ABS(Resultados!B91),ABS(Resultados!K91),ABS(Resultados!T91),ABS(Resultados!AC91),ABS(Resultados!AL91),ABS(Resultados!AU91),ABS(Resultados!BD91),ABS(Resultados!BM91),ABS(Resultados!BV91),ABS(Resultados!CE91)))</f>
        <v/>
      </c>
      <c r="C91">
        <f>IF(COUNT(Resultados!C91,Resultados!L91,Resultados!U91,Resultados!AD91,Resultados!AM91,Resultados!AV91,Resultados!BE91,Resultados!BN91,Resultados!BW91,Resultados!CF91)=0, "", AVERAGE(ABS(Resultados!C91),ABS(Resultados!L91),ABS(Resultados!U91),ABS(Resultados!AD91),ABS(Resultados!AM91),ABS(Resultados!AV91),ABS(Resultados!BE91),ABS(Resultados!BN91),ABS(Resultados!BW91),ABS(Resultados!CF91)))</f>
        <v>2.7</v>
      </c>
      <c r="D91">
        <f>IF(COUNT(Resultados!D91,Resultados!M91,Resultados!V91,Resultados!AE91,Resultados!AN91,Resultados!AW91,Resultados!BF91,Resultados!BO91,Resultados!BX91,Resultados!CG91)=0, "", AVERAGE(ABS(Resultados!D91),ABS(Resultados!M91),ABS(Resultados!V91),ABS(Resultados!AE91),ABS(Resultados!AN91),ABS(Resultados!AW91),ABS(Resultados!BF91),ABS(Resultados!BO91),ABS(Resultados!BX91),ABS(Resultados!CG91)))</f>
        <v>2.376E-2</v>
      </c>
      <c r="E91">
        <f>IF(COUNT(Resultados!E91,Resultados!N91,Resultados!W91,Resultados!AF91,Resultados!AO91,Resultados!AX91,Resultados!BG91,Resultados!BP91,Resultados!BY91,Resultados!CH91)=0, "", AVERAGE(ABS(Resultados!E91),ABS(Resultados!N91),ABS(Resultados!W91),ABS(Resultados!AF91),ABS(Resultados!AO91),ABS(Resultados!AX91),ABS(Resultados!BG91),ABS(Resultados!BP91),ABS(Resultados!BY91),ABS(Resultados!CH91)))</f>
        <v>7.7716875836105359</v>
      </c>
      <c r="F91">
        <f>IF(COUNT(Resultados!F91,Resultados!O91,Resultados!X91,Resultados!AG91,Resultados!AP91,Resultados!AY91,Resultados!BH91,Resultados!BQ91,Resultados!BZ91,Resultados!CI91)=0, "", AVERAGE(ABS(Resultados!F91),ABS(Resultados!O91),ABS(Resultados!X91),ABS(Resultados!AG91),ABS(Resultados!AP91),ABS(Resultados!AY91),ABS(Resultados!BH91),ABS(Resultados!BQ91),ABS(Resultados!BZ91),ABS(Resultados!CI91)))</f>
        <v>877.53315168463996</v>
      </c>
      <c r="G91">
        <f>IF(COUNT(Resultados!G91,Resultados!P91,Resultados!Y91,Resultados!AH91,Resultados!AQ91,Resultados!AZ91,Resultados!BI91,Resultados!BR91,Resultados!CA91,Resultados!CJ91)=0, "", AVERAGE(ABS(Resultados!G91),ABS(Resultados!P91),ABS(Resultados!Y91),ABS(Resultados!AH91),ABS(Resultados!AQ91),ABS(Resultados!AZ91),ABS(Resultados!BI91),ABS(Resultados!BR91),ABS(Resultados!CA91),ABS(Resultados!CJ91)))</f>
        <v>0.42400000000000004</v>
      </c>
      <c r="H91">
        <f>IF(COUNT(Resultados!H91,Resultados!Q91,Resultados!Z91,Resultados!AI91,Resultados!AR91,Resultados!BA91,Resultados!BJ91,Resultados!BS91,Resultados!CB91,Resultados!CK91)=0, "", AVERAGE(ABS(Resultados!H91),ABS(Resultados!Q91),ABS(Resultados!Z91),ABS(Resultados!AI91),ABS(Resultados!AR91),ABS(Resultados!BA91),ABS(Resultados!BJ91),ABS(Resultados!BS91),ABS(Resultados!CB91),ABS(Resultados!CK91)))</f>
        <v>2.7590000000000003E-2</v>
      </c>
      <c r="I91">
        <f>IF(COUNT(Resultados!I91,Resultados!R91,Resultados!AA91,Resultados!AJ91,Resultados!AS91,Resultados!BB91,Resultados!BK91,Resultados!BT91,Resultados!CC91,Resultados!CL91)=0, "", AVERAGE(ABS(Resultados!I91),ABS(Resultados!R91),ABS(Resultados!AA91),ABS(Resultados!AJ91),ABS(Resultados!AS91),ABS(Resultados!BB91),ABS(Resultados!BK91),ABS(Resultados!BT91),ABS(Resultados!CC91),ABS(Resultados!CL91)))</f>
        <v>17.840115999999991</v>
      </c>
      <c r="J91">
        <v>2.376E-2</v>
      </c>
      <c r="K91">
        <v>2.7590000000000003E-2</v>
      </c>
    </row>
    <row r="92" spans="1:11" x14ac:dyDescent="0.3">
      <c r="A92">
        <f>IF(COUNT(Resultados!A92,Resultados!J92,Resultados!S92,Resultados!AB92,Resultados!AK92,Resultados!AT92,Resultados!BC92,Resultados!BL92,Resultados!BU92,Resultados!CD92)=0, "", AVERAGE(ABS(Resultados!A92),ABS(Resultados!J92),ABS(Resultados!S92),ABS(Resultados!AB92),ABS(Resultados!AK92),ABS(Resultados!AT92),ABS(Resultados!BC92),ABS(Resultados!BL92),ABS(Resultados!BU92),ABS(Resultados!CD92)))</f>
        <v>45681</v>
      </c>
      <c r="B92" t="str">
        <f>IF(COUNT(Resultados!B92,Resultados!K92,Resultados!T92,Resultados!AC92,Resultados!AL92,Resultados!AU92,Resultados!BD92,Resultados!BM92,Resultados!BV92,Resultados!CE92)=0, "", AVERAGE(ABS(Resultados!B92),ABS(Resultados!K92),ABS(Resultados!T92),ABS(Resultados!AC92),ABS(Resultados!AL92),ABS(Resultados!AU92),ABS(Resultados!BD92),ABS(Resultados!BM92),ABS(Resultados!BV92),ABS(Resultados!CE92)))</f>
        <v/>
      </c>
      <c r="C92">
        <f>IF(COUNT(Resultados!C92,Resultados!L92,Resultados!U92,Resultados!AD92,Resultados!AM92,Resultados!AV92,Resultados!BE92,Resultados!BN92,Resultados!BW92,Resultados!CF92)=0, "", AVERAGE(ABS(Resultados!C92),ABS(Resultados!L92),ABS(Resultados!U92),ABS(Resultados!AD92),ABS(Resultados!AM92),ABS(Resultados!AV92),ABS(Resultados!BE92),ABS(Resultados!BN92),ABS(Resultados!BW92),ABS(Resultados!CF92)))</f>
        <v>2.7</v>
      </c>
      <c r="D92">
        <f>IF(COUNT(Resultados!D92,Resultados!M92,Resultados!V92,Resultados!AE92,Resultados!AN92,Resultados!AW92,Resultados!BF92,Resultados!BO92,Resultados!BX92,Resultados!CG92)=0, "", AVERAGE(ABS(Resultados!D92),ABS(Resultados!M92),ABS(Resultados!V92),ABS(Resultados!AE92),ABS(Resultados!AN92),ABS(Resultados!AW92),ABS(Resultados!BF92),ABS(Resultados!BO92),ABS(Resultados!BX92),ABS(Resultados!CG92)))</f>
        <v>2.8890000000000006E-2</v>
      </c>
      <c r="E92">
        <f>IF(COUNT(Resultados!E92,Resultados!N92,Resultados!W92,Resultados!AF92,Resultados!AO92,Resultados!AX92,Resultados!BG92,Resultados!BP92,Resultados!BY92,Resultados!CH92)=0, "", AVERAGE(ABS(Resultados!E92),ABS(Resultados!N92),ABS(Resultados!W92),ABS(Resultados!AF92),ABS(Resultados!AO92),ABS(Resultados!AX92),ABS(Resultados!BG92),ABS(Resultados!BP92),ABS(Resultados!BY92),ABS(Resultados!CH92)))</f>
        <v>8.0892480175385941</v>
      </c>
      <c r="F92">
        <f>IF(COUNT(Resultados!F92,Resultados!O92,Resultados!X92,Resultados!AG92,Resultados!AP92,Resultados!AY92,Resultados!BH92,Resultados!BQ92,Resultados!BZ92,Resultados!CI92)=0, "", AVERAGE(ABS(Resultados!F92),ABS(Resultados!O92),ABS(Resultados!X92),ABS(Resultados!AG92),ABS(Resultados!AP92),ABS(Resultados!AY92),ABS(Resultados!BH92),ABS(Resultados!BQ92),ABS(Resultados!BZ92),ABS(Resultados!CI92)))</f>
        <v>907.6696368644125</v>
      </c>
      <c r="G92">
        <f>IF(COUNT(Resultados!G92,Resultados!P92,Resultados!Y92,Resultados!AH92,Resultados!AQ92,Resultados!AZ92,Resultados!BI92,Resultados!BR92,Resultados!CA92,Resultados!CJ92)=0, "", AVERAGE(ABS(Resultados!G92),ABS(Resultados!P92),ABS(Resultados!Y92),ABS(Resultados!AH92),ABS(Resultados!AQ92),ABS(Resultados!AZ92),ABS(Resultados!BI92),ABS(Resultados!BR92),ABS(Resultados!CA92),ABS(Resultados!CJ92)))</f>
        <v>0.42400000000000004</v>
      </c>
      <c r="H92">
        <f>IF(COUNT(Resultados!H92,Resultados!Q92,Resultados!Z92,Resultados!AI92,Resultados!AR92,Resultados!BA92,Resultados!BJ92,Resultados!BS92,Resultados!CB92,Resultados!CK92)=0, "", AVERAGE(ABS(Resultados!H92),ABS(Resultados!Q92),ABS(Resultados!Z92),ABS(Resultados!AI92),ABS(Resultados!AR92),ABS(Resultados!BA92),ABS(Resultados!BJ92),ABS(Resultados!BS92),ABS(Resultados!CB92),ABS(Resultados!CK92)))</f>
        <v>3.2520000000000007E-2</v>
      </c>
      <c r="I92">
        <f>IF(COUNT(Resultados!I92,Resultados!R92,Resultados!AA92,Resultados!AJ92,Resultados!AS92,Resultados!BB92,Resultados!BK92,Resultados!BT92,Resultados!CC92,Resultados!CL92)=0, "", AVERAGE(ABS(Resultados!I92),ABS(Resultados!R92),ABS(Resultados!AA92),ABS(Resultados!AJ92),ABS(Resultados!AS92),ABS(Resultados!BB92),ABS(Resultados!BK92),ABS(Resultados!BT92),ABS(Resultados!CC92),ABS(Resultados!CL92)))</f>
        <v>18.040871999999993</v>
      </c>
      <c r="J92">
        <v>2.8890000000000006E-2</v>
      </c>
      <c r="K92">
        <v>3.2520000000000007E-2</v>
      </c>
    </row>
    <row r="93" spans="1:11" x14ac:dyDescent="0.3">
      <c r="A93">
        <f>IF(COUNT(Resultados!A93,Resultados!J93,Resultados!S93,Resultados!AB93,Resultados!AK93,Resultados!AT93,Resultados!BC93,Resultados!BL93,Resultados!BU93,Resultados!CD93)=0, "", AVERAGE(ABS(Resultados!A93),ABS(Resultados!J93),ABS(Resultados!S93),ABS(Resultados!AB93),ABS(Resultados!AK93),ABS(Resultados!AT93),ABS(Resultados!BC93),ABS(Resultados!BL93),ABS(Resultados!BU93),ABS(Resultados!CD93)))</f>
        <v>45681</v>
      </c>
      <c r="B93" t="str">
        <f>IF(COUNT(Resultados!B93,Resultados!K93,Resultados!T93,Resultados!AC93,Resultados!AL93,Resultados!AU93,Resultados!BD93,Resultados!BM93,Resultados!BV93,Resultados!CE93)=0, "", AVERAGE(ABS(Resultados!B93),ABS(Resultados!K93),ABS(Resultados!T93),ABS(Resultados!AC93),ABS(Resultados!AL93),ABS(Resultados!AU93),ABS(Resultados!BD93),ABS(Resultados!BM93),ABS(Resultados!BV93),ABS(Resultados!CE93)))</f>
        <v/>
      </c>
      <c r="C93">
        <f>IF(COUNT(Resultados!C93,Resultados!L93,Resultados!U93,Resultados!AD93,Resultados!AM93,Resultados!AV93,Resultados!BE93,Resultados!BN93,Resultados!BW93,Resultados!CF93)=0, "", AVERAGE(ABS(Resultados!C93),ABS(Resultados!L93),ABS(Resultados!U93),ABS(Resultados!AD93),ABS(Resultados!AM93),ABS(Resultados!AV93),ABS(Resultados!BE93),ABS(Resultados!BN93),ABS(Resultados!BW93),ABS(Resultados!CF93)))</f>
        <v>2.7</v>
      </c>
      <c r="D93">
        <f>IF(COUNT(Resultados!D93,Resultados!M93,Resultados!V93,Resultados!AE93,Resultados!AN93,Resultados!AW93,Resultados!BF93,Resultados!BO93,Resultados!BX93,Resultados!CG93)=0, "", AVERAGE(ABS(Resultados!D93),ABS(Resultados!M93),ABS(Resultados!V93),ABS(Resultados!AE93),ABS(Resultados!AN93),ABS(Resultados!AW93),ABS(Resultados!BF93),ABS(Resultados!BO93),ABS(Resultados!BX93),ABS(Resultados!CG93)))</f>
        <v>3.3850000000000005E-2</v>
      </c>
      <c r="E93">
        <f>IF(COUNT(Resultados!E93,Resultados!N93,Resultados!W93,Resultados!AF93,Resultados!AO93,Resultados!AX93,Resultados!BG93,Resultados!BP93,Resultados!BY93,Resultados!CH93)=0, "", AVERAGE(ABS(Resultados!E93),ABS(Resultados!N93),ABS(Resultados!W93),ABS(Resultados!AF93),ABS(Resultados!AO93),ABS(Resultados!AX93),ABS(Resultados!BG93),ABS(Resultados!BP93),ABS(Resultados!BY93),ABS(Resultados!CH93)))</f>
        <v>8.4022992112563131</v>
      </c>
      <c r="F93">
        <f>IF(COUNT(Resultados!F93,Resultados!O93,Resultados!X93,Resultados!AG93,Resultados!AP93,Resultados!AY93,Resultados!BH93,Resultados!BQ93,Resultados!BZ93,Resultados!CI93)=0, "", AVERAGE(ABS(Resultados!F93),ABS(Resultados!O93),ABS(Resultados!X93),ABS(Resultados!AG93),ABS(Resultados!AP93),ABS(Resultados!AY93),ABS(Resultados!BH93),ABS(Resultados!BQ93),ABS(Resultados!BZ93),ABS(Resultados!CI93)))</f>
        <v>937.37819514822388</v>
      </c>
      <c r="G93">
        <f>IF(COUNT(Resultados!G93,Resultados!P93,Resultados!Y93,Resultados!AH93,Resultados!AQ93,Resultados!AZ93,Resultados!BI93,Resultados!BR93,Resultados!CA93,Resultados!CJ93)=0, "", AVERAGE(ABS(Resultados!G93),ABS(Resultados!P93),ABS(Resultados!Y93),ABS(Resultados!AH93),ABS(Resultados!AQ93),ABS(Resultados!AZ93),ABS(Resultados!BI93),ABS(Resultados!BR93),ABS(Resultados!CA93),ABS(Resultados!CJ93)))</f>
        <v>0.42400000000000004</v>
      </c>
      <c r="H93">
        <f>IF(COUNT(Resultados!H93,Resultados!Q93,Resultados!Z93,Resultados!AI93,Resultados!AR93,Resultados!BA93,Resultados!BJ93,Resultados!BS93,Resultados!CB93,Resultados!CK93)=0, "", AVERAGE(ABS(Resultados!H93),ABS(Resultados!Q93),ABS(Resultados!Z93),ABS(Resultados!AI93),ABS(Resultados!AR93),ABS(Resultados!BA93),ABS(Resultados!BJ93),ABS(Resultados!BS93),ABS(Resultados!CB93),ABS(Resultados!CK93)))</f>
        <v>3.7399999999999996E-2</v>
      </c>
      <c r="I93">
        <f>IF(COUNT(Resultados!I93,Resultados!R93,Resultados!AA93,Resultados!AJ93,Resultados!AS93,Resultados!BB93,Resultados!BK93,Resultados!BT93,Resultados!CC93,Resultados!CL93)=0, "", AVERAGE(ABS(Resultados!I93),ABS(Resultados!R93),ABS(Resultados!AA93),ABS(Resultados!AJ93),ABS(Resultados!AS93),ABS(Resultados!BB93),ABS(Resultados!BK93),ABS(Resultados!BT93),ABS(Resultados!CC93),ABS(Resultados!CL93)))</f>
        <v>18.239758000000005</v>
      </c>
      <c r="J93">
        <v>3.3850000000000005E-2</v>
      </c>
      <c r="K93">
        <v>3.7399999999999996E-2</v>
      </c>
    </row>
    <row r="94" spans="1:11" x14ac:dyDescent="0.3">
      <c r="A94">
        <f>IF(COUNT(Resultados!A94,Resultados!J94,Resultados!S94,Resultados!AB94,Resultados!AK94,Resultados!AT94,Resultados!BC94,Resultados!BL94,Resultados!BU94,Resultados!CD94)=0, "", AVERAGE(ABS(Resultados!A94),ABS(Resultados!J94),ABS(Resultados!S94),ABS(Resultados!AB94),ABS(Resultados!AK94),ABS(Resultados!AT94),ABS(Resultados!BC94),ABS(Resultados!BL94),ABS(Resultados!BU94),ABS(Resultados!CD94)))</f>
        <v>45681</v>
      </c>
      <c r="B94" t="str">
        <f>IF(COUNT(Resultados!B94,Resultados!K94,Resultados!T94,Resultados!AC94,Resultados!AL94,Resultados!AU94,Resultados!BD94,Resultados!BM94,Resultados!BV94,Resultados!CE94)=0, "", AVERAGE(ABS(Resultados!B94),ABS(Resultados!K94),ABS(Resultados!T94),ABS(Resultados!AC94),ABS(Resultados!AL94),ABS(Resultados!AU94),ABS(Resultados!BD94),ABS(Resultados!BM94),ABS(Resultados!BV94),ABS(Resultados!CE94)))</f>
        <v/>
      </c>
      <c r="C94">
        <f>IF(COUNT(Resultados!C94,Resultados!L94,Resultados!U94,Resultados!AD94,Resultados!AM94,Resultados!AV94,Resultados!BE94,Resultados!BN94,Resultados!BW94,Resultados!CF94)=0, "", AVERAGE(ABS(Resultados!C94),ABS(Resultados!L94),ABS(Resultados!U94),ABS(Resultados!AD94),ABS(Resultados!AM94),ABS(Resultados!AV94),ABS(Resultados!BE94),ABS(Resultados!BN94),ABS(Resultados!BW94),ABS(Resultados!CF94)))</f>
        <v>2.7</v>
      </c>
      <c r="D94">
        <f>IF(COUNT(Resultados!D94,Resultados!M94,Resultados!V94,Resultados!AE94,Resultados!AN94,Resultados!AW94,Resultados!BF94,Resultados!BO94,Resultados!BX94,Resultados!CG94)=0, "", AVERAGE(ABS(Resultados!D94),ABS(Resultados!M94),ABS(Resultados!V94),ABS(Resultados!AE94),ABS(Resultados!AN94),ABS(Resultados!AW94),ABS(Resultados!BF94),ABS(Resultados!BO94),ABS(Resultados!BX94),ABS(Resultados!CG94)))</f>
        <v>3.8879999999999998E-2</v>
      </c>
      <c r="E94">
        <f>IF(COUNT(Resultados!E94,Resultados!N94,Resultados!W94,Resultados!AF94,Resultados!AO94,Resultados!AX94,Resultados!BG94,Resultados!BP94,Resultados!BY94,Resultados!CH94)=0, "", AVERAGE(ABS(Resultados!E94),ABS(Resultados!N94),ABS(Resultados!W94),ABS(Resultados!AF94),ABS(Resultados!AO94),ABS(Resultados!AX94),ABS(Resultados!BG94),ABS(Resultados!BP94),ABS(Resultados!BY94),ABS(Resultados!CH94)))</f>
        <v>8.7075470392968448</v>
      </c>
      <c r="F94">
        <f>IF(COUNT(Resultados!F94,Resultados!O94,Resultados!X94,Resultados!AG94,Resultados!AP94,Resultados!AY94,Resultados!BH94,Resultados!BQ94,Resultados!BZ94,Resultados!CI94)=0, "", AVERAGE(ABS(Resultados!F94),ABS(Resultados!O94),ABS(Resultados!X94),ABS(Resultados!AG94),ABS(Resultados!AP94),ABS(Resultados!AY94),ABS(Resultados!BH94),ABS(Resultados!BQ94),ABS(Resultados!BZ94),ABS(Resultados!CI94)))</f>
        <v>966.34621402927041</v>
      </c>
      <c r="G94">
        <f>IF(COUNT(Resultados!G94,Resultados!P94,Resultados!Y94,Resultados!AH94,Resultados!AQ94,Resultados!AZ94,Resultados!BI94,Resultados!BR94,Resultados!CA94,Resultados!CJ94)=0, "", AVERAGE(ABS(Resultados!G94),ABS(Resultados!P94),ABS(Resultados!Y94),ABS(Resultados!AH94),ABS(Resultados!AQ94),ABS(Resultados!AZ94),ABS(Resultados!BI94),ABS(Resultados!BR94),ABS(Resultados!CA94),ABS(Resultados!CJ94)))</f>
        <v>0.42400000000000004</v>
      </c>
      <c r="H94">
        <f>IF(COUNT(Resultados!H94,Resultados!Q94,Resultados!Z94,Resultados!AI94,Resultados!AR94,Resultados!BA94,Resultados!BJ94,Resultados!BS94,Resultados!CB94,Resultados!CK94)=0, "", AVERAGE(ABS(Resultados!H94),ABS(Resultados!Q94),ABS(Resultados!Z94),ABS(Resultados!AI94),ABS(Resultados!AR94),ABS(Resultados!BA94),ABS(Resultados!BJ94),ABS(Resultados!BS94),ABS(Resultados!CB94),ABS(Resultados!CK94)))</f>
        <v>4.2139999999999997E-2</v>
      </c>
      <c r="I94">
        <f>IF(COUNT(Resultados!I94,Resultados!R94,Resultados!AA94,Resultados!AJ94,Resultados!AS94,Resultados!BB94,Resultados!BK94,Resultados!BT94,Resultados!CC94,Resultados!CL94)=0, "", AVERAGE(ABS(Resultados!I94),ABS(Resultados!R94),ABS(Resultados!AA94),ABS(Resultados!AJ94),ABS(Resultados!AS94),ABS(Resultados!BB94),ABS(Resultados!BK94),ABS(Resultados!BT94),ABS(Resultados!CC94),ABS(Resultados!CL94)))</f>
        <v>18.439608999999997</v>
      </c>
      <c r="J94">
        <v>3.8879999999999998E-2</v>
      </c>
      <c r="K94">
        <v>4.2139999999999997E-2</v>
      </c>
    </row>
    <row r="95" spans="1:11" x14ac:dyDescent="0.3">
      <c r="A95">
        <f>IF(COUNT(Resultados!A95,Resultados!J95,Resultados!S95,Resultados!AB95,Resultados!AK95,Resultados!AT95,Resultados!BC95,Resultados!BL95,Resultados!BU95,Resultados!CD95)=0, "", AVERAGE(ABS(Resultados!A95),ABS(Resultados!J95),ABS(Resultados!S95),ABS(Resultados!AB95),ABS(Resultados!AK95),ABS(Resultados!AT95),ABS(Resultados!BC95),ABS(Resultados!BL95),ABS(Resultados!BU95),ABS(Resultados!CD95)))</f>
        <v>45681</v>
      </c>
      <c r="B95" t="str">
        <f>IF(COUNT(Resultados!B95,Resultados!K95,Resultados!T95,Resultados!AC95,Resultados!AL95,Resultados!AU95,Resultados!BD95,Resultados!BM95,Resultados!BV95,Resultados!CE95)=0, "", AVERAGE(ABS(Resultados!B95),ABS(Resultados!K95),ABS(Resultados!T95),ABS(Resultados!AC95),ABS(Resultados!AL95),ABS(Resultados!AU95),ABS(Resultados!BD95),ABS(Resultados!BM95),ABS(Resultados!BV95),ABS(Resultados!CE95)))</f>
        <v/>
      </c>
      <c r="C95">
        <f>IF(COUNT(Resultados!C95,Resultados!L95,Resultados!U95,Resultados!AD95,Resultados!AM95,Resultados!AV95,Resultados!BE95,Resultados!BN95,Resultados!BW95,Resultados!CF95)=0, "", AVERAGE(ABS(Resultados!C95),ABS(Resultados!L95),ABS(Resultados!U95),ABS(Resultados!AD95),ABS(Resultados!AM95),ABS(Resultados!AV95),ABS(Resultados!BE95),ABS(Resultados!BN95),ABS(Resultados!BW95),ABS(Resultados!CF95)))</f>
        <v>2.7</v>
      </c>
      <c r="D95">
        <f>IF(COUNT(Resultados!D95,Resultados!M95,Resultados!V95,Resultados!AE95,Resultados!AN95,Resultados!AW95,Resultados!BF95,Resultados!BO95,Resultados!BX95,Resultados!CG95)=0, "", AVERAGE(ABS(Resultados!D95),ABS(Resultados!M95),ABS(Resultados!V95),ABS(Resultados!AE95),ABS(Resultados!AN95),ABS(Resultados!AW95),ABS(Resultados!BF95),ABS(Resultados!BO95),ABS(Resultados!BX95),ABS(Resultados!CG95)))</f>
        <v>4.3929999999999997E-2</v>
      </c>
      <c r="E95">
        <f>IF(COUNT(Resultados!E95,Resultados!N95,Resultados!W95,Resultados!AF95,Resultados!AO95,Resultados!AX95,Resultados!BG95,Resultados!BP95,Resultados!BY95,Resultados!CH95)=0, "", AVERAGE(ABS(Resultados!E95),ABS(Resultados!N95),ABS(Resultados!W95),ABS(Resultados!AF95),ABS(Resultados!AO95),ABS(Resultados!AX95),ABS(Resultados!BG95),ABS(Resultados!BP95),ABS(Resultados!BY95),ABS(Resultados!CH95)))</f>
        <v>8.9972209791137523</v>
      </c>
      <c r="F95">
        <f>IF(COUNT(Resultados!F95,Resultados!O95,Resultados!X95,Resultados!AG95,Resultados!AP95,Resultados!AY95,Resultados!BH95,Resultados!BQ95,Resultados!BZ95,Resultados!CI95)=0, "", AVERAGE(ABS(Resultados!F95),ABS(Resultados!O95),ABS(Resultados!X95),ABS(Resultados!AG95),ABS(Resultados!AP95),ABS(Resultados!AY95),ABS(Resultados!BH95),ABS(Resultados!BQ95),ABS(Resultados!BZ95),ABS(Resultados!CI95)))</f>
        <v>993.83627091789526</v>
      </c>
      <c r="G95">
        <f>IF(COUNT(Resultados!G95,Resultados!P95,Resultados!Y95,Resultados!AH95,Resultados!AQ95,Resultados!AZ95,Resultados!BI95,Resultados!BR95,Resultados!CA95,Resultados!CJ95)=0, "", AVERAGE(ABS(Resultados!G95),ABS(Resultados!P95),ABS(Resultados!Y95),ABS(Resultados!AH95),ABS(Resultados!AQ95),ABS(Resultados!AZ95),ABS(Resultados!BI95),ABS(Resultados!BR95),ABS(Resultados!CA95),ABS(Resultados!CJ95)))</f>
        <v>0.42400000000000004</v>
      </c>
      <c r="H95">
        <f>IF(COUNT(Resultados!H95,Resultados!Q95,Resultados!Z95,Resultados!AI95,Resultados!AR95,Resultados!BA95,Resultados!BJ95,Resultados!BS95,Resultados!CB95,Resultados!CK95)=0, "", AVERAGE(ABS(Resultados!H95),ABS(Resultados!Q95),ABS(Resultados!Z95),ABS(Resultados!AI95),ABS(Resultados!AR95),ABS(Resultados!BA95),ABS(Resultados!BJ95),ABS(Resultados!BS95),ABS(Resultados!CB95),ABS(Resultados!CK95)))</f>
        <v>4.6630000000000005E-2</v>
      </c>
      <c r="I95">
        <f>IF(COUNT(Resultados!I95,Resultados!R95,Resultados!AA95,Resultados!AJ95,Resultados!AS95,Resultados!BB95,Resultados!BK95,Resultados!BT95,Resultados!CC95,Resultados!CL95)=0, "", AVERAGE(ABS(Resultados!I95),ABS(Resultados!R95),ABS(Resultados!AA95),ABS(Resultados!AJ95),ABS(Resultados!AS95),ABS(Resultados!BB95),ABS(Resultados!BK95),ABS(Resultados!BT95),ABS(Resultados!CC95),ABS(Resultados!CL95)))</f>
        <v>18.640433999999996</v>
      </c>
      <c r="J95">
        <v>4.3929999999999997E-2</v>
      </c>
      <c r="K95">
        <v>4.6630000000000005E-2</v>
      </c>
    </row>
    <row r="96" spans="1:11" x14ac:dyDescent="0.3">
      <c r="A96">
        <f>IF(COUNT(Resultados!A96,Resultados!J96,Resultados!S96,Resultados!AB96,Resultados!AK96,Resultados!AT96,Resultados!BC96,Resultados!BL96,Resultados!BU96,Resultados!CD96)=0, "", AVERAGE(ABS(Resultados!A96),ABS(Resultados!J96),ABS(Resultados!S96),ABS(Resultados!AB96),ABS(Resultados!AK96),ABS(Resultados!AT96),ABS(Resultados!BC96),ABS(Resultados!BL96),ABS(Resultados!BU96),ABS(Resultados!CD96)))</f>
        <v>45681</v>
      </c>
      <c r="B96" t="str">
        <f>IF(COUNT(Resultados!B96,Resultados!K96,Resultados!T96,Resultados!AC96,Resultados!AL96,Resultados!AU96,Resultados!BD96,Resultados!BM96,Resultados!BV96,Resultados!CE96)=0, "", AVERAGE(ABS(Resultados!B96),ABS(Resultados!K96),ABS(Resultados!T96),ABS(Resultados!AC96),ABS(Resultados!AL96),ABS(Resultados!AU96),ABS(Resultados!BD96),ABS(Resultados!BM96),ABS(Resultados!BV96),ABS(Resultados!CE96)))</f>
        <v/>
      </c>
      <c r="C96">
        <f>IF(COUNT(Resultados!C96,Resultados!L96,Resultados!U96,Resultados!AD96,Resultados!AM96,Resultados!AV96,Resultados!BE96,Resultados!BN96,Resultados!BW96,Resultados!CF96)=0, "", AVERAGE(ABS(Resultados!C96),ABS(Resultados!L96),ABS(Resultados!U96),ABS(Resultados!AD96),ABS(Resultados!AM96),ABS(Resultados!AV96),ABS(Resultados!BE96),ABS(Resultados!BN96),ABS(Resultados!BW96),ABS(Resultados!CF96)))</f>
        <v>2.7</v>
      </c>
      <c r="D96">
        <f>IF(COUNT(Resultados!D96,Resultados!M96,Resultados!V96,Resultados!AE96,Resultados!AN96,Resultados!AW96,Resultados!BF96,Resultados!BO96,Resultados!BX96,Resultados!CG96)=0, "", AVERAGE(ABS(Resultados!D96),ABS(Resultados!M96),ABS(Resultados!V96),ABS(Resultados!AE96),ABS(Resultados!AN96),ABS(Resultados!AW96),ABS(Resultados!BF96),ABS(Resultados!BO96),ABS(Resultados!BX96),ABS(Resultados!CG96)))</f>
        <v>4.8640000000000003E-2</v>
      </c>
      <c r="E96">
        <f>IF(COUNT(Resultados!E96,Resultados!N96,Resultados!W96,Resultados!AF96,Resultados!AO96,Resultados!AX96,Resultados!BG96,Resultados!BP96,Resultados!BY96,Resultados!CH96)=0, "", AVERAGE(ABS(Resultados!E96),ABS(Resultados!N96),ABS(Resultados!W96),ABS(Resultados!AF96),ABS(Resultados!AO96),ABS(Resultados!AX96),ABS(Resultados!BG96),ABS(Resultados!BP96),ABS(Resultados!BY96),ABS(Resultados!CH96)))</f>
        <v>9.2620444681540128</v>
      </c>
      <c r="F96">
        <f>IF(COUNT(Resultados!F96,Resultados!O96,Resultados!X96,Resultados!AG96,Resultados!AP96,Resultados!AY96,Resultados!BH96,Resultados!BQ96,Resultados!BZ96,Resultados!CI96)=0, "", AVERAGE(ABS(Resultados!F96),ABS(Resultados!O96),ABS(Resultados!X96),ABS(Resultados!AG96),ABS(Resultados!AP96),ABS(Resultados!AY96),ABS(Resultados!BH96),ABS(Resultados!BQ96),ABS(Resultados!BZ96),ABS(Resultados!CI96)))</f>
        <v>1018.968020027816</v>
      </c>
      <c r="G96">
        <f>IF(COUNT(Resultados!G96,Resultados!P96,Resultados!Y96,Resultados!AH96,Resultados!AQ96,Resultados!AZ96,Resultados!BI96,Resultados!BR96,Resultados!CA96,Resultados!CJ96)=0, "", AVERAGE(ABS(Resultados!G96),ABS(Resultados!P96),ABS(Resultados!Y96),ABS(Resultados!AH96),ABS(Resultados!AQ96),ABS(Resultados!AZ96),ABS(Resultados!BI96),ABS(Resultados!BR96),ABS(Resultados!CA96),ABS(Resultados!CJ96)))</f>
        <v>0.42400000000000004</v>
      </c>
      <c r="H96">
        <f>IF(COUNT(Resultados!H96,Resultados!Q96,Resultados!Z96,Resultados!AI96,Resultados!AR96,Resultados!BA96,Resultados!BJ96,Resultados!BS96,Resultados!CB96,Resultados!CK96)=0, "", AVERAGE(ABS(Resultados!H96),ABS(Resultados!Q96),ABS(Resultados!Z96),ABS(Resultados!AI96),ABS(Resultados!AR96),ABS(Resultados!BA96),ABS(Resultados!BJ96),ABS(Resultados!BS96),ABS(Resultados!CB96),ABS(Resultados!CK96)))</f>
        <v>5.0739999999999993E-2</v>
      </c>
      <c r="I96">
        <f>IF(COUNT(Resultados!I96,Resultados!R96,Resultados!AA96,Resultados!AJ96,Resultados!AS96,Resultados!BB96,Resultados!BK96,Resultados!BT96,Resultados!CC96,Resultados!CL96)=0, "", AVERAGE(ABS(Resultados!I96),ABS(Resultados!R96),ABS(Resultados!AA96),ABS(Resultados!AJ96),ABS(Resultados!AS96),ABS(Resultados!BB96),ABS(Resultados!BK96),ABS(Resultados!BT96),ABS(Resultados!CC96),ABS(Resultados!CL96)))</f>
        <v>18.840600999999999</v>
      </c>
      <c r="J96">
        <v>4.8640000000000003E-2</v>
      </c>
      <c r="K96">
        <v>5.0739999999999993E-2</v>
      </c>
    </row>
    <row r="97" spans="1:11" x14ac:dyDescent="0.3">
      <c r="A97">
        <f>IF(COUNT(Resultados!A97,Resultados!J97,Resultados!S97,Resultados!AB97,Resultados!AK97,Resultados!AT97,Resultados!BC97,Resultados!BL97,Resultados!BU97,Resultados!CD97)=0, "", AVERAGE(ABS(Resultados!A97),ABS(Resultados!J97),ABS(Resultados!S97),ABS(Resultados!AB97),ABS(Resultados!AK97),ABS(Resultados!AT97),ABS(Resultados!BC97),ABS(Resultados!BL97),ABS(Resultados!BU97),ABS(Resultados!CD97)))</f>
        <v>45681</v>
      </c>
      <c r="B97" t="str">
        <f>IF(COUNT(Resultados!B97,Resultados!K97,Resultados!T97,Resultados!AC97,Resultados!AL97,Resultados!AU97,Resultados!BD97,Resultados!BM97,Resultados!BV97,Resultados!CE97)=0, "", AVERAGE(ABS(Resultados!B97),ABS(Resultados!K97),ABS(Resultados!T97),ABS(Resultados!AC97),ABS(Resultados!AL97),ABS(Resultados!AU97),ABS(Resultados!BD97),ABS(Resultados!BM97),ABS(Resultados!BV97),ABS(Resultados!CE97)))</f>
        <v/>
      </c>
      <c r="C97">
        <f>IF(COUNT(Resultados!C97,Resultados!L97,Resultados!U97,Resultados!AD97,Resultados!AM97,Resultados!AV97,Resultados!BE97,Resultados!BN97,Resultados!BW97,Resultados!CF97)=0, "", AVERAGE(ABS(Resultados!C97),ABS(Resultados!L97),ABS(Resultados!U97),ABS(Resultados!AD97),ABS(Resultados!AM97),ABS(Resultados!AV97),ABS(Resultados!BE97),ABS(Resultados!BN97),ABS(Resultados!BW97),ABS(Resultados!CF97)))</f>
        <v>2.7</v>
      </c>
      <c r="D97">
        <f>IF(COUNT(Resultados!D97,Resultados!M97,Resultados!V97,Resultados!AE97,Resultados!AN97,Resultados!AW97,Resultados!BF97,Resultados!BO97,Resultados!BX97,Resultados!CG97)=0, "", AVERAGE(ABS(Resultados!D97),ABS(Resultados!M97),ABS(Resultados!V97),ABS(Resultados!AE97),ABS(Resultados!AN97),ABS(Resultados!AW97),ABS(Resultados!BF97),ABS(Resultados!BO97),ABS(Resultados!BX97),ABS(Resultados!CG97)))</f>
        <v>5.3120000000000001E-2</v>
      </c>
      <c r="E97">
        <f>IF(COUNT(Resultados!E97,Resultados!N97,Resultados!W97,Resultados!AF97,Resultados!AO97,Resultados!AX97,Resultados!BG97,Resultados!BP97,Resultados!BY97,Resultados!CH97)=0, "", AVERAGE(ABS(Resultados!E97),ABS(Resultados!N97),ABS(Resultados!W97),ABS(Resultados!AF97),ABS(Resultados!AO97),ABS(Resultados!AX97),ABS(Resultados!BG97),ABS(Resultados!BP97),ABS(Resultados!BY97),ABS(Resultados!CH97)))</f>
        <v>9.495554221569062</v>
      </c>
      <c r="F97">
        <f>IF(COUNT(Resultados!F97,Resultados!O97,Resultados!X97,Resultados!AG97,Resultados!AP97,Resultados!AY97,Resultados!BH97,Resultados!BQ97,Resultados!BZ97,Resultados!CI97)=0, "", AVERAGE(ABS(Resultados!F97),ABS(Resultados!O97),ABS(Resultados!X97),ABS(Resultados!AG97),ABS(Resultados!AP97),ABS(Resultados!AY97),ABS(Resultados!BH97),ABS(Resultados!BQ97),ABS(Resultados!BZ97),ABS(Resultados!CI97)))</f>
        <v>1041.128095626904</v>
      </c>
      <c r="G97">
        <f>IF(COUNT(Resultados!G97,Resultados!P97,Resultados!Y97,Resultados!AH97,Resultados!AQ97,Resultados!AZ97,Resultados!BI97,Resultados!BR97,Resultados!CA97,Resultados!CJ97)=0, "", AVERAGE(ABS(Resultados!G97),ABS(Resultados!P97),ABS(Resultados!Y97),ABS(Resultados!AH97),ABS(Resultados!AQ97),ABS(Resultados!AZ97),ABS(Resultados!BI97),ABS(Resultados!BR97),ABS(Resultados!CA97),ABS(Resultados!CJ97)))</f>
        <v>0.42400000000000004</v>
      </c>
      <c r="H97">
        <f>IF(COUNT(Resultados!H97,Resultados!Q97,Resultados!Z97,Resultados!AI97,Resultados!AR97,Resultados!BA97,Resultados!BJ97,Resultados!BS97,Resultados!CB97,Resultados!CK97)=0, "", AVERAGE(ABS(Resultados!H97),ABS(Resultados!Q97),ABS(Resultados!Z97),ABS(Resultados!AI97),ABS(Resultados!AR97),ABS(Resultados!BA97),ABS(Resultados!BJ97),ABS(Resultados!BS97),ABS(Resultados!CB97),ABS(Resultados!CK97)))</f>
        <v>5.4390000000000008E-2</v>
      </c>
      <c r="I97">
        <f>IF(COUNT(Resultados!I97,Resultados!R97,Resultados!AA97,Resultados!AJ97,Resultados!AS97,Resultados!BB97,Resultados!BK97,Resultados!BT97,Resultados!CC97,Resultados!CL97)=0, "", AVERAGE(ABS(Resultados!I97),ABS(Resultados!R97),ABS(Resultados!AA97),ABS(Resultados!AJ97),ABS(Resultados!AS97),ABS(Resultados!BB97),ABS(Resultados!BK97),ABS(Resultados!BT97),ABS(Resultados!CC97),ABS(Resultados!CL97)))</f>
        <v>19.040131999999996</v>
      </c>
      <c r="J97">
        <v>5.3120000000000001E-2</v>
      </c>
      <c r="K97">
        <v>5.4390000000000008E-2</v>
      </c>
    </row>
    <row r="98" spans="1:11" x14ac:dyDescent="0.3">
      <c r="A98">
        <f>IF(COUNT(Resultados!A98,Resultados!J98,Resultados!S98,Resultados!AB98,Resultados!AK98,Resultados!AT98,Resultados!BC98,Resultados!BL98,Resultados!BU98,Resultados!CD98)=0, "", AVERAGE(ABS(Resultados!A98),ABS(Resultados!J98),ABS(Resultados!S98),ABS(Resultados!AB98),ABS(Resultados!AK98),ABS(Resultados!AT98),ABS(Resultados!BC98),ABS(Resultados!BL98),ABS(Resultados!BU98),ABS(Resultados!CD98)))</f>
        <v>45681</v>
      </c>
      <c r="B98" t="str">
        <f>IF(COUNT(Resultados!B98,Resultados!K98,Resultados!T98,Resultados!AC98,Resultados!AL98,Resultados!AU98,Resultados!BD98,Resultados!BM98,Resultados!BV98,Resultados!CE98)=0, "", AVERAGE(ABS(Resultados!B98),ABS(Resultados!K98),ABS(Resultados!T98),ABS(Resultados!AC98),ABS(Resultados!AL98),ABS(Resultados!AU98),ABS(Resultados!BD98),ABS(Resultados!BM98),ABS(Resultados!BV98),ABS(Resultados!CE98)))</f>
        <v/>
      </c>
      <c r="C98">
        <f>IF(COUNT(Resultados!C98,Resultados!L98,Resultados!U98,Resultados!AD98,Resultados!AM98,Resultados!AV98,Resultados!BE98,Resultados!BN98,Resultados!BW98,Resultados!CF98)=0, "", AVERAGE(ABS(Resultados!C98),ABS(Resultados!L98),ABS(Resultados!U98),ABS(Resultados!AD98),ABS(Resultados!AM98),ABS(Resultados!AV98),ABS(Resultados!BE98),ABS(Resultados!BN98),ABS(Resultados!BW98),ABS(Resultados!CF98)))</f>
        <v>2.7</v>
      </c>
      <c r="D98">
        <f>IF(COUNT(Resultados!D98,Resultados!M98,Resultados!V98,Resultados!AE98,Resultados!AN98,Resultados!AW98,Resultados!BF98,Resultados!BO98,Resultados!BX98,Resultados!CG98)=0, "", AVERAGE(ABS(Resultados!D98),ABS(Resultados!M98),ABS(Resultados!V98),ABS(Resultados!AE98),ABS(Resultados!AN98),ABS(Resultados!AW98),ABS(Resultados!BF98),ABS(Resultados!BO98),ABS(Resultados!BX98),ABS(Resultados!CG98)))</f>
        <v>5.6620000000000004E-2</v>
      </c>
      <c r="E98">
        <f>IF(COUNT(Resultados!E98,Resultados!N98,Resultados!W98,Resultados!AF98,Resultados!AO98,Resultados!AX98,Resultados!BG98,Resultados!BP98,Resultados!BY98,Resultados!CH98)=0, "", AVERAGE(ABS(Resultados!E98),ABS(Resultados!N98),ABS(Resultados!W98),ABS(Resultados!AF98),ABS(Resultados!AO98),ABS(Resultados!AX98),ABS(Resultados!BG98),ABS(Resultados!BP98),ABS(Resultados!BY98),ABS(Resultados!CH98)))</f>
        <v>9.6935679707613396</v>
      </c>
      <c r="F98">
        <f>IF(COUNT(Resultados!F98,Resultados!O98,Resultados!X98,Resultados!AG98,Resultados!AP98,Resultados!AY98,Resultados!BH98,Resultados!BQ98,Resultados!BZ98,Resultados!CI98)=0, "", AVERAGE(ABS(Resultados!F98),ABS(Resultados!O98),ABS(Resultados!X98),ABS(Resultados!AG98),ABS(Resultados!AP98),ABS(Resultados!AY98),ABS(Resultados!BH98),ABS(Resultados!BQ98),ABS(Resultados!BZ98),ABS(Resultados!CI98)))</f>
        <v>1059.919600425251</v>
      </c>
      <c r="G98">
        <f>IF(COUNT(Resultados!G98,Resultados!P98,Resultados!Y98,Resultados!AH98,Resultados!AQ98,Resultados!AZ98,Resultados!BI98,Resultados!BR98,Resultados!CA98,Resultados!CJ98)=0, "", AVERAGE(ABS(Resultados!G98),ABS(Resultados!P98),ABS(Resultados!Y98),ABS(Resultados!AH98),ABS(Resultados!AQ98),ABS(Resultados!AZ98),ABS(Resultados!BI98),ABS(Resultados!BR98),ABS(Resultados!CA98),ABS(Resultados!CJ98)))</f>
        <v>0.42400000000000004</v>
      </c>
      <c r="H98">
        <f>IF(COUNT(Resultados!H98,Resultados!Q98,Resultados!Z98,Resultados!AI98,Resultados!AR98,Resultados!BA98,Resultados!BJ98,Resultados!BS98,Resultados!CB98,Resultados!CK98)=0, "", AVERAGE(ABS(Resultados!H98),ABS(Resultados!Q98),ABS(Resultados!Z98),ABS(Resultados!AI98),ABS(Resultados!AR98),ABS(Resultados!BA98),ABS(Resultados!BJ98),ABS(Resultados!BS98),ABS(Resultados!CB98),ABS(Resultados!CK98)))</f>
        <v>5.7470000000000007E-2</v>
      </c>
      <c r="I98">
        <f>IF(COUNT(Resultados!I98,Resultados!R98,Resultados!AA98,Resultados!AJ98,Resultados!AS98,Resultados!BB98,Resultados!BK98,Resultados!BT98,Resultados!CC98,Resultados!CL98)=0, "", AVERAGE(ABS(Resultados!I98),ABS(Resultados!R98),ABS(Resultados!AA98),ABS(Resultados!AJ98),ABS(Resultados!AS98),ABS(Resultados!BB98),ABS(Resultados!BK98),ABS(Resultados!BT98),ABS(Resultados!CC98),ABS(Resultados!CL98)))</f>
        <v>19.240268</v>
      </c>
      <c r="J98">
        <v>5.6620000000000004E-2</v>
      </c>
      <c r="K98">
        <v>5.7470000000000007E-2</v>
      </c>
    </row>
    <row r="99" spans="1:11" x14ac:dyDescent="0.3">
      <c r="A99">
        <f>IF(COUNT(Resultados!A99,Resultados!J99,Resultados!S99,Resultados!AB99,Resultados!AK99,Resultados!AT99,Resultados!BC99,Resultados!BL99,Resultados!BU99,Resultados!CD99)=0, "", AVERAGE(ABS(Resultados!A99),ABS(Resultados!J99),ABS(Resultados!S99),ABS(Resultados!AB99),ABS(Resultados!AK99),ABS(Resultados!AT99),ABS(Resultados!BC99),ABS(Resultados!BL99),ABS(Resultados!BU99),ABS(Resultados!CD99)))</f>
        <v>45681</v>
      </c>
      <c r="B99" t="str">
        <f>IF(COUNT(Resultados!B99,Resultados!K99,Resultados!T99,Resultados!AC99,Resultados!AL99,Resultados!AU99,Resultados!BD99,Resultados!BM99,Resultados!BV99,Resultados!CE99)=0, "", AVERAGE(ABS(Resultados!B99),ABS(Resultados!K99),ABS(Resultados!T99),ABS(Resultados!AC99),ABS(Resultados!AL99),ABS(Resultados!AU99),ABS(Resultados!BD99),ABS(Resultados!BM99),ABS(Resultados!BV99),ABS(Resultados!CE99)))</f>
        <v/>
      </c>
      <c r="C99">
        <f>IF(COUNT(Resultados!C99,Resultados!L99,Resultados!U99,Resultados!AD99,Resultados!AM99,Resultados!AV99,Resultados!BE99,Resultados!BN99,Resultados!BW99,Resultados!CF99)=0, "", AVERAGE(ABS(Resultados!C99),ABS(Resultados!L99),ABS(Resultados!U99),ABS(Resultados!AD99),ABS(Resultados!AM99),ABS(Resultados!AV99),ABS(Resultados!BE99),ABS(Resultados!BN99),ABS(Resultados!BW99),ABS(Resultados!CF99)))</f>
        <v>2.7</v>
      </c>
      <c r="D99">
        <f>IF(COUNT(Resultados!D99,Resultados!M99,Resultados!V99,Resultados!AE99,Resultados!AN99,Resultados!AW99,Resultados!BF99,Resultados!BO99,Resultados!BX99,Resultados!CG99)=0, "", AVERAGE(ABS(Resultados!D99),ABS(Resultados!M99),ABS(Resultados!V99),ABS(Resultados!AE99),ABS(Resultados!AN99),ABS(Resultados!AW99),ABS(Resultados!BF99),ABS(Resultados!BO99),ABS(Resultados!BX99),ABS(Resultados!CG99)))</f>
        <v>5.96E-2</v>
      </c>
      <c r="E99">
        <f>IF(COUNT(Resultados!E99,Resultados!N99,Resultados!W99,Resultados!AF99,Resultados!AO99,Resultados!AX99,Resultados!BG99,Resultados!BP99,Resultados!BY99,Resultados!CH99)=0, "", AVERAGE(ABS(Resultados!E99),ABS(Resultados!N99),ABS(Resultados!W99),ABS(Resultados!AF99),ABS(Resultados!AO99),ABS(Resultados!AX99),ABS(Resultados!BG99),ABS(Resultados!BP99),ABS(Resultados!BY99),ABS(Resultados!CH99)))</f>
        <v>9.8501505970811785</v>
      </c>
      <c r="F99">
        <f>IF(COUNT(Resultados!F99,Resultados!O99,Resultados!X99,Resultados!AG99,Resultados!AP99,Resultados!AY99,Resultados!BH99,Resultados!BQ99,Resultados!BZ99,Resultados!CI99)=0, "", AVERAGE(ABS(Resultados!F99),ABS(Resultados!O99),ABS(Resultados!X99),ABS(Resultados!AG99),ABS(Resultados!AP99),ABS(Resultados!AY99),ABS(Resultados!BH99),ABS(Resultados!BQ99),ABS(Resultados!BZ99),ABS(Resultados!CI99)))</f>
        <v>1074.779291663004</v>
      </c>
      <c r="G99">
        <f>IF(COUNT(Resultados!G99,Resultados!P99,Resultados!Y99,Resultados!AH99,Resultados!AQ99,Resultados!AZ99,Resultados!BI99,Resultados!BR99,Resultados!CA99,Resultados!CJ99)=0, "", AVERAGE(ABS(Resultados!G99),ABS(Resultados!P99),ABS(Resultados!Y99),ABS(Resultados!AH99),ABS(Resultados!AQ99),ABS(Resultados!AZ99),ABS(Resultados!BI99),ABS(Resultados!BR99),ABS(Resultados!CA99),ABS(Resultados!CJ99)))</f>
        <v>0.42400000000000004</v>
      </c>
      <c r="H99">
        <f>IF(COUNT(Resultados!H99,Resultados!Q99,Resultados!Z99,Resultados!AI99,Resultados!AR99,Resultados!BA99,Resultados!BJ99,Resultados!BS99,Resultados!CB99,Resultados!CK99)=0, "", AVERAGE(ABS(Resultados!H99),ABS(Resultados!Q99),ABS(Resultados!Z99),ABS(Resultados!AI99),ABS(Resultados!AR99),ABS(Resultados!BA99),ABS(Resultados!BJ99),ABS(Resultados!BS99),ABS(Resultados!CB99),ABS(Resultados!CK99)))</f>
        <v>5.9880000000000003E-2</v>
      </c>
      <c r="I99">
        <f>IF(COUNT(Resultados!I99,Resultados!R99,Resultados!AA99,Resultados!AJ99,Resultados!AS99,Resultados!BB99,Resultados!BK99,Resultados!BT99,Resultados!CC99,Resultados!CL99)=0, "", AVERAGE(ABS(Resultados!I99),ABS(Resultados!R99),ABS(Resultados!AA99),ABS(Resultados!AJ99),ABS(Resultados!AS99),ABS(Resultados!BB99),ABS(Resultados!BK99),ABS(Resultados!BT99),ABS(Resultados!CC99),ABS(Resultados!CL99)))</f>
        <v>19.440232999999999</v>
      </c>
      <c r="J99">
        <v>5.96E-2</v>
      </c>
      <c r="K99">
        <v>5.9880000000000003E-2</v>
      </c>
    </row>
    <row r="100" spans="1:11" x14ac:dyDescent="0.3">
      <c r="A100">
        <f>IF(COUNT(Resultados!A100,Resultados!J100,Resultados!S100,Resultados!AB100,Resultados!AK100,Resultados!AT100,Resultados!BC100,Resultados!BL100,Resultados!BU100,Resultados!CD100)=0, "", AVERAGE(ABS(Resultados!A100),ABS(Resultados!J100),ABS(Resultados!S100),ABS(Resultados!AB100),ABS(Resultados!AK100),ABS(Resultados!AT100),ABS(Resultados!BC100),ABS(Resultados!BL100),ABS(Resultados!BU100),ABS(Resultados!CD100)))</f>
        <v>45681</v>
      </c>
      <c r="B100" t="str">
        <f>IF(COUNT(Resultados!B100,Resultados!K100,Resultados!T100,Resultados!AC100,Resultados!AL100,Resultados!AU100,Resultados!BD100,Resultados!BM100,Resultados!BV100,Resultados!CE100)=0, "", AVERAGE(ABS(Resultados!B100),ABS(Resultados!K100),ABS(Resultados!T100),ABS(Resultados!AC100),ABS(Resultados!AL100),ABS(Resultados!AU100),ABS(Resultados!BD100),ABS(Resultados!BM100),ABS(Resultados!BV100),ABS(Resultados!CE100)))</f>
        <v/>
      </c>
      <c r="C100">
        <f>IF(COUNT(Resultados!C100,Resultados!L100,Resultados!U100,Resultados!AD100,Resultados!AM100,Resultados!AV100,Resultados!BE100,Resultados!BN100,Resultados!BW100,Resultados!CF100)=0, "", AVERAGE(ABS(Resultados!C100),ABS(Resultados!L100),ABS(Resultados!U100),ABS(Resultados!AD100),ABS(Resultados!AM100),ABS(Resultados!AV100),ABS(Resultados!BE100),ABS(Resultados!BN100),ABS(Resultados!BW100),ABS(Resultados!CF100)))</f>
        <v>2.7</v>
      </c>
      <c r="D100">
        <f>IF(COUNT(Resultados!D100,Resultados!M100,Resultados!V100,Resultados!AE100,Resultados!AN100,Resultados!AW100,Resultados!BF100,Resultados!BO100,Resultados!BX100,Resultados!CG100)=0, "", AVERAGE(ABS(Resultados!D100),ABS(Resultados!M100),ABS(Resultados!V100),ABS(Resultados!AE100),ABS(Resultados!AN100),ABS(Resultados!AW100),ABS(Resultados!BF100),ABS(Resultados!BO100),ABS(Resultados!BX100),ABS(Resultados!CG100)))</f>
        <v>6.2350000000000003E-2</v>
      </c>
      <c r="E100">
        <f>IF(COUNT(Resultados!E100,Resultados!N100,Resultados!W100,Resultados!AF100,Resultados!AO100,Resultados!AX100,Resultados!BG100,Resultados!BP100,Resultados!BY100,Resultados!CH100)=0, "", AVERAGE(ABS(Resultados!E100),ABS(Resultados!N100),ABS(Resultados!W100),ABS(Resultados!AF100),ABS(Resultados!AO100),ABS(Resultados!AX100),ABS(Resultados!BG100),ABS(Resultados!BP100),ABS(Resultados!BY100),ABS(Resultados!CH100)))</f>
        <v>9.9618374746113805</v>
      </c>
      <c r="F100">
        <f>IF(COUNT(Resultados!F100,Resultados!O100,Resultados!X100,Resultados!AG100,Resultados!AP100,Resultados!AY100,Resultados!BH100,Resultados!BQ100,Resultados!BZ100,Resultados!CI100)=0, "", AVERAGE(ABS(Resultados!F100),ABS(Resultados!O100),ABS(Resultados!X100),ABS(Resultados!AG100),ABS(Resultados!AP100),ABS(Resultados!AY100),ABS(Resultados!BH100),ABS(Resultados!BQ100),ABS(Resultados!BZ100),ABS(Resultados!CI100)))</f>
        <v>1085.3783763406202</v>
      </c>
      <c r="G100">
        <f>IF(COUNT(Resultados!G100,Resultados!P100,Resultados!Y100,Resultados!AH100,Resultados!AQ100,Resultados!AZ100,Resultados!BI100,Resultados!BR100,Resultados!CA100,Resultados!CJ100)=0, "", AVERAGE(ABS(Resultados!G100),ABS(Resultados!P100),ABS(Resultados!Y100),ABS(Resultados!AH100),ABS(Resultados!AQ100),ABS(Resultados!AZ100),ABS(Resultados!BI100),ABS(Resultados!BR100),ABS(Resultados!CA100),ABS(Resultados!CJ100)))</f>
        <v>0.42400000000000004</v>
      </c>
      <c r="H100">
        <f>IF(COUNT(Resultados!H100,Resultados!Q100,Resultados!Z100,Resultados!AI100,Resultados!AR100,Resultados!BA100,Resultados!BJ100,Resultados!BS100,Resultados!CB100,Resultados!CK100)=0, "", AVERAGE(ABS(Resultados!H100),ABS(Resultados!Q100),ABS(Resultados!Z100),ABS(Resultados!AI100),ABS(Resultados!AR100),ABS(Resultados!BA100),ABS(Resultados!BJ100),ABS(Resultados!BS100),ABS(Resultados!CB100),ABS(Resultados!CK100)))</f>
        <v>6.1639999999999993E-2</v>
      </c>
      <c r="I100">
        <f>IF(COUNT(Resultados!I100,Resultados!R100,Resultados!AA100,Resultados!AJ100,Resultados!AS100,Resultados!BB100,Resultados!BK100,Resultados!BT100,Resultados!CC100,Resultados!CL100)=0, "", AVERAGE(ABS(Resultados!I100),ABS(Resultados!R100),ABS(Resultados!AA100),ABS(Resultados!AJ100),ABS(Resultados!AS100),ABS(Resultados!BB100),ABS(Resultados!BK100),ABS(Resultados!BT100),ABS(Resultados!CC100),ABS(Resultados!CL100)))</f>
        <v>19.639983000000001</v>
      </c>
      <c r="J100">
        <v>6.2350000000000003E-2</v>
      </c>
      <c r="K100">
        <v>6.1639999999999993E-2</v>
      </c>
    </row>
    <row r="101" spans="1:11" x14ac:dyDescent="0.3">
      <c r="A101">
        <f>IF(COUNT(Resultados!A101,Resultados!J101,Resultados!S101,Resultados!AB101,Resultados!AK101,Resultados!AT101,Resultados!BC101,Resultados!BL101,Resultados!BU101,Resultados!CD101)=0, "", AVERAGE(ABS(Resultados!A101),ABS(Resultados!J101),ABS(Resultados!S101),ABS(Resultados!AB101),ABS(Resultados!AK101),ABS(Resultados!AT101),ABS(Resultados!BC101),ABS(Resultados!BL101),ABS(Resultados!BU101),ABS(Resultados!CD101)))</f>
        <v>45681</v>
      </c>
      <c r="B101" t="str">
        <f>IF(COUNT(Resultados!B101,Resultados!K101,Resultados!T101,Resultados!AC101,Resultados!AL101,Resultados!AU101,Resultados!BD101,Resultados!BM101,Resultados!BV101,Resultados!CE101)=0, "", AVERAGE(ABS(Resultados!B101),ABS(Resultados!K101),ABS(Resultados!T101),ABS(Resultados!AC101),ABS(Resultados!AL101),ABS(Resultados!AU101),ABS(Resultados!BD101),ABS(Resultados!BM101),ABS(Resultados!BV101),ABS(Resultados!CE101)))</f>
        <v/>
      </c>
      <c r="C101">
        <f>IF(COUNT(Resultados!C101,Resultados!L101,Resultados!U101,Resultados!AD101,Resultados!AM101,Resultados!AV101,Resultados!BE101,Resultados!BN101,Resultados!BW101,Resultados!CF101)=0, "", AVERAGE(ABS(Resultados!C101),ABS(Resultados!L101),ABS(Resultados!U101),ABS(Resultados!AD101),ABS(Resultados!AM101),ABS(Resultados!AV101),ABS(Resultados!BE101),ABS(Resultados!BN101),ABS(Resultados!BW101),ABS(Resultados!CF101)))</f>
        <v>2.7</v>
      </c>
      <c r="D101">
        <f>IF(COUNT(Resultados!D101,Resultados!M101,Resultados!V101,Resultados!AE101,Resultados!AN101,Resultados!AW101,Resultados!BF101,Resultados!BO101,Resultados!BX101,Resultados!CG101)=0, "", AVERAGE(ABS(Resultados!D101),ABS(Resultados!M101),ABS(Resultados!V101),ABS(Resultados!AE101),ABS(Resultados!AN101),ABS(Resultados!AW101),ABS(Resultados!BF101),ABS(Resultados!BO101),ABS(Resultados!BX101),ABS(Resultados!CG101)))</f>
        <v>6.4919999999999992E-2</v>
      </c>
      <c r="E101">
        <f>IF(COUNT(Resultados!E101,Resultados!N101,Resultados!W101,Resultados!AF101,Resultados!AO101,Resultados!AX101,Resultados!BG101,Resultados!BP101,Resultados!BY101,Resultados!CH101)=0, "", AVERAGE(ABS(Resultados!E101),ABS(Resultados!N101),ABS(Resultados!W101),ABS(Resultados!AF101),ABS(Resultados!AO101),ABS(Resultados!AX101),ABS(Resultados!BG101),ABS(Resultados!BP101),ABS(Resultados!BY101),ABS(Resultados!CH101)))</f>
        <v>10.025937047966613</v>
      </c>
      <c r="F101">
        <f>IF(COUNT(Resultados!F101,Resultados!O101,Resultados!X101,Resultados!AG101,Resultados!AP101,Resultados!AY101,Resultados!BH101,Resultados!BQ101,Resultados!BZ101,Resultados!CI101)=0, "", AVERAGE(ABS(Resultados!F101),ABS(Resultados!O101),ABS(Resultados!X101),ABS(Resultados!AG101),ABS(Resultados!AP101),ABS(Resultados!AY101),ABS(Resultados!BH101),ABS(Resultados!BQ101),ABS(Resultados!BZ101),ABS(Resultados!CI101)))</f>
        <v>1080.557075881952</v>
      </c>
      <c r="G101">
        <f>IF(COUNT(Resultados!G101,Resultados!P101,Resultados!Y101,Resultados!AH101,Resultados!AQ101,Resultados!AZ101,Resultados!BI101,Resultados!BR101,Resultados!CA101,Resultados!CJ101)=0, "", AVERAGE(ABS(Resultados!G101),ABS(Resultados!P101),ABS(Resultados!Y101),ABS(Resultados!AH101),ABS(Resultados!AQ101),ABS(Resultados!AZ101),ABS(Resultados!BI101),ABS(Resultados!BR101),ABS(Resultados!CA101),ABS(Resultados!CJ101)))</f>
        <v>0.42400000000000004</v>
      </c>
      <c r="H101">
        <f>IF(COUNT(Resultados!H101,Resultados!Q101,Resultados!Z101,Resultados!AI101,Resultados!AR101,Resultados!BA101,Resultados!BJ101,Resultados!BS101,Resultados!CB101,Resultados!CK101)=0, "", AVERAGE(ABS(Resultados!H101),ABS(Resultados!Q101),ABS(Resultados!Z101),ABS(Resultados!AI101),ABS(Resultados!AR101),ABS(Resultados!BA101),ABS(Resultados!BJ101),ABS(Resultados!BS101),ABS(Resultados!CB101),ABS(Resultados!CK101)))</f>
        <v>6.2600000000000003E-2</v>
      </c>
      <c r="I101">
        <f>IF(COUNT(Resultados!I101,Resultados!R101,Resultados!AA101,Resultados!AJ101,Resultados!AS101,Resultados!BB101,Resultados!BK101,Resultados!BT101,Resultados!CC101,Resultados!CL101)=0, "", AVERAGE(ABS(Resultados!I101),ABS(Resultados!R101),ABS(Resultados!AA101),ABS(Resultados!AJ101),ABS(Resultados!AS101),ABS(Resultados!BB101),ABS(Resultados!BK101),ABS(Resultados!BT101),ABS(Resultados!CC101),ABS(Resultados!CL101)))</f>
        <v>19.840420999999999</v>
      </c>
      <c r="J101">
        <v>6.4919999999999992E-2</v>
      </c>
      <c r="K101">
        <v>6.2600000000000003E-2</v>
      </c>
    </row>
    <row r="102" spans="1:11" x14ac:dyDescent="0.3">
      <c r="A102">
        <f>IF(COUNT(Resultados!A102,Resultados!J102,Resultados!S102,Resultados!AB102,Resultados!AK102,Resultados!AT102,Resultados!BC102,Resultados!BL102,Resultados!BU102,Resultados!CD102)=0, "", AVERAGE(ABS(Resultados!A102),ABS(Resultados!J102),ABS(Resultados!S102),ABS(Resultados!AB102),ABS(Resultados!AK102),ABS(Resultados!AT102),ABS(Resultados!BC102),ABS(Resultados!BL102),ABS(Resultados!BU102),ABS(Resultados!CD102)))</f>
        <v>45681</v>
      </c>
      <c r="B102" t="str">
        <f>IF(COUNT(Resultados!B102,Resultados!K102,Resultados!T102,Resultados!AC102,Resultados!AL102,Resultados!AU102,Resultados!BD102,Resultados!BM102,Resultados!BV102,Resultados!CE102)=0, "", AVERAGE(ABS(Resultados!B102),ABS(Resultados!K102),ABS(Resultados!T102),ABS(Resultados!AC102),ABS(Resultados!AL102),ABS(Resultados!AU102),ABS(Resultados!BD102),ABS(Resultados!BM102),ABS(Resultados!BV102),ABS(Resultados!CE102)))</f>
        <v/>
      </c>
      <c r="C102">
        <f>IF(COUNT(Resultados!C102,Resultados!L102,Resultados!U102,Resultados!AD102,Resultados!AM102,Resultados!AV102,Resultados!BE102,Resultados!BN102,Resultados!BW102,Resultados!CF102)=0, "", AVERAGE(ABS(Resultados!C102),ABS(Resultados!L102),ABS(Resultados!U102),ABS(Resultados!AD102),ABS(Resultados!AM102),ABS(Resultados!AV102),ABS(Resultados!BE102),ABS(Resultados!BN102),ABS(Resultados!BW102),ABS(Resultados!CF102)))</f>
        <v>2.7</v>
      </c>
      <c r="D102">
        <f>IF(COUNT(Resultados!D102,Resultados!M102,Resultados!V102,Resultados!AE102,Resultados!AN102,Resultados!AW102,Resultados!BF102,Resultados!BO102,Resultados!BX102,Resultados!CG102)=0, "", AVERAGE(ABS(Resultados!D102),ABS(Resultados!M102),ABS(Resultados!V102),ABS(Resultados!AE102),ABS(Resultados!AN102),ABS(Resultados!AW102),ABS(Resultados!BF102),ABS(Resultados!BO102),ABS(Resultados!BX102),ABS(Resultados!CG102)))</f>
        <v>6.5690000000000012E-2</v>
      </c>
      <c r="E102">
        <f>IF(COUNT(Resultados!E102,Resultados!N102,Resultados!W102,Resultados!AF102,Resultados!AO102,Resultados!AX102,Resultados!BG102,Resultados!BP102,Resultados!BY102,Resultados!CH102)=0, "", AVERAGE(ABS(Resultados!E102),ABS(Resultados!N102),ABS(Resultados!W102),ABS(Resultados!AF102),ABS(Resultados!AO102),ABS(Resultados!AX102),ABS(Resultados!BG102),ABS(Resultados!BP102),ABS(Resultados!BY102),ABS(Resultados!CH102)))</f>
        <v>10.040439682468836</v>
      </c>
      <c r="F102">
        <f>IF(COUNT(Resultados!F102,Resultados!O102,Resultados!X102,Resultados!AG102,Resultados!AP102,Resultados!AY102,Resultados!BH102,Resultados!BQ102,Resultados!BZ102,Resultados!CI102)=0, "", AVERAGE(ABS(Resultados!F102),ABS(Resultados!O102),ABS(Resultados!X102),ABS(Resultados!AG102),ABS(Resultados!AP102),ABS(Resultados!AY102),ABS(Resultados!BH102),ABS(Resultados!BQ102),ABS(Resultados!BZ102),ABS(Resultados!CI102)))</f>
        <v>1081.9461453216663</v>
      </c>
      <c r="G102">
        <f>IF(COUNT(Resultados!G102,Resultados!P102,Resultados!Y102,Resultados!AH102,Resultados!AQ102,Resultados!AZ102,Resultados!BI102,Resultados!BR102,Resultados!CA102,Resultados!CJ102)=0, "", AVERAGE(ABS(Resultados!G102),ABS(Resultados!P102),ABS(Resultados!Y102),ABS(Resultados!AH102),ABS(Resultados!AQ102),ABS(Resultados!AZ102),ABS(Resultados!BI102),ABS(Resultados!BR102),ABS(Resultados!CA102),ABS(Resultados!CJ102)))</f>
        <v>0.42400000000000004</v>
      </c>
      <c r="H102">
        <f>IF(COUNT(Resultados!H102,Resultados!Q102,Resultados!Z102,Resultados!AI102,Resultados!AR102,Resultados!BA102,Resultados!BJ102,Resultados!BS102,Resultados!CB102,Resultados!CK102)=0, "", AVERAGE(ABS(Resultados!H102),ABS(Resultados!Q102),ABS(Resultados!Z102),ABS(Resultados!AI102),ABS(Resultados!AR102),ABS(Resultados!BA102),ABS(Resultados!BJ102),ABS(Resultados!BS102),ABS(Resultados!CB102),ABS(Resultados!CK102)))</f>
        <v>6.2839999999999979E-2</v>
      </c>
      <c r="I102">
        <f>IF(COUNT(Resultados!I102,Resultados!R102,Resultados!AA102,Resultados!AJ102,Resultados!AS102,Resultados!BB102,Resultados!BK102,Resultados!BT102,Resultados!CC102,Resultados!CL102)=0, "", AVERAGE(ABS(Resultados!I102),ABS(Resultados!R102),ABS(Resultados!AA102),ABS(Resultados!AJ102),ABS(Resultados!AS102),ABS(Resultados!BB102),ABS(Resultados!BK102),ABS(Resultados!BT102),ABS(Resultados!CC102),ABS(Resultados!CL102)))</f>
        <v>20.040134999999999</v>
      </c>
      <c r="J102">
        <v>6.5690000000000012E-2</v>
      </c>
      <c r="K102">
        <v>6.2839999999999979E-2</v>
      </c>
    </row>
    <row r="103" spans="1:11" x14ac:dyDescent="0.3">
      <c r="A103">
        <f>IF(COUNT(Resultados!A103,Resultados!J103,Resultados!S103,Resultados!AB103,Resultados!AK103,Resultados!AT103,Resultados!BC103,Resultados!BL103,Resultados!BU103,Resultados!CD103)=0, "", AVERAGE(ABS(Resultados!A103),ABS(Resultados!J103),ABS(Resultados!S103),ABS(Resultados!AB103),ABS(Resultados!AK103),ABS(Resultados!AT103),ABS(Resultados!BC103),ABS(Resultados!BL103),ABS(Resultados!BU103),ABS(Resultados!CD103)))</f>
        <v>45681</v>
      </c>
      <c r="B103" t="str">
        <f>IF(COUNT(Resultados!B103,Resultados!K103,Resultados!T103,Resultados!AC103,Resultados!AL103,Resultados!AU103,Resultados!BD103,Resultados!BM103,Resultados!BV103,Resultados!CE103)=0, "", AVERAGE(ABS(Resultados!B103),ABS(Resultados!K103),ABS(Resultados!T103),ABS(Resultados!AC103),ABS(Resultados!AL103),ABS(Resultados!AU103),ABS(Resultados!BD103),ABS(Resultados!BM103),ABS(Resultados!BV103),ABS(Resultados!CE103)))</f>
        <v/>
      </c>
      <c r="C103">
        <f>IF(COUNT(Resultados!C103,Resultados!L103,Resultados!U103,Resultados!AD103,Resultados!AM103,Resultados!AV103,Resultados!BE103,Resultados!BN103,Resultados!BW103,Resultados!CF103)=0, "", AVERAGE(ABS(Resultados!C103),ABS(Resultados!L103),ABS(Resultados!U103),ABS(Resultados!AD103),ABS(Resultados!AM103),ABS(Resultados!AV103),ABS(Resultados!BE103),ABS(Resultados!BN103),ABS(Resultados!BW103),ABS(Resultados!CF103)))</f>
        <v>2.7</v>
      </c>
      <c r="D103">
        <f>IF(COUNT(Resultados!D103,Resultados!M103,Resultados!V103,Resultados!AE103,Resultados!AN103,Resultados!AW103,Resultados!BF103,Resultados!BO103,Resultados!BX103,Resultados!CG103)=0, "", AVERAGE(ABS(Resultados!D103),ABS(Resultados!M103),ABS(Resultados!V103),ABS(Resultados!AE103),ABS(Resultados!AN103),ABS(Resultados!AW103),ABS(Resultados!BF103),ABS(Resultados!BO103),ABS(Resultados!BX103),ABS(Resultados!CG103)))</f>
        <v>6.5689999999999998E-2</v>
      </c>
      <c r="E103">
        <f>IF(COUNT(Resultados!E103,Resultados!N103,Resultados!W103,Resultados!AF103,Resultados!AO103,Resultados!AX103,Resultados!BG103,Resultados!BP103,Resultados!BY103,Resultados!CH103)=0, "", AVERAGE(ABS(Resultados!E103),ABS(Resultados!N103),ABS(Resultados!W103),ABS(Resultados!AF103),ABS(Resultados!AO103),ABS(Resultados!AX103),ABS(Resultados!BG103),ABS(Resultados!BP103),ABS(Resultados!BY103),ABS(Resultados!CH103)))</f>
        <v>10.005573739244428</v>
      </c>
      <c r="F103">
        <f>IF(COUNT(Resultados!F103,Resultados!O103,Resultados!X103,Resultados!AG103,Resultados!AP103,Resultados!AY103,Resultados!BH103,Resultados!BQ103,Resultados!BZ103,Resultados!CI103)=0, "", AVERAGE(ABS(Resultados!F103),ABS(Resultados!O103),ABS(Resultados!X103),ABS(Resultados!AG103),ABS(Resultados!AP103),ABS(Resultados!AY103),ABS(Resultados!BH103),ABS(Resultados!BQ103),ABS(Resultados!BZ103),ABS(Resultados!CI103)))</f>
        <v>980.51947249758086</v>
      </c>
      <c r="G103">
        <f>IF(COUNT(Resultados!G103,Resultados!P103,Resultados!Y103,Resultados!AH103,Resultados!AQ103,Resultados!AZ103,Resultados!BI103,Resultados!BR103,Resultados!CA103,Resultados!CJ103)=0, "", AVERAGE(ABS(Resultados!G103),ABS(Resultados!P103),ABS(Resultados!Y103),ABS(Resultados!AH103),ABS(Resultados!AQ103),ABS(Resultados!AZ103),ABS(Resultados!BI103),ABS(Resultados!BR103),ABS(Resultados!CA103),ABS(Resultados!CJ103)))</f>
        <v>0.42400000000000004</v>
      </c>
      <c r="H103">
        <f>IF(COUNT(Resultados!H103,Resultados!Q103,Resultados!Z103,Resultados!AI103,Resultados!AR103,Resultados!BA103,Resultados!BJ103,Resultados!BS103,Resultados!CB103,Resultados!CK103)=0, "", AVERAGE(ABS(Resultados!H103),ABS(Resultados!Q103),ABS(Resultados!Z103),ABS(Resultados!AI103),ABS(Resultados!AR103),ABS(Resultados!BA103),ABS(Resultados!BJ103),ABS(Resultados!BS103),ABS(Resultados!CB103),ABS(Resultados!CK103)))</f>
        <v>6.2300000000000001E-2</v>
      </c>
      <c r="I103">
        <f>IF(COUNT(Resultados!I103,Resultados!R103,Resultados!AA103,Resultados!AJ103,Resultados!AS103,Resultados!BB103,Resultados!BK103,Resultados!BT103,Resultados!CC103,Resultados!CL103)=0, "", AVERAGE(ABS(Resultados!I103),ABS(Resultados!R103),ABS(Resultados!AA103),ABS(Resultados!AJ103),ABS(Resultados!AS103),ABS(Resultados!BB103),ABS(Resultados!BK103),ABS(Resultados!BT103),ABS(Resultados!CC103),ABS(Resultados!CL103)))</f>
        <v>20.239714999999993</v>
      </c>
      <c r="J103">
        <v>6.5689999999999998E-2</v>
      </c>
      <c r="K103">
        <v>6.2300000000000001E-2</v>
      </c>
    </row>
    <row r="104" spans="1:11" x14ac:dyDescent="0.3">
      <c r="A104">
        <f>IF(COUNT(Resultados!A104,Resultados!J104,Resultados!S104,Resultados!AB104,Resultados!AK104,Resultados!AT104,Resultados!BC104,Resultados!BL104,Resultados!BU104,Resultados!CD104)=0, "", AVERAGE(ABS(Resultados!A104),ABS(Resultados!J104),ABS(Resultados!S104),ABS(Resultados!AB104),ABS(Resultados!AK104),ABS(Resultados!AT104),ABS(Resultados!BC104),ABS(Resultados!BL104),ABS(Resultados!BU104),ABS(Resultados!CD104)))</f>
        <v>45681</v>
      </c>
      <c r="B104" t="str">
        <f>IF(COUNT(Resultados!B104,Resultados!K104,Resultados!T104,Resultados!AC104,Resultados!AL104,Resultados!AU104,Resultados!BD104,Resultados!BM104,Resultados!BV104,Resultados!CE104)=0, "", AVERAGE(ABS(Resultados!B104),ABS(Resultados!K104),ABS(Resultados!T104),ABS(Resultados!AC104),ABS(Resultados!AL104),ABS(Resultados!AU104),ABS(Resultados!BD104),ABS(Resultados!BM104),ABS(Resultados!BV104),ABS(Resultados!CE104)))</f>
        <v/>
      </c>
      <c r="C104">
        <f>IF(COUNT(Resultados!C104,Resultados!L104,Resultados!U104,Resultados!AD104,Resultados!AM104,Resultados!AV104,Resultados!BE104,Resultados!BN104,Resultados!BW104,Resultados!CF104)=0, "", AVERAGE(ABS(Resultados!C104),ABS(Resultados!L104),ABS(Resultados!U104),ABS(Resultados!AD104),ABS(Resultados!AM104),ABS(Resultados!AV104),ABS(Resultados!BE104),ABS(Resultados!BN104),ABS(Resultados!BW104),ABS(Resultados!CF104)))</f>
        <v>2.7</v>
      </c>
      <c r="D104">
        <f>IF(COUNT(Resultados!D104,Resultados!M104,Resultados!V104,Resultados!AE104,Resultados!AN104,Resultados!AW104,Resultados!BF104,Resultados!BO104,Resultados!BX104,Resultados!CG104)=0, "", AVERAGE(ABS(Resultados!D104),ABS(Resultados!M104),ABS(Resultados!V104),ABS(Resultados!AE104),ABS(Resultados!AN104),ABS(Resultados!AW104),ABS(Resultados!BF104),ABS(Resultados!BO104),ABS(Resultados!BX104),ABS(Resultados!CG104)))</f>
        <v>6.3590000000000008E-2</v>
      </c>
      <c r="E104">
        <f>IF(COUNT(Resultados!E104,Resultados!N104,Resultados!W104,Resultados!AF104,Resultados!AO104,Resultados!AX104,Resultados!BG104,Resultados!BP104,Resultados!BY104,Resultados!CH104)=0, "", AVERAGE(ABS(Resultados!E104),ABS(Resultados!N104),ABS(Resultados!W104),ABS(Resultados!AF104),ABS(Resultados!AO104),ABS(Resultados!AX104),ABS(Resultados!BG104),ABS(Resultados!BP104),ABS(Resultados!BY104),ABS(Resultados!CH104)))</f>
        <v>9.8928016597990229</v>
      </c>
      <c r="F104">
        <f>IF(COUNT(Resultados!F104,Resultados!O104,Resultados!X104,Resultados!AG104,Resultados!AP104,Resultados!AY104,Resultados!BH104,Resultados!BQ104,Resultados!BZ104,Resultados!CI104)=0, "", AVERAGE(ABS(Resultados!F104),ABS(Resultados!O104),ABS(Resultados!X104),ABS(Resultados!AG104),ABS(Resultados!AP104),ABS(Resultados!AY104),ABS(Resultados!BH104),ABS(Resultados!BQ104),ABS(Resultados!BZ104),ABS(Resultados!CI104)))</f>
        <v>970.00911469326911</v>
      </c>
      <c r="G104">
        <f>IF(COUNT(Resultados!G104,Resultados!P104,Resultados!Y104,Resultados!AH104,Resultados!AQ104,Resultados!AZ104,Resultados!BI104,Resultados!BR104,Resultados!CA104,Resultados!CJ104)=0, "", AVERAGE(ABS(Resultados!G104),ABS(Resultados!P104),ABS(Resultados!Y104),ABS(Resultados!AH104),ABS(Resultados!AQ104),ABS(Resultados!AZ104),ABS(Resultados!BI104),ABS(Resultados!BR104),ABS(Resultados!CA104),ABS(Resultados!CJ104)))</f>
        <v>0.42400000000000004</v>
      </c>
      <c r="H104">
        <f>IF(COUNT(Resultados!H104,Resultados!Q104,Resultados!Z104,Resultados!AI104,Resultados!AR104,Resultados!BA104,Resultados!BJ104,Resultados!BS104,Resultados!CB104,Resultados!CK104)=0, "", AVERAGE(ABS(Resultados!H104),ABS(Resultados!Q104),ABS(Resultados!Z104),ABS(Resultados!AI104),ABS(Resultados!AR104),ABS(Resultados!BA104),ABS(Resultados!BJ104),ABS(Resultados!BS104),ABS(Resultados!CB104),ABS(Resultados!CK104)))</f>
        <v>6.0550000000000007E-2</v>
      </c>
      <c r="I104">
        <f>IF(COUNT(Resultados!I104,Resultados!R104,Resultados!AA104,Resultados!AJ104,Resultados!AS104,Resultados!BB104,Resultados!BK104,Resultados!BT104,Resultados!CC104,Resultados!CL104)=0, "", AVERAGE(ABS(Resultados!I104),ABS(Resultados!R104),ABS(Resultados!AA104),ABS(Resultados!AJ104),ABS(Resultados!AS104),ABS(Resultados!BB104),ABS(Resultados!BK104),ABS(Resultados!BT104),ABS(Resultados!CC104),ABS(Resultados!CL104)))</f>
        <v>20.480246999999999</v>
      </c>
      <c r="J104">
        <v>6.3590000000000008E-2</v>
      </c>
      <c r="K104">
        <v>6.0550000000000007E-2</v>
      </c>
    </row>
    <row r="105" spans="1:11" x14ac:dyDescent="0.3">
      <c r="A105">
        <f>IF(COUNT(Resultados!A105,Resultados!J105,Resultados!S105,Resultados!AB105,Resultados!AK105,Resultados!AT105,Resultados!BC105,Resultados!BL105,Resultados!BU105,Resultados!CD105)=0, "", AVERAGE(ABS(Resultados!A105),ABS(Resultados!J105),ABS(Resultados!S105),ABS(Resultados!AB105),ABS(Resultados!AK105),ABS(Resultados!AT105),ABS(Resultados!BC105),ABS(Resultados!BL105),ABS(Resultados!BU105),ABS(Resultados!CD105)))</f>
        <v>45681</v>
      </c>
      <c r="B105" t="str">
        <f>IF(COUNT(Resultados!B105,Resultados!K105,Resultados!T105,Resultados!AC105,Resultados!AL105,Resultados!AU105,Resultados!BD105,Resultados!BM105,Resultados!BV105,Resultados!CE105)=0, "", AVERAGE(ABS(Resultados!B105),ABS(Resultados!K105),ABS(Resultados!T105),ABS(Resultados!AC105),ABS(Resultados!AL105),ABS(Resultados!AU105),ABS(Resultados!BD105),ABS(Resultados!BM105),ABS(Resultados!BV105),ABS(Resultados!CE105)))</f>
        <v/>
      </c>
      <c r="C105">
        <f>IF(COUNT(Resultados!C105,Resultados!L105,Resultados!U105,Resultados!AD105,Resultados!AM105,Resultados!AV105,Resultados!BE105,Resultados!BN105,Resultados!BW105,Resultados!CF105)=0, "", AVERAGE(ABS(Resultados!C105),ABS(Resultados!L105),ABS(Resultados!U105),ABS(Resultados!AD105),ABS(Resultados!AM105),ABS(Resultados!AV105),ABS(Resultados!BE105),ABS(Resultados!BN105),ABS(Resultados!BW105),ABS(Resultados!CF105)))</f>
        <v>2.7</v>
      </c>
      <c r="D105">
        <f>IF(COUNT(Resultados!D105,Resultados!M105,Resultados!V105,Resultados!AE105,Resultados!AN105,Resultados!AW105,Resultados!BF105,Resultados!BO105,Resultados!BX105,Resultados!CG105)=0, "", AVERAGE(ABS(Resultados!D105),ABS(Resultados!M105),ABS(Resultados!V105),ABS(Resultados!AE105),ABS(Resultados!AN105),ABS(Resultados!AW105),ABS(Resultados!BF105),ABS(Resultados!BO105),ABS(Resultados!BX105),ABS(Resultados!CG105)))</f>
        <v>6.1549999999999994E-2</v>
      </c>
      <c r="E105">
        <f>IF(COUNT(Resultados!E105,Resultados!N105,Resultados!W105,Resultados!AF105,Resultados!AO105,Resultados!AX105,Resultados!BG105,Resultados!BP105,Resultados!BY105,Resultados!CH105)=0, "", AVERAGE(ABS(Resultados!E105),ABS(Resultados!N105),ABS(Resultados!W105),ABS(Resultados!AF105),ABS(Resultados!AO105),ABS(Resultados!AX105),ABS(Resultados!BG105),ABS(Resultados!BP105),ABS(Resultados!BY105),ABS(Resultados!CH105)))</f>
        <v>9.7534875056081294</v>
      </c>
      <c r="F105">
        <f>IF(COUNT(Resultados!F105,Resultados!O105,Resultados!X105,Resultados!AG105,Resultados!AP105,Resultados!AY105,Resultados!BH105,Resultados!BQ105,Resultados!BZ105,Resultados!CI105)=0, "", AVERAGE(ABS(Resultados!F105),ABS(Resultados!O105),ABS(Resultados!X105),ABS(Resultados!AG105),ABS(Resultados!AP105),ABS(Resultados!AY105),ABS(Resultados!BH105),ABS(Resultados!BQ105),ABS(Resultados!BZ105),ABS(Resultados!CI105)))</f>
        <v>957.02503552267751</v>
      </c>
      <c r="G105">
        <f>IF(COUNT(Resultados!G105,Resultados!P105,Resultados!Y105,Resultados!AH105,Resultados!AQ105,Resultados!AZ105,Resultados!BI105,Resultados!BR105,Resultados!CA105,Resultados!CJ105)=0, "", AVERAGE(ABS(Resultados!G105),ABS(Resultados!P105),ABS(Resultados!Y105),ABS(Resultados!AH105),ABS(Resultados!AQ105),ABS(Resultados!AZ105),ABS(Resultados!BI105),ABS(Resultados!BR105),ABS(Resultados!CA105),ABS(Resultados!CJ105)))</f>
        <v>0.42400000000000004</v>
      </c>
      <c r="H105">
        <f>IF(COUNT(Resultados!H105,Resultados!Q105,Resultados!Z105,Resultados!AI105,Resultados!AR105,Resultados!BA105,Resultados!BJ105,Resultados!BS105,Resultados!CB105,Resultados!CK105)=0, "", AVERAGE(ABS(Resultados!H105),ABS(Resultados!Q105),ABS(Resultados!Z105),ABS(Resultados!AI105),ABS(Resultados!AR105),ABS(Resultados!BA105),ABS(Resultados!BJ105),ABS(Resultados!BS105),ABS(Resultados!CB105),ABS(Resultados!CK105)))</f>
        <v>5.8399999999999994E-2</v>
      </c>
      <c r="I105">
        <f>IF(COUNT(Resultados!I105,Resultados!R105,Resultados!AA105,Resultados!AJ105,Resultados!AS105,Resultados!BB105,Resultados!BK105,Resultados!BT105,Resultados!CC105,Resultados!CL105)=0, "", AVERAGE(ABS(Resultados!I105),ABS(Resultados!R105),ABS(Resultados!AA105),ABS(Resultados!AJ105),ABS(Resultados!AS105),ABS(Resultados!BB105),ABS(Resultados!BK105),ABS(Resultados!BT105),ABS(Resultados!CC105),ABS(Resultados!CL105)))</f>
        <v>20.680589000000005</v>
      </c>
      <c r="J105">
        <v>6.1549999999999994E-2</v>
      </c>
      <c r="K105">
        <v>5.8399999999999994E-2</v>
      </c>
    </row>
    <row r="106" spans="1:11" x14ac:dyDescent="0.3">
      <c r="A106">
        <f>IF(COUNT(Resultados!A106,Resultados!J106,Resultados!S106,Resultados!AB106,Resultados!AK106,Resultados!AT106,Resultados!BC106,Resultados!BL106,Resultados!BU106,Resultados!CD106)=0, "", AVERAGE(ABS(Resultados!A106),ABS(Resultados!J106),ABS(Resultados!S106),ABS(Resultados!AB106),ABS(Resultados!AK106),ABS(Resultados!AT106),ABS(Resultados!BC106),ABS(Resultados!BL106),ABS(Resultados!BU106),ABS(Resultados!CD106)))</f>
        <v>45681</v>
      </c>
      <c r="B106" t="str">
        <f>IF(COUNT(Resultados!B106,Resultados!K106,Resultados!T106,Resultados!AC106,Resultados!AL106,Resultados!AU106,Resultados!BD106,Resultados!BM106,Resultados!BV106,Resultados!CE106)=0, "", AVERAGE(ABS(Resultados!B106),ABS(Resultados!K106),ABS(Resultados!T106),ABS(Resultados!AC106),ABS(Resultados!AL106),ABS(Resultados!AU106),ABS(Resultados!BD106),ABS(Resultados!BM106),ABS(Resultados!BV106),ABS(Resultados!CE106)))</f>
        <v/>
      </c>
      <c r="C106">
        <f>IF(COUNT(Resultados!C106,Resultados!L106,Resultados!U106,Resultados!AD106,Resultados!AM106,Resultados!AV106,Resultados!BE106,Resultados!BN106,Resultados!BW106,Resultados!CF106)=0, "", AVERAGE(ABS(Resultados!C106),ABS(Resultados!L106),ABS(Resultados!U106),ABS(Resultados!AD106),ABS(Resultados!AM106),ABS(Resultados!AV106),ABS(Resultados!BE106),ABS(Resultados!BN106),ABS(Resultados!BW106),ABS(Resultados!CF106)))</f>
        <v>2.7</v>
      </c>
      <c r="D106">
        <f>IF(COUNT(Resultados!D106,Resultados!M106,Resultados!V106,Resultados!AE106,Resultados!AN106,Resultados!AW106,Resultados!BF106,Resultados!BO106,Resultados!BX106,Resultados!CG106)=0, "", AVERAGE(ABS(Resultados!D106),ABS(Resultados!M106),ABS(Resultados!V106),ABS(Resultados!AE106),ABS(Resultados!AN106),ABS(Resultados!AW106),ABS(Resultados!BF106),ABS(Resultados!BO106),ABS(Resultados!BX106),ABS(Resultados!CG106)))</f>
        <v>5.9750000000000004E-2</v>
      </c>
      <c r="E106">
        <f>IF(COUNT(Resultados!E106,Resultados!N106,Resultados!W106,Resultados!AF106,Resultados!AO106,Resultados!AX106,Resultados!BG106,Resultados!BP106,Resultados!BY106,Resultados!CH106)=0, "", AVERAGE(ABS(Resultados!E106),ABS(Resultados!N106),ABS(Resultados!W106),ABS(Resultados!AF106),ABS(Resultados!AO106),ABS(Resultados!AX106),ABS(Resultados!BG106),ABS(Resultados!BP106),ABS(Resultados!BY106),ABS(Resultados!CH106)))</f>
        <v>9.5723336762171343</v>
      </c>
      <c r="F106">
        <f>IF(COUNT(Resultados!F106,Resultados!O106,Resultados!X106,Resultados!AG106,Resultados!AP106,Resultados!AY106,Resultados!BH106,Resultados!BQ106,Resultados!BZ106,Resultados!CI106)=0, "", AVERAGE(ABS(Resultados!F106),ABS(Resultados!O106),ABS(Resultados!X106),ABS(Resultados!AG106),ABS(Resultados!AP106),ABS(Resultados!AY106),ABS(Resultados!BH106),ABS(Resultados!BQ106),ABS(Resultados!BZ106),ABS(Resultados!CI106)))</f>
        <v>940.14149862343709</v>
      </c>
      <c r="G106">
        <f>IF(COUNT(Resultados!G106,Resultados!P106,Resultados!Y106,Resultados!AH106,Resultados!AQ106,Resultados!AZ106,Resultados!BI106,Resultados!BR106,Resultados!CA106,Resultados!CJ106)=0, "", AVERAGE(ABS(Resultados!G106),ABS(Resultados!P106),ABS(Resultados!Y106),ABS(Resultados!AH106),ABS(Resultados!AQ106),ABS(Resultados!AZ106),ABS(Resultados!BI106),ABS(Resultados!BR106),ABS(Resultados!CA106),ABS(Resultados!CJ106)))</f>
        <v>0.42400000000000004</v>
      </c>
      <c r="H106">
        <f>IF(COUNT(Resultados!H106,Resultados!Q106,Resultados!Z106,Resultados!AI106,Resultados!AR106,Resultados!BA106,Resultados!BJ106,Resultados!BS106,Resultados!CB106,Resultados!CK106)=0, "", AVERAGE(ABS(Resultados!H106),ABS(Resultados!Q106),ABS(Resultados!Z106),ABS(Resultados!AI106),ABS(Resultados!AR106),ABS(Resultados!BA106),ABS(Resultados!BJ106),ABS(Resultados!BS106),ABS(Resultados!CB106),ABS(Resultados!CK106)))</f>
        <v>5.5569999999999994E-2</v>
      </c>
      <c r="I106">
        <f>IF(COUNT(Resultados!I106,Resultados!R106,Resultados!AA106,Resultados!AJ106,Resultados!AS106,Resultados!BB106,Resultados!BK106,Resultados!BT106,Resultados!CC106,Resultados!CL106)=0, "", AVERAGE(ABS(Resultados!I106),ABS(Resultados!R106),ABS(Resultados!AA106),ABS(Resultados!AJ106),ABS(Resultados!AS106),ABS(Resultados!BB106),ABS(Resultados!BK106),ABS(Resultados!BT106),ABS(Resultados!CC106),ABS(Resultados!CL106)))</f>
        <v>20.879901999999998</v>
      </c>
      <c r="J106">
        <v>5.9750000000000004E-2</v>
      </c>
      <c r="K106">
        <v>5.5569999999999994E-2</v>
      </c>
    </row>
    <row r="107" spans="1:11" x14ac:dyDescent="0.3">
      <c r="A107">
        <f>IF(COUNT(Resultados!A107,Resultados!J107,Resultados!S107,Resultados!AB107,Resultados!AK107,Resultados!AT107,Resultados!BC107,Resultados!BL107,Resultados!BU107,Resultados!CD107)=0, "", AVERAGE(ABS(Resultados!A107),ABS(Resultados!J107),ABS(Resultados!S107),ABS(Resultados!AB107),ABS(Resultados!AK107),ABS(Resultados!AT107),ABS(Resultados!BC107),ABS(Resultados!BL107),ABS(Resultados!BU107),ABS(Resultados!CD107)))</f>
        <v>45681</v>
      </c>
      <c r="B107" t="str">
        <f>IF(COUNT(Resultados!B107,Resultados!K107,Resultados!T107,Resultados!AC107,Resultados!AL107,Resultados!AU107,Resultados!BD107,Resultados!BM107,Resultados!BV107,Resultados!CE107)=0, "", AVERAGE(ABS(Resultados!B107),ABS(Resultados!K107),ABS(Resultados!T107),ABS(Resultados!AC107),ABS(Resultados!AL107),ABS(Resultados!AU107),ABS(Resultados!BD107),ABS(Resultados!BM107),ABS(Resultados!BV107),ABS(Resultados!CE107)))</f>
        <v/>
      </c>
      <c r="C107">
        <f>IF(COUNT(Resultados!C107,Resultados!L107,Resultados!U107,Resultados!AD107,Resultados!AM107,Resultados!AV107,Resultados!BE107,Resultados!BN107,Resultados!BW107,Resultados!CF107)=0, "", AVERAGE(ABS(Resultados!C107),ABS(Resultados!L107),ABS(Resultados!U107),ABS(Resultados!AD107),ABS(Resultados!AM107),ABS(Resultados!AV107),ABS(Resultados!BE107),ABS(Resultados!BN107),ABS(Resultados!BW107),ABS(Resultados!CF107)))</f>
        <v>2.7</v>
      </c>
      <c r="D107">
        <f>IF(COUNT(Resultados!D107,Resultados!M107,Resultados!V107,Resultados!AE107,Resultados!AN107,Resultados!AW107,Resultados!BF107,Resultados!BO107,Resultados!BX107,Resultados!CG107)=0, "", AVERAGE(ABS(Resultados!D107),ABS(Resultados!M107),ABS(Resultados!V107),ABS(Resultados!AE107),ABS(Resultados!AN107),ABS(Resultados!AW107),ABS(Resultados!BF107),ABS(Resultados!BO107),ABS(Resultados!BX107),ABS(Resultados!CG107)))</f>
        <v>5.7170000000000012E-2</v>
      </c>
      <c r="E107">
        <f>IF(COUNT(Resultados!E107,Resultados!N107,Resultados!W107,Resultados!AF107,Resultados!AO107,Resultados!AX107,Resultados!BG107,Resultados!BP107,Resultados!BY107,Resultados!CH107)=0, "", AVERAGE(ABS(Resultados!E107),ABS(Resultados!N107),ABS(Resultados!W107),ABS(Resultados!AF107),ABS(Resultados!AO107),ABS(Resultados!AX107),ABS(Resultados!BG107),ABS(Resultados!BP107),ABS(Resultados!BY107),ABS(Resultados!CH107)))</f>
        <v>9.3521057254232467</v>
      </c>
      <c r="F107">
        <f>IF(COUNT(Resultados!F107,Resultados!O107,Resultados!X107,Resultados!AG107,Resultados!AP107,Resultados!AY107,Resultados!BH107,Resultados!BQ107,Resultados!BZ107,Resultados!CI107)=0, "", AVERAGE(ABS(Resultados!F107),ABS(Resultados!O107),ABS(Resultados!X107),ABS(Resultados!AG107),ABS(Resultados!AP107),ABS(Resultados!AY107),ABS(Resultados!BH107),ABS(Resultados!BQ107),ABS(Resultados!BZ107),ABS(Resultados!CI107)))</f>
        <v>919.6162536094464</v>
      </c>
      <c r="G107">
        <f>IF(COUNT(Resultados!G107,Resultados!P107,Resultados!Y107,Resultados!AH107,Resultados!AQ107,Resultados!AZ107,Resultados!BI107,Resultados!BR107,Resultados!CA107,Resultados!CJ107)=0, "", AVERAGE(ABS(Resultados!G107),ABS(Resultados!P107),ABS(Resultados!Y107),ABS(Resultados!AH107),ABS(Resultados!AQ107),ABS(Resultados!AZ107),ABS(Resultados!BI107),ABS(Resultados!BR107),ABS(Resultados!CA107),ABS(Resultados!CJ107)))</f>
        <v>0.42400000000000004</v>
      </c>
      <c r="H107">
        <f>IF(COUNT(Resultados!H107,Resultados!Q107,Resultados!Z107,Resultados!AI107,Resultados!AR107,Resultados!BA107,Resultados!BJ107,Resultados!BS107,Resultados!CB107,Resultados!CK107)=0, "", AVERAGE(ABS(Resultados!H107),ABS(Resultados!Q107),ABS(Resultados!Z107),ABS(Resultados!AI107),ABS(Resultados!AR107),ABS(Resultados!BA107),ABS(Resultados!BJ107),ABS(Resultados!BS107),ABS(Resultados!CB107),ABS(Resultados!CK107)))</f>
        <v>5.2139999999999999E-2</v>
      </c>
      <c r="I107">
        <f>IF(COUNT(Resultados!I107,Resultados!R107,Resultados!AA107,Resultados!AJ107,Resultados!AS107,Resultados!BB107,Resultados!BK107,Resultados!BT107,Resultados!CC107,Resultados!CL107)=0, "", AVERAGE(ABS(Resultados!I107),ABS(Resultados!R107),ABS(Resultados!AA107),ABS(Resultados!AJ107),ABS(Resultados!AS107),ABS(Resultados!BB107),ABS(Resultados!BK107),ABS(Resultados!BT107),ABS(Resultados!CC107),ABS(Resultados!CL107)))</f>
        <v>21.080367999999993</v>
      </c>
      <c r="J107">
        <v>5.7170000000000012E-2</v>
      </c>
      <c r="K107">
        <v>5.2139999999999999E-2</v>
      </c>
    </row>
    <row r="108" spans="1:11" x14ac:dyDescent="0.3">
      <c r="A108">
        <f>IF(COUNT(Resultados!A108,Resultados!J108,Resultados!S108,Resultados!AB108,Resultados!AK108,Resultados!AT108,Resultados!BC108,Resultados!BL108,Resultados!BU108,Resultados!CD108)=0, "", AVERAGE(ABS(Resultados!A108),ABS(Resultados!J108),ABS(Resultados!S108),ABS(Resultados!AB108),ABS(Resultados!AK108),ABS(Resultados!AT108),ABS(Resultados!BC108),ABS(Resultados!BL108),ABS(Resultados!BU108),ABS(Resultados!CD108)))</f>
        <v>45681</v>
      </c>
      <c r="B108" t="str">
        <f>IF(COUNT(Resultados!B108,Resultados!K108,Resultados!T108,Resultados!AC108,Resultados!AL108,Resultados!AU108,Resultados!BD108,Resultados!BM108,Resultados!BV108,Resultados!CE108)=0, "", AVERAGE(ABS(Resultados!B108),ABS(Resultados!K108),ABS(Resultados!T108),ABS(Resultados!AC108),ABS(Resultados!AL108),ABS(Resultados!AU108),ABS(Resultados!BD108),ABS(Resultados!BM108),ABS(Resultados!BV108),ABS(Resultados!CE108)))</f>
        <v/>
      </c>
      <c r="C108">
        <f>IF(COUNT(Resultados!C108,Resultados!L108,Resultados!U108,Resultados!AD108,Resultados!AM108,Resultados!AV108,Resultados!BE108,Resultados!BN108,Resultados!BW108,Resultados!CF108)=0, "", AVERAGE(ABS(Resultados!C108),ABS(Resultados!L108),ABS(Resultados!U108),ABS(Resultados!AD108),ABS(Resultados!AM108),ABS(Resultados!AV108),ABS(Resultados!BE108),ABS(Resultados!BN108),ABS(Resultados!BW108),ABS(Resultados!CF108)))</f>
        <v>2.7</v>
      </c>
      <c r="D108">
        <f>IF(COUNT(Resultados!D108,Resultados!M108,Resultados!V108,Resultados!AE108,Resultados!AN108,Resultados!AW108,Resultados!BF108,Resultados!BO108,Resultados!BX108,Resultados!CG108)=0, "", AVERAGE(ABS(Resultados!D108),ABS(Resultados!M108),ABS(Resultados!V108),ABS(Resultados!AE108),ABS(Resultados!AN108),ABS(Resultados!AW108),ABS(Resultados!BF108),ABS(Resultados!BO108),ABS(Resultados!BX108),ABS(Resultados!CG108)))</f>
        <v>5.3490000000000003E-2</v>
      </c>
      <c r="E108">
        <f>IF(COUNT(Resultados!E108,Resultados!N108,Resultados!W108,Resultados!AF108,Resultados!AO108,Resultados!AX108,Resultados!BG108,Resultados!BP108,Resultados!BY108,Resultados!CH108)=0, "", AVERAGE(ABS(Resultados!E108),ABS(Resultados!N108),ABS(Resultados!W108),ABS(Resultados!AF108),ABS(Resultados!AO108),ABS(Resultados!AX108),ABS(Resultados!BG108),ABS(Resultados!BP108),ABS(Resultados!BY108),ABS(Resultados!CH108)))</f>
        <v>9.0992341354913417</v>
      </c>
      <c r="F108">
        <f>IF(COUNT(Resultados!F108,Resultados!O108,Resultados!X108,Resultados!AG108,Resultados!AP108,Resultados!AY108,Resultados!BH108,Resultados!BQ108,Resultados!BZ108,Resultados!CI108)=0, "", AVERAGE(ABS(Resultados!F108),ABS(Resultados!O108),ABS(Resultados!X108),ABS(Resultados!AG108),ABS(Resultados!AP108),ABS(Resultados!AY108),ABS(Resultados!BH108),ABS(Resultados!BQ108),ABS(Resultados!BZ108),ABS(Resultados!CI108)))</f>
        <v>896.04862142779314</v>
      </c>
      <c r="G108">
        <f>IF(COUNT(Resultados!G108,Resultados!P108,Resultados!Y108,Resultados!AH108,Resultados!AQ108,Resultados!AZ108,Resultados!BI108,Resultados!BR108,Resultados!CA108,Resultados!CJ108)=0, "", AVERAGE(ABS(Resultados!G108),ABS(Resultados!P108),ABS(Resultados!Y108),ABS(Resultados!AH108),ABS(Resultados!AQ108),ABS(Resultados!AZ108),ABS(Resultados!BI108),ABS(Resultados!BR108),ABS(Resultados!CA108),ABS(Resultados!CJ108)))</f>
        <v>0.42400000000000004</v>
      </c>
      <c r="H108">
        <f>IF(COUNT(Resultados!H108,Resultados!Q108,Resultados!Z108,Resultados!AI108,Resultados!AR108,Resultados!BA108,Resultados!BJ108,Resultados!BS108,Resultados!CB108,Resultados!CK108)=0, "", AVERAGE(ABS(Resultados!H108),ABS(Resultados!Q108),ABS(Resultados!Z108),ABS(Resultados!AI108),ABS(Resultados!AR108),ABS(Resultados!BA108),ABS(Resultados!BJ108),ABS(Resultados!BS108),ABS(Resultados!CB108),ABS(Resultados!CK108)))</f>
        <v>4.8210000000000003E-2</v>
      </c>
      <c r="I108">
        <f>IF(COUNT(Resultados!I108,Resultados!R108,Resultados!AA108,Resultados!AJ108,Resultados!AS108,Resultados!BB108,Resultados!BK108,Resultados!BT108,Resultados!CC108,Resultados!CL108)=0, "", AVERAGE(ABS(Resultados!I108),ABS(Resultados!R108),ABS(Resultados!AA108),ABS(Resultados!AJ108),ABS(Resultados!AS108),ABS(Resultados!BB108),ABS(Resultados!BK108),ABS(Resultados!BT108),ABS(Resultados!CC108),ABS(Resultados!CL108)))</f>
        <v>21.280559</v>
      </c>
      <c r="J108">
        <v>5.3490000000000003E-2</v>
      </c>
      <c r="K108">
        <v>4.8210000000000003E-2</v>
      </c>
    </row>
    <row r="109" spans="1:11" x14ac:dyDescent="0.3">
      <c r="A109">
        <f>IF(COUNT(Resultados!A109,Resultados!J109,Resultados!S109,Resultados!AB109,Resultados!AK109,Resultados!AT109,Resultados!BC109,Resultados!BL109,Resultados!BU109,Resultados!CD109)=0, "", AVERAGE(ABS(Resultados!A109),ABS(Resultados!J109),ABS(Resultados!S109),ABS(Resultados!AB109),ABS(Resultados!AK109),ABS(Resultados!AT109),ABS(Resultados!BC109),ABS(Resultados!BL109),ABS(Resultados!BU109),ABS(Resultados!CD109)))</f>
        <v>45681</v>
      </c>
      <c r="B109" t="str">
        <f>IF(COUNT(Resultados!B109,Resultados!K109,Resultados!T109,Resultados!AC109,Resultados!AL109,Resultados!AU109,Resultados!BD109,Resultados!BM109,Resultados!BV109,Resultados!CE109)=0, "", AVERAGE(ABS(Resultados!B109),ABS(Resultados!K109),ABS(Resultados!T109),ABS(Resultados!AC109),ABS(Resultados!AL109),ABS(Resultados!AU109),ABS(Resultados!BD109),ABS(Resultados!BM109),ABS(Resultados!BV109),ABS(Resultados!CE109)))</f>
        <v/>
      </c>
      <c r="C109">
        <f>IF(COUNT(Resultados!C109,Resultados!L109,Resultados!U109,Resultados!AD109,Resultados!AM109,Resultados!AV109,Resultados!BE109,Resultados!BN109,Resultados!BW109,Resultados!CF109)=0, "", AVERAGE(ABS(Resultados!C109),ABS(Resultados!L109),ABS(Resultados!U109),ABS(Resultados!AD109),ABS(Resultados!AM109),ABS(Resultados!AV109),ABS(Resultados!BE109),ABS(Resultados!BN109),ABS(Resultados!BW109),ABS(Resultados!CF109)))</f>
        <v>2.7</v>
      </c>
      <c r="D109">
        <f>IF(COUNT(Resultados!D109,Resultados!M109,Resultados!V109,Resultados!AE109,Resultados!AN109,Resultados!AW109,Resultados!BF109,Resultados!BO109,Resultados!BX109,Resultados!CG109)=0, "", AVERAGE(ABS(Resultados!D109),ABS(Resultados!M109),ABS(Resultados!V109),ABS(Resultados!AE109),ABS(Resultados!AN109),ABS(Resultados!AW109),ABS(Resultados!BF109),ABS(Resultados!BO109),ABS(Resultados!BX109),ABS(Resultados!CG109)))</f>
        <v>4.9030000000000004E-2</v>
      </c>
      <c r="E109">
        <f>IF(COUNT(Resultados!E109,Resultados!N109,Resultados!W109,Resultados!AF109,Resultados!AO109,Resultados!AX109,Resultados!BG109,Resultados!BP109,Resultados!BY109,Resultados!CH109)=0, "", AVERAGE(ABS(Resultados!E109),ABS(Resultados!N109),ABS(Resultados!W109),ABS(Resultados!AF109),ABS(Resultados!AO109),ABS(Resultados!AX109),ABS(Resultados!BG109),ABS(Resultados!BP109),ABS(Resultados!BY109),ABS(Resultados!CH109)))</f>
        <v>8.8207611224067808</v>
      </c>
      <c r="F109">
        <f>IF(COUNT(Resultados!F109,Resultados!O109,Resultados!X109,Resultados!AG109,Resultados!AP109,Resultados!AY109,Resultados!BH109,Resultados!BQ109,Resultados!BZ109,Resultados!CI109)=0, "", AVERAGE(ABS(Resultados!F109),ABS(Resultados!O109),ABS(Resultados!X109),ABS(Resultados!AG109),ABS(Resultados!AP109),ABS(Resultados!AY109),ABS(Resultados!BH109),ABS(Resultados!BQ109),ABS(Resultados!BZ109),ABS(Resultados!CI109)))</f>
        <v>870.09493660831208</v>
      </c>
      <c r="G109">
        <f>IF(COUNT(Resultados!G109,Resultados!P109,Resultados!Y109,Resultados!AH109,Resultados!AQ109,Resultados!AZ109,Resultados!BI109,Resultados!BR109,Resultados!CA109,Resultados!CJ109)=0, "", AVERAGE(ABS(Resultados!G109),ABS(Resultados!P109),ABS(Resultados!Y109),ABS(Resultados!AH109),ABS(Resultados!AQ109),ABS(Resultados!AZ109),ABS(Resultados!BI109),ABS(Resultados!BR109),ABS(Resultados!CA109),ABS(Resultados!CJ109)))</f>
        <v>0.42400000000000004</v>
      </c>
      <c r="H109">
        <f>IF(COUNT(Resultados!H109,Resultados!Q109,Resultados!Z109,Resultados!AI109,Resultados!AR109,Resultados!BA109,Resultados!BJ109,Resultados!BS109,Resultados!CB109,Resultados!CK109)=0, "", AVERAGE(ABS(Resultados!H109),ABS(Resultados!Q109),ABS(Resultados!Z109),ABS(Resultados!AI109),ABS(Resultados!AR109),ABS(Resultados!BA109),ABS(Resultados!BJ109),ABS(Resultados!BS109),ABS(Resultados!CB109),ABS(Resultados!CK109)))</f>
        <v>4.3880000000000009E-2</v>
      </c>
      <c r="I109">
        <f>IF(COUNT(Resultados!I109,Resultados!R109,Resultados!AA109,Resultados!AJ109,Resultados!AS109,Resultados!BB109,Resultados!BK109,Resultados!BT109,Resultados!CC109,Resultados!CL109)=0, "", AVERAGE(ABS(Resultados!I109),ABS(Resultados!R109),ABS(Resultados!AA109),ABS(Resultados!AJ109),ABS(Resultados!AS109),ABS(Resultados!BB109),ABS(Resultados!BK109),ABS(Resultados!BT109),ABS(Resultados!CC109),ABS(Resultados!CL109)))</f>
        <v>21.480117</v>
      </c>
      <c r="J109">
        <v>4.9030000000000004E-2</v>
      </c>
      <c r="K109">
        <v>4.3880000000000009E-2</v>
      </c>
    </row>
    <row r="110" spans="1:11" x14ac:dyDescent="0.3">
      <c r="A110">
        <f>IF(COUNT(Resultados!A110,Resultados!J110,Resultados!S110,Resultados!AB110,Resultados!AK110,Resultados!AT110,Resultados!BC110,Resultados!BL110,Resultados!BU110,Resultados!CD110)=0, "", AVERAGE(ABS(Resultados!A110),ABS(Resultados!J110),ABS(Resultados!S110),ABS(Resultados!AB110),ABS(Resultados!AK110),ABS(Resultados!AT110),ABS(Resultados!BC110),ABS(Resultados!BL110),ABS(Resultados!BU110),ABS(Resultados!CD110)))</f>
        <v>45681</v>
      </c>
      <c r="B110" t="str">
        <f>IF(COUNT(Resultados!B110,Resultados!K110,Resultados!T110,Resultados!AC110,Resultados!AL110,Resultados!AU110,Resultados!BD110,Resultados!BM110,Resultados!BV110,Resultados!CE110)=0, "", AVERAGE(ABS(Resultados!B110),ABS(Resultados!K110),ABS(Resultados!T110),ABS(Resultados!AC110),ABS(Resultados!AL110),ABS(Resultados!AU110),ABS(Resultados!BD110),ABS(Resultados!BM110),ABS(Resultados!BV110),ABS(Resultados!CE110)))</f>
        <v/>
      </c>
      <c r="C110">
        <f>IF(COUNT(Resultados!C110,Resultados!L110,Resultados!U110,Resultados!AD110,Resultados!AM110,Resultados!AV110,Resultados!BE110,Resultados!BN110,Resultados!BW110,Resultados!CF110)=0, "", AVERAGE(ABS(Resultados!C110),ABS(Resultados!L110),ABS(Resultados!U110),ABS(Resultados!AD110),ABS(Resultados!AM110),ABS(Resultados!AV110),ABS(Resultados!BE110),ABS(Resultados!BN110),ABS(Resultados!BW110),ABS(Resultados!CF110)))</f>
        <v>2.7</v>
      </c>
      <c r="D110">
        <f>IF(COUNT(Resultados!D110,Resultados!M110,Resultados!V110,Resultados!AE110,Resultados!AN110,Resultados!AW110,Resultados!BF110,Resultados!BO110,Resultados!BX110,Resultados!CG110)=0, "", AVERAGE(ABS(Resultados!D110),ABS(Resultados!M110),ABS(Resultados!V110),ABS(Resultados!AE110),ABS(Resultados!AN110),ABS(Resultados!AW110),ABS(Resultados!BF110),ABS(Resultados!BO110),ABS(Resultados!BX110),ABS(Resultados!CG110)))</f>
        <v>4.4360000000000004E-2</v>
      </c>
      <c r="E110">
        <f>IF(COUNT(Resultados!E110,Resultados!N110,Resultados!W110,Resultados!AF110,Resultados!AO110,Resultados!AX110,Resultados!BG110,Resultados!BP110,Resultados!BY110,Resultados!CH110)=0, "", AVERAGE(ABS(Resultados!E110),ABS(Resultados!N110),ABS(Resultados!W110),ABS(Resultados!AF110),ABS(Resultados!AO110),ABS(Resultados!AX110),ABS(Resultados!BG110),ABS(Resultados!BP110),ABS(Resultados!BY110),ABS(Resultados!CH110)))</f>
        <v>8.5223198912987996</v>
      </c>
      <c r="F110">
        <f>IF(COUNT(Resultados!F110,Resultados!O110,Resultados!X110,Resultados!AG110,Resultados!AP110,Resultados!AY110,Resultados!BH110,Resultados!BQ110,Resultados!BZ110,Resultados!CI110)=0, "", AVERAGE(ABS(Resultados!F110),ABS(Resultados!O110),ABS(Resultados!X110),ABS(Resultados!AG110),ABS(Resultados!AP110),ABS(Resultados!AY110),ABS(Resultados!BH110),ABS(Resultados!BQ110),ABS(Resultados!BZ110),ABS(Resultados!CI110)))</f>
        <v>842.28021386904823</v>
      </c>
      <c r="G110">
        <f>IF(COUNT(Resultados!G110,Resultados!P110,Resultados!Y110,Resultados!AH110,Resultados!AQ110,Resultados!AZ110,Resultados!BI110,Resultados!BR110,Resultados!CA110,Resultados!CJ110)=0, "", AVERAGE(ABS(Resultados!G110),ABS(Resultados!P110),ABS(Resultados!Y110),ABS(Resultados!AH110),ABS(Resultados!AQ110),ABS(Resultados!AZ110),ABS(Resultados!BI110),ABS(Resultados!BR110),ABS(Resultados!CA110),ABS(Resultados!CJ110)))</f>
        <v>0.42400000000000004</v>
      </c>
      <c r="H110">
        <f>IF(COUNT(Resultados!H110,Resultados!Q110,Resultados!Z110,Resultados!AI110,Resultados!AR110,Resultados!BA110,Resultados!BJ110,Resultados!BS110,Resultados!CB110,Resultados!CK110)=0, "", AVERAGE(ABS(Resultados!H110),ABS(Resultados!Q110),ABS(Resultados!Z110),ABS(Resultados!AI110),ABS(Resultados!AR110),ABS(Resultados!BA110),ABS(Resultados!BJ110),ABS(Resultados!BS110),ABS(Resultados!CB110),ABS(Resultados!CK110)))</f>
        <v>3.9270000000000006E-2</v>
      </c>
      <c r="I110">
        <f>IF(COUNT(Resultados!I110,Resultados!R110,Resultados!AA110,Resultados!AJ110,Resultados!AS110,Resultados!BB110,Resultados!BK110,Resultados!BT110,Resultados!CC110,Resultados!CL110)=0, "", AVERAGE(ABS(Resultados!I110),ABS(Resultados!R110),ABS(Resultados!AA110),ABS(Resultados!AJ110),ABS(Resultados!AS110),ABS(Resultados!BB110),ABS(Resultados!BK110),ABS(Resultados!BT110),ABS(Resultados!CC110),ABS(Resultados!CL110)))</f>
        <v>21.679942</v>
      </c>
      <c r="J110">
        <v>4.4360000000000004E-2</v>
      </c>
      <c r="K110">
        <v>3.9270000000000006E-2</v>
      </c>
    </row>
    <row r="111" spans="1:11" x14ac:dyDescent="0.3">
      <c r="A111">
        <f>IF(COUNT(Resultados!A111,Resultados!J111,Resultados!S111,Resultados!AB111,Resultados!AK111,Resultados!AT111,Resultados!BC111,Resultados!BL111,Resultados!BU111,Resultados!CD111)=0, "", AVERAGE(ABS(Resultados!A111),ABS(Resultados!J111),ABS(Resultados!S111),ABS(Resultados!AB111),ABS(Resultados!AK111),ABS(Resultados!AT111),ABS(Resultados!BC111),ABS(Resultados!BL111),ABS(Resultados!BU111),ABS(Resultados!CD111)))</f>
        <v>45681</v>
      </c>
      <c r="B111" t="str">
        <f>IF(COUNT(Resultados!B111,Resultados!K111,Resultados!T111,Resultados!AC111,Resultados!AL111,Resultados!AU111,Resultados!BD111,Resultados!BM111,Resultados!BV111,Resultados!CE111)=0, "", AVERAGE(ABS(Resultados!B111),ABS(Resultados!K111),ABS(Resultados!T111),ABS(Resultados!AC111),ABS(Resultados!AL111),ABS(Resultados!AU111),ABS(Resultados!BD111),ABS(Resultados!BM111),ABS(Resultados!BV111),ABS(Resultados!CE111)))</f>
        <v/>
      </c>
      <c r="C111">
        <f>IF(COUNT(Resultados!C111,Resultados!L111,Resultados!U111,Resultados!AD111,Resultados!AM111,Resultados!AV111,Resultados!BE111,Resultados!BN111,Resultados!BW111,Resultados!CF111)=0, "", AVERAGE(ABS(Resultados!C111),ABS(Resultados!L111),ABS(Resultados!U111),ABS(Resultados!AD111),ABS(Resultados!AM111),ABS(Resultados!AV111),ABS(Resultados!BE111),ABS(Resultados!BN111),ABS(Resultados!BW111),ABS(Resultados!CF111)))</f>
        <v>2.7</v>
      </c>
      <c r="D111">
        <f>IF(COUNT(Resultados!D111,Resultados!M111,Resultados!V111,Resultados!AE111,Resultados!AN111,Resultados!AW111,Resultados!BF111,Resultados!BO111,Resultados!BX111,Resultados!CG111)=0, "", AVERAGE(ABS(Resultados!D111),ABS(Resultados!M111),ABS(Resultados!V111),ABS(Resultados!AE111),ABS(Resultados!AN111),ABS(Resultados!AW111),ABS(Resultados!BF111),ABS(Resultados!BO111),ABS(Resultados!BX111),ABS(Resultados!CG111)))</f>
        <v>3.9689999999999996E-2</v>
      </c>
      <c r="E111">
        <f>IF(COUNT(Resultados!E111,Resultados!N111,Resultados!W111,Resultados!AF111,Resultados!AO111,Resultados!AX111,Resultados!BG111,Resultados!BP111,Resultados!BY111,Resultados!CH111)=0, "", AVERAGE(ABS(Resultados!E111),ABS(Resultados!N111),ABS(Resultados!W111),ABS(Resultados!AF111),ABS(Resultados!AO111),ABS(Resultados!AX111),ABS(Resultados!BG111),ABS(Resultados!BP111),ABS(Resultados!BY111),ABS(Resultados!CH111)))</f>
        <v>8.2109691202652009</v>
      </c>
      <c r="F111">
        <f>IF(COUNT(Resultados!F111,Resultados!O111,Resultados!X111,Resultados!AG111,Resultados!AP111,Resultados!AY111,Resultados!BH111,Resultados!BQ111,Resultados!BZ111,Resultados!CI111)=0, "", AVERAGE(ABS(Resultados!F111),ABS(Resultados!O111),ABS(Resultados!X111),ABS(Resultados!AG111),ABS(Resultados!AP111),ABS(Resultados!AY111),ABS(Resultados!BH111),ABS(Resultados!BQ111),ABS(Resultados!BZ111),ABS(Resultados!CI111)))</f>
        <v>813.26232200871675</v>
      </c>
      <c r="G111">
        <f>IF(COUNT(Resultados!G111,Resultados!P111,Resultados!Y111,Resultados!AH111,Resultados!AQ111,Resultados!AZ111,Resultados!BI111,Resultados!BR111,Resultados!CA111,Resultados!CJ111)=0, "", AVERAGE(ABS(Resultados!G111),ABS(Resultados!P111),ABS(Resultados!Y111),ABS(Resultados!AH111),ABS(Resultados!AQ111),ABS(Resultados!AZ111),ABS(Resultados!BI111),ABS(Resultados!BR111),ABS(Resultados!CA111),ABS(Resultados!CJ111)))</f>
        <v>0.42400000000000004</v>
      </c>
      <c r="H111">
        <f>IF(COUNT(Resultados!H111,Resultados!Q111,Resultados!Z111,Resultados!AI111,Resultados!AR111,Resultados!BA111,Resultados!BJ111,Resultados!BS111,Resultados!CB111,Resultados!CK111)=0, "", AVERAGE(ABS(Resultados!H111),ABS(Resultados!Q111),ABS(Resultados!Z111),ABS(Resultados!AI111),ABS(Resultados!AR111),ABS(Resultados!BA111),ABS(Resultados!BJ111),ABS(Resultados!BS111),ABS(Resultados!CB111),ABS(Resultados!CK111)))</f>
        <v>3.4419999999999999E-2</v>
      </c>
      <c r="I111">
        <f>IF(COUNT(Resultados!I111,Resultados!R111,Resultados!AA111,Resultados!AJ111,Resultados!AS111,Resultados!BB111,Resultados!BK111,Resultados!BT111,Resultados!CC111,Resultados!CL111)=0, "", AVERAGE(ABS(Resultados!I111),ABS(Resultados!R111),ABS(Resultados!AA111),ABS(Resultados!AJ111),ABS(Resultados!AS111),ABS(Resultados!BB111),ABS(Resultados!BK111),ABS(Resultados!BT111),ABS(Resultados!CC111),ABS(Resultados!CL111)))</f>
        <v>21.880174999999998</v>
      </c>
      <c r="J111">
        <v>3.9689999999999996E-2</v>
      </c>
      <c r="K111">
        <v>3.4419999999999999E-2</v>
      </c>
    </row>
    <row r="112" spans="1:11" x14ac:dyDescent="0.3">
      <c r="A112">
        <f>IF(COUNT(Resultados!A112,Resultados!J112,Resultados!S112,Resultados!AB112,Resultados!AK112,Resultados!AT112,Resultados!BC112,Resultados!BL112,Resultados!BU112,Resultados!CD112)=0, "", AVERAGE(ABS(Resultados!A112),ABS(Resultados!J112),ABS(Resultados!S112),ABS(Resultados!AB112),ABS(Resultados!AK112),ABS(Resultados!AT112),ABS(Resultados!BC112),ABS(Resultados!BL112),ABS(Resultados!BU112),ABS(Resultados!CD112)))</f>
        <v>45681</v>
      </c>
      <c r="B112" t="str">
        <f>IF(COUNT(Resultados!B112,Resultados!K112,Resultados!T112,Resultados!AC112,Resultados!AL112,Resultados!AU112,Resultados!BD112,Resultados!BM112,Resultados!BV112,Resultados!CE112)=0, "", AVERAGE(ABS(Resultados!B112),ABS(Resultados!K112),ABS(Resultados!T112),ABS(Resultados!AC112),ABS(Resultados!AL112),ABS(Resultados!AU112),ABS(Resultados!BD112),ABS(Resultados!BM112),ABS(Resultados!BV112),ABS(Resultados!CE112)))</f>
        <v/>
      </c>
      <c r="C112">
        <f>IF(COUNT(Resultados!C112,Resultados!L112,Resultados!U112,Resultados!AD112,Resultados!AM112,Resultados!AV112,Resultados!BE112,Resultados!BN112,Resultados!BW112,Resultados!CF112)=0, "", AVERAGE(ABS(Resultados!C112),ABS(Resultados!L112),ABS(Resultados!U112),ABS(Resultados!AD112),ABS(Resultados!AM112),ABS(Resultados!AV112),ABS(Resultados!BE112),ABS(Resultados!BN112),ABS(Resultados!BW112),ABS(Resultados!CF112)))</f>
        <v>2.7</v>
      </c>
      <c r="D112">
        <f>IF(COUNT(Resultados!D112,Resultados!M112,Resultados!V112,Resultados!AE112,Resultados!AN112,Resultados!AW112,Resultados!BF112,Resultados!BO112,Resultados!BX112,Resultados!CG112)=0, "", AVERAGE(ABS(Resultados!D112),ABS(Resultados!M112),ABS(Resultados!V112),ABS(Resultados!AE112),ABS(Resultados!AN112),ABS(Resultados!AW112),ABS(Resultados!BF112),ABS(Resultados!BO112),ABS(Resultados!BX112),ABS(Resultados!CG112)))</f>
        <v>3.4680000000000002E-2</v>
      </c>
      <c r="E112">
        <f>IF(COUNT(Resultados!E112,Resultados!N112,Resultados!W112,Resultados!AF112,Resultados!AO112,Resultados!AX112,Resultados!BG112,Resultados!BP112,Resultados!BY112,Resultados!CH112)=0, "", AVERAGE(ABS(Resultados!E112),ABS(Resultados!N112),ABS(Resultados!W112),ABS(Resultados!AF112),ABS(Resultados!AO112),ABS(Resultados!AX112),ABS(Resultados!BG112),ABS(Resultados!BP112),ABS(Resultados!BY112),ABS(Resultados!CH112)))</f>
        <v>7.8945806995399126</v>
      </c>
      <c r="F112">
        <f>IF(COUNT(Resultados!F112,Resultados!O112,Resultados!X112,Resultados!AG112,Resultados!AP112,Resultados!AY112,Resultados!BH112,Resultados!BQ112,Resultados!BZ112,Resultados!CI112)=0, "", AVERAGE(ABS(Resultados!F112),ABS(Resultados!O112),ABS(Resultados!X112),ABS(Resultados!AG112),ABS(Resultados!AP112),ABS(Resultados!AY112),ABS(Resultados!BH112),ABS(Resultados!BQ112),ABS(Resultados!BZ112),ABS(Resultados!CI112)))</f>
        <v>783.77492119711974</v>
      </c>
      <c r="G112">
        <f>IF(COUNT(Resultados!G112,Resultados!P112,Resultados!Y112,Resultados!AH112,Resultados!AQ112,Resultados!AZ112,Resultados!BI112,Resultados!BR112,Resultados!CA112,Resultados!CJ112)=0, "", AVERAGE(ABS(Resultados!G112),ABS(Resultados!P112),ABS(Resultados!Y112),ABS(Resultados!AH112),ABS(Resultados!AQ112),ABS(Resultados!AZ112),ABS(Resultados!BI112),ABS(Resultados!BR112),ABS(Resultados!CA112),ABS(Resultados!CJ112)))</f>
        <v>0.42400000000000004</v>
      </c>
      <c r="H112">
        <f>IF(COUNT(Resultados!H112,Resultados!Q112,Resultados!Z112,Resultados!AI112,Resultados!AR112,Resultados!BA112,Resultados!BJ112,Resultados!BS112,Resultados!CB112,Resultados!CK112)=0, "", AVERAGE(ABS(Resultados!H112),ABS(Resultados!Q112),ABS(Resultados!Z112),ABS(Resultados!AI112),ABS(Resultados!AR112),ABS(Resultados!BA112),ABS(Resultados!BJ112),ABS(Resultados!BS112),ABS(Resultados!CB112),ABS(Resultados!CK112)))</f>
        <v>2.9510000000000002E-2</v>
      </c>
      <c r="I112">
        <f>IF(COUNT(Resultados!I112,Resultados!R112,Resultados!AA112,Resultados!AJ112,Resultados!AS112,Resultados!BB112,Resultados!BK112,Resultados!BT112,Resultados!CC112,Resultados!CL112)=0, "", AVERAGE(ABS(Resultados!I112),ABS(Resultados!R112),ABS(Resultados!AA112),ABS(Resultados!AJ112),ABS(Resultados!AS112),ABS(Resultados!BB112),ABS(Resultados!BK112),ABS(Resultados!BT112),ABS(Resultados!CC112),ABS(Resultados!CL112)))</f>
        <v>22.080656999999999</v>
      </c>
      <c r="J112">
        <v>3.4680000000000002E-2</v>
      </c>
      <c r="K112">
        <v>2.9510000000000002E-2</v>
      </c>
    </row>
    <row r="113" spans="1:11" x14ac:dyDescent="0.3">
      <c r="A113">
        <f>IF(COUNT(Resultados!A113,Resultados!J113,Resultados!S113,Resultados!AB113,Resultados!AK113,Resultados!AT113,Resultados!BC113,Resultados!BL113,Resultados!BU113,Resultados!CD113)=0, "", AVERAGE(ABS(Resultados!A113),ABS(Resultados!J113),ABS(Resultados!S113),ABS(Resultados!AB113),ABS(Resultados!AK113),ABS(Resultados!AT113),ABS(Resultados!BC113),ABS(Resultados!BL113),ABS(Resultados!BU113),ABS(Resultados!CD113)))</f>
        <v>45681</v>
      </c>
      <c r="B113" t="str">
        <f>IF(COUNT(Resultados!B113,Resultados!K113,Resultados!T113,Resultados!AC113,Resultados!AL113,Resultados!AU113,Resultados!BD113,Resultados!BM113,Resultados!BV113,Resultados!CE113)=0, "", AVERAGE(ABS(Resultados!B113),ABS(Resultados!K113),ABS(Resultados!T113),ABS(Resultados!AC113),ABS(Resultados!AL113),ABS(Resultados!AU113),ABS(Resultados!BD113),ABS(Resultados!BM113),ABS(Resultados!BV113),ABS(Resultados!CE113)))</f>
        <v/>
      </c>
      <c r="C113">
        <f>IF(COUNT(Resultados!C113,Resultados!L113,Resultados!U113,Resultados!AD113,Resultados!AM113,Resultados!AV113,Resultados!BE113,Resultados!BN113,Resultados!BW113,Resultados!CF113)=0, "", AVERAGE(ABS(Resultados!C113),ABS(Resultados!L113),ABS(Resultados!U113),ABS(Resultados!AD113),ABS(Resultados!AM113),ABS(Resultados!AV113),ABS(Resultados!BE113),ABS(Resultados!BN113),ABS(Resultados!BW113),ABS(Resultados!CF113)))</f>
        <v>2.7</v>
      </c>
      <c r="D113">
        <f>IF(COUNT(Resultados!D113,Resultados!M113,Resultados!V113,Resultados!AE113,Resultados!AN113,Resultados!AW113,Resultados!BF113,Resultados!BO113,Resultados!BX113,Resultados!CG113)=0, "", AVERAGE(ABS(Resultados!D113),ABS(Resultados!M113),ABS(Resultados!V113),ABS(Resultados!AE113),ABS(Resultados!AN113),ABS(Resultados!AW113),ABS(Resultados!BF113),ABS(Resultados!BO113),ABS(Resultados!BX113),ABS(Resultados!CG113)))</f>
        <v>2.9690000000000001E-2</v>
      </c>
      <c r="E113">
        <f>IF(COUNT(Resultados!E113,Resultados!N113,Resultados!W113,Resultados!AF113,Resultados!AO113,Resultados!AX113,Resultados!BG113,Resultados!BP113,Resultados!BY113,Resultados!CH113)=0, "", AVERAGE(ABS(Resultados!E113),ABS(Resultados!N113),ABS(Resultados!W113),ABS(Resultados!AF113),ABS(Resultados!AO113),ABS(Resultados!AX113),ABS(Resultados!BG113),ABS(Resultados!BP113),ABS(Resultados!BY113),ABS(Resultados!CH113)))</f>
        <v>7.5830566708548544</v>
      </c>
      <c r="F113">
        <f>IF(COUNT(Resultados!F113,Resultados!O113,Resultados!X113,Resultados!AG113,Resultados!AP113,Resultados!AY113,Resultados!BH113,Resultados!BQ113,Resultados!BZ113,Resultados!CI113)=0, "", AVERAGE(ABS(Resultados!F113),ABS(Resultados!O113),ABS(Resultados!X113),ABS(Resultados!AG113),ABS(Resultados!AP113),ABS(Resultados!AY113),ABS(Resultados!BH113),ABS(Resultados!BQ113),ABS(Resultados!BZ113),ABS(Resultados!CI113)))</f>
        <v>754.74088172367249</v>
      </c>
      <c r="G113">
        <f>IF(COUNT(Resultados!G113,Resultados!P113,Resultados!Y113,Resultados!AH113,Resultados!AQ113,Resultados!AZ113,Resultados!BI113,Resultados!BR113,Resultados!CA113,Resultados!CJ113)=0, "", AVERAGE(ABS(Resultados!G113),ABS(Resultados!P113),ABS(Resultados!Y113),ABS(Resultados!AH113),ABS(Resultados!AQ113),ABS(Resultados!AZ113),ABS(Resultados!BI113),ABS(Resultados!BR113),ABS(Resultados!CA113),ABS(Resultados!CJ113)))</f>
        <v>0.42400000000000004</v>
      </c>
      <c r="H113">
        <f>IF(COUNT(Resultados!H113,Resultados!Q113,Resultados!Z113,Resultados!AI113,Resultados!AR113,Resultados!BA113,Resultados!BJ113,Resultados!BS113,Resultados!CB113,Resultados!CK113)=0, "", AVERAGE(ABS(Resultados!H113),ABS(Resultados!Q113),ABS(Resultados!Z113),ABS(Resultados!AI113),ABS(Resultados!AR113),ABS(Resultados!BA113),ABS(Resultados!BJ113),ABS(Resultados!BS113),ABS(Resultados!CB113),ABS(Resultados!CK113)))</f>
        <v>2.4660000000000001E-2</v>
      </c>
      <c r="I113">
        <f>IF(COUNT(Resultados!I113,Resultados!R113,Resultados!AA113,Resultados!AJ113,Resultados!AS113,Resultados!BB113,Resultados!BK113,Resultados!BT113,Resultados!CC113,Resultados!CL113)=0, "", AVERAGE(ABS(Resultados!I113),ABS(Resultados!R113),ABS(Resultados!AA113),ABS(Resultados!AJ113),ABS(Resultados!AS113),ABS(Resultados!BB113),ABS(Resultados!BK113),ABS(Resultados!BT113),ABS(Resultados!CC113),ABS(Resultados!CL113)))</f>
        <v>22.280060999999996</v>
      </c>
      <c r="J113">
        <v>2.9690000000000001E-2</v>
      </c>
      <c r="K113">
        <v>2.4660000000000001E-2</v>
      </c>
    </row>
    <row r="114" spans="1:11" x14ac:dyDescent="0.3">
      <c r="A114">
        <f>IF(COUNT(Resultados!A114,Resultados!J114,Resultados!S114,Resultados!AB114,Resultados!AK114,Resultados!AT114,Resultados!BC114,Resultados!BL114,Resultados!BU114,Resultados!CD114)=0, "", AVERAGE(ABS(Resultados!A114),ABS(Resultados!J114),ABS(Resultados!S114),ABS(Resultados!AB114),ABS(Resultados!AK114),ABS(Resultados!AT114),ABS(Resultados!BC114),ABS(Resultados!BL114),ABS(Resultados!BU114),ABS(Resultados!CD114)))</f>
        <v>45681</v>
      </c>
      <c r="B114" t="str">
        <f>IF(COUNT(Resultados!B114,Resultados!K114,Resultados!T114,Resultados!AC114,Resultados!AL114,Resultados!AU114,Resultados!BD114,Resultados!BM114,Resultados!BV114,Resultados!CE114)=0, "", AVERAGE(ABS(Resultados!B114),ABS(Resultados!K114),ABS(Resultados!T114),ABS(Resultados!AC114),ABS(Resultados!AL114),ABS(Resultados!AU114),ABS(Resultados!BD114),ABS(Resultados!BM114),ABS(Resultados!BV114),ABS(Resultados!CE114)))</f>
        <v/>
      </c>
      <c r="C114">
        <f>IF(COUNT(Resultados!C114,Resultados!L114,Resultados!U114,Resultados!AD114,Resultados!AM114,Resultados!AV114,Resultados!BE114,Resultados!BN114,Resultados!BW114,Resultados!CF114)=0, "", AVERAGE(ABS(Resultados!C114),ABS(Resultados!L114),ABS(Resultados!U114),ABS(Resultados!AD114),ABS(Resultados!AM114),ABS(Resultados!AV114),ABS(Resultados!BE114),ABS(Resultados!BN114),ABS(Resultados!BW114),ABS(Resultados!CF114)))</f>
        <v>2.7</v>
      </c>
      <c r="D114">
        <f>IF(COUNT(Resultados!D114,Resultados!M114,Resultados!V114,Resultados!AE114,Resultados!AN114,Resultados!AW114,Resultados!BF114,Resultados!BO114,Resultados!BX114,Resultados!CG114)=0, "", AVERAGE(ABS(Resultados!D114),ABS(Resultados!M114),ABS(Resultados!V114),ABS(Resultados!AE114),ABS(Resultados!AN114),ABS(Resultados!AW114),ABS(Resultados!BF114),ABS(Resultados!BO114),ABS(Resultados!BX114),ABS(Resultados!CG114)))</f>
        <v>2.452E-2</v>
      </c>
      <c r="E114">
        <f>IF(COUNT(Resultados!E114,Resultados!N114,Resultados!W114,Resultados!AF114,Resultados!AO114,Resultados!AX114,Resultados!BG114,Resultados!BP114,Resultados!BY114,Resultados!CH114)=0, "", AVERAGE(ABS(Resultados!E114),ABS(Resultados!N114),ABS(Resultados!W114),ABS(Resultados!AF114),ABS(Resultados!AO114),ABS(Resultados!AX114),ABS(Resultados!BG114),ABS(Resultados!BP114),ABS(Resultados!BY114),ABS(Resultados!CH114)))</f>
        <v>7.2805747615351919</v>
      </c>
      <c r="F114">
        <f>IF(COUNT(Resultados!F114,Resultados!O114,Resultados!X114,Resultados!AG114,Resultados!AP114,Resultados!AY114,Resultados!BH114,Resultados!BQ114,Resultados!BZ114,Resultados!CI114)=0, "", AVERAGE(ABS(Resultados!F114),ABS(Resultados!O114),ABS(Resultados!X114),ABS(Resultados!AG114),ABS(Resultados!AP114),ABS(Resultados!AY114),ABS(Resultados!BH114),ABS(Resultados!BQ114),ABS(Resultados!BZ114),ABS(Resultados!CI114)))</f>
        <v>726.54956777507982</v>
      </c>
      <c r="G114">
        <f>IF(COUNT(Resultados!G114,Resultados!P114,Resultados!Y114,Resultados!AH114,Resultados!AQ114,Resultados!AZ114,Resultados!BI114,Resultados!BR114,Resultados!CA114,Resultados!CJ114)=0, "", AVERAGE(ABS(Resultados!G114),ABS(Resultados!P114),ABS(Resultados!Y114),ABS(Resultados!AH114),ABS(Resultados!AQ114),ABS(Resultados!AZ114),ABS(Resultados!BI114),ABS(Resultados!BR114),ABS(Resultados!CA114),ABS(Resultados!CJ114)))</f>
        <v>0.42400000000000004</v>
      </c>
      <c r="H114">
        <f>IF(COUNT(Resultados!H114,Resultados!Q114,Resultados!Z114,Resultados!AI114,Resultados!AR114,Resultados!BA114,Resultados!BJ114,Resultados!BS114,Resultados!CB114,Resultados!CK114)=0, "", AVERAGE(ABS(Resultados!H114),ABS(Resultados!Q114),ABS(Resultados!Z114),ABS(Resultados!AI114),ABS(Resultados!AR114),ABS(Resultados!BA114),ABS(Resultados!BJ114),ABS(Resultados!BS114),ABS(Resultados!CB114),ABS(Resultados!CK114)))</f>
        <v>1.9950000000000002E-2</v>
      </c>
      <c r="I114">
        <f>IF(COUNT(Resultados!I114,Resultados!R114,Resultados!AA114,Resultados!AJ114,Resultados!AS114,Resultados!BB114,Resultados!BK114,Resultados!BT114,Resultados!CC114,Resultados!CL114)=0, "", AVERAGE(ABS(Resultados!I114),ABS(Resultados!R114),ABS(Resultados!AA114),ABS(Resultados!AJ114),ABS(Resultados!AS114),ABS(Resultados!BB114),ABS(Resultados!BK114),ABS(Resultados!BT114),ABS(Resultados!CC114),ABS(Resultados!CL114)))</f>
        <v>22.480614999999997</v>
      </c>
      <c r="J114">
        <v>2.452E-2</v>
      </c>
      <c r="K114">
        <v>1.9950000000000002E-2</v>
      </c>
    </row>
    <row r="115" spans="1:11" x14ac:dyDescent="0.3">
      <c r="A115">
        <f>IF(COUNT(Resultados!A115,Resultados!J115,Resultados!S115,Resultados!AB115,Resultados!AT115,Resultados!BL115,Resultados!BU115,Resultados!CD115)=0, "", AVERAGE(ABS(Resultados!A115),ABS(Resultados!J115),ABS(Resultados!S115),ABS(Resultados!AB115),ABS(Resultados!AT115),ABS(Resultados!BL115),ABS(Resultados!BU115),ABS(Resultados!CD115)))</f>
        <v>45681</v>
      </c>
      <c r="B115" t="str">
        <f>IF(COUNT(Resultados!B115,Resultados!K115,Resultados!T115,Resultados!AC115,Resultados!AU115,Resultados!BM115,Resultados!BV115,Resultados!CE115)=0, "", AVERAGE(ABS(Resultados!B115),ABS(Resultados!K115),ABS(Resultados!T115),ABS(Resultados!AC115),ABS(Resultados!AU115),ABS(Resultados!BM115),ABS(Resultados!BV115),ABS(Resultados!CE115)))</f>
        <v/>
      </c>
      <c r="C115">
        <f>IF(COUNT(Resultados!C115,Resultados!L115,Resultados!U115,Resultados!AD115,Resultados!AV115,Resultados!BN115,Resultados!BW115,Resultados!CF115)=0, "", AVERAGE(ABS(Resultados!C115),ABS(Resultados!L115),ABS(Resultados!U115),ABS(Resultados!AD115),ABS(Resultados!AV115),ABS(Resultados!BN115),ABS(Resultados!BW115),ABS(Resultados!CF115)))</f>
        <v>2.625</v>
      </c>
      <c r="D115">
        <f>IF(COUNT(Resultados!D115,Resultados!M115,Resultados!V115,Resultados!AE115,Resultados!AW115,Resultados!BO115,Resultados!BX115,Resultados!CG115)=0, "", AVERAGE(ABS(Resultados!D115),ABS(Resultados!M115),ABS(Resultados!V115),ABS(Resultados!AE115),ABS(Resultados!AW115),ABS(Resultados!BO115),ABS(Resultados!BX115),ABS(Resultados!CG115)))</f>
        <v>2.1425E-2</v>
      </c>
      <c r="E115">
        <f>IF(COUNT(Resultados!E115,Resultados!N115,Resultados!W115,Resultados!AF115,Resultados!AX115,Resultados!BP115,Resultados!BY115,Resultados!CH115)=0, "", AVERAGE(ABS(Resultados!E115),ABS(Resultados!N115),ABS(Resultados!W115),ABS(Resultados!AF115),ABS(Resultados!AX115),ABS(Resultados!BP115),ABS(Resultados!BY115),ABS(Resultados!CH115)))</f>
        <v>7.0998011420664389</v>
      </c>
      <c r="F115">
        <f>IF(COUNT(Resultados!F115,Resultados!O115,Resultados!X115,Resultados!AG115,Resultados!AY115,Resultados!BQ115,Resultados!BZ115,Resultados!CI115)=0, "", AVERAGE(ABS(Resultados!F115),ABS(Resultados!O115),ABS(Resultados!X115),ABS(Resultados!AG115),ABS(Resultados!AY115),ABS(Resultados!BQ115),ABS(Resultados!BZ115),ABS(Resultados!CI115)))</f>
        <v>709.70146644059207</v>
      </c>
      <c r="G115">
        <f>IF(COUNT(Resultados!G115,Resultados!P115,Resultados!Y115,Resultados!AH115,Resultados!AZ115,Resultados!BR115,Resultados!CA115,Resultados!CJ115)=0, "", AVERAGE(ABS(Resultados!G115),ABS(Resultados!P115),ABS(Resultados!Y115),ABS(Resultados!AH115),ABS(Resultados!AZ115),ABS(Resultados!BR115),ABS(Resultados!CA115),ABS(Resultados!CJ115)))</f>
        <v>0.42399999999999999</v>
      </c>
      <c r="H115">
        <f>IF(COUNT(Resultados!H115,Resultados!Q115,Resultados!Z115,Resultados!AI115,Resultados!BA115,Resultados!BS115,Resultados!CB115,Resultados!CK115)=0, "", AVERAGE(ABS(Resultados!H115),ABS(Resultados!Q115),ABS(Resultados!Z115),ABS(Resultados!AI115),ABS(Resultados!BA115),ABS(Resultados!BS115),ABS(Resultados!CB115),ABS(Resultados!CK115)))</f>
        <v>1.7149999999999999E-2</v>
      </c>
      <c r="I115">
        <f>IF(COUNT(Resultados!I115,Resultados!R115,Resultados!AA115,Resultados!AJ115,Resultados!BB115,Resultados!BT115,Resultados!CC115,Resultados!CL115)=0, "", AVERAGE(ABS(Resultados!I115),ABS(Resultados!R115),ABS(Resultados!AA115),ABS(Resultados!AJ115),ABS(Resultados!BB115),ABS(Resultados!BT115),ABS(Resultados!CC115),ABS(Resultados!CL115)))</f>
        <v>22.600077499999987</v>
      </c>
      <c r="J115">
        <v>2.1425E-2</v>
      </c>
      <c r="K115">
        <v>1.7149999999999999E-2</v>
      </c>
    </row>
    <row r="116" spans="1:11" x14ac:dyDescent="0.3">
      <c r="A116">
        <f>IF(COUNT(Resultados!A116,Resultados!J116,Resultados!S116,Resultados!AB116,Resultados!AT116,Resultados!BL116,Resultados!BU116,Resultados!CD116)=0, "", AVERAGE(ABS(Resultados!A116),ABS(Resultados!J116),ABS(Resultados!S116),ABS(Resultados!AB116),ABS(Resultados!AT116),ABS(Resultados!BL116),ABS(Resultados!BU116),ABS(Resultados!CD116)))</f>
        <v>45681</v>
      </c>
      <c r="B116" t="str">
        <f>IF(COUNT(Resultados!B116,Resultados!K116,Resultados!T116,Resultados!AC116,Resultados!AU116,Resultados!BM116,Resultados!BV116,Resultados!CE116)=0, "", AVERAGE(ABS(Resultados!B116),ABS(Resultados!K116),ABS(Resultados!T116),ABS(Resultados!AC116),ABS(Resultados!AU116),ABS(Resultados!BM116),ABS(Resultados!BV116),ABS(Resultados!CE116)))</f>
        <v/>
      </c>
      <c r="C116">
        <f>IF(COUNT(Resultados!C116,Resultados!L116,Resultados!U116,Resultados!AD116,Resultados!AV116,Resultados!BN116,Resultados!BW116,Resultados!CF116)=0, "", AVERAGE(ABS(Resultados!C116),ABS(Resultados!L116),ABS(Resultados!U116),ABS(Resultados!AD116),ABS(Resultados!AV116),ABS(Resultados!BN116),ABS(Resultados!BW116),ABS(Resultados!CF116)))</f>
        <v>2.625</v>
      </c>
      <c r="D116">
        <f>IF(COUNT(Resultados!D116,Resultados!M116,Resultados!V116,Resultados!AE116,Resultados!AW116,Resultados!BO116,Resultados!BX116,Resultados!CG116)=0, "", AVERAGE(ABS(Resultados!D116),ABS(Resultados!M116),ABS(Resultados!V116),ABS(Resultados!AE116),ABS(Resultados!AW116),ABS(Resultados!BO116),ABS(Resultados!BX116),ABS(Resultados!CG116)))</f>
        <v>1.6487500000000002E-2</v>
      </c>
      <c r="E116">
        <f>IF(COUNT(Resultados!E116,Resultados!N116,Resultados!W116,Resultados!AF116,Resultados!AX116,Resultados!BP116,Resultados!BY116,Resultados!CH116)=0, "", AVERAGE(ABS(Resultados!E116),ABS(Resultados!N116),ABS(Resultados!W116),ABS(Resultados!AF116),ABS(Resultados!AX116),ABS(Resultados!BP116),ABS(Resultados!BY116),ABS(Resultados!CH116)))</f>
        <v>6.8287987856351835</v>
      </c>
      <c r="F116">
        <f>IF(COUNT(Resultados!F116,Resultados!O116,Resultados!X116,Resultados!AG116,Resultados!AY116,Resultados!BQ116,Resultados!BZ116,Resultados!CI116)=0, "", AVERAGE(ABS(Resultados!F116),ABS(Resultados!O116),ABS(Resultados!X116),ABS(Resultados!AG116),ABS(Resultados!AY116),ABS(Resultados!BQ116),ABS(Resultados!BZ116),ABS(Resultados!CI116)))</f>
        <v>684.44404682119909</v>
      </c>
      <c r="G116">
        <f>IF(COUNT(Resultados!G116,Resultados!P116,Resultados!Y116,Resultados!AH116,Resultados!AZ116,Resultados!BR116,Resultados!CA116,Resultados!CJ116)=0, "", AVERAGE(ABS(Resultados!G116),ABS(Resultados!P116),ABS(Resultados!Y116),ABS(Resultados!AH116),ABS(Resultados!AZ116),ABS(Resultados!BR116),ABS(Resultados!CA116),ABS(Resultados!CJ116)))</f>
        <v>0.42399999999999999</v>
      </c>
      <c r="H116">
        <f>IF(COUNT(Resultados!H116,Resultados!Q116,Resultados!Z116,Resultados!AI116,Resultados!BA116,Resultados!BS116,Resultados!CB116,Resultados!CK116)=0, "", AVERAGE(ABS(Resultados!H116),ABS(Resultados!Q116),ABS(Resultados!Z116),ABS(Resultados!AI116),ABS(Resultados!BA116),ABS(Resultados!BS116),ABS(Resultados!CB116),ABS(Resultados!CK116)))</f>
        <v>1.2949999999999998E-2</v>
      </c>
      <c r="I116">
        <f>IF(COUNT(Resultados!I116,Resultados!R116,Resultados!AA116,Resultados!AJ116,Resultados!BB116,Resultados!BT116,Resultados!CC116,Resultados!CL116)=0, "", AVERAGE(ABS(Resultados!I116),ABS(Resultados!R116),ABS(Resultados!AA116),ABS(Resultados!AJ116),ABS(Resultados!BB116),ABS(Resultados!BT116),ABS(Resultados!CC116),ABS(Resultados!CL116)))</f>
        <v>22.8000775</v>
      </c>
      <c r="J116">
        <v>1.6487500000000002E-2</v>
      </c>
      <c r="K116">
        <v>1.2949999999999998E-2</v>
      </c>
    </row>
    <row r="117" spans="1:11" x14ac:dyDescent="0.3">
      <c r="A117">
        <f>IF(COUNT(Resultados!A117,Resultados!S117,Resultados!AB117,Resultados!AT117,Resultados!BU117)=0, "", AVERAGE(ABS(Resultados!A117),ABS(Resultados!S117),ABS(Resultados!AB117),ABS(Resultados!AT117),ABS(Resultados!BU117)))</f>
        <v>45681</v>
      </c>
      <c r="B117" t="str">
        <f>IF(COUNT(Resultados!B117,Resultados!T117,Resultados!AC117,Resultados!AU117,Resultados!BV117)=0, "", AVERAGE(ABS(Resultados!B117),ABS(Resultados!T117),ABS(Resultados!AC117),ABS(Resultados!AU117),ABS(Resultados!BV117)))</f>
        <v/>
      </c>
      <c r="C117">
        <f>IF(COUNT(Resultados!C117,Resultados!U117,Resultados!AD117,Resultados!AV117,Resultados!BW117)=0, "", AVERAGE(ABS(Resultados!C117),ABS(Resultados!U117),ABS(Resultados!AD117),ABS(Resultados!AV117),ABS(Resultados!BW117)))</f>
        <v>2.2000000000000002</v>
      </c>
      <c r="D117">
        <f>IF(COUNT(Resultados!D117,Resultados!V117,Resultados!AE117,Resultados!AW117,Resultados!BX117)=0, "", AVERAGE(ABS(Resultados!D117),ABS(Resultados!V117),ABS(Resultados!AE117),ABS(Resultados!AW117),ABS(Resultados!BX117)))</f>
        <v>1.1699999999999999E-2</v>
      </c>
      <c r="E117">
        <f>IF(COUNT(Resultados!E117,Resultados!W117,Resultados!AF117,Resultados!AX117,Resultados!BY117)=0, "", AVERAGE(ABS(Resultados!E117),ABS(Resultados!W117),ABS(Resultados!AF117),ABS(Resultados!AX117),ABS(Resultados!BY117)))</f>
        <v>6.5890728615201395</v>
      </c>
      <c r="F117">
        <f>IF(COUNT(Resultados!F117,Resultados!X117,Resultados!AG117,Resultados!AY117,Resultados!BZ117)=0, "", AVERAGE(ABS(Resultados!F117),ABS(Resultados!X117),ABS(Resultados!AG117),ABS(Resultados!AY117),ABS(Resultados!BZ117)))</f>
        <v>662.10159069367705</v>
      </c>
      <c r="G117">
        <f>IF(COUNT(Resultados!G117,Resultados!Y117,Resultados!AH117,Resultados!AZ117,Resultados!CA117)=0, "", AVERAGE(ABS(Resultados!G117),ABS(Resultados!Y117),ABS(Resultados!AH117),ABS(Resultados!AZ117),ABS(Resultados!CA117)))</f>
        <v>0.42400000000000004</v>
      </c>
      <c r="H117">
        <f>IF(COUNT(Resultados!H117,Resultados!Z117,Resultados!AI117,Resultados!BA117,Resultados!CB117)=0, "", AVERAGE(ABS(Resultados!H117),ABS(Resultados!Z117),ABS(Resultados!AI117),ABS(Resultados!BA117),ABS(Resultados!CB117)))</f>
        <v>9.2200000000000008E-3</v>
      </c>
      <c r="I117">
        <f>IF(COUNT(Resultados!I117,Resultados!AA117,Resultados!AJ117,Resultados!BB117,Resultados!CC117)=0, "", AVERAGE(ABS(Resultados!I117),ABS(Resultados!AA117),ABS(Resultados!AJ117),ABS(Resultados!BB117),ABS(Resultados!CC117)))</f>
        <v>22.999059999999997</v>
      </c>
      <c r="J117">
        <v>1.1699999999999999E-2</v>
      </c>
      <c r="K117">
        <v>9.2200000000000008E-3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17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IF(COUNT(Resultados!A2,Resultados!J2,Resultados!S2,Resultados!AB2,Resultados!AK2,Resultados!AT2,Resultados!BC2,Resultados!BL2,Resultados!BU2,Resultados!CD2)&lt;=1, "", _xlfn.STDEV.S(ABS(Resultados!A2),ABS(Resultados!J2),ABS(Resultados!S2),ABS(Resultados!AB2),ABS(Resultados!AK2),ABS(Resultados!AT2),ABS(Resultados!BC2),ABS(Resultados!BL2),ABS(Resultados!BU2),ABS(Resultados!CD2))/SQRT(COUNT(Resultados!A2,Resultados!J2,Resultados!S2,Resultados!AB2,Resultados!AK2,Resultados!AT2,Resultados!BC2,Resultados!BL2,Resultados!BU2,Resultados!CD2)))</f>
        <v>0</v>
      </c>
      <c r="B2" t="str">
        <f>IF(COUNT(Resultados!B2,Resultados!K2,Resultados!T2,Resultados!AC2,Resultados!AL2,Resultados!AU2,Resultados!BD2,Resultados!BM2,Resultados!BV2,Resultados!CE2)&lt;=1, "", _xlfn.STDEV.S(ABS(Resultados!B2),ABS(Resultados!K2),ABS(Resultados!T2),ABS(Resultados!AC2),ABS(Resultados!AL2),ABS(Resultados!AU2),ABS(Resultados!BD2),ABS(Resultados!BM2),ABS(Resultados!BV2),ABS(Resultados!CE2))/SQRT(COUNT(Resultados!B2,Resultados!K2,Resultados!T2,Resultados!AC2,Resultados!AL2,Resultados!AU2,Resultados!BD2,Resultados!BM2,Resultados!BV2,Resultados!CE2)))</f>
        <v/>
      </c>
      <c r="C2">
        <f>IF(COUNT(Resultados!C2,Resultados!L2,Resultados!U2,Resultados!AD2,Resultados!AM2,Resultados!AV2,Resultados!BE2,Resultados!BN2,Resultados!BW2,Resultados!CF2)&lt;=1, "", _xlfn.STDEV.S(ABS(Resultados!C2),ABS(Resultados!L2),ABS(Resultados!U2),ABS(Resultados!AD2),ABS(Resultados!AM2),ABS(Resultados!AV2),ABS(Resultados!BE2),ABS(Resultados!BN2),ABS(Resultados!BW2),ABS(Resultados!CF2))/SQRT(COUNT(Resultados!C2,Resultados!L2,Resultados!U2,Resultados!AD2,Resultados!AM2,Resultados!AV2,Resultados!BE2,Resultados!BN2,Resultados!BW2,Resultados!CF2)))</f>
        <v>0.54160256030906395</v>
      </c>
      <c r="D2">
        <f>IF(COUNT(Resultados!D2,Resultados!M2,Resultados!V2,Resultados!AE2,Resultados!AN2,Resultados!AW2,Resultados!BF2,Resultados!BO2,Resultados!BX2,Resultados!CG2)&lt;=1, "", _xlfn.STDEV.S(ABS(Resultados!D2),ABS(Resultados!M2),ABS(Resultados!V2),ABS(Resultados!AE2),ABS(Resultados!AN2),ABS(Resultados!AW2),ABS(Resultados!BF2),ABS(Resultados!BO2),ABS(Resultados!BX2),ABS(Resultados!CG2))/SQRT(COUNT(Resultados!D2,Resultados!M2,Resultados!V2,Resultados!AE2,Resultados!AN2,Resultados!AW2,Resultados!BF2,Resultados!BO2,Resultados!BX2,Resultados!CG2)))</f>
        <v>7.6666666666666655E-5</v>
      </c>
      <c r="E2">
        <f>IF(COUNT(Resultados!E2,Resultados!N2,Resultados!W2,Resultados!AF2,Resultados!AO2,Resultados!AX2,Resultados!BG2,Resultados!BP2,Resultados!BY2,Resultados!CH2)&lt;=1, "", _xlfn.STDEV.S(ABS(Resultados!E2),ABS(Resultados!N2),ABS(Resultados!W2),ABS(Resultados!AF2),ABS(Resultados!AO2),ABS(Resultados!AX2),ABS(Resultados!BG2),ABS(Resultados!BP2),ABS(Resultados!BY2),ABS(Resultados!CH2))/SQRT(COUNT(Resultados!E2,Resultados!N2,Resultados!W2,Resultados!AF2,Resultados!AO2,Resultados!AX2,Resultados!BG2,Resultados!BP2,Resultados!BY2,Resultados!CH2)))</f>
        <v>2.4031949819652313E-6</v>
      </c>
      <c r="F2">
        <f>IF(COUNT(Resultados!F2,Resultados!O2,Resultados!X2,Resultados!AG2,Resultados!AP2,Resultados!AY2,Resultados!BH2,Resultados!BQ2,Resultados!BZ2,Resultados!CI2)&lt;=1, "", _xlfn.STDEV.S(ABS(Resultados!F2),ABS(Resultados!O2),ABS(Resultados!X2),ABS(Resultados!AG2),ABS(Resultados!AP2),ABS(Resultados!AY2),ABS(Resultados!BH2),ABS(Resultados!BQ2),ABS(Resultados!BZ2),ABS(Resultados!CI2))/SQRT(COUNT(Resultados!F2,Resultados!O2,Resultados!X2,Resultados!AG2,Resultados!AP2,Resultados!AY2,Resultados!BH2,Resultados!BQ2,Resultados!BZ2,Resultados!CI2)))</f>
        <v>2.2397777231240239E-4</v>
      </c>
      <c r="G2">
        <f>IF(COUNT(Resultados!G2,Resultados!P2,Resultados!Y2,Resultados!AH2,Resultados!AQ2,Resultados!AZ2,Resultados!BI2,Resultados!BR2,Resultados!CA2,Resultados!CJ2)&lt;=1, "", _xlfn.STDEV.S(ABS(Resultados!G2),ABS(Resultados!P2),ABS(Resultados!Y2),ABS(Resultados!AH2),ABS(Resultados!AQ2),ABS(Resultados!AZ2),ABS(Resultados!BI2),ABS(Resultados!BR2),ABS(Resultados!CA2),ABS(Resultados!CJ2))/SQRT(COUNT(Resultados!G2,Resultados!P2,Resultados!Y2,Resultados!AH2,Resultados!AQ2,Resultados!AZ2,Resultados!BI2,Resultados!BR2,Resultados!CA2,Resultados!CJ2)))</f>
        <v>1.8503717077085941E-17</v>
      </c>
      <c r="H2">
        <f>IF(COUNT(Resultados!H2,Resultados!Q2,Resultados!Z2,Resultados!AI2,Resultados!AR2,Resultados!BA2,Resultados!BJ2,Resultados!BS2,Resultados!CB2,Resultados!CK2)&lt;=1, "", _xlfn.STDEV.S(ABS(Resultados!H2),ABS(Resultados!Q2),ABS(Resultados!Z2),ABS(Resultados!AI2),ABS(Resultados!AR2),ABS(Resultados!BA2),ABS(Resultados!BJ2),ABS(Resultados!BS2),ABS(Resultados!CB2),ABS(Resultados!CK2))/SQRT(COUNT(Resultados!H2,Resultados!Q2,Resultados!Z2,Resultados!AI2,Resultados!AR2,Resultados!BA2,Resultados!BJ2,Resultados!BS2,Resultados!CB2,Resultados!CK2)))</f>
        <v>0</v>
      </c>
      <c r="I2">
        <f>IF(COUNT(Resultados!I2,Resultados!R2,Resultados!AA2,Resultados!AJ2,Resultados!AS2,Resultados!BB2,Resultados!BK2,Resultados!BT2,Resultados!CC2,Resultados!CL2)&lt;=1, "", _xlfn.STDEV.S(ABS(Resultados!I2),ABS(Resultados!R2),ABS(Resultados!AA2),ABS(Resultados!AJ2),ABS(Resultados!AS2),ABS(Resultados!BB2),ABS(Resultados!BK2),ABS(Resultados!BT2),ABS(Resultados!CC2),ABS(Resultados!CL2))/SQRT(COUNT(Resultados!I2,Resultados!R2,Resultados!AA2,Resultados!AJ2,Resultados!AS2,Resultados!BB2,Resultados!BK2,Resultados!BT2,Resultados!CC2,Resultados!CL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IF(COUNT(Resultados!A3,Resultados!J3,Resultados!S3,Resultados!AB3,Resultados!AK3,Resultados!AT3,Resultados!BC3,Resultados!BL3,Resultados!BU3,Resultados!CD3)&lt;=1, "", _xlfn.STDEV.S(ABS(Resultados!A3),ABS(Resultados!J3),ABS(Resultados!S3),ABS(Resultados!AB3),ABS(Resultados!AK3),ABS(Resultados!AT3),ABS(Resultados!BC3),ABS(Resultados!BL3),ABS(Resultados!BU3),ABS(Resultados!CD3))/SQRT(COUNT(Resultados!A3,Resultados!J3,Resultados!S3,Resultados!AB3,Resultados!AK3,Resultados!AT3,Resultados!BC3,Resultados!BL3,Resultados!BU3,Resultados!CD3)))</f>
        <v>0</v>
      </c>
      <c r="B3" t="str">
        <f>IF(COUNT(Resultados!B3,Resultados!K3,Resultados!T3,Resultados!AC3,Resultados!AL3,Resultados!AU3,Resultados!BD3,Resultados!BM3,Resultados!BV3,Resultados!CE3)&lt;=1, "", _xlfn.STDEV.S(ABS(Resultados!B3),ABS(Resultados!K3),ABS(Resultados!T3),ABS(Resultados!AC3),ABS(Resultados!AL3),ABS(Resultados!AU3),ABS(Resultados!BD3),ABS(Resultados!BM3),ABS(Resultados!BV3),ABS(Resultados!CE3))/SQRT(COUNT(Resultados!B3,Resultados!K3,Resultados!T3,Resultados!AC3,Resultados!AL3,Resultados!AU3,Resultados!BD3,Resultados!BM3,Resultados!BV3,Resultados!CE3)))</f>
        <v/>
      </c>
      <c r="C3">
        <f>IF(COUNT(Resultados!C3,Resultados!L3,Resultados!U3,Resultados!AD3,Resultados!AM3,Resultados!AV3,Resultados!BE3,Resultados!BN3,Resultados!BW3,Resultados!CF3)&lt;=1, "", _xlfn.STDEV.S(ABS(Resultados!C3),ABS(Resultados!L3),ABS(Resultados!U3),ABS(Resultados!AD3),ABS(Resultados!AM3),ABS(Resultados!AV3),ABS(Resultados!BE3),ABS(Resultados!BN3),ABS(Resultados!BW3),ABS(Resultados!CF3))/SQRT(COUNT(Resultados!C3,Resultados!L3,Resultados!U3,Resultados!AD3,Resultados!AM3,Resultados!AV3,Resultados!BE3,Resultados!BN3,Resultados!BW3,Resultados!CF3)))</f>
        <v>0.54160256030906395</v>
      </c>
      <c r="D3">
        <f>IF(COUNT(Resultados!D3,Resultados!M3,Resultados!V3,Resultados!AE3,Resultados!AN3,Resultados!AW3,Resultados!BF3,Resultados!BO3,Resultados!BX3,Resultados!CG3)&lt;=1, "", _xlfn.STDEV.S(ABS(Resultados!D3),ABS(Resultados!M3),ABS(Resultados!V3),ABS(Resultados!AE3),ABS(Resultados!AN3),ABS(Resultados!AW3),ABS(Resultados!BF3),ABS(Resultados!BO3),ABS(Resultados!BX3),ABS(Resultados!CG3))/SQRT(COUNT(Resultados!D3,Resultados!M3,Resultados!V3,Resultados!AE3,Resultados!AN3,Resultados!AW3,Resultados!BF3,Resultados!BO3,Resultados!BX3,Resultados!CG3)))</f>
        <v>2.211083193570266E-5</v>
      </c>
      <c r="E3">
        <f>IF(COUNT(Resultados!E3,Resultados!N3,Resultados!W3,Resultados!AF3,Resultados!AO3,Resultados!AX3,Resultados!BG3,Resultados!BP3,Resultados!BY3,Resultados!CH3)&lt;=1, "", _xlfn.STDEV.S(ABS(Resultados!E3),ABS(Resultados!N3),ABS(Resultados!W3),ABS(Resultados!AF3),ABS(Resultados!AO3),ABS(Resultados!AX3),ABS(Resultados!BG3),ABS(Resultados!BP3),ABS(Resultados!BY3),ABS(Resultados!CH3))/SQRT(COUNT(Resultados!E3,Resultados!N3,Resultados!W3,Resultados!AF3,Resultados!AO3,Resultados!AX3,Resultados!BG3,Resultados!BP3,Resultados!BY3,Resultados!CH3)))</f>
        <v>1.4146673116878148E-4</v>
      </c>
      <c r="F3">
        <f>IF(COUNT(Resultados!F3,Resultados!O3,Resultados!X3,Resultados!AG3,Resultados!AP3,Resultados!AY3,Resultados!BH3,Resultados!BQ3,Resultados!BZ3,Resultados!CI3)&lt;=1, "", _xlfn.STDEV.S(ABS(Resultados!F3),ABS(Resultados!O3),ABS(Resultados!X3),ABS(Resultados!AG3),ABS(Resultados!AP3),ABS(Resultados!AY3),ABS(Resultados!BH3),ABS(Resultados!BQ3),ABS(Resultados!BZ3),ABS(Resultados!CI3))/SQRT(COUNT(Resultados!F3,Resultados!O3,Resultados!X3,Resultados!AG3,Resultados!AP3,Resultados!AY3,Resultados!BH3,Resultados!BQ3,Resultados!BZ3,Resultados!CI3)))</f>
        <v>1.3425192787911558E-2</v>
      </c>
      <c r="G3">
        <f>IF(COUNT(Resultados!G3,Resultados!P3,Resultados!Y3,Resultados!AH3,Resultados!AQ3,Resultados!AZ3,Resultados!BI3,Resultados!BR3,Resultados!CA3,Resultados!CJ3)&lt;=1, "", _xlfn.STDEV.S(ABS(Resultados!G3),ABS(Resultados!P3),ABS(Resultados!Y3),ABS(Resultados!AH3),ABS(Resultados!AQ3),ABS(Resultados!AZ3),ABS(Resultados!BI3),ABS(Resultados!BR3),ABS(Resultados!CA3),ABS(Resultados!CJ3))/SQRT(COUNT(Resultados!G3,Resultados!P3,Resultados!Y3,Resultados!AH3,Resultados!AQ3,Resultados!AZ3,Resultados!BI3,Resultados!BR3,Resultados!CA3,Resultados!CJ3)))</f>
        <v>1.8503717077085941E-17</v>
      </c>
      <c r="H3">
        <f>IF(COUNT(Resultados!H3,Resultados!Q3,Resultados!Z3,Resultados!AI3,Resultados!AR3,Resultados!BA3,Resultados!BJ3,Resultados!BS3,Resultados!CB3,Resultados!CK3)&lt;=1, "", _xlfn.STDEV.S(ABS(Resultados!H3),ABS(Resultados!Q3),ABS(Resultados!Z3),ABS(Resultados!AI3),ABS(Resultados!AR3),ABS(Resultados!BA3),ABS(Resultados!BJ3),ABS(Resultados!BS3),ABS(Resultados!CB3),ABS(Resultados!CK3))/SQRT(COUNT(Resultados!H3,Resultados!Q3,Resultados!Z3,Resultados!AI3,Resultados!AR3,Resultados!BA3,Resultados!BJ3,Resultados!BS3,Resultados!CB3,Resultados!CK3)))</f>
        <v>1.807003620809174E-20</v>
      </c>
      <c r="I3">
        <f>IF(COUNT(Resultados!I3,Resultados!R3,Resultados!AA3,Resultados!AJ3,Resultados!AS3,Resultados!BB3,Resultados!BK3,Resultados!BT3,Resultados!CC3,Resultados!CL3)&lt;=1, "", _xlfn.STDEV.S(ABS(Resultados!I3),ABS(Resultados!R3),ABS(Resultados!AA3),ABS(Resultados!AJ3),ABS(Resultados!AS3),ABS(Resultados!BB3),ABS(Resultados!BK3),ABS(Resultados!BT3),ABS(Resultados!CC3),ABS(Resultados!CL3))/SQRT(COUNT(Resultados!I3,Resultados!R3,Resultados!AA3,Resultados!AJ3,Resultados!AS3,Resultados!BB3,Resultados!BK3,Resultados!BT3,Resultados!CC3,Resultados!CL3)))</f>
        <v>3.1429374087885658E-4</v>
      </c>
    </row>
    <row r="4" spans="1:9" x14ac:dyDescent="0.3">
      <c r="A4">
        <f>IF(COUNT(Resultados!A4,Resultados!J4,Resultados!S4,Resultados!AB4,Resultados!AK4,Resultados!AT4,Resultados!BC4,Resultados!BL4,Resultados!BU4,Resultados!CD4)&lt;=1, "", _xlfn.STDEV.S(ABS(Resultados!A4),ABS(Resultados!J4),ABS(Resultados!S4),ABS(Resultados!AB4),ABS(Resultados!AK4),ABS(Resultados!AT4),ABS(Resultados!BC4),ABS(Resultados!BL4),ABS(Resultados!BU4),ABS(Resultados!CD4))/SQRT(COUNT(Resultados!A4,Resultados!J4,Resultados!S4,Resultados!AB4,Resultados!AK4,Resultados!AT4,Resultados!BC4,Resultados!BL4,Resultados!BU4,Resultados!CD4)))</f>
        <v>0</v>
      </c>
      <c r="B4" t="str">
        <f>IF(COUNT(Resultados!B4,Resultados!K4,Resultados!T4,Resultados!AC4,Resultados!AL4,Resultados!AU4,Resultados!BD4,Resultados!BM4,Resultados!BV4,Resultados!CE4)&lt;=1, "", _xlfn.STDEV.S(ABS(Resultados!B4),ABS(Resultados!K4),ABS(Resultados!T4),ABS(Resultados!AC4),ABS(Resultados!AL4),ABS(Resultados!AU4),ABS(Resultados!BD4),ABS(Resultados!BM4),ABS(Resultados!BV4),ABS(Resultados!CE4))/SQRT(COUNT(Resultados!B4,Resultados!K4,Resultados!T4,Resultados!AC4,Resultados!AL4,Resultados!AU4,Resultados!BD4,Resultados!BM4,Resultados!BV4,Resultados!CE4)))</f>
        <v/>
      </c>
      <c r="C4">
        <f>IF(COUNT(Resultados!C4,Resultados!L4,Resultados!U4,Resultados!AD4,Resultados!AM4,Resultados!AV4,Resultados!BE4,Resultados!BN4,Resultados!BW4,Resultados!CF4)&lt;=1, "", _xlfn.STDEV.S(ABS(Resultados!C4),ABS(Resultados!L4),ABS(Resultados!U4),ABS(Resultados!AD4),ABS(Resultados!AM4),ABS(Resultados!AV4),ABS(Resultados!BE4),ABS(Resultados!BN4),ABS(Resultados!BW4),ABS(Resultados!CF4))/SQRT(COUNT(Resultados!C4,Resultados!L4,Resultados!U4,Resultados!AD4,Resultados!AM4,Resultados!AV4,Resultados!BE4,Resultados!BN4,Resultados!BW4,Resultados!CF4)))</f>
        <v>0.54160256030906395</v>
      </c>
      <c r="D4">
        <f>IF(COUNT(Resultados!D4,Resultados!M4,Resultados!V4,Resultados!AE4,Resultados!AN4,Resultados!AW4,Resultados!BF4,Resultados!BO4,Resultados!BX4,Resultados!CG4)&lt;=1, "", _xlfn.STDEV.S(ABS(Resultados!D4),ABS(Resultados!M4),ABS(Resultados!V4),ABS(Resultados!AE4),ABS(Resultados!AN4),ABS(Resultados!AW4),ABS(Resultados!BF4),ABS(Resultados!BO4),ABS(Resultados!BX4),ABS(Resultados!CG4))/SQRT(COUNT(Resultados!D4,Resultados!M4,Resultados!V4,Resultados!AE4,Resultados!AN4,Resultados!AW4,Resultados!BF4,Resultados!BO4,Resultados!BX4,Resultados!CG4)))</f>
        <v>2.5088731423578283E-4</v>
      </c>
      <c r="E4">
        <f>IF(COUNT(Resultados!E4,Resultados!N4,Resultados!W4,Resultados!AF4,Resultados!AO4,Resultados!AX4,Resultados!BG4,Resultados!BP4,Resultados!BY4,Resultados!CH4)&lt;=1, "", _xlfn.STDEV.S(ABS(Resultados!E4),ABS(Resultados!N4),ABS(Resultados!W4),ABS(Resultados!AF4),ABS(Resultados!AO4),ABS(Resultados!AX4),ABS(Resultados!BG4),ABS(Resultados!BP4),ABS(Resultados!BY4),ABS(Resultados!CH4))/SQRT(COUNT(Resultados!E4,Resultados!N4,Resultados!W4,Resultados!AF4,Resultados!AO4,Resultados!AX4,Resultados!BG4,Resultados!BP4,Resultados!BY4,Resultados!CH4)))</f>
        <v>3.2815763194179895E-4</v>
      </c>
      <c r="F4">
        <f>IF(COUNT(Resultados!F4,Resultados!O4,Resultados!X4,Resultados!AG4,Resultados!AP4,Resultados!AY4,Resultados!BH4,Resultados!BQ4,Resultados!BZ4,Resultados!CI4)&lt;=1, "", _xlfn.STDEV.S(ABS(Resultados!F4),ABS(Resultados!O4),ABS(Resultados!X4),ABS(Resultados!AG4),ABS(Resultados!AP4),ABS(Resultados!AY4),ABS(Resultados!BH4),ABS(Resultados!BQ4),ABS(Resultados!BZ4),ABS(Resultados!CI4))/SQRT(COUNT(Resultados!F4,Resultados!O4,Resultados!X4,Resultados!AG4,Resultados!AP4,Resultados!AY4,Resultados!BH4,Resultados!BQ4,Resultados!BZ4,Resultados!CI4)))</f>
        <v>3.1142159271278304E-2</v>
      </c>
      <c r="G4">
        <f>IF(COUNT(Resultados!G4,Resultados!P4,Resultados!Y4,Resultados!AH4,Resultados!AQ4,Resultados!AZ4,Resultados!BI4,Resultados!BR4,Resultados!CA4,Resultados!CJ4)&lt;=1, "", _xlfn.STDEV.S(ABS(Resultados!G4),ABS(Resultados!P4),ABS(Resultados!Y4),ABS(Resultados!AH4),ABS(Resultados!AQ4),ABS(Resultados!AZ4),ABS(Resultados!BI4),ABS(Resultados!BR4),ABS(Resultados!CA4),ABS(Resultados!CJ4))/SQRT(COUNT(Resultados!G4,Resultados!P4,Resultados!Y4,Resultados!AH4,Resultados!AQ4,Resultados!AZ4,Resultados!BI4,Resultados!BR4,Resultados!CA4,Resultados!CJ4)))</f>
        <v>1.8503717077085941E-17</v>
      </c>
      <c r="H4">
        <f>IF(COUNT(Resultados!H4,Resultados!Q4,Resultados!Z4,Resultados!AI4,Resultados!AR4,Resultados!BA4,Resultados!BJ4,Resultados!BS4,Resultados!CB4,Resultados!CK4)&lt;=1, "", _xlfn.STDEV.S(ABS(Resultados!H4),ABS(Resultados!Q4),ABS(Resultados!Z4),ABS(Resultados!AI4),ABS(Resultados!AR4),ABS(Resultados!BA4),ABS(Resultados!BJ4),ABS(Resultados!BS4),ABS(Resultados!CB4),ABS(Resultados!CK4))/SQRT(COUNT(Resultados!H4,Resultados!Q4,Resultados!Z4,Resultados!AI4,Resultados!AR4,Resultados!BA4,Resultados!BJ4,Resultados!BS4,Resultados!CB4,Resultados!CK4)))</f>
        <v>1.6329931618554526E-5</v>
      </c>
      <c r="I4">
        <f>IF(COUNT(Resultados!I4,Resultados!R4,Resultados!AA4,Resultados!AJ4,Resultados!AS4,Resultados!BB4,Resultados!BK4,Resultados!BT4,Resultados!CC4,Resultados!CL4)&lt;=1, "", _xlfn.STDEV.S(ABS(Resultados!I4),ABS(Resultados!R4),ABS(Resultados!AA4),ABS(Resultados!AJ4),ABS(Resultados!AS4),ABS(Resultados!BB4),ABS(Resultados!BK4),ABS(Resultados!BT4),ABS(Resultados!CC4),ABS(Resultados!CL4))/SQRT(COUNT(Resultados!I4,Resultados!R4,Resultados!AA4,Resultados!AJ4,Resultados!AS4,Resultados!BB4,Resultados!BK4,Resultados!BT4,Resultados!CC4,Resultados!CL4)))</f>
        <v>4.1935400055130004E-4</v>
      </c>
    </row>
    <row r="5" spans="1:9" x14ac:dyDescent="0.3">
      <c r="A5">
        <f>IF(COUNT(Resultados!A5,Resultados!J5,Resultados!S5,Resultados!AB5,Resultados!AK5,Resultados!AT5,Resultados!BC5,Resultados!BL5,Resultados!BU5,Resultados!CD5)&lt;=1, "", _xlfn.STDEV.S(ABS(Resultados!A5),ABS(Resultados!J5),ABS(Resultados!S5),ABS(Resultados!AB5),ABS(Resultados!AK5),ABS(Resultados!AT5),ABS(Resultados!BC5),ABS(Resultados!BL5),ABS(Resultados!BU5),ABS(Resultados!CD5))/SQRT(COUNT(Resultados!A5,Resultados!J5,Resultados!S5,Resultados!AB5,Resultados!AK5,Resultados!AT5,Resultados!BC5,Resultados!BL5,Resultados!BU5,Resultados!CD5)))</f>
        <v>0</v>
      </c>
      <c r="B5" t="str">
        <f>IF(COUNT(Resultados!B5,Resultados!K5,Resultados!T5,Resultados!AC5,Resultados!AL5,Resultados!AU5,Resultados!BD5,Resultados!BM5,Resultados!BV5,Resultados!CE5)&lt;=1, "", _xlfn.STDEV.S(ABS(Resultados!B5),ABS(Resultados!K5),ABS(Resultados!T5),ABS(Resultados!AC5),ABS(Resultados!AL5),ABS(Resultados!AU5),ABS(Resultados!BD5),ABS(Resultados!BM5),ABS(Resultados!BV5),ABS(Resultados!CE5))/SQRT(COUNT(Resultados!B5,Resultados!K5,Resultados!T5,Resultados!AC5,Resultados!AL5,Resultados!AU5,Resultados!BD5,Resultados!BM5,Resultados!BV5,Resultados!CE5)))</f>
        <v/>
      </c>
      <c r="C5">
        <f>IF(COUNT(Resultados!C5,Resultados!L5,Resultados!U5,Resultados!AD5,Resultados!AM5,Resultados!AV5,Resultados!BE5,Resultados!BN5,Resultados!BW5,Resultados!CF5)&lt;=1, "", _xlfn.STDEV.S(ABS(Resultados!C5),ABS(Resultados!L5),ABS(Resultados!U5),ABS(Resultados!AD5),ABS(Resultados!AM5),ABS(Resultados!AV5),ABS(Resultados!BE5),ABS(Resultados!BN5),ABS(Resultados!BW5),ABS(Resultados!CF5))/SQRT(COUNT(Resultados!C5,Resultados!L5,Resultados!U5,Resultados!AD5,Resultados!AM5,Resultados!AV5,Resultados!BE5,Resultados!BN5,Resultados!BW5,Resultados!CF5)))</f>
        <v>0.54160256030906395</v>
      </c>
      <c r="D5">
        <f>IF(COUNT(Resultados!D5,Resultados!M5,Resultados!V5,Resultados!AE5,Resultados!AN5,Resultados!AW5,Resultados!BF5,Resultados!BO5,Resultados!BX5,Resultados!CG5)&lt;=1, "", _xlfn.STDEV.S(ABS(Resultados!D5),ABS(Resultados!M5),ABS(Resultados!V5),ABS(Resultados!AE5),ABS(Resultados!AN5),ABS(Resultados!AW5),ABS(Resultados!BF5),ABS(Resultados!BO5),ABS(Resultados!BX5),ABS(Resultados!CG5))/SQRT(COUNT(Resultados!D5,Resultados!M5,Resultados!V5,Resultados!AE5,Resultados!AN5,Resultados!AW5,Resultados!BF5,Resultados!BO5,Resultados!BX5,Resultados!CG5)))</f>
        <v>9.5219045713904678E-5</v>
      </c>
      <c r="E5">
        <f>IF(COUNT(Resultados!E5,Resultados!N5,Resultados!W5,Resultados!AF5,Resultados!AO5,Resultados!AX5,Resultados!BG5,Resultados!BP5,Resultados!BY5,Resultados!CH5)&lt;=1, "", _xlfn.STDEV.S(ABS(Resultados!E5),ABS(Resultados!N5),ABS(Resultados!W5),ABS(Resultados!AF5),ABS(Resultados!AO5),ABS(Resultados!AX5),ABS(Resultados!BG5),ABS(Resultados!BP5),ABS(Resultados!BY5),ABS(Resultados!CH5))/SQRT(COUNT(Resultados!E5,Resultados!N5,Resultados!W5,Resultados!AF5,Resultados!AO5,Resultados!AX5,Resultados!BG5,Resultados!BP5,Resultados!BY5,Resultados!CH5)))</f>
        <v>6.2098834815374211E-4</v>
      </c>
      <c r="F5">
        <f>IF(COUNT(Resultados!F5,Resultados!O5,Resultados!X5,Resultados!AG5,Resultados!AP5,Resultados!AY5,Resultados!BH5,Resultados!BQ5,Resultados!BZ5,Resultados!CI5)&lt;=1, "", _xlfn.STDEV.S(ABS(Resultados!F5),ABS(Resultados!O5),ABS(Resultados!X5),ABS(Resultados!AG5),ABS(Resultados!AP5),ABS(Resultados!AY5),ABS(Resultados!BH5),ABS(Resultados!BQ5),ABS(Resultados!BZ5),ABS(Resultados!CI5))/SQRT(COUNT(Resultados!F5,Resultados!O5,Resultados!X5,Resultados!AG5,Resultados!AP5,Resultados!AY5,Resultados!BH5,Resultados!BQ5,Resultados!BZ5,Resultados!CI5)))</f>
        <v>5.8931794239795436E-2</v>
      </c>
      <c r="G5">
        <f>IF(COUNT(Resultados!G5,Resultados!P5,Resultados!Y5,Resultados!AH5,Resultados!AQ5,Resultados!AZ5,Resultados!BI5,Resultados!BR5,Resultados!CA5,Resultados!CJ5)&lt;=1, "", _xlfn.STDEV.S(ABS(Resultados!G5),ABS(Resultados!P5),ABS(Resultados!Y5),ABS(Resultados!AH5),ABS(Resultados!AQ5),ABS(Resultados!AZ5),ABS(Resultados!BI5),ABS(Resultados!BR5),ABS(Resultados!CA5),ABS(Resultados!CJ5))/SQRT(COUNT(Resultados!G5,Resultados!P5,Resultados!Y5,Resultados!AH5,Resultados!AQ5,Resultados!AZ5,Resultados!BI5,Resultados!BR5,Resultados!CA5,Resultados!CJ5)))</f>
        <v>1.8503717077085941E-17</v>
      </c>
      <c r="H5">
        <f>IF(COUNT(Resultados!H5,Resultados!Q5,Resultados!Z5,Resultados!AI5,Resultados!AR5,Resultados!BA5,Resultados!BJ5,Resultados!BS5,Resultados!CB5,Resultados!CK5)&lt;=1, "", _xlfn.STDEV.S(ABS(Resultados!H5),ABS(Resultados!Q5),ABS(Resultados!Z5),ABS(Resultados!AI5),ABS(Resultados!AR5),ABS(Resultados!BA5),ABS(Resultados!BJ5),ABS(Resultados!BS5),ABS(Resultados!CB5),ABS(Resultados!CK5))/SQRT(COUNT(Resultados!H5,Resultados!Q5,Resultados!Z5,Resultados!AI5,Resultados!AR5,Resultados!BA5,Resultados!BJ5,Resultados!BS5,Resultados!CB5,Resultados!CK5)))</f>
        <v>1.5275252316519507E-5</v>
      </c>
      <c r="I5">
        <f>IF(COUNT(Resultados!I5,Resultados!R5,Resultados!AA5,Resultados!AJ5,Resultados!AS5,Resultados!BB5,Resultados!BK5,Resultados!BT5,Resultados!CC5,Resultados!CL5)&lt;=1, "", _xlfn.STDEV.S(ABS(Resultados!I5),ABS(Resultados!R5),ABS(Resultados!AA5),ABS(Resultados!AJ5),ABS(Resultados!AS5),ABS(Resultados!BB5),ABS(Resultados!BK5),ABS(Resultados!BT5),ABS(Resultados!CC5),ABS(Resultados!CL5))/SQRT(COUNT(Resultados!I5,Resultados!R5,Resultados!AA5,Resultados!AJ5,Resultados!AS5,Resultados!BB5,Resultados!BK5,Resultados!BT5,Resultados!CC5,Resultados!CL5)))</f>
        <v>4.8067556625906103E-4</v>
      </c>
    </row>
    <row r="6" spans="1:9" x14ac:dyDescent="0.3">
      <c r="A6">
        <f>IF(COUNT(Resultados!A6,Resultados!J6,Resultados!S6,Resultados!AB6,Resultados!AK6,Resultados!AT6,Resultados!BC6,Resultados!BL6,Resultados!BU6,Resultados!CD6)&lt;=1, "", _xlfn.STDEV.S(ABS(Resultados!A6),ABS(Resultados!J6),ABS(Resultados!S6),ABS(Resultados!AB6),ABS(Resultados!AK6),ABS(Resultados!AT6),ABS(Resultados!BC6),ABS(Resultados!BL6),ABS(Resultados!BU6),ABS(Resultados!CD6))/SQRT(COUNT(Resultados!A6,Resultados!J6,Resultados!S6,Resultados!AB6,Resultados!AK6,Resultados!AT6,Resultados!BC6,Resultados!BL6,Resultados!BU6,Resultados!CD6)))</f>
        <v>0</v>
      </c>
      <c r="B6" t="str">
        <f>IF(COUNT(Resultados!B6,Resultados!K6,Resultados!T6,Resultados!AC6,Resultados!AL6,Resultados!AU6,Resultados!BD6,Resultados!BM6,Resultados!BV6,Resultados!CE6)&lt;=1, "", _xlfn.STDEV.S(ABS(Resultados!B6),ABS(Resultados!K6),ABS(Resultados!T6),ABS(Resultados!AC6),ABS(Resultados!AL6),ABS(Resultados!AU6),ABS(Resultados!BD6),ABS(Resultados!BM6),ABS(Resultados!BV6),ABS(Resultados!CE6))/SQRT(COUNT(Resultados!B6,Resultados!K6,Resultados!T6,Resultados!AC6,Resultados!AL6,Resultados!AU6,Resultados!BD6,Resultados!BM6,Resultados!BV6,Resultados!CE6)))</f>
        <v/>
      </c>
      <c r="C6">
        <f>IF(COUNT(Resultados!C6,Resultados!L6,Resultados!U6,Resultados!AD6,Resultados!AM6,Resultados!AV6,Resultados!BE6,Resultados!BN6,Resultados!BW6,Resultados!CF6)&lt;=1, "", _xlfn.STDEV.S(ABS(Resultados!C6),ABS(Resultados!L6),ABS(Resultados!U6),ABS(Resultados!AD6),ABS(Resultados!AM6),ABS(Resultados!AV6),ABS(Resultados!BE6),ABS(Resultados!BN6),ABS(Resultados!BW6),ABS(Resultados!CF6))/SQRT(COUNT(Resultados!C6,Resultados!L6,Resultados!U6,Resultados!AD6,Resultados!AM6,Resultados!AV6,Resultados!BE6,Resultados!BN6,Resultados!BW6,Resultados!CF6)))</f>
        <v>0.54160256030906395</v>
      </c>
      <c r="D6">
        <f>IF(COUNT(Resultados!D6,Resultados!M6,Resultados!V6,Resultados!AE6,Resultados!AN6,Resultados!AW6,Resultados!BF6,Resultados!BO6,Resultados!BX6,Resultados!CG6)&lt;=1, "", _xlfn.STDEV.S(ABS(Resultados!D6),ABS(Resultados!M6),ABS(Resultados!V6),ABS(Resultados!AE6),ABS(Resultados!AN6),ABS(Resultados!AW6),ABS(Resultados!BF6),ABS(Resultados!BO6),ABS(Resultados!BX6),ABS(Resultados!CG6))/SQRT(COUNT(Resultados!D6,Resultados!M6,Resultados!V6,Resultados!AE6,Resultados!AN6,Resultados!AW6,Resultados!BF6,Resultados!BO6,Resultados!BX6,Resultados!CG6)))</f>
        <v>2.0561560684388179E-4</v>
      </c>
      <c r="E6">
        <f>IF(COUNT(Resultados!E6,Resultados!N6,Resultados!W6,Resultados!AF6,Resultados!AO6,Resultados!AX6,Resultados!BG6,Resultados!BP6,Resultados!BY6,Resultados!CH6)&lt;=1, "", _xlfn.STDEV.S(ABS(Resultados!E6),ABS(Resultados!N6),ABS(Resultados!W6),ABS(Resultados!AF6),ABS(Resultados!AO6),ABS(Resultados!AX6),ABS(Resultados!BG6),ABS(Resultados!BP6),ABS(Resultados!BY6),ABS(Resultados!CH6))/SQRT(COUNT(Resultados!E6,Resultados!N6,Resultados!W6,Resultados!AF6,Resultados!AO6,Resultados!AX6,Resultados!BG6,Resultados!BP6,Resultados!BY6,Resultados!CH6)))</f>
        <v>5.3566990702737097E-4</v>
      </c>
      <c r="F6">
        <f>IF(COUNT(Resultados!F6,Resultados!O6,Resultados!X6,Resultados!AG6,Resultados!AP6,Resultados!AY6,Resultados!BH6,Resultados!BQ6,Resultados!BZ6,Resultados!CI6)&lt;=1, "", _xlfn.STDEV.S(ABS(Resultados!F6),ABS(Resultados!O6),ABS(Resultados!X6),ABS(Resultados!AG6),ABS(Resultados!AP6),ABS(Resultados!AY6),ABS(Resultados!BH6),ABS(Resultados!BQ6),ABS(Resultados!BZ6),ABS(Resultados!CI6))/SQRT(COUNT(Resultados!F6,Resultados!O6,Resultados!X6,Resultados!AG6,Resultados!AP6,Resultados!AY6,Resultados!BH6,Resultados!BQ6,Resultados!BZ6,Resultados!CI6)))</f>
        <v>5.0835074176896221E-2</v>
      </c>
      <c r="G6">
        <f>IF(COUNT(Resultados!G6,Resultados!P6,Resultados!Y6,Resultados!AH6,Resultados!AQ6,Resultados!AZ6,Resultados!BI6,Resultados!BR6,Resultados!CA6,Resultados!CJ6)&lt;=1, "", _xlfn.STDEV.S(ABS(Resultados!G6),ABS(Resultados!P6),ABS(Resultados!Y6),ABS(Resultados!AH6),ABS(Resultados!AQ6),ABS(Resultados!AZ6),ABS(Resultados!BI6),ABS(Resultados!BR6),ABS(Resultados!CA6),ABS(Resultados!CJ6))/SQRT(COUNT(Resultados!G6,Resultados!P6,Resultados!Y6,Resultados!AH6,Resultados!AQ6,Resultados!AZ6,Resultados!BI6,Resultados!BR6,Resultados!CA6,Resultados!CJ6)))</f>
        <v>1.8503717077085941E-17</v>
      </c>
      <c r="H6">
        <f>IF(COUNT(Resultados!H6,Resultados!Q6,Resultados!Z6,Resultados!AI6,Resultados!AR6,Resultados!BA6,Resultados!BJ6,Resultados!BS6,Resultados!CB6,Resultados!CK6)&lt;=1, "", _xlfn.STDEV.S(ABS(Resultados!H6),ABS(Resultados!Q6),ABS(Resultados!Z6),ABS(Resultados!AI6),ABS(Resultados!AR6),ABS(Resultados!BA6),ABS(Resultados!BJ6),ABS(Resultados!BS6),ABS(Resultados!CB6),ABS(Resultados!CK6))/SQRT(COUNT(Resultados!H6,Resultados!Q6,Resultados!Z6,Resultados!AI6,Resultados!AR6,Resultados!BA6,Resultados!BJ6,Resultados!BS6,Resultados!CB6,Resultados!CK6)))</f>
        <v>1.3333333333333367E-5</v>
      </c>
      <c r="I6">
        <f>IF(COUNT(Resultados!I6,Resultados!R6,Resultados!AA6,Resultados!AJ6,Resultados!AS6,Resultados!BB6,Resultados!BK6,Resultados!BT6,Resultados!CC6,Resultados!CL6)&lt;=1, "", _xlfn.STDEV.S(ABS(Resultados!I6),ABS(Resultados!R6),ABS(Resultados!AA6),ABS(Resultados!AJ6),ABS(Resultados!AS6),ABS(Resultados!BB6),ABS(Resultados!BK6),ABS(Resultados!BT6),ABS(Resultados!CC6),ABS(Resultados!CL6))/SQRT(COUNT(Resultados!I6,Resultados!R6,Resultados!AA6,Resultados!AJ6,Resultados!AS6,Resultados!BB6,Resultados!BK6,Resultados!BT6,Resultados!CC6,Resultados!CL6)))</f>
        <v>4.2857399205633857E-4</v>
      </c>
    </row>
    <row r="7" spans="1:9" x14ac:dyDescent="0.3">
      <c r="A7">
        <f>IF(COUNT(Resultados!A7,Resultados!J7,Resultados!S7,Resultados!AB7,Resultados!AK7,Resultados!AT7,Resultados!BC7,Resultados!BL7,Resultados!BU7,Resultados!CD7)&lt;=1, "", _xlfn.STDEV.S(ABS(Resultados!A7),ABS(Resultados!J7),ABS(Resultados!S7),ABS(Resultados!AB7),ABS(Resultados!AK7),ABS(Resultados!AT7),ABS(Resultados!BC7),ABS(Resultados!BL7),ABS(Resultados!BU7),ABS(Resultados!CD7))/SQRT(COUNT(Resultados!A7,Resultados!J7,Resultados!S7,Resultados!AB7,Resultados!AK7,Resultados!AT7,Resultados!BC7,Resultados!BL7,Resultados!BU7,Resultados!CD7)))</f>
        <v>0</v>
      </c>
      <c r="B7" t="str">
        <f>IF(COUNT(Resultados!B7,Resultados!K7,Resultados!T7,Resultados!AC7,Resultados!AL7,Resultados!AU7,Resultados!BD7,Resultados!BM7,Resultados!BV7,Resultados!CE7)&lt;=1, "", _xlfn.STDEV.S(ABS(Resultados!B7),ABS(Resultados!K7),ABS(Resultados!T7),ABS(Resultados!AC7),ABS(Resultados!AL7),ABS(Resultados!AU7),ABS(Resultados!BD7),ABS(Resultados!BM7),ABS(Resultados!BV7),ABS(Resultados!CE7))/SQRT(COUNT(Resultados!B7,Resultados!K7,Resultados!T7,Resultados!AC7,Resultados!AL7,Resultados!AU7,Resultados!BD7,Resultados!BM7,Resultados!BV7,Resultados!CE7)))</f>
        <v/>
      </c>
      <c r="C7">
        <f>IF(COUNT(Resultados!C7,Resultados!L7,Resultados!U7,Resultados!AD7,Resultados!AM7,Resultados!AV7,Resultados!BE7,Resultados!BN7,Resultados!BW7,Resultados!CF7)&lt;=1, "", _xlfn.STDEV.S(ABS(Resultados!C7),ABS(Resultados!L7),ABS(Resultados!U7),ABS(Resultados!AD7),ABS(Resultados!AM7),ABS(Resultados!AV7),ABS(Resultados!BE7),ABS(Resultados!BN7),ABS(Resultados!BW7),ABS(Resultados!CF7))/SQRT(COUNT(Resultados!C7,Resultados!L7,Resultados!U7,Resultados!AD7,Resultados!AM7,Resultados!AV7,Resultados!BE7,Resultados!BN7,Resultados!BW7,Resultados!CF7)))</f>
        <v>0.54160256030906395</v>
      </c>
      <c r="D7">
        <f>IF(COUNT(Resultados!D7,Resultados!M7,Resultados!V7,Resultados!AE7,Resultados!AN7,Resultados!AW7,Resultados!BF7,Resultados!BO7,Resultados!BX7,Resultados!CG7)&lt;=1, "", _xlfn.STDEV.S(ABS(Resultados!D7),ABS(Resultados!M7),ABS(Resultados!V7),ABS(Resultados!AE7),ABS(Resultados!AN7),ABS(Resultados!AW7),ABS(Resultados!BF7),ABS(Resultados!BO7),ABS(Resultados!BX7),ABS(Resultados!CG7))/SQRT(COUNT(Resultados!D7,Resultados!M7,Resultados!V7,Resultados!AE7,Resultados!AN7,Resultados!AW7,Resultados!BF7,Resultados!BO7,Resultados!BX7,Resultados!CG7)))</f>
        <v>6.7412494720522318E-5</v>
      </c>
      <c r="E7">
        <f>IF(COUNT(Resultados!E7,Resultados!N7,Resultados!W7,Resultados!AF7,Resultados!AO7,Resultados!AX7,Resultados!BG7,Resultados!BP7,Resultados!BY7,Resultados!CH7)&lt;=1, "", _xlfn.STDEV.S(ABS(Resultados!E7),ABS(Resultados!N7),ABS(Resultados!W7),ABS(Resultados!AF7),ABS(Resultados!AO7),ABS(Resultados!AX7),ABS(Resultados!BG7),ABS(Resultados!BP7),ABS(Resultados!BY7),ABS(Resultados!CH7))/SQRT(COUNT(Resultados!E7,Resultados!N7,Resultados!W7,Resultados!AF7,Resultados!AO7,Resultados!AX7,Resultados!BG7,Resultados!BP7,Resultados!BY7,Resultados!CH7)))</f>
        <v>7.0974570876615559E-4</v>
      </c>
      <c r="F7">
        <f>IF(COUNT(Resultados!F7,Resultados!O7,Resultados!X7,Resultados!AG7,Resultados!AP7,Resultados!AY7,Resultados!BH7,Resultados!BQ7,Resultados!BZ7,Resultados!CI7)&lt;=1, "", _xlfn.STDEV.S(ABS(Resultados!F7),ABS(Resultados!O7),ABS(Resultados!X7),ABS(Resultados!AG7),ABS(Resultados!AP7),ABS(Resultados!AY7),ABS(Resultados!BH7),ABS(Resultados!BQ7),ABS(Resultados!BZ7),ABS(Resultados!CI7))/SQRT(COUNT(Resultados!F7,Resultados!O7,Resultados!X7,Resultados!AG7,Resultados!AP7,Resultados!AY7,Resultados!BH7,Resultados!BQ7,Resultados!BZ7,Resultados!CI7)))</f>
        <v>6.7354867761905371E-2</v>
      </c>
      <c r="G7">
        <f>IF(COUNT(Resultados!G7,Resultados!P7,Resultados!Y7,Resultados!AH7,Resultados!AQ7,Resultados!AZ7,Resultados!BI7,Resultados!BR7,Resultados!CA7,Resultados!CJ7)&lt;=1, "", _xlfn.STDEV.S(ABS(Resultados!G7),ABS(Resultados!P7),ABS(Resultados!Y7),ABS(Resultados!AH7),ABS(Resultados!AQ7),ABS(Resultados!AZ7),ABS(Resultados!BI7),ABS(Resultados!BR7),ABS(Resultados!CA7),ABS(Resultados!CJ7))/SQRT(COUNT(Resultados!G7,Resultados!P7,Resultados!Y7,Resultados!AH7,Resultados!AQ7,Resultados!AZ7,Resultados!BI7,Resultados!BR7,Resultados!CA7,Resultados!CJ7)))</f>
        <v>1.8503717077085941E-17</v>
      </c>
      <c r="H7">
        <f>IF(COUNT(Resultados!H7,Resultados!Q7,Resultados!Z7,Resultados!AI7,Resultados!AR7,Resultados!BA7,Resultados!BJ7,Resultados!BS7,Resultados!CB7,Resultados!CK7)&lt;=1, "", _xlfn.STDEV.S(ABS(Resultados!H7),ABS(Resultados!Q7),ABS(Resultados!Z7),ABS(Resultados!AI7),ABS(Resultados!AR7),ABS(Resultados!BA7),ABS(Resultados!BJ7),ABS(Resultados!BS7),ABS(Resultados!CB7),ABS(Resultados!CK7))/SQRT(COUNT(Resultados!H7,Resultados!Q7,Resultados!Z7,Resultados!AI7,Resultados!AR7,Resultados!BA7,Resultados!BJ7,Resultados!BS7,Resultados!CB7,Resultados!CK7)))</f>
        <v>1.5275252316519375E-5</v>
      </c>
      <c r="I7">
        <f>IF(COUNT(Resultados!I7,Resultados!R7,Resultados!AA7,Resultados!AJ7,Resultados!AS7,Resultados!BB7,Resultados!BK7,Resultados!BT7,Resultados!CC7,Resultados!CL7)&lt;=1, "", _xlfn.STDEV.S(ABS(Resultados!I7),ABS(Resultados!R7),ABS(Resultados!AA7),ABS(Resultados!AJ7),ABS(Resultados!AS7),ABS(Resultados!BB7),ABS(Resultados!BK7),ABS(Resultados!BT7),ABS(Resultados!CC7),ABS(Resultados!CL7))/SQRT(COUNT(Resultados!I7,Resultados!R7,Resultados!AA7,Resultados!AJ7,Resultados!AS7,Resultados!BB7,Resultados!BK7,Resultados!BT7,Resultados!CC7,Resultados!CL7)))</f>
        <v>5.0853121831587525E-4</v>
      </c>
    </row>
    <row r="8" spans="1:9" x14ac:dyDescent="0.3">
      <c r="A8">
        <f>IF(COUNT(Resultados!A8,Resultados!J8,Resultados!S8,Resultados!AB8,Resultados!AK8,Resultados!AT8,Resultados!BC8,Resultados!BL8,Resultados!BU8,Resultados!CD8)&lt;=1, "", _xlfn.STDEV.S(ABS(Resultados!A8),ABS(Resultados!J8),ABS(Resultados!S8),ABS(Resultados!AB8),ABS(Resultados!AK8),ABS(Resultados!AT8),ABS(Resultados!BC8),ABS(Resultados!BL8),ABS(Resultados!BU8),ABS(Resultados!CD8))/SQRT(COUNT(Resultados!A8,Resultados!J8,Resultados!S8,Resultados!AB8,Resultados!AK8,Resultados!AT8,Resultados!BC8,Resultados!BL8,Resultados!BU8,Resultados!CD8)))</f>
        <v>0</v>
      </c>
      <c r="B8" t="str">
        <f>IF(COUNT(Resultados!B8,Resultados!K8,Resultados!T8,Resultados!AC8,Resultados!AL8,Resultados!AU8,Resultados!BD8,Resultados!BM8,Resultados!BV8,Resultados!CE8)&lt;=1, "", _xlfn.STDEV.S(ABS(Resultados!B8),ABS(Resultados!K8),ABS(Resultados!T8),ABS(Resultados!AC8),ABS(Resultados!AL8),ABS(Resultados!AU8),ABS(Resultados!BD8),ABS(Resultados!BM8),ABS(Resultados!BV8),ABS(Resultados!CE8))/SQRT(COUNT(Resultados!B8,Resultados!K8,Resultados!T8,Resultados!AC8,Resultados!AL8,Resultados!AU8,Resultados!BD8,Resultados!BM8,Resultados!BV8,Resultados!CE8)))</f>
        <v/>
      </c>
      <c r="C8">
        <f>IF(COUNT(Resultados!C8,Resultados!L8,Resultados!U8,Resultados!AD8,Resultados!AM8,Resultados!AV8,Resultados!BE8,Resultados!BN8,Resultados!BW8,Resultados!CF8)&lt;=1, "", _xlfn.STDEV.S(ABS(Resultados!C8),ABS(Resultados!L8),ABS(Resultados!U8),ABS(Resultados!AD8),ABS(Resultados!AM8),ABS(Resultados!AV8),ABS(Resultados!BE8),ABS(Resultados!BN8),ABS(Resultados!BW8),ABS(Resultados!CF8))/SQRT(COUNT(Resultados!C8,Resultados!L8,Resultados!U8,Resultados!AD8,Resultados!AM8,Resultados!AV8,Resultados!BE8,Resultados!BN8,Resultados!BW8,Resultados!CF8)))</f>
        <v>0.54160256030906395</v>
      </c>
      <c r="D8">
        <f>IF(COUNT(Resultados!D8,Resultados!M8,Resultados!V8,Resultados!AE8,Resultados!AN8,Resultados!AW8,Resultados!BF8,Resultados!BO8,Resultados!BX8,Resultados!CG8)&lt;=1, "", _xlfn.STDEV.S(ABS(Resultados!D8),ABS(Resultados!M8),ABS(Resultados!V8),ABS(Resultados!AE8),ABS(Resultados!AN8),ABS(Resultados!AW8),ABS(Resultados!BF8),ABS(Resultados!BO8),ABS(Resultados!BX8),ABS(Resultados!CG8))/SQRT(COUNT(Resultados!D8,Resultados!M8,Resultados!V8,Resultados!AE8,Resultados!AN8,Resultados!AW8,Resultados!BF8,Resultados!BO8,Resultados!BX8,Resultados!CG8)))</f>
        <v>4.2687494916219023E-5</v>
      </c>
      <c r="E8">
        <f>IF(COUNT(Resultados!E8,Resultados!N8,Resultados!W8,Resultados!AF8,Resultados!AO8,Resultados!AX8,Resultados!BG8,Resultados!BP8,Resultados!BY8,Resultados!CH8)&lt;=1, "", _xlfn.STDEV.S(ABS(Resultados!E8),ABS(Resultados!N8),ABS(Resultados!W8),ABS(Resultados!AF8),ABS(Resultados!AO8),ABS(Resultados!AX8),ABS(Resultados!BG8),ABS(Resultados!BP8),ABS(Resultados!BY8),ABS(Resultados!CH8))/SQRT(COUNT(Resultados!E8,Resultados!N8,Resultados!W8,Resultados!AF8,Resultados!AO8,Resultados!AX8,Resultados!BG8,Resultados!BP8,Resultados!BY8,Resultados!CH8)))</f>
        <v>1.036837837290136E-3</v>
      </c>
      <c r="F8">
        <f>IF(COUNT(Resultados!F8,Resultados!O8,Resultados!X8,Resultados!AG8,Resultados!AP8,Resultados!AY8,Resultados!BH8,Resultados!BQ8,Resultados!BZ8,Resultados!CI8)&lt;=1, "", _xlfn.STDEV.S(ABS(Resultados!F8),ABS(Resultados!O8),ABS(Resultados!X8),ABS(Resultados!AG8),ABS(Resultados!AP8),ABS(Resultados!AY8),ABS(Resultados!BH8),ABS(Resultados!BQ8),ABS(Resultados!BZ8),ABS(Resultados!CI8))/SQRT(COUNT(Resultados!F8,Resultados!O8,Resultados!X8,Resultados!AG8,Resultados!AP8,Resultados!AY8,Resultados!BH8,Resultados!BQ8,Resultados!BZ8,Resultados!CI8)))</f>
        <v>9.8395910758831515E-2</v>
      </c>
      <c r="G8">
        <f>IF(COUNT(Resultados!G8,Resultados!P8,Resultados!Y8,Resultados!AH8,Resultados!AQ8,Resultados!AZ8,Resultados!BI8,Resultados!BR8,Resultados!CA8,Resultados!CJ8)&lt;=1, "", _xlfn.STDEV.S(ABS(Resultados!G8),ABS(Resultados!P8),ABS(Resultados!Y8),ABS(Resultados!AH8),ABS(Resultados!AQ8),ABS(Resultados!AZ8),ABS(Resultados!BI8),ABS(Resultados!BR8),ABS(Resultados!CA8),ABS(Resultados!CJ8))/SQRT(COUNT(Resultados!G8,Resultados!P8,Resultados!Y8,Resultados!AH8,Resultados!AQ8,Resultados!AZ8,Resultados!BI8,Resultados!BR8,Resultados!CA8,Resultados!CJ8)))</f>
        <v>1.8503717077085941E-17</v>
      </c>
      <c r="H8">
        <f>IF(COUNT(Resultados!H8,Resultados!Q8,Resultados!Z8,Resultados!AI8,Resultados!AR8,Resultados!BA8,Resultados!BJ8,Resultados!BS8,Resultados!CB8,Resultados!CK8)&lt;=1, "", _xlfn.STDEV.S(ABS(Resultados!H8),ABS(Resultados!Q8),ABS(Resultados!Z8),ABS(Resultados!AI8),ABS(Resultados!AR8),ABS(Resultados!BA8),ABS(Resultados!BJ8),ABS(Resultados!BS8),ABS(Resultados!CB8),ABS(Resultados!CK8))/SQRT(COUNT(Resultados!H8,Resultados!Q8,Resultados!Z8,Resultados!AI8,Resultados!AR8,Resultados!BA8,Resultados!BJ8,Resultados!BS8,Resultados!CB8,Resultados!CK8)))</f>
        <v>1.4907119849998635E-5</v>
      </c>
      <c r="I8">
        <f>IF(COUNT(Resultados!I8,Resultados!R8,Resultados!AA8,Resultados!AJ8,Resultados!AS8,Resultados!BB8,Resultados!BK8,Resultados!BT8,Resultados!CC8,Resultados!CL8)&lt;=1, "", _xlfn.STDEV.S(ABS(Resultados!I8),ABS(Resultados!R8),ABS(Resultados!AA8),ABS(Resultados!AJ8),ABS(Resultados!AS8),ABS(Resultados!BB8),ABS(Resultados!BK8),ABS(Resultados!BT8),ABS(Resultados!CC8),ABS(Resultados!CL8))/SQRT(COUNT(Resultados!I8,Resultados!R8,Resultados!AA8,Resultados!AJ8,Resultados!AS8,Resultados!BB8,Resultados!BK8,Resultados!BT8,Resultados!CC8,Resultados!CL8)))</f>
        <v>2.8815138768155895E-4</v>
      </c>
    </row>
    <row r="9" spans="1:9" x14ac:dyDescent="0.3">
      <c r="A9">
        <f>IF(COUNT(Resultados!A9,Resultados!J9,Resultados!S9,Resultados!AB9,Resultados!AK9,Resultados!AT9,Resultados!BC9,Resultados!BL9,Resultados!BU9,Resultados!CD9)&lt;=1, "", _xlfn.STDEV.S(ABS(Resultados!A9),ABS(Resultados!J9),ABS(Resultados!S9),ABS(Resultados!AB9),ABS(Resultados!AK9),ABS(Resultados!AT9),ABS(Resultados!BC9),ABS(Resultados!BL9),ABS(Resultados!BU9),ABS(Resultados!CD9))/SQRT(COUNT(Resultados!A9,Resultados!J9,Resultados!S9,Resultados!AB9,Resultados!AK9,Resultados!AT9,Resultados!BC9,Resultados!BL9,Resultados!BU9,Resultados!CD9)))</f>
        <v>0</v>
      </c>
      <c r="B9" t="str">
        <f>IF(COUNT(Resultados!B9,Resultados!K9,Resultados!T9,Resultados!AC9,Resultados!AL9,Resultados!AU9,Resultados!BD9,Resultados!BM9,Resultados!BV9,Resultados!CE9)&lt;=1, "", _xlfn.STDEV.S(ABS(Resultados!B9),ABS(Resultados!K9),ABS(Resultados!T9),ABS(Resultados!AC9),ABS(Resultados!AL9),ABS(Resultados!AU9),ABS(Resultados!BD9),ABS(Resultados!BM9),ABS(Resultados!BV9),ABS(Resultados!CE9))/SQRT(COUNT(Resultados!B9,Resultados!K9,Resultados!T9,Resultados!AC9,Resultados!AL9,Resultados!AU9,Resultados!BD9,Resultados!BM9,Resultados!BV9,Resultados!CE9)))</f>
        <v/>
      </c>
      <c r="C9">
        <f>IF(COUNT(Resultados!C9,Resultados!L9,Resultados!U9,Resultados!AD9,Resultados!AM9,Resultados!AV9,Resultados!BE9,Resultados!BN9,Resultados!BW9,Resultados!CF9)&lt;=1, "", _xlfn.STDEV.S(ABS(Resultados!C9),ABS(Resultados!L9),ABS(Resultados!U9),ABS(Resultados!AD9),ABS(Resultados!AM9),ABS(Resultados!AV9),ABS(Resultados!BE9),ABS(Resultados!BN9),ABS(Resultados!BW9),ABS(Resultados!CF9))/SQRT(COUNT(Resultados!C9,Resultados!L9,Resultados!U9,Resultados!AD9,Resultados!AM9,Resultados!AV9,Resultados!BE9,Resultados!BN9,Resultados!BW9,Resultados!CF9)))</f>
        <v>0.54160256030906395</v>
      </c>
      <c r="D9">
        <f>IF(COUNT(Resultados!D9,Resultados!M9,Resultados!V9,Resultados!AE9,Resultados!AN9,Resultados!AW9,Resultados!BF9,Resultados!BO9,Resultados!BX9,Resultados!CG9)&lt;=1, "", _xlfn.STDEV.S(ABS(Resultados!D9),ABS(Resultados!M9),ABS(Resultados!V9),ABS(Resultados!AE9),ABS(Resultados!AN9),ABS(Resultados!AW9),ABS(Resultados!BF9),ABS(Resultados!BO9),ABS(Resultados!BX9),ABS(Resultados!CG9))/SQRT(COUNT(Resultados!D9,Resultados!M9,Resultados!V9,Resultados!AE9,Resultados!AN9,Resultados!AW9,Resultados!BF9,Resultados!BO9,Resultados!BX9,Resultados!CG9)))</f>
        <v>4.0000000000000003E-5</v>
      </c>
      <c r="E9">
        <f>IF(COUNT(Resultados!E9,Resultados!N9,Resultados!W9,Resultados!AF9,Resultados!AO9,Resultados!AX9,Resultados!BG9,Resultados!BP9,Resultados!BY9,Resultados!CH9)&lt;=1, "", _xlfn.STDEV.S(ABS(Resultados!E9),ABS(Resultados!N9),ABS(Resultados!W9),ABS(Resultados!AF9),ABS(Resultados!AO9),ABS(Resultados!AX9),ABS(Resultados!BG9),ABS(Resultados!BP9),ABS(Resultados!BY9),ABS(Resultados!CH9))/SQRT(COUNT(Resultados!E9,Resultados!N9,Resultados!W9,Resultados!AF9,Resultados!AO9,Resultados!AX9,Resultados!BG9,Resultados!BP9,Resultados!BY9,Resultados!CH9)))</f>
        <v>1.1091386066762348E-3</v>
      </c>
      <c r="F9">
        <f>IF(COUNT(Resultados!F9,Resultados!O9,Resultados!X9,Resultados!AG9,Resultados!AP9,Resultados!AY9,Resultados!BH9,Resultados!BQ9,Resultados!BZ9,Resultados!CI9)&lt;=1, "", _xlfn.STDEV.S(ABS(Resultados!F9),ABS(Resultados!O9),ABS(Resultados!X9),ABS(Resultados!AG9),ABS(Resultados!AP9),ABS(Resultados!AY9),ABS(Resultados!BH9),ABS(Resultados!BQ9),ABS(Resultados!BZ9),ABS(Resultados!CI9))/SQRT(COUNT(Resultados!F9,Resultados!O9,Resultados!X9,Resultados!AG9,Resultados!AP9,Resultados!AY9,Resultados!BH9,Resultados!BQ9,Resultados!BZ9,Resultados!CI9)))</f>
        <v>0.10525725377357036</v>
      </c>
      <c r="G9">
        <f>IF(COUNT(Resultados!G9,Resultados!P9,Resultados!Y9,Resultados!AH9,Resultados!AQ9,Resultados!AZ9,Resultados!BI9,Resultados!BR9,Resultados!CA9,Resultados!CJ9)&lt;=1, "", _xlfn.STDEV.S(ABS(Resultados!G9),ABS(Resultados!P9),ABS(Resultados!Y9),ABS(Resultados!AH9),ABS(Resultados!AQ9),ABS(Resultados!AZ9),ABS(Resultados!BI9),ABS(Resultados!BR9),ABS(Resultados!CA9),ABS(Resultados!CJ9))/SQRT(COUNT(Resultados!G9,Resultados!P9,Resultados!Y9,Resultados!AH9,Resultados!AQ9,Resultados!AZ9,Resultados!BI9,Resultados!BR9,Resultados!CA9,Resultados!CJ9)))</f>
        <v>1.8503717077085941E-17</v>
      </c>
      <c r="H9">
        <f>IF(COUNT(Resultados!H9,Resultados!Q9,Resultados!Z9,Resultados!AI9,Resultados!AR9,Resultados!BA9,Resultados!BJ9,Resultados!BS9,Resultados!CB9,Resultados!CK9)&lt;=1, "", _xlfn.STDEV.S(ABS(Resultados!H9),ABS(Resultados!Q9),ABS(Resultados!Z9),ABS(Resultados!AI9),ABS(Resultados!AR9),ABS(Resultados!BA9),ABS(Resultados!BJ9),ABS(Resultados!BS9),ABS(Resultados!CB9),ABS(Resultados!CK9))/SQRT(COUNT(Resultados!H9,Resultados!Q9,Resultados!Z9,Resultados!AI9,Resultados!AR9,Resultados!BA9,Resultados!BJ9,Resultados!BS9,Resultados!CB9,Resultados!CK9)))</f>
        <v>1.5275252316519375E-5</v>
      </c>
      <c r="I9">
        <f>IF(COUNT(Resultados!I9,Resultados!R9,Resultados!AA9,Resultados!AJ9,Resultados!AS9,Resultados!BB9,Resultados!BK9,Resultados!BT9,Resultados!CC9,Resultados!CL9)&lt;=1, "", _xlfn.STDEV.S(ABS(Resultados!I9),ABS(Resultados!R9),ABS(Resultados!AA9),ABS(Resultados!AJ9),ABS(Resultados!AS9),ABS(Resultados!BB9),ABS(Resultados!BK9),ABS(Resultados!BT9),ABS(Resultados!CC9),ABS(Resultados!CL9))/SQRT(COUNT(Resultados!I9,Resultados!R9,Resultados!AA9,Resultados!AJ9,Resultados!AS9,Resultados!BB9,Resultados!BK9,Resultados!BT9,Resultados!CC9,Resultados!CL9)))</f>
        <v>3.6026225015714519E-4</v>
      </c>
    </row>
    <row r="10" spans="1:9" x14ac:dyDescent="0.3">
      <c r="A10">
        <f>IF(COUNT(Resultados!A10,Resultados!J10,Resultados!S10,Resultados!AB10,Resultados!AK10,Resultados!AT10,Resultados!BC10,Resultados!BL10,Resultados!BU10,Resultados!CD10)&lt;=1, "", _xlfn.STDEV.S(ABS(Resultados!A10),ABS(Resultados!J10),ABS(Resultados!S10),ABS(Resultados!AB10),ABS(Resultados!AK10),ABS(Resultados!AT10),ABS(Resultados!BC10),ABS(Resultados!BL10),ABS(Resultados!BU10),ABS(Resultados!CD10))/SQRT(COUNT(Resultados!A10,Resultados!J10,Resultados!S10,Resultados!AB10,Resultados!AK10,Resultados!AT10,Resultados!BC10,Resultados!BL10,Resultados!BU10,Resultados!CD10)))</f>
        <v>0</v>
      </c>
      <c r="B10" t="str">
        <f>IF(COUNT(Resultados!B10,Resultados!K10,Resultados!T10,Resultados!AC10,Resultados!AL10,Resultados!AU10,Resultados!BD10,Resultados!BM10,Resultados!BV10,Resultados!CE10)&lt;=1, "", _xlfn.STDEV.S(ABS(Resultados!B10),ABS(Resultados!K10),ABS(Resultados!T10),ABS(Resultados!AC10),ABS(Resultados!AL10),ABS(Resultados!AU10),ABS(Resultados!BD10),ABS(Resultados!BM10),ABS(Resultados!BV10),ABS(Resultados!CE10))/SQRT(COUNT(Resultados!B10,Resultados!K10,Resultados!T10,Resultados!AC10,Resultados!AL10,Resultados!AU10,Resultados!BD10,Resultados!BM10,Resultados!BV10,Resultados!CE10)))</f>
        <v/>
      </c>
      <c r="C10">
        <f>IF(COUNT(Resultados!C10,Resultados!L10,Resultados!U10,Resultados!AD10,Resultados!AM10,Resultados!AV10,Resultados!BE10,Resultados!BN10,Resultados!BW10,Resultados!CF10)&lt;=1, "", _xlfn.STDEV.S(ABS(Resultados!C10),ABS(Resultados!L10),ABS(Resultados!U10),ABS(Resultados!AD10),ABS(Resultados!AM10),ABS(Resultados!AV10),ABS(Resultados!BE10),ABS(Resultados!BN10),ABS(Resultados!BW10),ABS(Resultados!CF10))/SQRT(COUNT(Resultados!C10,Resultados!L10,Resultados!U10,Resultados!AD10,Resultados!AM10,Resultados!AV10,Resultados!BE10,Resultados!BN10,Resultados!BW10,Resultados!CF10)))</f>
        <v>0.58214163988576595</v>
      </c>
      <c r="D10">
        <f>IF(COUNT(Resultados!D10,Resultados!M10,Resultados!V10,Resultados!AE10,Resultados!AN10,Resultados!AW10,Resultados!BF10,Resultados!BO10,Resultados!BX10,Resultados!CG10)&lt;=1, "", _xlfn.STDEV.S(ABS(Resultados!D10),ABS(Resultados!M10),ABS(Resultados!V10),ABS(Resultados!AE10),ABS(Resultados!AN10),ABS(Resultados!AW10),ABS(Resultados!BF10),ABS(Resultados!BO10),ABS(Resultados!BX10),ABS(Resultados!CG10))/SQRT(COUNT(Resultados!D10,Resultados!M10,Resultados!V10,Resultados!AE10,Resultados!AN10,Resultados!AW10,Resultados!BF10,Resultados!BO10,Resultados!BX10,Resultados!CG10)))</f>
        <v>8.3333333333333425E-5</v>
      </c>
      <c r="E10">
        <f>IF(COUNT(Resultados!E10,Resultados!N10,Resultados!W10,Resultados!AF10,Resultados!AO10,Resultados!AX10,Resultados!BG10,Resultados!BP10,Resultados!BY10,Resultados!CH10)&lt;=1, "", _xlfn.STDEV.S(ABS(Resultados!E10),ABS(Resultados!N10),ABS(Resultados!W10),ABS(Resultados!AF10),ABS(Resultados!AO10),ABS(Resultados!AX10),ABS(Resultados!BG10),ABS(Resultados!BP10),ABS(Resultados!BY10),ABS(Resultados!CH10))/SQRT(COUNT(Resultados!E10,Resultados!N10,Resultados!W10,Resultados!AF10,Resultados!AO10,Resultados!AX10,Resultados!BG10,Resultados!BP10,Resultados!BY10,Resultados!CH10)))</f>
        <v>9.4748144111686636E-4</v>
      </c>
      <c r="F10">
        <f>IF(COUNT(Resultados!F10,Resultados!O10,Resultados!X10,Resultados!AG10,Resultados!AP10,Resultados!AY10,Resultados!BH10,Resultados!BQ10,Resultados!BZ10,Resultados!CI10)&lt;=1, "", _xlfn.STDEV.S(ABS(Resultados!F10),ABS(Resultados!O10),ABS(Resultados!X10),ABS(Resultados!AG10),ABS(Resultados!AP10),ABS(Resultados!AY10),ABS(Resultados!BH10),ABS(Resultados!BQ10),ABS(Resultados!BZ10),ABS(Resultados!CI10))/SQRT(COUNT(Resultados!F10,Resultados!O10,Resultados!X10,Resultados!AG10,Resultados!AP10,Resultados!AY10,Resultados!BH10,Resultados!BQ10,Resultados!BZ10,Resultados!CI10)))</f>
        <v>8.9915988761990917E-2</v>
      </c>
      <c r="G10">
        <f>IF(COUNT(Resultados!G10,Resultados!P10,Resultados!Y10,Resultados!AH10,Resultados!AQ10,Resultados!AZ10,Resultados!BI10,Resultados!BR10,Resultados!CA10,Resultados!CJ10)&lt;=1, "", _xlfn.STDEV.S(ABS(Resultados!G10),ABS(Resultados!P10),ABS(Resultados!Y10),ABS(Resultados!AH10),ABS(Resultados!AQ10),ABS(Resultados!AZ10),ABS(Resultados!BI10),ABS(Resultados!BR10),ABS(Resultados!CA10),ABS(Resultados!CJ10))/SQRT(COUNT(Resultados!G10,Resultados!P10,Resultados!Y10,Resultados!AH10,Resultados!AQ10,Resultados!AZ10,Resultados!BI10,Resultados!BR10,Resultados!CA10,Resultados!CJ10)))</f>
        <v>1.8503717077085941E-17</v>
      </c>
      <c r="H10">
        <f>IF(COUNT(Resultados!H10,Resultados!Q10,Resultados!Z10,Resultados!AI10,Resultados!AR10,Resultados!BA10,Resultados!BJ10,Resultados!BS10,Resultados!CB10,Resultados!CK10)&lt;=1, "", _xlfn.STDEV.S(ABS(Resultados!H10),ABS(Resultados!Q10),ABS(Resultados!Z10),ABS(Resultados!AI10),ABS(Resultados!AR10),ABS(Resultados!BA10),ABS(Resultados!BJ10),ABS(Resultados!BS10),ABS(Resultados!CB10),ABS(Resultados!CK10))/SQRT(COUNT(Resultados!H10,Resultados!Q10,Resultados!Z10,Resultados!AI10,Resultados!AR10,Resultados!BA10,Resultados!BJ10,Resultados!BS10,Resultados!CB10,Resultados!CK10)))</f>
        <v>1.7950549357114902E-5</v>
      </c>
      <c r="I10">
        <f>IF(COUNT(Resultados!I10,Resultados!R10,Resultados!AA10,Resultados!AJ10,Resultados!AS10,Resultados!BB10,Resultados!BK10,Resultados!BT10,Resultados!CC10,Resultados!CL10)&lt;=1, "", _xlfn.STDEV.S(ABS(Resultados!I10),ABS(Resultados!R10),ABS(Resultados!AA10),ABS(Resultados!AJ10),ABS(Resultados!AS10),ABS(Resultados!BB10),ABS(Resultados!BK10),ABS(Resultados!BT10),ABS(Resultados!CC10),ABS(Resultados!CL10))/SQRT(COUNT(Resultados!I10,Resultados!R10,Resultados!AA10,Resultados!AJ10,Resultados!AS10,Resultados!BB10,Resultados!BK10,Resultados!BT10,Resultados!CC10,Resultados!CL10)))</f>
        <v>4.7574222712348926E-4</v>
      </c>
    </row>
    <row r="11" spans="1:9" x14ac:dyDescent="0.3">
      <c r="A11">
        <f>IF(COUNT(Resultados!A11,Resultados!J11,Resultados!S11,Resultados!AB11,Resultados!AK11,Resultados!AT11,Resultados!BC11,Resultados!BL11,Resultados!BU11,Resultados!CD11)&lt;=1, "", _xlfn.STDEV.S(ABS(Resultados!A11),ABS(Resultados!J11),ABS(Resultados!S11),ABS(Resultados!AB11),ABS(Resultados!AK11),ABS(Resultados!AT11),ABS(Resultados!BC11),ABS(Resultados!BL11),ABS(Resultados!BU11),ABS(Resultados!CD11))/SQRT(COUNT(Resultados!A11,Resultados!J11,Resultados!S11,Resultados!AB11,Resultados!AK11,Resultados!AT11,Resultados!BC11,Resultados!BL11,Resultados!BU11,Resultados!CD11)))</f>
        <v>0</v>
      </c>
      <c r="B11" t="str">
        <f>IF(COUNT(Resultados!B11,Resultados!K11,Resultados!T11,Resultados!AC11,Resultados!AL11,Resultados!AU11,Resultados!BD11,Resultados!BM11,Resultados!BV11,Resultados!CE11)&lt;=1, "", _xlfn.STDEV.S(ABS(Resultados!B11),ABS(Resultados!K11),ABS(Resultados!T11),ABS(Resultados!AC11),ABS(Resultados!AL11),ABS(Resultados!AU11),ABS(Resultados!BD11),ABS(Resultados!BM11),ABS(Resultados!BV11),ABS(Resultados!CE11))/SQRT(COUNT(Resultados!B11,Resultados!K11,Resultados!T11,Resultados!AC11,Resultados!AL11,Resultados!AU11,Resultados!BD11,Resultados!BM11,Resultados!BV11,Resultados!CE11)))</f>
        <v/>
      </c>
      <c r="C11">
        <f>IF(COUNT(Resultados!C11,Resultados!L11,Resultados!U11,Resultados!AD11,Resultados!AM11,Resultados!AV11,Resultados!BE11,Resultados!BN11,Resultados!BW11,Resultados!CF11)&lt;=1, "", _xlfn.STDEV.S(ABS(Resultados!C11),ABS(Resultados!L11),ABS(Resultados!U11),ABS(Resultados!AD11),ABS(Resultados!AM11),ABS(Resultados!AV11),ABS(Resultados!BE11),ABS(Resultados!BN11),ABS(Resultados!BW11),ABS(Resultados!CF11))/SQRT(COUNT(Resultados!C11,Resultados!L11,Resultados!U11,Resultados!AD11,Resultados!AM11,Resultados!AV11,Resultados!BE11,Resultados!BN11,Resultados!BW11,Resultados!CF11)))</f>
        <v>0.58214163988576595</v>
      </c>
      <c r="D11">
        <f>IF(COUNT(Resultados!D11,Resultados!M11,Resultados!V11,Resultados!AE11,Resultados!AN11,Resultados!AW11,Resultados!BF11,Resultados!BO11,Resultados!BX11,Resultados!CG11)&lt;=1, "", _xlfn.STDEV.S(ABS(Resultados!D11),ABS(Resultados!M11),ABS(Resultados!V11),ABS(Resultados!AE11),ABS(Resultados!AN11),ABS(Resultados!AW11),ABS(Resultados!BF11),ABS(Resultados!BO11),ABS(Resultados!BX11),ABS(Resultados!CG11))/SQRT(COUNT(Resultados!D11,Resultados!M11,Resultados!V11,Resultados!AE11,Resultados!AN11,Resultados!AW11,Resultados!BF11,Resultados!BO11,Resultados!BX11,Resultados!CG11)))</f>
        <v>7.6666666666666615E-5</v>
      </c>
      <c r="E11">
        <f>IF(COUNT(Resultados!E11,Resultados!N11,Resultados!W11,Resultados!AF11,Resultados!AO11,Resultados!AX11,Resultados!BG11,Resultados!BP11,Resultados!BY11,Resultados!CH11)&lt;=1, "", _xlfn.STDEV.S(ABS(Resultados!E11),ABS(Resultados!N11),ABS(Resultados!W11),ABS(Resultados!AF11),ABS(Resultados!AO11),ABS(Resultados!AX11),ABS(Resultados!BG11),ABS(Resultados!BP11),ABS(Resultados!BY11),ABS(Resultados!CH11))/SQRT(COUNT(Resultados!E11,Resultados!N11,Resultados!W11,Resultados!AF11,Resultados!AO11,Resultados!AX11,Resultados!BG11,Resultados!BP11,Resultados!BY11,Resultados!CH11)))</f>
        <v>1.4332225956461776E-3</v>
      </c>
      <c r="F11">
        <f>IF(COUNT(Resultados!F11,Resultados!O11,Resultados!X11,Resultados!AG11,Resultados!AP11,Resultados!AY11,Resultados!BH11,Resultados!BQ11,Resultados!BZ11,Resultados!CI11)&lt;=1, "", _xlfn.STDEV.S(ABS(Resultados!F11),ABS(Resultados!O11),ABS(Resultados!X11),ABS(Resultados!AG11),ABS(Resultados!AP11),ABS(Resultados!AY11),ABS(Resultados!BH11),ABS(Resultados!BQ11),ABS(Resultados!BZ11),ABS(Resultados!CI11))/SQRT(COUNT(Resultados!F11,Resultados!O11,Resultados!X11,Resultados!AG11,Resultados!AP11,Resultados!AY11,Resultados!BH11,Resultados!BQ11,Resultados!BZ11,Resultados!CI11)))</f>
        <v>0.13601282432682441</v>
      </c>
      <c r="G11">
        <f>IF(COUNT(Resultados!G11,Resultados!P11,Resultados!Y11,Resultados!AH11,Resultados!AQ11,Resultados!AZ11,Resultados!BI11,Resultados!BR11,Resultados!CA11,Resultados!CJ11)&lt;=1, "", _xlfn.STDEV.S(ABS(Resultados!G11),ABS(Resultados!P11),ABS(Resultados!Y11),ABS(Resultados!AH11),ABS(Resultados!AQ11),ABS(Resultados!AZ11),ABS(Resultados!BI11),ABS(Resultados!BR11),ABS(Resultados!CA11),ABS(Resultados!CJ11))/SQRT(COUNT(Resultados!G11,Resultados!P11,Resultados!Y11,Resultados!AH11,Resultados!AQ11,Resultados!AZ11,Resultados!BI11,Resultados!BR11,Resultados!CA11,Resultados!CJ11)))</f>
        <v>1.8503717077085941E-17</v>
      </c>
      <c r="H11">
        <f>IF(COUNT(Resultados!H11,Resultados!Q11,Resultados!Z11,Resultados!AI11,Resultados!AR11,Resultados!BA11,Resultados!BJ11,Resultados!BS11,Resultados!CB11,Resultados!CK11)&lt;=1, "", _xlfn.STDEV.S(ABS(Resultados!H11),ABS(Resultados!Q11),ABS(Resultados!Z11),ABS(Resultados!AI11),ABS(Resultados!AR11),ABS(Resultados!BA11),ABS(Resultados!BJ11),ABS(Resultados!BS11),ABS(Resultados!CB11),ABS(Resultados!CK11))/SQRT(COUNT(Resultados!H11,Resultados!Q11,Resultados!Z11,Resultados!AI11,Resultados!AR11,Resultados!BA11,Resultados!BJ11,Resultados!BS11,Resultados!CB11,Resultados!CK11)))</f>
        <v>2.603416558635582E-5</v>
      </c>
      <c r="I11">
        <f>IF(COUNT(Resultados!I11,Resultados!R11,Resultados!AA11,Resultados!AJ11,Resultados!AS11,Resultados!BB11,Resultados!BK11,Resultados!BT11,Resultados!CC11,Resultados!CL11)&lt;=1, "", _xlfn.STDEV.S(ABS(Resultados!I11),ABS(Resultados!R11),ABS(Resultados!AA11),ABS(Resultados!AJ11),ABS(Resultados!AS11),ABS(Resultados!BB11),ABS(Resultados!BK11),ABS(Resultados!BT11),ABS(Resultados!CC11),ABS(Resultados!CL11))/SQRT(COUNT(Resultados!I11,Resultados!R11,Resultados!AA11,Resultados!AJ11,Resultados!AS11,Resultados!BB11,Resultados!BK11,Resultados!BT11,Resultados!CC11,Resultados!CL11)))</f>
        <v>8.0670420022795368E-4</v>
      </c>
    </row>
    <row r="12" spans="1:9" x14ac:dyDescent="0.3">
      <c r="A12">
        <f>IF(COUNT(Resultados!A12,Resultados!J12,Resultados!S12,Resultados!AB12,Resultados!AK12,Resultados!AT12,Resultados!BC12,Resultados!BL12,Resultados!BU12,Resultados!CD12)&lt;=1, "", _xlfn.STDEV.S(ABS(Resultados!A12),ABS(Resultados!J12),ABS(Resultados!S12),ABS(Resultados!AB12),ABS(Resultados!AK12),ABS(Resultados!AT12),ABS(Resultados!BC12),ABS(Resultados!BL12),ABS(Resultados!BU12),ABS(Resultados!CD12))/SQRT(COUNT(Resultados!A12,Resultados!J12,Resultados!S12,Resultados!AB12,Resultados!AK12,Resultados!AT12,Resultados!BC12,Resultados!BL12,Resultados!BU12,Resultados!CD12)))</f>
        <v>0</v>
      </c>
      <c r="B12" t="str">
        <f>IF(COUNT(Resultados!B12,Resultados!K12,Resultados!T12,Resultados!AC12,Resultados!AL12,Resultados!AU12,Resultados!BD12,Resultados!BM12,Resultados!BV12,Resultados!CE12)&lt;=1, "", _xlfn.STDEV.S(ABS(Resultados!B12),ABS(Resultados!K12),ABS(Resultados!T12),ABS(Resultados!AC12),ABS(Resultados!AL12),ABS(Resultados!AU12),ABS(Resultados!BD12),ABS(Resultados!BM12),ABS(Resultados!BV12),ABS(Resultados!CE12))/SQRT(COUNT(Resultados!B12,Resultados!K12,Resultados!T12,Resultados!AC12,Resultados!AL12,Resultados!AU12,Resultados!BD12,Resultados!BM12,Resultados!BV12,Resultados!CE12)))</f>
        <v/>
      </c>
      <c r="C12">
        <f>IF(COUNT(Resultados!C12,Resultados!L12,Resultados!U12,Resultados!AD12,Resultados!AM12,Resultados!AV12,Resultados!BE12,Resultados!BN12,Resultados!BW12,Resultados!CF12)&lt;=1, "", _xlfn.STDEV.S(ABS(Resultados!C12),ABS(Resultados!L12),ABS(Resultados!U12),ABS(Resultados!AD12),ABS(Resultados!AM12),ABS(Resultados!AV12),ABS(Resultados!BE12),ABS(Resultados!BN12),ABS(Resultados!BW12),ABS(Resultados!CF12))/SQRT(COUNT(Resultados!C12,Resultados!L12,Resultados!U12,Resultados!AD12,Resultados!AM12,Resultados!AV12,Resultados!BE12,Resultados!BN12,Resultados!BW12,Resultados!CF12)))</f>
        <v>0.58214163988576595</v>
      </c>
      <c r="D12">
        <f>IF(COUNT(Resultados!D12,Resultados!M12,Resultados!V12,Resultados!AE12,Resultados!AN12,Resultados!AW12,Resultados!BF12,Resultados!BO12,Resultados!BX12,Resultados!CG12)&lt;=1, "", _xlfn.STDEV.S(ABS(Resultados!D12),ABS(Resultados!M12),ABS(Resultados!V12),ABS(Resultados!AE12),ABS(Resultados!AN12),ABS(Resultados!AW12),ABS(Resultados!BF12),ABS(Resultados!BO12),ABS(Resultados!BX12),ABS(Resultados!CG12))/SQRT(COUNT(Resultados!D12,Resultados!M12,Resultados!V12,Resultados!AE12,Resultados!AN12,Resultados!AW12,Resultados!BF12,Resultados!BO12,Resultados!BX12,Resultados!CG12)))</f>
        <v>7.3711147958319871E-5</v>
      </c>
      <c r="E12">
        <f>IF(COUNT(Resultados!E12,Resultados!N12,Resultados!W12,Resultados!AF12,Resultados!AO12,Resultados!AX12,Resultados!BG12,Resultados!BP12,Resultados!BY12,Resultados!CH12)&lt;=1, "", _xlfn.STDEV.S(ABS(Resultados!E12),ABS(Resultados!N12),ABS(Resultados!W12),ABS(Resultados!AF12),ABS(Resultados!AO12),ABS(Resultados!AX12),ABS(Resultados!BG12),ABS(Resultados!BP12),ABS(Resultados!BY12),ABS(Resultados!CH12))/SQRT(COUNT(Resultados!E12,Resultados!N12,Resultados!W12,Resultados!AF12,Resultados!AO12,Resultados!AX12,Resultados!BG12,Resultados!BP12,Resultados!BY12,Resultados!CH12)))</f>
        <v>7.820545229299048E-4</v>
      </c>
      <c r="F12">
        <f>IF(COUNT(Resultados!F12,Resultados!O12,Resultados!X12,Resultados!AG12,Resultados!AP12,Resultados!AY12,Resultados!BH12,Resultados!BQ12,Resultados!BZ12,Resultados!CI12)&lt;=1, "", _xlfn.STDEV.S(ABS(Resultados!F12),ABS(Resultados!O12),ABS(Resultados!X12),ABS(Resultados!AG12),ABS(Resultados!AP12),ABS(Resultados!AY12),ABS(Resultados!BH12),ABS(Resultados!BQ12),ABS(Resultados!BZ12),ABS(Resultados!CI12))/SQRT(COUNT(Resultados!F12,Resultados!O12,Resultados!X12,Resultados!AG12,Resultados!AP12,Resultados!AY12,Resultados!BH12,Resultados!BQ12,Resultados!BZ12,Resultados!CI12)))</f>
        <v>7.4216974226048948E-2</v>
      </c>
      <c r="G12">
        <f>IF(COUNT(Resultados!G12,Resultados!P12,Resultados!Y12,Resultados!AH12,Resultados!AQ12,Resultados!AZ12,Resultados!BI12,Resultados!BR12,Resultados!CA12,Resultados!CJ12)&lt;=1, "", _xlfn.STDEV.S(ABS(Resultados!G12),ABS(Resultados!P12),ABS(Resultados!Y12),ABS(Resultados!AH12),ABS(Resultados!AQ12),ABS(Resultados!AZ12),ABS(Resultados!BI12),ABS(Resultados!BR12),ABS(Resultados!CA12),ABS(Resultados!CJ12))/SQRT(COUNT(Resultados!G12,Resultados!P12,Resultados!Y12,Resultados!AH12,Resultados!AQ12,Resultados!AZ12,Resultados!BI12,Resultados!BR12,Resultados!CA12,Resultados!CJ12)))</f>
        <v>1.8503717077085941E-17</v>
      </c>
      <c r="H12">
        <f>IF(COUNT(Resultados!H12,Resultados!Q12,Resultados!Z12,Resultados!AI12,Resultados!AR12,Resultados!BA12,Resultados!BJ12,Resultados!BS12,Resultados!CB12,Resultados!CK12)&lt;=1, "", _xlfn.STDEV.S(ABS(Resultados!H12),ABS(Resultados!Q12),ABS(Resultados!Z12),ABS(Resultados!AI12),ABS(Resultados!AR12),ABS(Resultados!BA12),ABS(Resultados!BJ12),ABS(Resultados!BS12),ABS(Resultados!CB12),ABS(Resultados!CK12))/SQRT(COUNT(Resultados!H12,Resultados!Q12,Resultados!Z12,Resultados!AI12,Resultados!AR12,Resultados!BA12,Resultados!BJ12,Resultados!BS12,Resultados!CB12,Resultados!CK12)))</f>
        <v>1.5275252316519903E-5</v>
      </c>
      <c r="I12">
        <f>IF(COUNT(Resultados!I12,Resultados!R12,Resultados!AA12,Resultados!AJ12,Resultados!AS12,Resultados!BB12,Resultados!BK12,Resultados!BT12,Resultados!CC12,Resultados!CL12)&lt;=1, "", _xlfn.STDEV.S(ABS(Resultados!I12),ABS(Resultados!R12),ABS(Resultados!AA12),ABS(Resultados!AJ12),ABS(Resultados!AS12),ABS(Resultados!BB12),ABS(Resultados!BK12),ABS(Resultados!BT12),ABS(Resultados!CC12),ABS(Resultados!CL12))/SQRT(COUNT(Resultados!I12,Resultados!R12,Resultados!AA12,Resultados!AJ12,Resultados!AS12,Resultados!BB12,Resultados!BK12,Resultados!BT12,Resultados!CC12,Resultados!CL12)))</f>
        <v>5.2155707048994501E-4</v>
      </c>
    </row>
    <row r="13" spans="1:9" x14ac:dyDescent="0.3">
      <c r="A13">
        <f>IF(COUNT(Resultados!A13,Resultados!J13,Resultados!S13,Resultados!AB13,Resultados!AK13,Resultados!AT13,Resultados!BC13,Resultados!BL13,Resultados!BU13,Resultados!CD13)&lt;=1, "", _xlfn.STDEV.S(ABS(Resultados!A13),ABS(Resultados!J13),ABS(Resultados!S13),ABS(Resultados!AB13),ABS(Resultados!AK13),ABS(Resultados!AT13),ABS(Resultados!BC13),ABS(Resultados!BL13),ABS(Resultados!BU13),ABS(Resultados!CD13))/SQRT(COUNT(Resultados!A13,Resultados!J13,Resultados!S13,Resultados!AB13,Resultados!AK13,Resultados!AT13,Resultados!BC13,Resultados!BL13,Resultados!BU13,Resultados!CD13)))</f>
        <v>0</v>
      </c>
      <c r="B13" t="str">
        <f>IF(COUNT(Resultados!B13,Resultados!K13,Resultados!T13,Resultados!AC13,Resultados!AL13,Resultados!AU13,Resultados!BD13,Resultados!BM13,Resultados!BV13,Resultados!CE13)&lt;=1, "", _xlfn.STDEV.S(ABS(Resultados!B13),ABS(Resultados!K13),ABS(Resultados!T13),ABS(Resultados!AC13),ABS(Resultados!AL13),ABS(Resultados!AU13),ABS(Resultados!BD13),ABS(Resultados!BM13),ABS(Resultados!BV13),ABS(Resultados!CE13))/SQRT(COUNT(Resultados!B13,Resultados!K13,Resultados!T13,Resultados!AC13,Resultados!AL13,Resultados!AU13,Resultados!BD13,Resultados!BM13,Resultados!BV13,Resultados!CE13)))</f>
        <v/>
      </c>
      <c r="C13">
        <f>IF(COUNT(Resultados!C13,Resultados!L13,Resultados!U13,Resultados!AD13,Resultados!AM13,Resultados!AV13,Resultados!BE13,Resultados!BN13,Resultados!BW13,Resultados!CF13)&lt;=1, "", _xlfn.STDEV.S(ABS(Resultados!C13),ABS(Resultados!L13),ABS(Resultados!U13),ABS(Resultados!AD13),ABS(Resultados!AM13),ABS(Resultados!AV13),ABS(Resultados!BE13),ABS(Resultados!BN13),ABS(Resultados!BW13),ABS(Resultados!CF13))/SQRT(COUNT(Resultados!C13,Resultados!L13,Resultados!U13,Resultados!AD13,Resultados!AM13,Resultados!AV13,Resultados!BE13,Resultados!BN13,Resultados!BW13,Resultados!CF13)))</f>
        <v>0.58214163988576595</v>
      </c>
      <c r="D13">
        <f>IF(COUNT(Resultados!D13,Resultados!M13,Resultados!V13,Resultados!AE13,Resultados!AN13,Resultados!AW13,Resultados!BF13,Resultados!BO13,Resultados!BX13,Resultados!CG13)&lt;=1, "", _xlfn.STDEV.S(ABS(Resultados!D13),ABS(Resultados!M13),ABS(Resultados!V13),ABS(Resultados!AE13),ABS(Resultados!AN13),ABS(Resultados!AW13),ABS(Resultados!BF13),ABS(Resultados!BO13),ABS(Resultados!BX13),ABS(Resultados!CG13))/SQRT(COUNT(Resultados!D13,Resultados!M13,Resultados!V13,Resultados!AE13,Resultados!AN13,Resultados!AW13,Resultados!BF13,Resultados!BO13,Resultados!BX13,Resultados!CG13)))</f>
        <v>5.4160256030906244E-5</v>
      </c>
      <c r="E13">
        <f>IF(COUNT(Resultados!E13,Resultados!N13,Resultados!W13,Resultados!AF13,Resultados!AO13,Resultados!AX13,Resultados!BG13,Resultados!BP13,Resultados!BY13,Resultados!CH13)&lt;=1, "", _xlfn.STDEV.S(ABS(Resultados!E13),ABS(Resultados!N13),ABS(Resultados!W13),ABS(Resultados!AF13),ABS(Resultados!AO13),ABS(Resultados!AX13),ABS(Resultados!BG13),ABS(Resultados!BP13),ABS(Resultados!BY13),ABS(Resultados!CH13))/SQRT(COUNT(Resultados!E13,Resultados!N13,Resultados!W13,Resultados!AF13,Resultados!AO13,Resultados!AX13,Resultados!BG13,Resultados!BP13,Resultados!BY13,Resultados!CH13)))</f>
        <v>9.7778062182560222E-4</v>
      </c>
      <c r="F13">
        <f>IF(COUNT(Resultados!F13,Resultados!O13,Resultados!X13,Resultados!AG13,Resultados!AP13,Resultados!AY13,Resultados!BH13,Resultados!BQ13,Resultados!BZ13,Resultados!CI13)&lt;=1, "", _xlfn.STDEV.S(ABS(Resultados!F13),ABS(Resultados!O13),ABS(Resultados!X13),ABS(Resultados!AG13),ABS(Resultados!AP13),ABS(Resultados!AY13),ABS(Resultados!BH13),ABS(Resultados!BQ13),ABS(Resultados!BZ13),ABS(Resultados!CI13))/SQRT(COUNT(Resultados!F13,Resultados!O13,Resultados!X13,Resultados!AG13,Resultados!AP13,Resultados!AY13,Resultados!BH13,Resultados!BQ13,Resultados!BZ13,Resultados!CI13)))</f>
        <v>9.2791381011252852E-2</v>
      </c>
      <c r="G13">
        <f>IF(COUNT(Resultados!G13,Resultados!P13,Resultados!Y13,Resultados!AH13,Resultados!AQ13,Resultados!AZ13,Resultados!BI13,Resultados!BR13,Resultados!CA13,Resultados!CJ13)&lt;=1, "", _xlfn.STDEV.S(ABS(Resultados!G13),ABS(Resultados!P13),ABS(Resultados!Y13),ABS(Resultados!AH13),ABS(Resultados!AQ13),ABS(Resultados!AZ13),ABS(Resultados!BI13),ABS(Resultados!BR13),ABS(Resultados!CA13),ABS(Resultados!CJ13))/SQRT(COUNT(Resultados!G13,Resultados!P13,Resultados!Y13,Resultados!AH13,Resultados!AQ13,Resultados!AZ13,Resultados!BI13,Resultados!BR13,Resultados!CA13,Resultados!CJ13)))</f>
        <v>1.8503717077085941E-17</v>
      </c>
      <c r="H13">
        <f>IF(COUNT(Resultados!H13,Resultados!Q13,Resultados!Z13,Resultados!AI13,Resultados!AR13,Resultados!BA13,Resultados!BJ13,Resultados!BS13,Resultados!CB13,Resultados!CK13)&lt;=1, "", _xlfn.STDEV.S(ABS(Resultados!H13),ABS(Resultados!Q13),ABS(Resultados!Z13),ABS(Resultados!AI13),ABS(Resultados!AR13),ABS(Resultados!BA13),ABS(Resultados!BJ13),ABS(Resultados!BS13),ABS(Resultados!CB13),ABS(Resultados!CK13))/SQRT(COUNT(Resultados!H13,Resultados!Q13,Resultados!Z13,Resultados!AI13,Resultados!AR13,Resultados!BA13,Resultados!BJ13,Resultados!BS13,Resultados!CB13,Resultados!CK13)))</f>
        <v>1.6666666666665986E-5</v>
      </c>
      <c r="I13">
        <f>IF(COUNT(Resultados!I13,Resultados!R13,Resultados!AA13,Resultados!AJ13,Resultados!AS13,Resultados!BB13,Resultados!BK13,Resultados!BT13,Resultados!CC13,Resultados!CL13)&lt;=1, "", _xlfn.STDEV.S(ABS(Resultados!I13),ABS(Resultados!R13),ABS(Resultados!AA13),ABS(Resultados!AJ13),ABS(Resultados!AS13),ABS(Resultados!BB13),ABS(Resultados!BK13),ABS(Resultados!BT13),ABS(Resultados!CC13),ABS(Resultados!CL13))/SQRT(COUNT(Resultados!I13,Resultados!R13,Resultados!AA13,Resultados!AJ13,Resultados!AS13,Resultados!BB13,Resultados!BK13,Resultados!BT13,Resultados!CC13,Resultados!CL13)))</f>
        <v>2.9003907782625382E-4</v>
      </c>
    </row>
    <row r="14" spans="1:9" x14ac:dyDescent="0.3">
      <c r="A14">
        <f>IF(COUNT(Resultados!A14,Resultados!J14,Resultados!S14,Resultados!AB14,Resultados!AK14,Resultados!AT14,Resultados!BC14,Resultados!BL14,Resultados!BU14,Resultados!CD14)&lt;=1, "", _xlfn.STDEV.S(ABS(Resultados!A14),ABS(Resultados!J14),ABS(Resultados!S14),ABS(Resultados!AB14),ABS(Resultados!AK14),ABS(Resultados!AT14),ABS(Resultados!BC14),ABS(Resultados!BL14),ABS(Resultados!BU14),ABS(Resultados!CD14))/SQRT(COUNT(Resultados!A14,Resultados!J14,Resultados!S14,Resultados!AB14,Resultados!AK14,Resultados!AT14,Resultados!BC14,Resultados!BL14,Resultados!BU14,Resultados!CD14)))</f>
        <v>0</v>
      </c>
      <c r="B14" t="str">
        <f>IF(COUNT(Resultados!B14,Resultados!K14,Resultados!T14,Resultados!AC14,Resultados!AL14,Resultados!AU14,Resultados!BD14,Resultados!BM14,Resultados!BV14,Resultados!CE14)&lt;=1, "", _xlfn.STDEV.S(ABS(Resultados!B14),ABS(Resultados!K14),ABS(Resultados!T14),ABS(Resultados!AC14),ABS(Resultados!AL14),ABS(Resultados!AU14),ABS(Resultados!BD14),ABS(Resultados!BM14),ABS(Resultados!BV14),ABS(Resultados!CE14))/SQRT(COUNT(Resultados!B14,Resultados!K14,Resultados!T14,Resultados!AC14,Resultados!AL14,Resultados!AU14,Resultados!BD14,Resultados!BM14,Resultados!BV14,Resultados!CE14)))</f>
        <v/>
      </c>
      <c r="C14">
        <f>IF(COUNT(Resultados!C14,Resultados!L14,Resultados!U14,Resultados!AD14,Resultados!AM14,Resultados!AV14,Resultados!BE14,Resultados!BN14,Resultados!BW14,Resultados!CF14)&lt;=1, "", _xlfn.STDEV.S(ABS(Resultados!C14),ABS(Resultados!L14),ABS(Resultados!U14),ABS(Resultados!AD14),ABS(Resultados!AM14),ABS(Resultados!AV14),ABS(Resultados!BE14),ABS(Resultados!BN14),ABS(Resultados!BW14),ABS(Resultados!CF14))/SQRT(COUNT(Resultados!C14,Resultados!L14,Resultados!U14,Resultados!AD14,Resultados!AM14,Resultados!AV14,Resultados!BE14,Resultados!BN14,Resultados!BW14,Resultados!CF14)))</f>
        <v>0.58214163988576595</v>
      </c>
      <c r="D14">
        <f>IF(COUNT(Resultados!D14,Resultados!M14,Resultados!V14,Resultados!AE14,Resultados!AN14,Resultados!AW14,Resultados!BF14,Resultados!BO14,Resultados!BX14,Resultados!CG14)&lt;=1, "", _xlfn.STDEV.S(ABS(Resultados!D14),ABS(Resultados!M14),ABS(Resultados!V14),ABS(Resultados!AE14),ABS(Resultados!AN14),ABS(Resultados!AW14),ABS(Resultados!BF14),ABS(Resultados!BO14),ABS(Resultados!BX14),ABS(Resultados!CG14))/SQRT(COUNT(Resultados!D14,Resultados!M14,Resultados!V14,Resultados!AE14,Resultados!AN14,Resultados!AW14,Resultados!BF14,Resultados!BO14,Resultados!BX14,Resultados!CG14)))</f>
        <v>6.8637534273246426E-5</v>
      </c>
      <c r="E14">
        <f>IF(COUNT(Resultados!E14,Resultados!N14,Resultados!W14,Resultados!AF14,Resultados!AO14,Resultados!AX14,Resultados!BG14,Resultados!BP14,Resultados!BY14,Resultados!CH14)&lt;=1, "", _xlfn.STDEV.S(ABS(Resultados!E14),ABS(Resultados!N14),ABS(Resultados!W14),ABS(Resultados!AF14),ABS(Resultados!AO14),ABS(Resultados!AX14),ABS(Resultados!BG14),ABS(Resultados!BP14),ABS(Resultados!BY14),ABS(Resultados!CH14))/SQRT(COUNT(Resultados!E14,Resultados!N14,Resultados!W14,Resultados!AF14,Resultados!AO14,Resultados!AX14,Resultados!BG14,Resultados!BP14,Resultados!BY14,Resultados!CH14)))</f>
        <v>1.1172289173872489E-3</v>
      </c>
      <c r="F14">
        <f>IF(COUNT(Resultados!F14,Resultados!O14,Resultados!X14,Resultados!AG14,Resultados!AP14,Resultados!AY14,Resultados!BH14,Resultados!BQ14,Resultados!BZ14,Resultados!CI14)&lt;=1, "", _xlfn.STDEV.S(ABS(Resultados!F14),ABS(Resultados!O14),ABS(Resultados!X14),ABS(Resultados!AG14),ABS(Resultados!AP14),ABS(Resultados!AY14),ABS(Resultados!BH14),ABS(Resultados!BQ14),ABS(Resultados!BZ14),ABS(Resultados!CI14))/SQRT(COUNT(Resultados!F14,Resultados!O14,Resultados!X14,Resultados!AG14,Resultados!AP14,Resultados!AY14,Resultados!BH14,Resultados!BQ14,Resultados!BZ14,Resultados!CI14)))</f>
        <v>0.10602502426004709</v>
      </c>
      <c r="G14">
        <f>IF(COUNT(Resultados!G14,Resultados!P14,Resultados!Y14,Resultados!AH14,Resultados!AQ14,Resultados!AZ14,Resultados!BI14,Resultados!BR14,Resultados!CA14,Resultados!CJ14)&lt;=1, "", _xlfn.STDEV.S(ABS(Resultados!G14),ABS(Resultados!P14),ABS(Resultados!Y14),ABS(Resultados!AH14),ABS(Resultados!AQ14),ABS(Resultados!AZ14),ABS(Resultados!BI14),ABS(Resultados!BR14),ABS(Resultados!CA14),ABS(Resultados!CJ14))/SQRT(COUNT(Resultados!G14,Resultados!P14,Resultados!Y14,Resultados!AH14,Resultados!AQ14,Resultados!AZ14,Resultados!BI14,Resultados!BR14,Resultados!CA14,Resultados!CJ14)))</f>
        <v>1.8503717077085941E-17</v>
      </c>
      <c r="H14">
        <f>IF(COUNT(Resultados!H14,Resultados!Q14,Resultados!Z14,Resultados!AI14,Resultados!AR14,Resultados!BA14,Resultados!BJ14,Resultados!BS14,Resultados!CB14,Resultados!CK14)&lt;=1, "", _xlfn.STDEV.S(ABS(Resultados!H14),ABS(Resultados!Q14),ABS(Resultados!Z14),ABS(Resultados!AI14),ABS(Resultados!AR14),ABS(Resultados!BA14),ABS(Resultados!BJ14),ABS(Resultados!BS14),ABS(Resultados!CB14),ABS(Resultados!CK14))/SQRT(COUNT(Resultados!H14,Resultados!Q14,Resultados!Z14,Resultados!AI14,Resultados!AR14,Resultados!BA14,Resultados!BJ14,Resultados!BS14,Resultados!CB14,Resultados!CK14)))</f>
        <v>2.2110831935702806E-5</v>
      </c>
      <c r="I14">
        <f>IF(COUNT(Resultados!I14,Resultados!R14,Resultados!AA14,Resultados!AJ14,Resultados!AS14,Resultados!BB14,Resultados!BK14,Resultados!BT14,Resultados!CC14,Resultados!CL14)&lt;=1, "", _xlfn.STDEV.S(ABS(Resultados!I14),ABS(Resultados!R14),ABS(Resultados!AA14),ABS(Resultados!AJ14),ABS(Resultados!AS14),ABS(Resultados!BB14),ABS(Resultados!BK14),ABS(Resultados!BT14),ABS(Resultados!CC14),ABS(Resultados!CL14))/SQRT(COUNT(Resultados!I14,Resultados!R14,Resultados!AA14,Resultados!AJ14,Resultados!AS14,Resultados!BB14,Resultados!BK14,Resultados!BT14,Resultados!CC14,Resultados!CL14)))</f>
        <v>3.5549667915367949E-4</v>
      </c>
    </row>
    <row r="15" spans="1:9" x14ac:dyDescent="0.3">
      <c r="A15">
        <f>IF(COUNT(Resultados!A15,Resultados!J15,Resultados!S15,Resultados!AB15,Resultados!AK15,Resultados!AT15,Resultados!BC15,Resultados!BL15,Resultados!BU15,Resultados!CD15)&lt;=1, "", _xlfn.STDEV.S(ABS(Resultados!A15),ABS(Resultados!J15),ABS(Resultados!S15),ABS(Resultados!AB15),ABS(Resultados!AK15),ABS(Resultados!AT15),ABS(Resultados!BC15),ABS(Resultados!BL15),ABS(Resultados!BU15),ABS(Resultados!CD15))/SQRT(COUNT(Resultados!A15,Resultados!J15,Resultados!S15,Resultados!AB15,Resultados!AK15,Resultados!AT15,Resultados!BC15,Resultados!BL15,Resultados!BU15,Resultados!CD15)))</f>
        <v>0</v>
      </c>
      <c r="B15" t="str">
        <f>IF(COUNT(Resultados!B15,Resultados!K15,Resultados!T15,Resultados!AC15,Resultados!AL15,Resultados!AU15,Resultados!BD15,Resultados!BM15,Resultados!BV15,Resultados!CE15)&lt;=1, "", _xlfn.STDEV.S(ABS(Resultados!B15),ABS(Resultados!K15),ABS(Resultados!T15),ABS(Resultados!AC15),ABS(Resultados!AL15),ABS(Resultados!AU15),ABS(Resultados!BD15),ABS(Resultados!BM15),ABS(Resultados!BV15),ABS(Resultados!CE15))/SQRT(COUNT(Resultados!B15,Resultados!K15,Resultados!T15,Resultados!AC15,Resultados!AL15,Resultados!AU15,Resultados!BD15,Resultados!BM15,Resultados!BV15,Resultados!CE15)))</f>
        <v/>
      </c>
      <c r="C15">
        <f>IF(COUNT(Resultados!C15,Resultados!L15,Resultados!U15,Resultados!AD15,Resultados!AM15,Resultados!AV15,Resultados!BE15,Resultados!BN15,Resultados!BW15,Resultados!CF15)&lt;=1, "", _xlfn.STDEV.S(ABS(Resultados!C15),ABS(Resultados!L15),ABS(Resultados!U15),ABS(Resultados!AD15),ABS(Resultados!AM15),ABS(Resultados!AV15),ABS(Resultados!BE15),ABS(Resultados!BN15),ABS(Resultados!BW15),ABS(Resultados!CF15))/SQRT(COUNT(Resultados!C15,Resultados!L15,Resultados!U15,Resultados!AD15,Resultados!AM15,Resultados!AV15,Resultados!BE15,Resultados!BN15,Resultados!BW15,Resultados!CF15)))</f>
        <v>0.58214163988576595</v>
      </c>
      <c r="D15">
        <f>IF(COUNT(Resultados!D15,Resultados!M15,Resultados!V15,Resultados!AE15,Resultados!AN15,Resultados!AW15,Resultados!BF15,Resultados!BO15,Resultados!BX15,Resultados!CG15)&lt;=1, "", _xlfn.STDEV.S(ABS(Resultados!D15),ABS(Resultados!M15),ABS(Resultados!V15),ABS(Resultados!AE15),ABS(Resultados!AN15),ABS(Resultados!AW15),ABS(Resultados!BF15),ABS(Resultados!BO15),ABS(Resultados!BX15),ABS(Resultados!CG15))/SQRT(COUNT(Resultados!D15,Resultados!M15,Resultados!V15,Resultados!AE15,Resultados!AN15,Resultados!AW15,Resultados!BF15,Resultados!BO15,Resultados!BX15,Resultados!CG15)))</f>
        <v>9.0676470058236242E-5</v>
      </c>
      <c r="E15">
        <f>IF(COUNT(Resultados!E15,Resultados!N15,Resultados!W15,Resultados!AF15,Resultados!AO15,Resultados!AX15,Resultados!BG15,Resultados!BP15,Resultados!BY15,Resultados!CH15)&lt;=1, "", _xlfn.STDEV.S(ABS(Resultados!E15),ABS(Resultados!N15),ABS(Resultados!W15),ABS(Resultados!AF15),ABS(Resultados!AO15),ABS(Resultados!AX15),ABS(Resultados!BG15),ABS(Resultados!BP15),ABS(Resultados!BY15),ABS(Resultados!CH15))/SQRT(COUNT(Resultados!E15,Resultados!N15,Resultados!W15,Resultados!AF15,Resultados!AO15,Resultados!AX15,Resultados!BG15,Resultados!BP15,Resultados!BY15,Resultados!CH15)))</f>
        <v>1.0561602114001368E-3</v>
      </c>
      <c r="F15">
        <f>IF(COUNT(Resultados!F15,Resultados!O15,Resultados!X15,Resultados!AG15,Resultados!AP15,Resultados!AY15,Resultados!BH15,Resultados!BQ15,Resultados!BZ15,Resultados!CI15)&lt;=1, "", _xlfn.STDEV.S(ABS(Resultados!F15),ABS(Resultados!O15),ABS(Resultados!X15),ABS(Resultados!AG15),ABS(Resultados!AP15),ABS(Resultados!AY15),ABS(Resultados!BH15),ABS(Resultados!BQ15),ABS(Resultados!BZ15),ABS(Resultados!CI15))/SQRT(COUNT(Resultados!F15,Resultados!O15,Resultados!X15,Resultados!AG15,Resultados!AP15,Resultados!AY15,Resultados!BH15,Resultados!BQ15,Resultados!BZ15,Resultados!CI15)))</f>
        <v>0.10022960406187091</v>
      </c>
      <c r="G15">
        <f>IF(COUNT(Resultados!G15,Resultados!P15,Resultados!Y15,Resultados!AH15,Resultados!AQ15,Resultados!AZ15,Resultados!BI15,Resultados!BR15,Resultados!CA15,Resultados!CJ15)&lt;=1, "", _xlfn.STDEV.S(ABS(Resultados!G15),ABS(Resultados!P15),ABS(Resultados!Y15),ABS(Resultados!AH15),ABS(Resultados!AQ15),ABS(Resultados!AZ15),ABS(Resultados!BI15),ABS(Resultados!BR15),ABS(Resultados!CA15),ABS(Resultados!CJ15))/SQRT(COUNT(Resultados!G15,Resultados!P15,Resultados!Y15,Resultados!AH15,Resultados!AQ15,Resultados!AZ15,Resultados!BI15,Resultados!BR15,Resultados!CA15,Resultados!CJ15)))</f>
        <v>1.8503717077085941E-17</v>
      </c>
      <c r="H15">
        <f>IF(COUNT(Resultados!H15,Resultados!Q15,Resultados!Z15,Resultados!AI15,Resultados!AR15,Resultados!BA15,Resultados!BJ15,Resultados!BS15,Resultados!CB15,Resultados!CK15)&lt;=1, "", _xlfn.STDEV.S(ABS(Resultados!H15),ABS(Resultados!Q15),ABS(Resultados!Z15),ABS(Resultados!AI15),ABS(Resultados!AR15),ABS(Resultados!BA15),ABS(Resultados!BJ15),ABS(Resultados!BS15),ABS(Resultados!CB15),ABS(Resultados!CK15))/SQRT(COUNT(Resultados!H15,Resultados!Q15,Resultados!Z15,Resultados!AI15,Resultados!AR15,Resultados!BA15,Resultados!BJ15,Resultados!BS15,Resultados!CB15,Resultados!CK15)))</f>
        <v>1.5275252316519903E-5</v>
      </c>
      <c r="I15">
        <f>IF(COUNT(Resultados!I15,Resultados!R15,Resultados!AA15,Resultados!AJ15,Resultados!AS15,Resultados!BB15,Resultados!BK15,Resultados!BT15,Resultados!CC15,Resultados!CL15)&lt;=1, "", _xlfn.STDEV.S(ABS(Resultados!I15),ABS(Resultados!R15),ABS(Resultados!AA15),ABS(Resultados!AJ15),ABS(Resultados!AS15),ABS(Resultados!BB15),ABS(Resultados!BK15),ABS(Resultados!BT15),ABS(Resultados!CC15),ABS(Resultados!CL15))/SQRT(COUNT(Resultados!I15,Resultados!R15,Resultados!AA15,Resultados!AJ15,Resultados!AS15,Resultados!BB15,Resultados!BK15,Resultados!BT15,Resultados!CC15,Resultados!CL15)))</f>
        <v>4.8977194239278226E-4</v>
      </c>
    </row>
    <row r="16" spans="1:9" x14ac:dyDescent="0.3">
      <c r="A16">
        <f>IF(COUNT(Resultados!A16,Resultados!J16,Resultados!S16,Resultados!AB16,Resultados!AK16,Resultados!AT16,Resultados!BC16,Resultados!BL16,Resultados!BU16,Resultados!CD16)&lt;=1, "", _xlfn.STDEV.S(ABS(Resultados!A16),ABS(Resultados!J16),ABS(Resultados!S16),ABS(Resultados!AB16),ABS(Resultados!AK16),ABS(Resultados!AT16),ABS(Resultados!BC16),ABS(Resultados!BL16),ABS(Resultados!BU16),ABS(Resultados!CD16))/SQRT(COUNT(Resultados!A16,Resultados!J16,Resultados!S16,Resultados!AB16,Resultados!AK16,Resultados!AT16,Resultados!BC16,Resultados!BL16,Resultados!BU16,Resultados!CD16)))</f>
        <v>0</v>
      </c>
      <c r="B16" t="str">
        <f>IF(COUNT(Resultados!B16,Resultados!K16,Resultados!T16,Resultados!AC16,Resultados!AL16,Resultados!AU16,Resultados!BD16,Resultados!BM16,Resultados!BV16,Resultados!CE16)&lt;=1, "", _xlfn.STDEV.S(ABS(Resultados!B16),ABS(Resultados!K16),ABS(Resultados!T16),ABS(Resultados!AC16),ABS(Resultados!AL16),ABS(Resultados!AU16),ABS(Resultados!BD16),ABS(Resultados!BM16),ABS(Resultados!BV16),ABS(Resultados!CE16))/SQRT(COUNT(Resultados!B16,Resultados!K16,Resultados!T16,Resultados!AC16,Resultados!AL16,Resultados!AU16,Resultados!BD16,Resultados!BM16,Resultados!BV16,Resultados!CE16)))</f>
        <v/>
      </c>
      <c r="C16">
        <f>IF(COUNT(Resultados!C16,Resultados!L16,Resultados!U16,Resultados!AD16,Resultados!AM16,Resultados!AV16,Resultados!BE16,Resultados!BN16,Resultados!BW16,Resultados!CF16)&lt;=1, "", _xlfn.STDEV.S(ABS(Resultados!C16),ABS(Resultados!L16),ABS(Resultados!U16),ABS(Resultados!AD16),ABS(Resultados!AM16),ABS(Resultados!AV16),ABS(Resultados!BE16),ABS(Resultados!BN16),ABS(Resultados!BW16),ABS(Resultados!CF16))/SQRT(COUNT(Resultados!C16,Resultados!L16,Resultados!U16,Resultados!AD16,Resultados!AM16,Resultados!AV16,Resultados!BE16,Resultados!BN16,Resultados!BW16,Resultados!CF16)))</f>
        <v>0.58214163988576595</v>
      </c>
      <c r="D16">
        <f>IF(COUNT(Resultados!D16,Resultados!M16,Resultados!V16,Resultados!AE16,Resultados!AN16,Resultados!AW16,Resultados!BF16,Resultados!BO16,Resultados!BX16,Resultados!CG16)&lt;=1, "", _xlfn.STDEV.S(ABS(Resultados!D16),ABS(Resultados!M16),ABS(Resultados!V16),ABS(Resultados!AE16),ABS(Resultados!AN16),ABS(Resultados!AW16),ABS(Resultados!BF16),ABS(Resultados!BO16),ABS(Resultados!BX16),ABS(Resultados!CG16))/SQRT(COUNT(Resultados!D16,Resultados!M16,Resultados!V16,Resultados!AE16,Resultados!AN16,Resultados!AW16,Resultados!BF16,Resultados!BO16,Resultados!BX16,Resultados!CG16)))</f>
        <v>7.1569701845279585E-5</v>
      </c>
      <c r="E16">
        <f>IF(COUNT(Resultados!E16,Resultados!N16,Resultados!W16,Resultados!AF16,Resultados!AO16,Resultados!AX16,Resultados!BG16,Resultados!BP16,Resultados!BY16,Resultados!CH16)&lt;=1, "", _xlfn.STDEV.S(ABS(Resultados!E16),ABS(Resultados!N16),ABS(Resultados!W16),ABS(Resultados!AF16),ABS(Resultados!AO16),ABS(Resultados!AX16),ABS(Resultados!BG16),ABS(Resultados!BP16),ABS(Resultados!BY16),ABS(Resultados!CH16))/SQRT(COUNT(Resultados!E16,Resultados!N16,Resultados!W16,Resultados!AF16,Resultados!AO16,Resultados!AX16,Resultados!BG16,Resultados!BP16,Resultados!BY16,Resultados!CH16)))</f>
        <v>1.5156522467556863E-3</v>
      </c>
      <c r="F16">
        <f>IF(COUNT(Resultados!F16,Resultados!O16,Resultados!X16,Resultados!AG16,Resultados!AP16,Resultados!AY16,Resultados!BH16,Resultados!BQ16,Resultados!BZ16,Resultados!CI16)&lt;=1, "", _xlfn.STDEV.S(ABS(Resultados!F16),ABS(Resultados!O16),ABS(Resultados!X16),ABS(Resultados!AG16),ABS(Resultados!AP16),ABS(Resultados!AY16),ABS(Resultados!BH16),ABS(Resultados!BQ16),ABS(Resultados!BZ16),ABS(Resultados!CI16))/SQRT(COUNT(Resultados!F16,Resultados!O16,Resultados!X16,Resultados!AG16,Resultados!AP16,Resultados!AY16,Resultados!BH16,Resultados!BQ16,Resultados!BZ16,Resultados!CI16)))</f>
        <v>0.14383539821708777</v>
      </c>
      <c r="G16">
        <f>IF(COUNT(Resultados!G16,Resultados!P16,Resultados!Y16,Resultados!AH16,Resultados!AQ16,Resultados!AZ16,Resultados!BI16,Resultados!BR16,Resultados!CA16,Resultados!CJ16)&lt;=1, "", _xlfn.STDEV.S(ABS(Resultados!G16),ABS(Resultados!P16),ABS(Resultados!Y16),ABS(Resultados!AH16),ABS(Resultados!AQ16),ABS(Resultados!AZ16),ABS(Resultados!BI16),ABS(Resultados!BR16),ABS(Resultados!CA16),ABS(Resultados!CJ16))/SQRT(COUNT(Resultados!G16,Resultados!P16,Resultados!Y16,Resultados!AH16,Resultados!AQ16,Resultados!AZ16,Resultados!BI16,Resultados!BR16,Resultados!CA16,Resultados!CJ16)))</f>
        <v>1.8503717077085941E-17</v>
      </c>
      <c r="H16">
        <f>IF(COUNT(Resultados!H16,Resultados!Q16,Resultados!Z16,Resultados!AI16,Resultados!AR16,Resultados!BA16,Resultados!BJ16,Resultados!BS16,Resultados!CB16,Resultados!CK16)&lt;=1, "", _xlfn.STDEV.S(ABS(Resultados!H16),ABS(Resultados!Q16),ABS(Resultados!Z16),ABS(Resultados!AI16),ABS(Resultados!AR16),ABS(Resultados!BA16),ABS(Resultados!BJ16),ABS(Resultados!BS16),ABS(Resultados!CB16),ABS(Resultados!CK16))/SQRT(COUNT(Resultados!H16,Resultados!Q16,Resultados!Z16,Resultados!AI16,Resultados!AR16,Resultados!BA16,Resultados!BJ16,Resultados!BS16,Resultados!CB16,Resultados!CK16)))</f>
        <v>2.211083193570225E-5</v>
      </c>
      <c r="I16">
        <f>IF(COUNT(Resultados!I16,Resultados!R16,Resultados!AA16,Resultados!AJ16,Resultados!AS16,Resultados!BB16,Resultados!BK16,Resultados!BT16,Resultados!CC16,Resultados!CL16)&lt;=1, "", _xlfn.STDEV.S(ABS(Resultados!I16),ABS(Resultados!R16),ABS(Resultados!AA16),ABS(Resultados!AJ16),ABS(Resultados!AS16),ABS(Resultados!BB16),ABS(Resultados!BK16),ABS(Resultados!BT16),ABS(Resultados!CC16),ABS(Resultados!CL16))/SQRT(COUNT(Resultados!I16,Resultados!R16,Resultados!AA16,Resultados!AJ16,Resultados!AS16,Resultados!BB16,Resultados!BK16,Resultados!BT16,Resultados!CC16,Resultados!CL16)))</f>
        <v>1.3357750975014303E-3</v>
      </c>
    </row>
    <row r="17" spans="1:9" x14ac:dyDescent="0.3">
      <c r="A17">
        <f>IF(COUNT(Resultados!A17,Resultados!J17,Resultados!S17,Resultados!AB17,Resultados!AK17,Resultados!AT17,Resultados!BC17,Resultados!BL17,Resultados!BU17,Resultados!CD17)&lt;=1, "", _xlfn.STDEV.S(ABS(Resultados!A17),ABS(Resultados!J17),ABS(Resultados!S17),ABS(Resultados!AB17),ABS(Resultados!AK17),ABS(Resultados!AT17),ABS(Resultados!BC17),ABS(Resultados!BL17),ABS(Resultados!BU17),ABS(Resultados!CD17))/SQRT(COUNT(Resultados!A17,Resultados!J17,Resultados!S17,Resultados!AB17,Resultados!AK17,Resultados!AT17,Resultados!BC17,Resultados!BL17,Resultados!BU17,Resultados!CD17)))</f>
        <v>0</v>
      </c>
      <c r="B17" t="str">
        <f>IF(COUNT(Resultados!B17,Resultados!K17,Resultados!T17,Resultados!AC17,Resultados!AL17,Resultados!AU17,Resultados!BD17,Resultados!BM17,Resultados!BV17,Resultados!CE17)&lt;=1, "", _xlfn.STDEV.S(ABS(Resultados!B17),ABS(Resultados!K17),ABS(Resultados!T17),ABS(Resultados!AC17),ABS(Resultados!AL17),ABS(Resultados!AU17),ABS(Resultados!BD17),ABS(Resultados!BM17),ABS(Resultados!BV17),ABS(Resultados!CE17))/SQRT(COUNT(Resultados!B17,Resultados!K17,Resultados!T17,Resultados!AC17,Resultados!AL17,Resultados!AU17,Resultados!BD17,Resultados!BM17,Resultados!BV17,Resultados!CE17)))</f>
        <v/>
      </c>
      <c r="C17">
        <f>IF(COUNT(Resultados!C17,Resultados!L17,Resultados!U17,Resultados!AD17,Resultados!AM17,Resultados!AV17,Resultados!BE17,Resultados!BN17,Resultados!BW17,Resultados!CF17)&lt;=1, "", _xlfn.STDEV.S(ABS(Resultados!C17),ABS(Resultados!L17),ABS(Resultados!U17),ABS(Resultados!AD17),ABS(Resultados!AM17),ABS(Resultados!AV17),ABS(Resultados!BE17),ABS(Resultados!BN17),ABS(Resultados!BW17),ABS(Resultados!CF17))/SQRT(COUNT(Resultados!C17,Resultados!L17,Resultados!U17,Resultados!AD17,Resultados!AM17,Resultados!AV17,Resultados!BE17,Resultados!BN17,Resultados!BW17,Resultados!CF17)))</f>
        <v>0.58214163988576595</v>
      </c>
      <c r="D17">
        <f>IF(COUNT(Resultados!D17,Resultados!M17,Resultados!V17,Resultados!AE17,Resultados!AN17,Resultados!AW17,Resultados!BF17,Resultados!BO17,Resultados!BX17,Resultados!CG17)&lt;=1, "", _xlfn.STDEV.S(ABS(Resultados!D17),ABS(Resultados!M17),ABS(Resultados!V17),ABS(Resultados!AE17),ABS(Resultados!AN17),ABS(Resultados!AW17),ABS(Resultados!BF17),ABS(Resultados!BO17),ABS(Resultados!BX17),ABS(Resultados!CG17))/SQRT(COUNT(Resultados!D17,Resultados!M17,Resultados!V17,Resultados!AE17,Resultados!AN17,Resultados!AW17,Resultados!BF17,Resultados!BO17,Resultados!BX17,Resultados!CG17)))</f>
        <v>6.666666666666625E-5</v>
      </c>
      <c r="E17">
        <f>IF(COUNT(Resultados!E17,Resultados!N17,Resultados!W17,Resultados!AF17,Resultados!AO17,Resultados!AX17,Resultados!BG17,Resultados!BP17,Resultados!BY17,Resultados!CH17)&lt;=1, "", _xlfn.STDEV.S(ABS(Resultados!E17),ABS(Resultados!N17),ABS(Resultados!W17),ABS(Resultados!AF17),ABS(Resultados!AO17),ABS(Resultados!AX17),ABS(Resultados!BG17),ABS(Resultados!BP17),ABS(Resultados!BY17),ABS(Resultados!CH17))/SQRT(COUNT(Resultados!E17,Resultados!N17,Resultados!W17,Resultados!AF17,Resultados!AO17,Resultados!AX17,Resultados!BG17,Resultados!BP17,Resultados!BY17,Resultados!CH17)))</f>
        <v>8.2319854044533131E-4</v>
      </c>
      <c r="F17">
        <f>IF(COUNT(Resultados!F17,Resultados!O17,Resultados!X17,Resultados!AG17,Resultados!AP17,Resultados!AY17,Resultados!BH17,Resultados!BQ17,Resultados!BZ17,Resultados!CI17)&lt;=1, "", _xlfn.STDEV.S(ABS(Resultados!F17),ABS(Resultados!O17),ABS(Resultados!X17),ABS(Resultados!AG17),ABS(Resultados!AP17),ABS(Resultados!AY17),ABS(Resultados!BH17),ABS(Resultados!BQ17),ABS(Resultados!BZ17),ABS(Resultados!CI17))/SQRT(COUNT(Resultados!F17,Resultados!O17,Resultados!X17,Resultados!AG17,Resultados!AP17,Resultados!AY17,Resultados!BH17,Resultados!BQ17,Resultados!BZ17,Resultados!CI17)))</f>
        <v>7.8121541488268442E-2</v>
      </c>
      <c r="G17">
        <f>IF(COUNT(Resultados!G17,Resultados!P17,Resultados!Y17,Resultados!AH17,Resultados!AQ17,Resultados!AZ17,Resultados!BI17,Resultados!BR17,Resultados!CA17,Resultados!CJ17)&lt;=1, "", _xlfn.STDEV.S(ABS(Resultados!G17),ABS(Resultados!P17),ABS(Resultados!Y17),ABS(Resultados!AH17),ABS(Resultados!AQ17),ABS(Resultados!AZ17),ABS(Resultados!BI17),ABS(Resultados!BR17),ABS(Resultados!CA17),ABS(Resultados!CJ17))/SQRT(COUNT(Resultados!G17,Resultados!P17,Resultados!Y17,Resultados!AH17,Resultados!AQ17,Resultados!AZ17,Resultados!BI17,Resultados!BR17,Resultados!CA17,Resultados!CJ17)))</f>
        <v>1.8503717077085941E-17</v>
      </c>
      <c r="H17">
        <f>IF(COUNT(Resultados!H17,Resultados!Q17,Resultados!Z17,Resultados!AI17,Resultados!AR17,Resultados!BA17,Resultados!BJ17,Resultados!BS17,Resultados!CB17,Resultados!CK17)&lt;=1, "", _xlfn.STDEV.S(ABS(Resultados!H17),ABS(Resultados!Q17),ABS(Resultados!Z17),ABS(Resultados!AI17),ABS(Resultados!AR17),ABS(Resultados!BA17),ABS(Resultados!BJ17),ABS(Resultados!BS17),ABS(Resultados!CB17),ABS(Resultados!CK17))/SQRT(COUNT(Resultados!H17,Resultados!Q17,Resultados!Z17,Resultados!AI17,Resultados!AR17,Resultados!BA17,Resultados!BJ17,Resultados!BS17,Resultados!CB17,Resultados!CK17)))</f>
        <v>1.0000000000000287E-5</v>
      </c>
      <c r="I17">
        <f>IF(COUNT(Resultados!I17,Resultados!R17,Resultados!AA17,Resultados!AJ17,Resultados!AS17,Resultados!BB17,Resultados!BK17,Resultados!BT17,Resultados!CC17,Resultados!CL17)&lt;=1, "", _xlfn.STDEV.S(ABS(Resultados!I17),ABS(Resultados!R17),ABS(Resultados!AA17),ABS(Resultados!AJ17),ABS(Resultados!AS17),ABS(Resultados!BB17),ABS(Resultados!BK17),ABS(Resultados!BT17),ABS(Resultados!CC17),ABS(Resultados!CL17))/SQRT(COUNT(Resultados!I17,Resultados!R17,Resultados!AA17,Resultados!AJ17,Resultados!AS17,Resultados!BB17,Resultados!BK17,Resultados!BT17,Resultados!CC17,Resultados!CL17)))</f>
        <v>4.1240541002793952E-4</v>
      </c>
    </row>
    <row r="18" spans="1:9" x14ac:dyDescent="0.3">
      <c r="A18">
        <f>IF(COUNT(Resultados!A18,Resultados!J18,Resultados!S18,Resultados!AB18,Resultados!AK18,Resultados!AT18,Resultados!BC18,Resultados!BL18,Resultados!BU18,Resultados!CD18)&lt;=1, "", _xlfn.STDEV.S(ABS(Resultados!A18),ABS(Resultados!J18),ABS(Resultados!S18),ABS(Resultados!AB18),ABS(Resultados!AK18),ABS(Resultados!AT18),ABS(Resultados!BC18),ABS(Resultados!BL18),ABS(Resultados!BU18),ABS(Resultados!CD18))/SQRT(COUNT(Resultados!A18,Resultados!J18,Resultados!S18,Resultados!AB18,Resultados!AK18,Resultados!AT18,Resultados!BC18,Resultados!BL18,Resultados!BU18,Resultados!CD18)))</f>
        <v>0</v>
      </c>
      <c r="B18" t="str">
        <f>IF(COUNT(Resultados!B18,Resultados!K18,Resultados!T18,Resultados!AC18,Resultados!AL18,Resultados!AU18,Resultados!BD18,Resultados!BM18,Resultados!BV18,Resultados!CE18)&lt;=1, "", _xlfn.STDEV.S(ABS(Resultados!B18),ABS(Resultados!K18),ABS(Resultados!T18),ABS(Resultados!AC18),ABS(Resultados!AL18),ABS(Resultados!AU18),ABS(Resultados!BD18),ABS(Resultados!BM18),ABS(Resultados!BV18),ABS(Resultados!CE18))/SQRT(COUNT(Resultados!B18,Resultados!K18,Resultados!T18,Resultados!AC18,Resultados!AL18,Resultados!AU18,Resultados!BD18,Resultados!BM18,Resultados!BV18,Resultados!CE18)))</f>
        <v/>
      </c>
      <c r="C18">
        <f>IF(COUNT(Resultados!C18,Resultados!L18,Resultados!U18,Resultados!AD18,Resultados!AM18,Resultados!AV18,Resultados!BE18,Resultados!BN18,Resultados!BW18,Resultados!CF18)&lt;=1, "", _xlfn.STDEV.S(ABS(Resultados!C18),ABS(Resultados!L18),ABS(Resultados!U18),ABS(Resultados!AD18),ABS(Resultados!AM18),ABS(Resultados!AV18),ABS(Resultados!BE18),ABS(Resultados!BN18),ABS(Resultados!BW18),ABS(Resultados!CF18))/SQRT(COUNT(Resultados!C18,Resultados!L18,Resultados!U18,Resultados!AD18,Resultados!AM18,Resultados!AV18,Resultados!BE18,Resultados!BN18,Resultados!BW18,Resultados!CF18)))</f>
        <v>0.58214163988576595</v>
      </c>
      <c r="D18">
        <f>IF(COUNT(Resultados!D18,Resultados!M18,Resultados!V18,Resultados!AE18,Resultados!AN18,Resultados!AW18,Resultados!BF18,Resultados!BO18,Resultados!BX18,Resultados!CG18)&lt;=1, "", _xlfn.STDEV.S(ABS(Resultados!D18),ABS(Resultados!M18),ABS(Resultados!V18),ABS(Resultados!AE18),ABS(Resultados!AN18),ABS(Resultados!AW18),ABS(Resultados!BF18),ABS(Resultados!BO18),ABS(Resultados!BX18),ABS(Resultados!CG18))/SQRT(COUNT(Resultados!D18,Resultados!M18,Resultados!V18,Resultados!AE18,Resultados!AN18,Resultados!AW18,Resultados!BF18,Resultados!BO18,Resultados!BX18,Resultados!CG18)))</f>
        <v>8.0553639823963572E-5</v>
      </c>
      <c r="E18">
        <f>IF(COUNT(Resultados!E18,Resultados!N18,Resultados!W18,Resultados!AF18,Resultados!AO18,Resultados!AX18,Resultados!BG18,Resultados!BP18,Resultados!BY18,Resultados!CH18)&lt;=1, "", _xlfn.STDEV.S(ABS(Resultados!E18),ABS(Resultados!N18),ABS(Resultados!W18),ABS(Resultados!AF18),ABS(Resultados!AO18),ABS(Resultados!AX18),ABS(Resultados!BG18),ABS(Resultados!BP18),ABS(Resultados!BY18),ABS(Resultados!CH18))/SQRT(COUNT(Resultados!E18,Resultados!N18,Resultados!W18,Resultados!AF18,Resultados!AO18,Resultados!AX18,Resultados!BG18,Resultados!BP18,Resultados!BY18,Resultados!CH18)))</f>
        <v>5.4978871010740772E-4</v>
      </c>
      <c r="F18">
        <f>IF(COUNT(Resultados!F18,Resultados!O18,Resultados!X18,Resultados!AG18,Resultados!AP18,Resultados!AY18,Resultados!BH18,Resultados!BQ18,Resultados!BZ18,Resultados!CI18)&lt;=1, "", _xlfn.STDEV.S(ABS(Resultados!F18),ABS(Resultados!O18),ABS(Resultados!X18),ABS(Resultados!AG18),ABS(Resultados!AP18),ABS(Resultados!AY18),ABS(Resultados!BH18),ABS(Resultados!BQ18),ABS(Resultados!BZ18),ABS(Resultados!CI18))/SQRT(COUNT(Resultados!F18,Resultados!O18,Resultados!X18,Resultados!AG18,Resultados!AP18,Resultados!AY18,Resultados!BH18,Resultados!BQ18,Resultados!BZ18,Resultados!CI18)))</f>
        <v>5.2174948589216799E-2</v>
      </c>
      <c r="G18">
        <f>IF(COUNT(Resultados!G18,Resultados!P18,Resultados!Y18,Resultados!AH18,Resultados!AQ18,Resultados!AZ18,Resultados!BI18,Resultados!BR18,Resultados!CA18,Resultados!CJ18)&lt;=1, "", _xlfn.STDEV.S(ABS(Resultados!G18),ABS(Resultados!P18),ABS(Resultados!Y18),ABS(Resultados!AH18),ABS(Resultados!AQ18),ABS(Resultados!AZ18),ABS(Resultados!BI18),ABS(Resultados!BR18),ABS(Resultados!CA18),ABS(Resultados!CJ18))/SQRT(COUNT(Resultados!G18,Resultados!P18,Resultados!Y18,Resultados!AH18,Resultados!AQ18,Resultados!AZ18,Resultados!BI18,Resultados!BR18,Resultados!CA18,Resultados!CJ18)))</f>
        <v>1.8503717077085941E-17</v>
      </c>
      <c r="H18">
        <f>IF(COUNT(Resultados!H18,Resultados!Q18,Resultados!Z18,Resultados!AI18,Resultados!AR18,Resultados!BA18,Resultados!BJ18,Resultados!BS18,Resultados!CB18,Resultados!CK18)&lt;=1, "", _xlfn.STDEV.S(ABS(Resultados!H18),ABS(Resultados!Q18),ABS(Resultados!Z18),ABS(Resultados!AI18),ABS(Resultados!AR18),ABS(Resultados!BA18),ABS(Resultados!BJ18),ABS(Resultados!BS18),ABS(Resultados!CB18),ABS(Resultados!CK18))/SQRT(COUNT(Resultados!H18,Resultados!Q18,Resultados!Z18,Resultados!AI18,Resultados!AR18,Resultados!BA18,Resultados!BJ18,Resultados!BS18,Resultados!CB18,Resultados!CK18)))</f>
        <v>9.9999999999995925E-6</v>
      </c>
      <c r="I18">
        <f>IF(COUNT(Resultados!I18,Resultados!R18,Resultados!AA18,Resultados!AJ18,Resultados!AS18,Resultados!BB18,Resultados!BK18,Resultados!BT18,Resultados!CC18,Resultados!CL18)&lt;=1, "", _xlfn.STDEV.S(ABS(Resultados!I18),ABS(Resultados!R18),ABS(Resultados!AA18),ABS(Resultados!AJ18),ABS(Resultados!AS18),ABS(Resultados!BB18),ABS(Resultados!BK18),ABS(Resultados!BT18),ABS(Resultados!CC18),ABS(Resultados!CL18))/SQRT(COUNT(Resultados!I18,Resultados!R18,Resultados!AA18,Resultados!AJ18,Resultados!AS18,Resultados!BB18,Resultados!BK18,Resultados!BT18,Resultados!CC18,Resultados!CL18)))</f>
        <v>3.6813418447321177E-4</v>
      </c>
    </row>
    <row r="19" spans="1:9" x14ac:dyDescent="0.3">
      <c r="A19">
        <f>IF(COUNT(Resultados!A19,Resultados!J19,Resultados!S19,Resultados!AB19,Resultados!AK19,Resultados!AT19,Resultados!BC19,Resultados!BL19,Resultados!BU19,Resultados!CD19)&lt;=1, "", _xlfn.STDEV.S(ABS(Resultados!A19),ABS(Resultados!J19),ABS(Resultados!S19),ABS(Resultados!AB19),ABS(Resultados!AK19),ABS(Resultados!AT19),ABS(Resultados!BC19),ABS(Resultados!BL19),ABS(Resultados!BU19),ABS(Resultados!CD19))/SQRT(COUNT(Resultados!A19,Resultados!J19,Resultados!S19,Resultados!AB19,Resultados!AK19,Resultados!AT19,Resultados!BC19,Resultados!BL19,Resultados!BU19,Resultados!CD19)))</f>
        <v>0</v>
      </c>
      <c r="B19" t="str">
        <f>IF(COUNT(Resultados!B19,Resultados!K19,Resultados!T19,Resultados!AC19,Resultados!AL19,Resultados!AU19,Resultados!BD19,Resultados!BM19,Resultados!BV19,Resultados!CE19)&lt;=1, "", _xlfn.STDEV.S(ABS(Resultados!B19),ABS(Resultados!K19),ABS(Resultados!T19),ABS(Resultados!AC19),ABS(Resultados!AL19),ABS(Resultados!AU19),ABS(Resultados!BD19),ABS(Resultados!BM19),ABS(Resultados!BV19),ABS(Resultados!CE19))/SQRT(COUNT(Resultados!B19,Resultados!K19,Resultados!T19,Resultados!AC19,Resultados!AL19,Resultados!AU19,Resultados!BD19,Resultados!BM19,Resultados!BV19,Resultados!CE19)))</f>
        <v/>
      </c>
      <c r="C19">
        <f>IF(COUNT(Resultados!C19,Resultados!L19,Resultados!U19,Resultados!AD19,Resultados!AM19,Resultados!AV19,Resultados!BE19,Resultados!BN19,Resultados!BW19,Resultados!CF19)&lt;=1, "", _xlfn.STDEV.S(ABS(Resultados!C19),ABS(Resultados!L19),ABS(Resultados!U19),ABS(Resultados!AD19),ABS(Resultados!AM19),ABS(Resultados!AV19),ABS(Resultados!BE19),ABS(Resultados!BN19),ABS(Resultados!BW19),ABS(Resultados!CF19))/SQRT(COUNT(Resultados!C19,Resultados!L19,Resultados!U19,Resultados!AD19,Resultados!AM19,Resultados!AV19,Resultados!BE19,Resultados!BN19,Resultados!BW19,Resultados!CF19)))</f>
        <v>0.58214163988576595</v>
      </c>
      <c r="D19">
        <f>IF(COUNT(Resultados!D19,Resultados!M19,Resultados!V19,Resultados!AE19,Resultados!AN19,Resultados!AW19,Resultados!BF19,Resultados!BO19,Resultados!BX19,Resultados!CG19)&lt;=1, "", _xlfn.STDEV.S(ABS(Resultados!D19),ABS(Resultados!M19),ABS(Resultados!V19),ABS(Resultados!AE19),ABS(Resultados!AN19),ABS(Resultados!AW19),ABS(Resultados!BF19),ABS(Resultados!BO19),ABS(Resultados!BX19),ABS(Resultados!CG19))/SQRT(COUNT(Resultados!D19,Resultados!M19,Resultados!V19,Resultados!AE19,Resultados!AN19,Resultados!AW19,Resultados!BF19,Resultados!BO19,Resultados!BX19,Resultados!CG19)))</f>
        <v>7.5203427817856423E-5</v>
      </c>
      <c r="E19">
        <f>IF(COUNT(Resultados!E19,Resultados!N19,Resultados!W19,Resultados!AF19,Resultados!AO19,Resultados!AX19,Resultados!BG19,Resultados!BP19,Resultados!BY19,Resultados!CH19)&lt;=1, "", _xlfn.STDEV.S(ABS(Resultados!E19),ABS(Resultados!N19),ABS(Resultados!W19),ABS(Resultados!AF19),ABS(Resultados!AO19),ABS(Resultados!AX19),ABS(Resultados!BG19),ABS(Resultados!BP19),ABS(Resultados!BY19),ABS(Resultados!CH19))/SQRT(COUNT(Resultados!E19,Resultados!N19,Resultados!W19,Resultados!AF19,Resultados!AO19,Resultados!AX19,Resultados!BG19,Resultados!BP19,Resultados!BY19,Resultados!CH19)))</f>
        <v>4.4832409002078846E-4</v>
      </c>
      <c r="F19">
        <f>IF(COUNT(Resultados!F19,Resultados!O19,Resultados!X19,Resultados!AG19,Resultados!AP19,Resultados!AY19,Resultados!BH19,Resultados!BQ19,Resultados!BZ19,Resultados!CI19)&lt;=1, "", _xlfn.STDEV.S(ABS(Resultados!F19),ABS(Resultados!O19),ABS(Resultados!X19),ABS(Resultados!AG19),ABS(Resultados!AP19),ABS(Resultados!AY19),ABS(Resultados!BH19),ABS(Resultados!BQ19),ABS(Resultados!BZ19),ABS(Resultados!CI19))/SQRT(COUNT(Resultados!F19,Resultados!O19,Resultados!X19,Resultados!AG19,Resultados!AP19,Resultados!AY19,Resultados!BH19,Resultados!BQ19,Resultados!BZ19,Resultados!CI19)))</f>
        <v>4.2545956142964851E-2</v>
      </c>
      <c r="G19">
        <f>IF(COUNT(Resultados!G19,Resultados!P19,Resultados!Y19,Resultados!AH19,Resultados!AQ19,Resultados!AZ19,Resultados!BI19,Resultados!BR19,Resultados!CA19,Resultados!CJ19)&lt;=1, "", _xlfn.STDEV.S(ABS(Resultados!G19),ABS(Resultados!P19),ABS(Resultados!Y19),ABS(Resultados!AH19),ABS(Resultados!AQ19),ABS(Resultados!AZ19),ABS(Resultados!BI19),ABS(Resultados!BR19),ABS(Resultados!CA19),ABS(Resultados!CJ19))/SQRT(COUNT(Resultados!G19,Resultados!P19,Resultados!Y19,Resultados!AH19,Resultados!AQ19,Resultados!AZ19,Resultados!BI19,Resultados!BR19,Resultados!CA19,Resultados!CJ19)))</f>
        <v>1.8503717077085941E-17</v>
      </c>
      <c r="H19">
        <f>IF(COUNT(Resultados!H19,Resultados!Q19,Resultados!Z19,Resultados!AI19,Resultados!AR19,Resultados!BA19,Resultados!BJ19,Resultados!BS19,Resultados!CB19,Resultados!CK19)&lt;=1, "", _xlfn.STDEV.S(ABS(Resultados!H19),ABS(Resultados!Q19),ABS(Resultados!Z19),ABS(Resultados!AI19),ABS(Resultados!AR19),ABS(Resultados!BA19),ABS(Resultados!BJ19),ABS(Resultados!BS19),ABS(Resultados!CB19),ABS(Resultados!CK19))/SQRT(COUNT(Resultados!H19,Resultados!Q19,Resultados!Z19,Resultados!AI19,Resultados!AR19,Resultados!BA19,Resultados!BJ19,Resultados!BS19,Resultados!CB19,Resultados!CK19)))</f>
        <v>1.0000000000000285E-5</v>
      </c>
      <c r="I19">
        <f>IF(COUNT(Resultados!I19,Resultados!R19,Resultados!AA19,Resultados!AJ19,Resultados!AS19,Resultados!BB19,Resultados!BK19,Resultados!BT19,Resultados!CC19,Resultados!CL19)&lt;=1, "", _xlfn.STDEV.S(ABS(Resultados!I19),ABS(Resultados!R19),ABS(Resultados!AA19),ABS(Resultados!AJ19),ABS(Resultados!AS19),ABS(Resultados!BB19),ABS(Resultados!BK19),ABS(Resultados!BT19),ABS(Resultados!CC19),ABS(Resultados!CL19))/SQRT(COUNT(Resultados!I19,Resultados!R19,Resultados!AA19,Resultados!AJ19,Resultados!AS19,Resultados!BB19,Resultados!BK19,Resultados!BT19,Resultados!CC19,Resultados!CL19)))</f>
        <v>2.9827373706557269E-4</v>
      </c>
    </row>
    <row r="20" spans="1:9" x14ac:dyDescent="0.3">
      <c r="A20">
        <f>IF(COUNT(Resultados!A20,Resultados!J20,Resultados!S20,Resultados!AB20,Resultados!AK20,Resultados!AT20,Resultados!BC20,Resultados!BL20,Resultados!BU20,Resultados!CD20)&lt;=1, "", _xlfn.STDEV.S(ABS(Resultados!A20),ABS(Resultados!J20),ABS(Resultados!S20),ABS(Resultados!AB20),ABS(Resultados!AK20),ABS(Resultados!AT20),ABS(Resultados!BC20),ABS(Resultados!BL20),ABS(Resultados!BU20),ABS(Resultados!CD20))/SQRT(COUNT(Resultados!A20,Resultados!J20,Resultados!S20,Resultados!AB20,Resultados!AK20,Resultados!AT20,Resultados!BC20,Resultados!BL20,Resultados!BU20,Resultados!CD20)))</f>
        <v>0</v>
      </c>
      <c r="B20" t="str">
        <f>IF(COUNT(Resultados!B20,Resultados!K20,Resultados!T20,Resultados!AC20,Resultados!AL20,Resultados!AU20,Resultados!BD20,Resultados!BM20,Resultados!BV20,Resultados!CE20)&lt;=1, "", _xlfn.STDEV.S(ABS(Resultados!B20),ABS(Resultados!K20),ABS(Resultados!T20),ABS(Resultados!AC20),ABS(Resultados!AL20),ABS(Resultados!AU20),ABS(Resultados!BD20),ABS(Resultados!BM20),ABS(Resultados!BV20),ABS(Resultados!CE20))/SQRT(COUNT(Resultados!B20,Resultados!K20,Resultados!T20,Resultados!AC20,Resultados!AL20,Resultados!AU20,Resultados!BD20,Resultados!BM20,Resultados!BV20,Resultados!CE20)))</f>
        <v/>
      </c>
      <c r="C20">
        <f>IF(COUNT(Resultados!C20,Resultados!L20,Resultados!U20,Resultados!AD20,Resultados!AM20,Resultados!AV20,Resultados!BE20,Resultados!BN20,Resultados!BW20,Resultados!CF20)&lt;=1, "", _xlfn.STDEV.S(ABS(Resultados!C20),ABS(Resultados!L20),ABS(Resultados!U20),ABS(Resultados!AD20),ABS(Resultados!AM20),ABS(Resultados!AV20),ABS(Resultados!BE20),ABS(Resultados!BN20),ABS(Resultados!BW20),ABS(Resultados!CF20))/SQRT(COUNT(Resultados!C20,Resultados!L20,Resultados!U20,Resultados!AD20,Resultados!AM20,Resultados!AV20,Resultados!BE20,Resultados!BN20,Resultados!BW20,Resultados!CF20)))</f>
        <v>0.58214163988576595</v>
      </c>
      <c r="D20">
        <f>IF(COUNT(Resultados!D20,Resultados!M20,Resultados!V20,Resultados!AE20,Resultados!AN20,Resultados!AW20,Resultados!BF20,Resultados!BO20,Resultados!BX20,Resultados!CG20)&lt;=1, "", _xlfn.STDEV.S(ABS(Resultados!D20),ABS(Resultados!M20),ABS(Resultados!V20),ABS(Resultados!AE20),ABS(Resultados!AN20),ABS(Resultados!AW20),ABS(Resultados!BF20),ABS(Resultados!BO20),ABS(Resultados!BX20),ABS(Resultados!CG20))/SQRT(COUNT(Resultados!D20,Resultados!M20,Resultados!V20,Resultados!AE20,Resultados!AN20,Resultados!AW20,Resultados!BF20,Resultados!BO20,Resultados!BX20,Resultados!CG20)))</f>
        <v>1.4000000000000037E-4</v>
      </c>
      <c r="E20">
        <f>IF(COUNT(Resultados!E20,Resultados!N20,Resultados!W20,Resultados!AF20,Resultados!AO20,Resultados!AX20,Resultados!BG20,Resultados!BP20,Resultados!BY20,Resultados!CH20)&lt;=1, "", _xlfn.STDEV.S(ABS(Resultados!E20),ABS(Resultados!N20),ABS(Resultados!W20),ABS(Resultados!AF20),ABS(Resultados!AO20),ABS(Resultados!AX20),ABS(Resultados!BG20),ABS(Resultados!BP20),ABS(Resultados!BY20),ABS(Resultados!CH20))/SQRT(COUNT(Resultados!E20,Resultados!N20,Resultados!W20,Resultados!AF20,Resultados!AO20,Resultados!AX20,Resultados!BG20,Resultados!BP20,Resultados!BY20,Resultados!CH20)))</f>
        <v>3.4574905072346808E-4</v>
      </c>
      <c r="F20">
        <f>IF(COUNT(Resultados!F20,Resultados!O20,Resultados!X20,Resultados!AG20,Resultados!AP20,Resultados!AY20,Resultados!BH20,Resultados!BQ20,Resultados!BZ20,Resultados!CI20)&lt;=1, "", _xlfn.STDEV.S(ABS(Resultados!F20),ABS(Resultados!O20),ABS(Resultados!X20),ABS(Resultados!AG20),ABS(Resultados!AP20),ABS(Resultados!AY20),ABS(Resultados!BH20),ABS(Resultados!BQ20),ABS(Resultados!BZ20),ABS(Resultados!CI20))/SQRT(COUNT(Resultados!F20,Resultados!O20,Resultados!X20,Resultados!AG20,Resultados!AP20,Resultados!AY20,Resultados!BH20,Resultados!BQ20,Resultados!BZ20,Resultados!CI20)))</f>
        <v>3.2811584913594871E-2</v>
      </c>
      <c r="G20">
        <f>IF(COUNT(Resultados!G20,Resultados!P20,Resultados!Y20,Resultados!AH20,Resultados!AQ20,Resultados!AZ20,Resultados!BI20,Resultados!BR20,Resultados!CA20,Resultados!CJ20)&lt;=1, "", _xlfn.STDEV.S(ABS(Resultados!G20),ABS(Resultados!P20),ABS(Resultados!Y20),ABS(Resultados!AH20),ABS(Resultados!AQ20),ABS(Resultados!AZ20),ABS(Resultados!BI20),ABS(Resultados!BR20),ABS(Resultados!CA20),ABS(Resultados!CJ20))/SQRT(COUNT(Resultados!G20,Resultados!P20,Resultados!Y20,Resultados!AH20,Resultados!AQ20,Resultados!AZ20,Resultados!BI20,Resultados!BR20,Resultados!CA20,Resultados!CJ20)))</f>
        <v>1.8503717077085941E-17</v>
      </c>
      <c r="H20">
        <f>IF(COUNT(Resultados!H20,Resultados!Q20,Resultados!Z20,Resultados!AI20,Resultados!AR20,Resultados!BA20,Resultados!BJ20,Resultados!BS20,Resultados!CB20,Resultados!CK20)&lt;=1, "", _xlfn.STDEV.S(ABS(Resultados!H20),ABS(Resultados!Q20),ABS(Resultados!Z20),ABS(Resultados!AI20),ABS(Resultados!AR20),ABS(Resultados!BA20),ABS(Resultados!BJ20),ABS(Resultados!BS20),ABS(Resultados!CB20),ABS(Resultados!CK20))/SQRT(COUNT(Resultados!H20,Resultados!Q20,Resultados!Z20,Resultados!AI20,Resultados!AR20,Resultados!BA20,Resultados!BJ20,Resultados!BS20,Resultados!CB20,Resultados!CK20)))</f>
        <v>9.9999999999995925E-6</v>
      </c>
      <c r="I20">
        <f>IF(COUNT(Resultados!I20,Resultados!R20,Resultados!AA20,Resultados!AJ20,Resultados!AS20,Resultados!BB20,Resultados!BK20,Resultados!BT20,Resultados!CC20,Resultados!CL20)&lt;=1, "", _xlfn.STDEV.S(ABS(Resultados!I20),ABS(Resultados!R20),ABS(Resultados!AA20),ABS(Resultados!AJ20),ABS(Resultados!AS20),ABS(Resultados!BB20),ABS(Resultados!BK20),ABS(Resultados!BT20),ABS(Resultados!CC20),ABS(Resultados!CL20))/SQRT(COUNT(Resultados!I20,Resultados!R20,Resultados!AA20,Resultados!AJ20,Resultados!AS20,Resultados!BB20,Resultados!BK20,Resultados!BT20,Resultados!CC20,Resultados!CL20)))</f>
        <v>2.4898103453001086E-4</v>
      </c>
    </row>
    <row r="21" spans="1:9" x14ac:dyDescent="0.3">
      <c r="A21">
        <f>IF(COUNT(Resultados!A21,Resultados!J21,Resultados!S21,Resultados!AB21,Resultados!AK21,Resultados!AT21,Resultados!BC21,Resultados!BL21,Resultados!BU21,Resultados!CD21)&lt;=1, "", _xlfn.STDEV.S(ABS(Resultados!A21),ABS(Resultados!J21),ABS(Resultados!S21),ABS(Resultados!AB21),ABS(Resultados!AK21),ABS(Resultados!AT21),ABS(Resultados!BC21),ABS(Resultados!BL21),ABS(Resultados!BU21),ABS(Resultados!CD21))/SQRT(COUNT(Resultados!A21,Resultados!J21,Resultados!S21,Resultados!AB21,Resultados!AK21,Resultados!AT21,Resultados!BC21,Resultados!BL21,Resultados!BU21,Resultados!CD21)))</f>
        <v>0</v>
      </c>
      <c r="B21" t="str">
        <f>IF(COUNT(Resultados!B21,Resultados!K21,Resultados!T21,Resultados!AC21,Resultados!AL21,Resultados!AU21,Resultados!BD21,Resultados!BM21,Resultados!BV21,Resultados!CE21)&lt;=1, "", _xlfn.STDEV.S(ABS(Resultados!B21),ABS(Resultados!K21),ABS(Resultados!T21),ABS(Resultados!AC21),ABS(Resultados!AL21),ABS(Resultados!AU21),ABS(Resultados!BD21),ABS(Resultados!BM21),ABS(Resultados!BV21),ABS(Resultados!CE21))/SQRT(COUNT(Resultados!B21,Resultados!K21,Resultados!T21,Resultados!AC21,Resultados!AL21,Resultados!AU21,Resultados!BD21,Resultados!BM21,Resultados!BV21,Resultados!CE21)))</f>
        <v/>
      </c>
      <c r="C21">
        <f>IF(COUNT(Resultados!C21,Resultados!L21,Resultados!U21,Resultados!AD21,Resultados!AM21,Resultados!AV21,Resultados!BE21,Resultados!BN21,Resultados!BW21,Resultados!CF21)&lt;=1, "", _xlfn.STDEV.S(ABS(Resultados!C21),ABS(Resultados!L21),ABS(Resultados!U21),ABS(Resultados!AD21),ABS(Resultados!AM21),ABS(Resultados!AV21),ABS(Resultados!BE21),ABS(Resultados!BN21),ABS(Resultados!BW21),ABS(Resultados!CF21))/SQRT(COUNT(Resultados!C21,Resultados!L21,Resultados!U21,Resultados!AD21,Resultados!AM21,Resultados!AV21,Resultados!BE21,Resultados!BN21,Resultados!BW21,Resultados!CF21)))</f>
        <v>0.58214163988576595</v>
      </c>
      <c r="D21">
        <f>IF(COUNT(Resultados!D21,Resultados!M21,Resultados!V21,Resultados!AE21,Resultados!AN21,Resultados!AW21,Resultados!BF21,Resultados!BO21,Resultados!BX21,Resultados!CG21)&lt;=1, "", _xlfn.STDEV.S(ABS(Resultados!D21),ABS(Resultados!M21),ABS(Resultados!V21),ABS(Resultados!AE21),ABS(Resultados!AN21),ABS(Resultados!AW21),ABS(Resultados!BF21),ABS(Resultados!BO21),ABS(Resultados!BX21),ABS(Resultados!CG21))/SQRT(COUNT(Resultados!D21,Resultados!M21,Resultados!V21,Resultados!AE21,Resultados!AN21,Resultados!AW21,Resultados!BF21,Resultados!BO21,Resultados!BX21,Resultados!CG21)))</f>
        <v>6.3333333333333251E-5</v>
      </c>
      <c r="E21">
        <f>IF(COUNT(Resultados!E21,Resultados!N21,Resultados!W21,Resultados!AF21,Resultados!AO21,Resultados!AX21,Resultados!BG21,Resultados!BP21,Resultados!BY21,Resultados!CH21)&lt;=1, "", _xlfn.STDEV.S(ABS(Resultados!E21),ABS(Resultados!N21),ABS(Resultados!W21),ABS(Resultados!AF21),ABS(Resultados!AO21),ABS(Resultados!AX21),ABS(Resultados!BG21),ABS(Resultados!BP21),ABS(Resultados!BY21),ABS(Resultados!CH21))/SQRT(COUNT(Resultados!E21,Resultados!N21,Resultados!W21,Resultados!AF21,Resultados!AO21,Resultados!AX21,Resultados!BG21,Resultados!BP21,Resultados!BY21,Resultados!CH21)))</f>
        <v>1.926914527784587E-4</v>
      </c>
      <c r="F21">
        <f>IF(COUNT(Resultados!F21,Resultados!O21,Resultados!X21,Resultados!AG21,Resultados!AP21,Resultados!AY21,Resultados!BH21,Resultados!BQ21,Resultados!BZ21,Resultados!CI21)&lt;=1, "", _xlfn.STDEV.S(ABS(Resultados!F21),ABS(Resultados!O21),ABS(Resultados!X21),ABS(Resultados!AG21),ABS(Resultados!AP21),ABS(Resultados!AY21),ABS(Resultados!BH21),ABS(Resultados!BQ21),ABS(Resultados!BZ21),ABS(Resultados!CI21))/SQRT(COUNT(Resultados!F21,Resultados!O21,Resultados!X21,Resultados!AG21,Resultados!AP21,Resultados!AY21,Resultados!BH21,Resultados!BQ21,Resultados!BZ21,Resultados!CI21)))</f>
        <v>1.8286418868718856E-2</v>
      </c>
      <c r="G21">
        <f>IF(COUNT(Resultados!G21,Resultados!P21,Resultados!Y21,Resultados!AH21,Resultados!AQ21,Resultados!AZ21,Resultados!BI21,Resultados!BR21,Resultados!CA21,Resultados!CJ21)&lt;=1, "", _xlfn.STDEV.S(ABS(Resultados!G21),ABS(Resultados!P21),ABS(Resultados!Y21),ABS(Resultados!AH21),ABS(Resultados!AQ21),ABS(Resultados!AZ21),ABS(Resultados!BI21),ABS(Resultados!BR21),ABS(Resultados!CA21),ABS(Resultados!CJ21))/SQRT(COUNT(Resultados!G21,Resultados!P21,Resultados!Y21,Resultados!AH21,Resultados!AQ21,Resultados!AZ21,Resultados!BI21,Resultados!BR21,Resultados!CA21,Resultados!CJ21)))</f>
        <v>1.8503717077085941E-17</v>
      </c>
      <c r="H21">
        <f>IF(COUNT(Resultados!H21,Resultados!Q21,Resultados!Z21,Resultados!AI21,Resultados!AR21,Resultados!BA21,Resultados!BJ21,Resultados!BS21,Resultados!CB21,Resultados!CK21)&lt;=1, "", _xlfn.STDEV.S(ABS(Resultados!H21),ABS(Resultados!Q21),ABS(Resultados!Z21),ABS(Resultados!AI21),ABS(Resultados!AR21),ABS(Resultados!BA21),ABS(Resultados!BJ21),ABS(Resultados!BS21),ABS(Resultados!CB21),ABS(Resultados!CK21))/SQRT(COUNT(Resultados!H21,Resultados!Q21,Resultados!Z21,Resultados!AI21,Resultados!AR21,Resultados!BA21,Resultados!BJ21,Resultados!BS21,Resultados!CB21,Resultados!CK21)))</f>
        <v>0</v>
      </c>
      <c r="I21">
        <f>IF(COUNT(Resultados!I21,Resultados!R21,Resultados!AA21,Resultados!AJ21,Resultados!AS21,Resultados!BB21,Resultados!BK21,Resultados!BT21,Resultados!CC21,Resultados!CL21)&lt;=1, "", _xlfn.STDEV.S(ABS(Resultados!I21),ABS(Resultados!R21),ABS(Resultados!AA21),ABS(Resultados!AJ21),ABS(Resultados!AS21),ABS(Resultados!BB21),ABS(Resultados!BK21),ABS(Resultados!BT21),ABS(Resultados!CC21),ABS(Resultados!CL21))/SQRT(COUNT(Resultados!I21,Resultados!R21,Resultados!AA21,Resultados!AJ21,Resultados!AS21,Resultados!BB21,Resultados!BK21,Resultados!BT21,Resultados!CC21,Resultados!CL21)))</f>
        <v>9.3698624441359494E-4</v>
      </c>
    </row>
    <row r="22" spans="1:9" x14ac:dyDescent="0.3">
      <c r="A22">
        <f>IF(COUNT(Resultados!A22,Resultados!J22,Resultados!S22,Resultados!AB22,Resultados!AK22,Resultados!AT22,Resultados!BC22,Resultados!BL22,Resultados!BU22,Resultados!CD22)&lt;=1, "", _xlfn.STDEV.S(ABS(Resultados!A22),ABS(Resultados!J22),ABS(Resultados!S22),ABS(Resultados!AB22),ABS(Resultados!AK22),ABS(Resultados!AT22),ABS(Resultados!BC22),ABS(Resultados!BL22),ABS(Resultados!BU22),ABS(Resultados!CD22))/SQRT(COUNT(Resultados!A22,Resultados!J22,Resultados!S22,Resultados!AB22,Resultados!AK22,Resultados!AT22,Resultados!BC22,Resultados!BL22,Resultados!BU22,Resultados!CD22)))</f>
        <v>0</v>
      </c>
      <c r="B22" t="str">
        <f>IF(COUNT(Resultados!B22,Resultados!K22,Resultados!T22,Resultados!AC22,Resultados!AL22,Resultados!AU22,Resultados!BD22,Resultados!BM22,Resultados!BV22,Resultados!CE22)&lt;=1, "", _xlfn.STDEV.S(ABS(Resultados!B22),ABS(Resultados!K22),ABS(Resultados!T22),ABS(Resultados!AC22),ABS(Resultados!AL22),ABS(Resultados!AU22),ABS(Resultados!BD22),ABS(Resultados!BM22),ABS(Resultados!BV22),ABS(Resultados!CE22))/SQRT(COUNT(Resultados!B22,Resultados!K22,Resultados!T22,Resultados!AC22,Resultados!AL22,Resultados!AU22,Resultados!BD22,Resultados!BM22,Resultados!BV22,Resultados!CE22)))</f>
        <v/>
      </c>
      <c r="C22">
        <f>IF(COUNT(Resultados!C22,Resultados!L22,Resultados!U22,Resultados!AD22,Resultados!AM22,Resultados!AV22,Resultados!BE22,Resultados!BN22,Resultados!BW22,Resultados!CF22)&lt;=1, "", _xlfn.STDEV.S(ABS(Resultados!C22),ABS(Resultados!L22),ABS(Resultados!U22),ABS(Resultados!AD22),ABS(Resultados!AM22),ABS(Resultados!AV22),ABS(Resultados!BE22),ABS(Resultados!BN22),ABS(Resultados!BW22),ABS(Resultados!CF22))/SQRT(COUNT(Resultados!C22,Resultados!L22,Resultados!U22,Resultados!AD22,Resultados!AM22,Resultados!AV22,Resultados!BE22,Resultados!BN22,Resultados!BW22,Resultados!CF22)))</f>
        <v>0.58214163988576595</v>
      </c>
      <c r="D22">
        <f>IF(COUNT(Resultados!D22,Resultados!M22,Resultados!V22,Resultados!AE22,Resultados!AN22,Resultados!AW22,Resultados!BF22,Resultados!BO22,Resultados!BX22,Resultados!CG22)&lt;=1, "", _xlfn.STDEV.S(ABS(Resultados!D22),ABS(Resultados!M22),ABS(Resultados!V22),ABS(Resultados!AE22),ABS(Resultados!AN22),ABS(Resultados!AW22),ABS(Resultados!BF22),ABS(Resultados!BO22),ABS(Resultados!BX22),ABS(Resultados!CG22))/SQRT(COUNT(Resultados!D22,Resultados!M22,Resultados!V22,Resultados!AE22,Resultados!AN22,Resultados!AW22,Resultados!BF22,Resultados!BO22,Resultados!BX22,Resultados!CG22)))</f>
        <v>7.571877794400477E-5</v>
      </c>
      <c r="E22">
        <f>IF(COUNT(Resultados!E22,Resultados!N22,Resultados!W22,Resultados!AF22,Resultados!AO22,Resultados!AX22,Resultados!BG22,Resultados!BP22,Resultados!BY22,Resultados!CH22)&lt;=1, "", _xlfn.STDEV.S(ABS(Resultados!E22),ABS(Resultados!N22),ABS(Resultados!W22),ABS(Resultados!AF22),ABS(Resultados!AO22),ABS(Resultados!AX22),ABS(Resultados!BG22),ABS(Resultados!BP22),ABS(Resultados!BY22),ABS(Resultados!CH22))/SQRT(COUNT(Resultados!E22,Resultados!N22,Resultados!W22,Resultados!AF22,Resultados!AO22,Resultados!AX22,Resultados!BG22,Resultados!BP22,Resultados!BY22,Resultados!CH22)))</f>
        <v>1.7064597789341243E-6</v>
      </c>
      <c r="F22">
        <f>IF(COUNT(Resultados!F22,Resultados!O22,Resultados!X22,Resultados!AG22,Resultados!AP22,Resultados!AY22,Resultados!BH22,Resultados!BQ22,Resultados!BZ22,Resultados!CI22)&lt;=1, "", _xlfn.STDEV.S(ABS(Resultados!F22),ABS(Resultados!O22),ABS(Resultados!X22),ABS(Resultados!AG22),ABS(Resultados!AP22),ABS(Resultados!AY22),ABS(Resultados!BH22),ABS(Resultados!BQ22),ABS(Resultados!BZ22),ABS(Resultados!CI22))/SQRT(COUNT(Resultados!F22,Resultados!O22,Resultados!X22,Resultados!AG22,Resultados!AP22,Resultados!AY22,Resultados!BH22,Resultados!BQ22,Resultados!BZ22,Resultados!CI22)))</f>
        <v>1.6194303309098016E-4</v>
      </c>
      <c r="G22">
        <f>IF(COUNT(Resultados!G22,Resultados!P22,Resultados!Y22,Resultados!AH22,Resultados!AQ22,Resultados!AZ22,Resultados!BI22,Resultados!BR22,Resultados!CA22,Resultados!CJ22)&lt;=1, "", _xlfn.STDEV.S(ABS(Resultados!G22),ABS(Resultados!P22),ABS(Resultados!Y22),ABS(Resultados!AH22),ABS(Resultados!AQ22),ABS(Resultados!AZ22),ABS(Resultados!BI22),ABS(Resultados!BR22),ABS(Resultados!CA22),ABS(Resultados!CJ22))/SQRT(COUNT(Resultados!G22,Resultados!P22,Resultados!Y22,Resultados!AH22,Resultados!AQ22,Resultados!AZ22,Resultados!BI22,Resultados!BR22,Resultados!CA22,Resultados!CJ22)))</f>
        <v>1.8503717077085941E-17</v>
      </c>
      <c r="H22">
        <f>IF(COUNT(Resultados!H22,Resultados!Q22,Resultados!Z22,Resultados!AI22,Resultados!AR22,Resultados!BA22,Resultados!BJ22,Resultados!BS22,Resultados!CB22,Resultados!CK22)&lt;=1, "", _xlfn.STDEV.S(ABS(Resultados!H22),ABS(Resultados!Q22),ABS(Resultados!Z22),ABS(Resultados!AI22),ABS(Resultados!AR22),ABS(Resultados!BA22),ABS(Resultados!BJ22),ABS(Resultados!BS22),ABS(Resultados!CB22),ABS(Resultados!CK22))/SQRT(COUNT(Resultados!H22,Resultados!Q22,Resultados!Z22,Resultados!AI22,Resultados!AR22,Resultados!BA22,Resultados!BJ22,Resultados!BS22,Resultados!CB22,Resultados!CK22)))</f>
        <v>4.6259292692714853E-18</v>
      </c>
      <c r="I22">
        <f>IF(COUNT(Resultados!I22,Resultados!R22,Resultados!AA22,Resultados!AJ22,Resultados!AS22,Resultados!BB22,Resultados!BK22,Resultados!BT22,Resultados!CC22,Resultados!CL22)&lt;=1, "", _xlfn.STDEV.S(ABS(Resultados!I22),ABS(Resultados!R22),ABS(Resultados!AA22),ABS(Resultados!AJ22),ABS(Resultados!AS22),ABS(Resultados!BB22),ABS(Resultados!BK22),ABS(Resultados!BT22),ABS(Resultados!CC22),ABS(Resultados!CL22))/SQRT(COUNT(Resultados!I22,Resultados!R22,Resultados!AA22,Resultados!AJ22,Resultados!AS22,Resultados!BB22,Resultados!BK22,Resultados!BT22,Resultados!CC22,Resultados!CL22)))</f>
        <v>4.2274236966747094E-4</v>
      </c>
    </row>
    <row r="23" spans="1:9" x14ac:dyDescent="0.3">
      <c r="A23">
        <f>IF(COUNT(Resultados!A23,Resultados!J23,Resultados!S23,Resultados!AB23,Resultados!AK23,Resultados!AT23,Resultados!BC23,Resultados!BL23,Resultados!BU23,Resultados!CD23)&lt;=1, "", _xlfn.STDEV.S(ABS(Resultados!A23),ABS(Resultados!J23),ABS(Resultados!S23),ABS(Resultados!AB23),ABS(Resultados!AK23),ABS(Resultados!AT23),ABS(Resultados!BC23),ABS(Resultados!BL23),ABS(Resultados!BU23),ABS(Resultados!CD23))/SQRT(COUNT(Resultados!A23,Resultados!J23,Resultados!S23,Resultados!AB23,Resultados!AK23,Resultados!AT23,Resultados!BC23,Resultados!BL23,Resultados!BU23,Resultados!CD23)))</f>
        <v>0</v>
      </c>
      <c r="B23" t="str">
        <f>IF(COUNT(Resultados!B23,Resultados!K23,Resultados!T23,Resultados!AC23,Resultados!AL23,Resultados!AU23,Resultados!BD23,Resultados!BM23,Resultados!BV23,Resultados!CE23)&lt;=1, "", _xlfn.STDEV.S(ABS(Resultados!B23),ABS(Resultados!K23),ABS(Resultados!T23),ABS(Resultados!AC23),ABS(Resultados!AL23),ABS(Resultados!AU23),ABS(Resultados!BD23),ABS(Resultados!BM23),ABS(Resultados!BV23),ABS(Resultados!CE23))/SQRT(COUNT(Resultados!B23,Resultados!K23,Resultados!T23,Resultados!AC23,Resultados!AL23,Resultados!AU23,Resultados!BD23,Resultados!BM23,Resultados!BV23,Resultados!CE23)))</f>
        <v/>
      </c>
      <c r="C23">
        <f>IF(COUNT(Resultados!C23,Resultados!L23,Resultados!U23,Resultados!AD23,Resultados!AM23,Resultados!AV23,Resultados!BE23,Resultados!BN23,Resultados!BW23,Resultados!CF23)&lt;=1, "", _xlfn.STDEV.S(ABS(Resultados!C23),ABS(Resultados!L23),ABS(Resultados!U23),ABS(Resultados!AD23),ABS(Resultados!AM23),ABS(Resultados!AV23),ABS(Resultados!BE23),ABS(Resultados!BN23),ABS(Resultados!BW23),ABS(Resultados!CF23))/SQRT(COUNT(Resultados!C23,Resultados!L23,Resultados!U23,Resultados!AD23,Resultados!AM23,Resultados!AV23,Resultados!BE23,Resultados!BN23,Resultados!BW23,Resultados!CF23)))</f>
        <v>0.58214163988576595</v>
      </c>
      <c r="D23">
        <f>IF(COUNT(Resultados!D23,Resultados!M23,Resultados!V23,Resultados!AE23,Resultados!AN23,Resultados!AW23,Resultados!BF23,Resultados!BO23,Resultados!BX23,Resultados!CG23)&lt;=1, "", _xlfn.STDEV.S(ABS(Resultados!D23),ABS(Resultados!M23),ABS(Resultados!V23),ABS(Resultados!AE23),ABS(Resultados!AN23),ABS(Resultados!AW23),ABS(Resultados!BF23),ABS(Resultados!BO23),ABS(Resultados!BX23),ABS(Resultados!CG23))/SQRT(COUNT(Resultados!D23,Resultados!M23,Resultados!V23,Resultados!AE23,Resultados!AN23,Resultados!AW23,Resultados!BF23,Resultados!BO23,Resultados!BX23,Resultados!CG23)))</f>
        <v>7.4833147735479279E-5</v>
      </c>
      <c r="E23">
        <f>IF(COUNT(Resultados!E23,Resultados!N23,Resultados!W23,Resultados!AF23,Resultados!AO23,Resultados!AX23,Resultados!BG23,Resultados!BP23,Resultados!BY23,Resultados!CH23)&lt;=1, "", _xlfn.STDEV.S(ABS(Resultados!E23),ABS(Resultados!N23),ABS(Resultados!W23),ABS(Resultados!AF23),ABS(Resultados!AO23),ABS(Resultados!AX23),ABS(Resultados!BG23),ABS(Resultados!BP23),ABS(Resultados!BY23),ABS(Resultados!CH23))/SQRT(COUNT(Resultados!E23,Resultados!N23,Resultados!W23,Resultados!AF23,Resultados!AO23,Resultados!AX23,Resultados!BG23,Resultados!BP23,Resultados!BY23,Resultados!CH23)))</f>
        <v>2.1015253559915497E-4</v>
      </c>
      <c r="F23">
        <f>IF(COUNT(Resultados!F23,Resultados!O23,Resultados!X23,Resultados!AG23,Resultados!AP23,Resultados!AY23,Resultados!BH23,Resultados!BQ23,Resultados!BZ23,Resultados!CI23)&lt;=1, "", _xlfn.STDEV.S(ABS(Resultados!F23),ABS(Resultados!O23),ABS(Resultados!X23),ABS(Resultados!AG23),ABS(Resultados!AP23),ABS(Resultados!AY23),ABS(Resultados!BH23),ABS(Resultados!BQ23),ABS(Resultados!BZ23),ABS(Resultados!CI23))/SQRT(COUNT(Resultados!F23,Resultados!O23,Resultados!X23,Resultados!AG23,Resultados!AP23,Resultados!AY23,Resultados!BH23,Resultados!BQ23,Resultados!BZ23,Resultados!CI23)))</f>
        <v>1.958621631784584E-2</v>
      </c>
      <c r="G23">
        <f>IF(COUNT(Resultados!G23,Resultados!P23,Resultados!Y23,Resultados!AH23,Resultados!AQ23,Resultados!AZ23,Resultados!BI23,Resultados!BR23,Resultados!CA23,Resultados!CJ23)&lt;=1, "", _xlfn.STDEV.S(ABS(Resultados!G23),ABS(Resultados!P23),ABS(Resultados!Y23),ABS(Resultados!AH23),ABS(Resultados!AQ23),ABS(Resultados!AZ23),ABS(Resultados!BI23),ABS(Resultados!BR23),ABS(Resultados!CA23),ABS(Resultados!CJ23))/SQRT(COUNT(Resultados!G23,Resultados!P23,Resultados!Y23,Resultados!AH23,Resultados!AQ23,Resultados!AZ23,Resultados!BI23,Resultados!BR23,Resultados!CA23,Resultados!CJ23)))</f>
        <v>1.8503717077085941E-17</v>
      </c>
      <c r="H23">
        <f>IF(COUNT(Resultados!H23,Resultados!Q23,Resultados!Z23,Resultados!AI23,Resultados!AR23,Resultados!BA23,Resultados!BJ23,Resultados!BS23,Resultados!CB23,Resultados!CK23)&lt;=1, "", _xlfn.STDEV.S(ABS(Resultados!H23),ABS(Resultados!Q23),ABS(Resultados!Z23),ABS(Resultados!AI23),ABS(Resultados!AR23),ABS(Resultados!BA23),ABS(Resultados!BJ23),ABS(Resultados!BS23),ABS(Resultados!CB23),ABS(Resultados!CK23))/SQRT(COUNT(Resultados!H23,Resultados!Q23,Resultados!Z23,Resultados!AI23,Resultados!AR23,Resultados!BA23,Resultados!BJ23,Resultados!BS23,Resultados!CB23,Resultados!CK23)))</f>
        <v>0</v>
      </c>
      <c r="I23">
        <f>IF(COUNT(Resultados!I23,Resultados!R23,Resultados!AA23,Resultados!AJ23,Resultados!AS23,Resultados!BB23,Resultados!BK23,Resultados!BT23,Resultados!CC23,Resultados!CL23)&lt;=1, "", _xlfn.STDEV.S(ABS(Resultados!I23),ABS(Resultados!R23),ABS(Resultados!AA23),ABS(Resultados!AJ23),ABS(Resultados!AS23),ABS(Resultados!BB23),ABS(Resultados!BK23),ABS(Resultados!BT23),ABS(Resultados!CC23),ABS(Resultados!CL23))/SQRT(COUNT(Resultados!I23,Resultados!R23,Resultados!AA23,Resultados!AJ23,Resultados!AS23,Resultados!BB23,Resultados!BK23,Resultados!BT23,Resultados!CC23,Resultados!CL23)))</f>
        <v>3.4259143142808537E-4</v>
      </c>
    </row>
    <row r="24" spans="1:9" x14ac:dyDescent="0.3">
      <c r="A24">
        <f>IF(COUNT(Resultados!A24,Resultados!J24,Resultados!S24,Resultados!AB24,Resultados!AK24,Resultados!AT24,Resultados!BC24,Resultados!BL24,Resultados!BU24,Resultados!CD24)&lt;=1, "", _xlfn.STDEV.S(ABS(Resultados!A24),ABS(Resultados!J24),ABS(Resultados!S24),ABS(Resultados!AB24),ABS(Resultados!AK24),ABS(Resultados!AT24),ABS(Resultados!BC24),ABS(Resultados!BL24),ABS(Resultados!BU24),ABS(Resultados!CD24))/SQRT(COUNT(Resultados!A24,Resultados!J24,Resultados!S24,Resultados!AB24,Resultados!AK24,Resultados!AT24,Resultados!BC24,Resultados!BL24,Resultados!BU24,Resultados!CD24)))</f>
        <v>0</v>
      </c>
      <c r="B24" t="str">
        <f>IF(COUNT(Resultados!B24,Resultados!K24,Resultados!T24,Resultados!AC24,Resultados!AL24,Resultados!AU24,Resultados!BD24,Resultados!BM24,Resultados!BV24,Resultados!CE24)&lt;=1, "", _xlfn.STDEV.S(ABS(Resultados!B24),ABS(Resultados!K24),ABS(Resultados!T24),ABS(Resultados!AC24),ABS(Resultados!AL24),ABS(Resultados!AU24),ABS(Resultados!BD24),ABS(Resultados!BM24),ABS(Resultados!BV24),ABS(Resultados!CE24))/SQRT(COUNT(Resultados!B24,Resultados!K24,Resultados!T24,Resultados!AC24,Resultados!AL24,Resultados!AU24,Resultados!BD24,Resultados!BM24,Resultados!BV24,Resultados!CE24)))</f>
        <v/>
      </c>
      <c r="C24">
        <f>IF(COUNT(Resultados!C24,Resultados!L24,Resultados!U24,Resultados!AD24,Resultados!AM24,Resultados!AV24,Resultados!BE24,Resultados!BN24,Resultados!BW24,Resultados!CF24)&lt;=1, "", _xlfn.STDEV.S(ABS(Resultados!C24),ABS(Resultados!L24),ABS(Resultados!U24),ABS(Resultados!AD24),ABS(Resultados!AM24),ABS(Resultados!AV24),ABS(Resultados!BE24),ABS(Resultados!BN24),ABS(Resultados!BW24),ABS(Resultados!CF24))/SQRT(COUNT(Resultados!C24,Resultados!L24,Resultados!U24,Resultados!AD24,Resultados!AM24,Resultados!AV24,Resultados!BE24,Resultados!BN24,Resultados!BW24,Resultados!CF24)))</f>
        <v>0.58214163988576595</v>
      </c>
      <c r="D24">
        <f>IF(COUNT(Resultados!D24,Resultados!M24,Resultados!V24,Resultados!AE24,Resultados!AN24,Resultados!AW24,Resultados!BF24,Resultados!BO24,Resultados!BX24,Resultados!CG24)&lt;=1, "", _xlfn.STDEV.S(ABS(Resultados!D24),ABS(Resultados!M24),ABS(Resultados!V24),ABS(Resultados!AE24),ABS(Resultados!AN24),ABS(Resultados!AW24),ABS(Resultados!BF24),ABS(Resultados!BO24),ABS(Resultados!BX24),ABS(Resultados!CG24))/SQRT(COUNT(Resultados!D24,Resultados!M24,Resultados!V24,Resultados!AE24,Resultados!AN24,Resultados!AW24,Resultados!BF24,Resultados!BO24,Resultados!BX24,Resultados!CG24)))</f>
        <v>5.8118652580541961E-5</v>
      </c>
      <c r="E24">
        <f>IF(COUNT(Resultados!E24,Resultados!N24,Resultados!W24,Resultados!AF24,Resultados!AO24,Resultados!AX24,Resultados!BG24,Resultados!BP24,Resultados!BY24,Resultados!CH24)&lt;=1, "", _xlfn.STDEV.S(ABS(Resultados!E24),ABS(Resultados!N24),ABS(Resultados!W24),ABS(Resultados!AF24),ABS(Resultados!AO24),ABS(Resultados!AX24),ABS(Resultados!BG24),ABS(Resultados!BP24),ABS(Resultados!BY24),ABS(Resultados!CH24))/SQRT(COUNT(Resultados!E24,Resultados!N24,Resultados!W24,Resultados!AF24,Resultados!AO24,Resultados!AX24,Resultados!BG24,Resultados!BP24,Resultados!BY24,Resultados!CH24)))</f>
        <v>4.012589131828376E-4</v>
      </c>
      <c r="F24">
        <f>IF(COUNT(Resultados!F24,Resultados!O24,Resultados!X24,Resultados!AG24,Resultados!AP24,Resultados!AY24,Resultados!BH24,Resultados!BQ24,Resultados!BZ24,Resultados!CI24)&lt;=1, "", _xlfn.STDEV.S(ABS(Resultados!F24),ABS(Resultados!O24),ABS(Resultados!X24),ABS(Resultados!AG24),ABS(Resultados!AP24),ABS(Resultados!AY24),ABS(Resultados!BH24),ABS(Resultados!BQ24),ABS(Resultados!BZ24),ABS(Resultados!CI24))/SQRT(COUNT(Resultados!F24,Resultados!O24,Resultados!X24,Resultados!AG24,Resultados!AP24,Resultados!AY24,Resultados!BH24,Resultados!BQ24,Resultados!BZ24,Resultados!CI24)))</f>
        <v>3.7397330708638502E-2</v>
      </c>
      <c r="G24">
        <f>IF(COUNT(Resultados!G24,Resultados!P24,Resultados!Y24,Resultados!AH24,Resultados!AQ24,Resultados!AZ24,Resultados!BI24,Resultados!BR24,Resultados!CA24,Resultados!CJ24)&lt;=1, "", _xlfn.STDEV.S(ABS(Resultados!G24),ABS(Resultados!P24),ABS(Resultados!Y24),ABS(Resultados!AH24),ABS(Resultados!AQ24),ABS(Resultados!AZ24),ABS(Resultados!BI24),ABS(Resultados!BR24),ABS(Resultados!CA24),ABS(Resultados!CJ24))/SQRT(COUNT(Resultados!G24,Resultados!P24,Resultados!Y24,Resultados!AH24,Resultados!AQ24,Resultados!AZ24,Resultados!BI24,Resultados!BR24,Resultados!CA24,Resultados!CJ24)))</f>
        <v>1.8503717077085941E-17</v>
      </c>
      <c r="H24">
        <f>IF(COUNT(Resultados!H24,Resultados!Q24,Resultados!Z24,Resultados!AI24,Resultados!AR24,Resultados!BA24,Resultados!BJ24,Resultados!BS24,Resultados!CB24,Resultados!CK24)&lt;=1, "", _xlfn.STDEV.S(ABS(Resultados!H24),ABS(Resultados!Q24),ABS(Resultados!Z24),ABS(Resultados!AI24),ABS(Resultados!AR24),ABS(Resultados!BA24),ABS(Resultados!BJ24),ABS(Resultados!BS24),ABS(Resultados!CB24),ABS(Resultados!CK24))/SQRT(COUNT(Resultados!H24,Resultados!Q24,Resultados!Z24,Resultados!AI24,Resultados!AR24,Resultados!BA24,Resultados!BJ24,Resultados!BS24,Resultados!CB24,Resultados!CK24)))</f>
        <v>1.6329931618553856E-5</v>
      </c>
      <c r="I24">
        <f>IF(COUNT(Resultados!I24,Resultados!R24,Resultados!AA24,Resultados!AJ24,Resultados!AS24,Resultados!BB24,Resultados!BK24,Resultados!BT24,Resultados!CC24,Resultados!CL24)&lt;=1, "", _xlfn.STDEV.S(ABS(Resultados!I24),ABS(Resultados!R24),ABS(Resultados!AA24),ABS(Resultados!AJ24),ABS(Resultados!AS24),ABS(Resultados!BB24),ABS(Resultados!BK24),ABS(Resultados!BT24),ABS(Resultados!CC24),ABS(Resultados!CL24))/SQRT(COUNT(Resultados!I24,Resultados!R24,Resultados!AA24,Resultados!AJ24,Resultados!AS24,Resultados!BB24,Resultados!BK24,Resultados!BT24,Resultados!CC24,Resultados!CL24)))</f>
        <v>4.4735084416484242E-4</v>
      </c>
    </row>
    <row r="25" spans="1:9" x14ac:dyDescent="0.3">
      <c r="A25">
        <f>IF(COUNT(Resultados!A25,Resultados!J25,Resultados!S25,Resultados!AB25,Resultados!AK25,Resultados!AT25,Resultados!BC25,Resultados!BL25,Resultados!BU25,Resultados!CD25)&lt;=1, "", _xlfn.STDEV.S(ABS(Resultados!A25),ABS(Resultados!J25),ABS(Resultados!S25),ABS(Resultados!AB25),ABS(Resultados!AK25),ABS(Resultados!AT25),ABS(Resultados!BC25),ABS(Resultados!BL25),ABS(Resultados!BU25),ABS(Resultados!CD25))/SQRT(COUNT(Resultados!A25,Resultados!J25,Resultados!S25,Resultados!AB25,Resultados!AK25,Resultados!AT25,Resultados!BC25,Resultados!BL25,Resultados!BU25,Resultados!CD25)))</f>
        <v>0</v>
      </c>
      <c r="B25" t="str">
        <f>IF(COUNT(Resultados!B25,Resultados!K25,Resultados!T25,Resultados!AC25,Resultados!AL25,Resultados!AU25,Resultados!BD25,Resultados!BM25,Resultados!BV25,Resultados!CE25)&lt;=1, "", _xlfn.STDEV.S(ABS(Resultados!B25),ABS(Resultados!K25),ABS(Resultados!T25),ABS(Resultados!AC25),ABS(Resultados!AL25),ABS(Resultados!AU25),ABS(Resultados!BD25),ABS(Resultados!BM25),ABS(Resultados!BV25),ABS(Resultados!CE25))/SQRT(COUNT(Resultados!B25,Resultados!K25,Resultados!T25,Resultados!AC25,Resultados!AL25,Resultados!AU25,Resultados!BD25,Resultados!BM25,Resultados!BV25,Resultados!CE25)))</f>
        <v/>
      </c>
      <c r="C25">
        <f>IF(COUNT(Resultados!C25,Resultados!L25,Resultados!U25,Resultados!AD25,Resultados!AM25,Resultados!AV25,Resultados!BE25,Resultados!BN25,Resultados!BW25,Resultados!CF25)&lt;=1, "", _xlfn.STDEV.S(ABS(Resultados!C25),ABS(Resultados!L25),ABS(Resultados!U25),ABS(Resultados!AD25),ABS(Resultados!AM25),ABS(Resultados!AV25),ABS(Resultados!BE25),ABS(Resultados!BN25),ABS(Resultados!BW25),ABS(Resultados!CF25))/SQRT(COUNT(Resultados!C25,Resultados!L25,Resultados!U25,Resultados!AD25,Resultados!AM25,Resultados!AV25,Resultados!BE25,Resultados!BN25,Resultados!BW25,Resultados!CF25)))</f>
        <v>0.58214163988576595</v>
      </c>
      <c r="D25">
        <f>IF(COUNT(Resultados!D25,Resultados!M25,Resultados!V25,Resultados!AE25,Resultados!AN25,Resultados!AW25,Resultados!BF25,Resultados!BO25,Resultados!BX25,Resultados!CG25)&lt;=1, "", _xlfn.STDEV.S(ABS(Resultados!D25),ABS(Resultados!M25),ABS(Resultados!V25),ABS(Resultados!AE25),ABS(Resultados!AN25),ABS(Resultados!AW25),ABS(Resultados!BF25),ABS(Resultados!BO25),ABS(Resultados!BX25),ABS(Resultados!CG25))/SQRT(COUNT(Resultados!D25,Resultados!M25,Resultados!V25,Resultados!AE25,Resultados!AN25,Resultados!AW25,Resultados!BF25,Resultados!BO25,Resultados!BX25,Resultados!CG25)))</f>
        <v>1.0022197585582004E-4</v>
      </c>
      <c r="E25">
        <f>IF(COUNT(Resultados!E25,Resultados!N25,Resultados!W25,Resultados!AF25,Resultados!AO25,Resultados!AX25,Resultados!BG25,Resultados!BP25,Resultados!BY25,Resultados!CH25)&lt;=1, "", _xlfn.STDEV.S(ABS(Resultados!E25),ABS(Resultados!N25),ABS(Resultados!W25),ABS(Resultados!AF25),ABS(Resultados!AO25),ABS(Resultados!AX25),ABS(Resultados!BG25),ABS(Resultados!BP25),ABS(Resultados!BY25),ABS(Resultados!CH25))/SQRT(COUNT(Resultados!E25,Resultados!N25,Resultados!W25,Resultados!AF25,Resultados!AO25,Resultados!AX25,Resultados!BG25,Resultados!BP25,Resultados!BY25,Resultados!CH25)))</f>
        <v>4.3756340783489354E-4</v>
      </c>
      <c r="F25">
        <f>IF(COUNT(Resultados!F25,Resultados!O25,Resultados!X25,Resultados!AG25,Resultados!AP25,Resultados!AY25,Resultados!BH25,Resultados!BQ25,Resultados!BZ25,Resultados!CI25)&lt;=1, "", _xlfn.STDEV.S(ABS(Resultados!F25),ABS(Resultados!O25),ABS(Resultados!X25),ABS(Resultados!AG25),ABS(Resultados!AP25),ABS(Resultados!AY25),ABS(Resultados!BH25),ABS(Resultados!BQ25),ABS(Resultados!BZ25),ABS(Resultados!CI25))/SQRT(COUNT(Resultados!F25,Resultados!O25,Resultados!X25,Resultados!AG25,Resultados!AP25,Resultados!AY25,Resultados!BH25,Resultados!BQ25,Resultados!BZ25,Resultados!CI25)))</f>
        <v>4.078090961021729E-2</v>
      </c>
      <c r="G25">
        <f>IF(COUNT(Resultados!G25,Resultados!P25,Resultados!Y25,Resultados!AH25,Resultados!AQ25,Resultados!AZ25,Resultados!BI25,Resultados!BR25,Resultados!CA25,Resultados!CJ25)&lt;=1, "", _xlfn.STDEV.S(ABS(Resultados!G25),ABS(Resultados!P25),ABS(Resultados!Y25),ABS(Resultados!AH25),ABS(Resultados!AQ25),ABS(Resultados!AZ25),ABS(Resultados!BI25),ABS(Resultados!BR25),ABS(Resultados!CA25),ABS(Resultados!CJ25))/SQRT(COUNT(Resultados!G25,Resultados!P25,Resultados!Y25,Resultados!AH25,Resultados!AQ25,Resultados!AZ25,Resultados!BI25,Resultados!BR25,Resultados!CA25,Resultados!CJ25)))</f>
        <v>1.8503717077085941E-17</v>
      </c>
      <c r="H25">
        <f>IF(COUNT(Resultados!H25,Resultados!Q25,Resultados!Z25,Resultados!AI25,Resultados!AR25,Resultados!BA25,Resultados!BJ25,Resultados!BS25,Resultados!CB25,Resultados!CK25)&lt;=1, "", _xlfn.STDEV.S(ABS(Resultados!H25),ABS(Resultados!Q25),ABS(Resultados!Z25),ABS(Resultados!AI25),ABS(Resultados!AR25),ABS(Resultados!BA25),ABS(Resultados!BJ25),ABS(Resultados!BS25),ABS(Resultados!CB25),ABS(Resultados!CK25))/SQRT(COUNT(Resultados!H25,Resultados!Q25,Resultados!Z25,Resultados!AI25,Resultados!AR25,Resultados!BA25,Resultados!BJ25,Resultados!BS25,Resultados!CB25,Resultados!CK25)))</f>
        <v>1.5275252316519903E-5</v>
      </c>
      <c r="I25">
        <f>IF(COUNT(Resultados!I25,Resultados!R25,Resultados!AA25,Resultados!AJ25,Resultados!AS25,Resultados!BB25,Resultados!BK25,Resultados!BT25,Resultados!CC25,Resultados!CL25)&lt;=1, "", _xlfn.STDEV.S(ABS(Resultados!I25),ABS(Resultados!R25),ABS(Resultados!AA25),ABS(Resultados!AJ25),ABS(Resultados!AS25),ABS(Resultados!BB25),ABS(Resultados!BK25),ABS(Resultados!BT25),ABS(Resultados!CC25),ABS(Resultados!CL25))/SQRT(COUNT(Resultados!I25,Resultados!R25,Resultados!AA25,Resultados!AJ25,Resultados!AS25,Resultados!BB25,Resultados!BK25,Resultados!BT25,Resultados!CC25,Resultados!CL25)))</f>
        <v>3.9016805495803691E-4</v>
      </c>
    </row>
    <row r="26" spans="1:9" x14ac:dyDescent="0.3">
      <c r="A26">
        <f>IF(COUNT(Resultados!A26,Resultados!J26,Resultados!S26,Resultados!AB26,Resultados!AK26,Resultados!AT26,Resultados!BC26,Resultados!BL26,Resultados!BU26,Resultados!CD26)&lt;=1, "", _xlfn.STDEV.S(ABS(Resultados!A26),ABS(Resultados!J26),ABS(Resultados!S26),ABS(Resultados!AB26),ABS(Resultados!AK26),ABS(Resultados!AT26),ABS(Resultados!BC26),ABS(Resultados!BL26),ABS(Resultados!BU26),ABS(Resultados!CD26))/SQRT(COUNT(Resultados!A26,Resultados!J26,Resultados!S26,Resultados!AB26,Resultados!AK26,Resultados!AT26,Resultados!BC26,Resultados!BL26,Resultados!BU26,Resultados!CD26)))</f>
        <v>0</v>
      </c>
      <c r="B26" t="str">
        <f>IF(COUNT(Resultados!B26,Resultados!K26,Resultados!T26,Resultados!AC26,Resultados!AL26,Resultados!AU26,Resultados!BD26,Resultados!BM26,Resultados!BV26,Resultados!CE26)&lt;=1, "", _xlfn.STDEV.S(ABS(Resultados!B26),ABS(Resultados!K26),ABS(Resultados!T26),ABS(Resultados!AC26),ABS(Resultados!AL26),ABS(Resultados!AU26),ABS(Resultados!BD26),ABS(Resultados!BM26),ABS(Resultados!BV26),ABS(Resultados!CE26))/SQRT(COUNT(Resultados!B26,Resultados!K26,Resultados!T26,Resultados!AC26,Resultados!AL26,Resultados!AU26,Resultados!BD26,Resultados!BM26,Resultados!BV26,Resultados!CE26)))</f>
        <v/>
      </c>
      <c r="C26">
        <f>IF(COUNT(Resultados!C26,Resultados!L26,Resultados!U26,Resultados!AD26,Resultados!AM26,Resultados!AV26,Resultados!BE26,Resultados!BN26,Resultados!BW26,Resultados!CF26)&lt;=1, "", _xlfn.STDEV.S(ABS(Resultados!C26),ABS(Resultados!L26),ABS(Resultados!U26),ABS(Resultados!AD26),ABS(Resultados!AM26),ABS(Resultados!AV26),ABS(Resultados!BE26),ABS(Resultados!BN26),ABS(Resultados!BW26),ABS(Resultados!CF26))/SQRT(COUNT(Resultados!C26,Resultados!L26,Resultados!U26,Resultados!AD26,Resultados!AM26,Resultados!AV26,Resultados!BE26,Resultados!BN26,Resultados!BW26,Resultados!CF26)))</f>
        <v>0.58214163988576595</v>
      </c>
      <c r="D26">
        <f>IF(COUNT(Resultados!D26,Resultados!M26,Resultados!V26,Resultados!AE26,Resultados!AN26,Resultados!AW26,Resultados!BF26,Resultados!BO26,Resultados!BX26,Resultados!CG26)&lt;=1, "", _xlfn.STDEV.S(ABS(Resultados!D26),ABS(Resultados!M26),ABS(Resultados!V26),ABS(Resultados!AE26),ABS(Resultados!AN26),ABS(Resultados!AW26),ABS(Resultados!BF26),ABS(Resultados!BO26),ABS(Resultados!BX26),ABS(Resultados!CG26))/SQRT(COUNT(Resultados!D26,Resultados!M26,Resultados!V26,Resultados!AE26,Resultados!AN26,Resultados!AW26,Resultados!BF26,Resultados!BO26,Resultados!BX26,Resultados!CG26)))</f>
        <v>9.0737717258774925E-5</v>
      </c>
      <c r="E26">
        <f>IF(COUNT(Resultados!E26,Resultados!N26,Resultados!W26,Resultados!AF26,Resultados!AO26,Resultados!AX26,Resultados!BG26,Resultados!BP26,Resultados!BY26,Resultados!CH26)&lt;=1, "", _xlfn.STDEV.S(ABS(Resultados!E26),ABS(Resultados!N26),ABS(Resultados!W26),ABS(Resultados!AF26),ABS(Resultados!AO26),ABS(Resultados!AX26),ABS(Resultados!BG26),ABS(Resultados!BP26),ABS(Resultados!BY26),ABS(Resultados!CH26))/SQRT(COUNT(Resultados!E26,Resultados!N26,Resultados!W26,Resultados!AF26,Resultados!AO26,Resultados!AX26,Resultados!BG26,Resultados!BP26,Resultados!BY26,Resultados!CH26)))</f>
        <v>6.1847702216425652E-4</v>
      </c>
      <c r="F26">
        <f>IF(COUNT(Resultados!F26,Resultados!O26,Resultados!X26,Resultados!AG26,Resultados!AP26,Resultados!AY26,Resultados!BH26,Resultados!BQ26,Resultados!BZ26,Resultados!CI26)&lt;=1, "", _xlfn.STDEV.S(ABS(Resultados!F26),ABS(Resultados!O26),ABS(Resultados!X26),ABS(Resultados!AG26),ABS(Resultados!AP26),ABS(Resultados!AY26),ABS(Resultados!BH26),ABS(Resultados!BQ26),ABS(Resultados!BZ26),ABS(Resultados!CI26))/SQRT(COUNT(Resultados!F26,Resultados!O26,Resultados!X26,Resultados!AG26,Resultados!AP26,Resultados!AY26,Resultados!BH26,Resultados!BQ26,Resultados!BZ26,Resultados!CI26)))</f>
        <v>5.7642058465711438E-2</v>
      </c>
      <c r="G26">
        <f>IF(COUNT(Resultados!G26,Resultados!P26,Resultados!Y26,Resultados!AH26,Resultados!AQ26,Resultados!AZ26,Resultados!BI26,Resultados!BR26,Resultados!CA26,Resultados!CJ26)&lt;=1, "", _xlfn.STDEV.S(ABS(Resultados!G26),ABS(Resultados!P26),ABS(Resultados!Y26),ABS(Resultados!AH26),ABS(Resultados!AQ26),ABS(Resultados!AZ26),ABS(Resultados!BI26),ABS(Resultados!BR26),ABS(Resultados!CA26),ABS(Resultados!CJ26))/SQRT(COUNT(Resultados!G26,Resultados!P26,Resultados!Y26,Resultados!AH26,Resultados!AQ26,Resultados!AZ26,Resultados!BI26,Resultados!BR26,Resultados!CA26,Resultados!CJ26)))</f>
        <v>1.8503717077085941E-17</v>
      </c>
      <c r="H26">
        <f>IF(COUNT(Resultados!H26,Resultados!Q26,Resultados!Z26,Resultados!AI26,Resultados!AR26,Resultados!BA26,Resultados!BJ26,Resultados!BS26,Resultados!CB26,Resultados!CK26)&lt;=1, "", _xlfn.STDEV.S(ABS(Resultados!H26),ABS(Resultados!Q26),ABS(Resultados!Z26),ABS(Resultados!AI26),ABS(Resultados!AR26),ABS(Resultados!BA26),ABS(Resultados!BJ26),ABS(Resultados!BS26),ABS(Resultados!CB26),ABS(Resultados!CK26))/SQRT(COUNT(Resultados!H26,Resultados!Q26,Resultados!Z26,Resultados!AI26,Resultados!AR26,Resultados!BA26,Resultados!BJ26,Resultados!BS26,Resultados!CB26,Resultados!CK26)))</f>
        <v>1.5275252316519903E-5</v>
      </c>
      <c r="I26">
        <f>IF(COUNT(Resultados!I26,Resultados!R26,Resultados!AA26,Resultados!AJ26,Resultados!AS26,Resultados!BB26,Resultados!BK26,Resultados!BT26,Resultados!CC26,Resultados!CL26)&lt;=1, "", _xlfn.STDEV.S(ABS(Resultados!I26),ABS(Resultados!R26),ABS(Resultados!AA26),ABS(Resultados!AJ26),ABS(Resultados!AS26),ABS(Resultados!BB26),ABS(Resultados!BK26),ABS(Resultados!BT26),ABS(Resultados!CC26),ABS(Resultados!CL26))/SQRT(COUNT(Resultados!I26,Resultados!R26,Resultados!AA26,Resultados!AJ26,Resultados!AS26,Resultados!BB26,Resultados!BK26,Resultados!BT26,Resultados!CC26,Resultados!CL26)))</f>
        <v>3.0487811771983178E-4</v>
      </c>
    </row>
    <row r="27" spans="1:9" x14ac:dyDescent="0.3">
      <c r="A27">
        <f>IF(COUNT(Resultados!A27,Resultados!J27,Resultados!S27,Resultados!AB27,Resultados!AK27,Resultados!AT27,Resultados!BC27,Resultados!BL27,Resultados!BU27,Resultados!CD27)&lt;=1, "", _xlfn.STDEV.S(ABS(Resultados!A27),ABS(Resultados!J27),ABS(Resultados!S27),ABS(Resultados!AB27),ABS(Resultados!AK27),ABS(Resultados!AT27),ABS(Resultados!BC27),ABS(Resultados!BL27),ABS(Resultados!BU27),ABS(Resultados!CD27))/SQRT(COUNT(Resultados!A27,Resultados!J27,Resultados!S27,Resultados!AB27,Resultados!AK27,Resultados!AT27,Resultados!BC27,Resultados!BL27,Resultados!BU27,Resultados!CD27)))</f>
        <v>0</v>
      </c>
      <c r="B27" t="str">
        <f>IF(COUNT(Resultados!B27,Resultados!K27,Resultados!T27,Resultados!AC27,Resultados!AL27,Resultados!AU27,Resultados!BD27,Resultados!BM27,Resultados!BV27,Resultados!CE27)&lt;=1, "", _xlfn.STDEV.S(ABS(Resultados!B27),ABS(Resultados!K27),ABS(Resultados!T27),ABS(Resultados!AC27),ABS(Resultados!AL27),ABS(Resultados!AU27),ABS(Resultados!BD27),ABS(Resultados!BM27),ABS(Resultados!BV27),ABS(Resultados!CE27))/SQRT(COUNT(Resultados!B27,Resultados!K27,Resultados!T27,Resultados!AC27,Resultados!AL27,Resultados!AU27,Resultados!BD27,Resultados!BM27,Resultados!BV27,Resultados!CE27)))</f>
        <v/>
      </c>
      <c r="C27">
        <f>IF(COUNT(Resultados!C27,Resultados!L27,Resultados!U27,Resultados!AD27,Resultados!AM27,Resultados!AV27,Resultados!BE27,Resultados!BN27,Resultados!BW27,Resultados!CF27)&lt;=1, "", _xlfn.STDEV.S(ABS(Resultados!C27),ABS(Resultados!L27),ABS(Resultados!U27),ABS(Resultados!AD27),ABS(Resultados!AM27),ABS(Resultados!AV27),ABS(Resultados!BE27),ABS(Resultados!BN27),ABS(Resultados!BW27),ABS(Resultados!CF27))/SQRT(COUNT(Resultados!C27,Resultados!L27,Resultados!U27,Resultados!AD27,Resultados!AM27,Resultados!AV27,Resultados!BE27,Resultados!BN27,Resultados!BW27,Resultados!CF27)))</f>
        <v>0.58214163988576595</v>
      </c>
      <c r="D27">
        <f>IF(COUNT(Resultados!D27,Resultados!M27,Resultados!V27,Resultados!AE27,Resultados!AN27,Resultados!AW27,Resultados!BF27,Resultados!BO27,Resultados!BX27,Resultados!CG27)&lt;=1, "", _xlfn.STDEV.S(ABS(Resultados!D27),ABS(Resultados!M27),ABS(Resultados!V27),ABS(Resultados!AE27),ABS(Resultados!AN27),ABS(Resultados!AW27),ABS(Resultados!BF27),ABS(Resultados!BO27),ABS(Resultados!BX27),ABS(Resultados!CG27))/SQRT(COUNT(Resultados!D27,Resultados!M27,Resultados!V27,Resultados!AE27,Resultados!AN27,Resultados!AW27,Resultados!BF27,Resultados!BO27,Resultados!BX27,Resultados!CG27)))</f>
        <v>1.2036980056845208E-4</v>
      </c>
      <c r="E27">
        <f>IF(COUNT(Resultados!E27,Resultados!N27,Resultados!W27,Resultados!AF27,Resultados!AO27,Resultados!AX27,Resultados!BG27,Resultados!BP27,Resultados!BY27,Resultados!CH27)&lt;=1, "", _xlfn.STDEV.S(ABS(Resultados!E27),ABS(Resultados!N27),ABS(Resultados!W27),ABS(Resultados!AF27),ABS(Resultados!AO27),ABS(Resultados!AX27),ABS(Resultados!BG27),ABS(Resultados!BP27),ABS(Resultados!BY27),ABS(Resultados!CH27))/SQRT(COUNT(Resultados!E27,Resultados!N27,Resultados!W27,Resultados!AF27,Resultados!AO27,Resultados!AX27,Resultados!BG27,Resultados!BP27,Resultados!BY27,Resultados!CH27)))</f>
        <v>6.7826906548179241E-4</v>
      </c>
      <c r="F27">
        <f>IF(COUNT(Resultados!F27,Resultados!O27,Resultados!X27,Resultados!AG27,Resultados!AP27,Resultados!AY27,Resultados!BH27,Resultados!BQ27,Resultados!BZ27,Resultados!CI27)&lt;=1, "", _xlfn.STDEV.S(ABS(Resultados!F27),ABS(Resultados!O27),ABS(Resultados!X27),ABS(Resultados!AG27),ABS(Resultados!AP27),ABS(Resultados!AY27),ABS(Resultados!BH27),ABS(Resultados!BQ27),ABS(Resultados!BZ27),ABS(Resultados!CI27))/SQRT(COUNT(Resultados!F27,Resultados!O27,Resultados!X27,Resultados!AG27,Resultados!AP27,Resultados!AY27,Resultados!BH27,Resultados!BQ27,Resultados!BZ27,Resultados!CI27)))</f>
        <v>6.3214676902903708E-2</v>
      </c>
      <c r="G27">
        <f>IF(COUNT(Resultados!G27,Resultados!P27,Resultados!Y27,Resultados!AH27,Resultados!AQ27,Resultados!AZ27,Resultados!BI27,Resultados!BR27,Resultados!CA27,Resultados!CJ27)&lt;=1, "", _xlfn.STDEV.S(ABS(Resultados!G27),ABS(Resultados!P27),ABS(Resultados!Y27),ABS(Resultados!AH27),ABS(Resultados!AQ27),ABS(Resultados!AZ27),ABS(Resultados!BI27),ABS(Resultados!BR27),ABS(Resultados!CA27),ABS(Resultados!CJ27))/SQRT(COUNT(Resultados!G27,Resultados!P27,Resultados!Y27,Resultados!AH27,Resultados!AQ27,Resultados!AZ27,Resultados!BI27,Resultados!BR27,Resultados!CA27,Resultados!CJ27)))</f>
        <v>1.8503717077085941E-17</v>
      </c>
      <c r="H27">
        <f>IF(COUNT(Resultados!H27,Resultados!Q27,Resultados!Z27,Resultados!AI27,Resultados!AR27,Resultados!BA27,Resultados!BJ27,Resultados!BS27,Resultados!CB27,Resultados!CK27)&lt;=1, "", _xlfn.STDEV.S(ABS(Resultados!H27),ABS(Resultados!Q27),ABS(Resultados!Z27),ABS(Resultados!AI27),ABS(Resultados!AR27),ABS(Resultados!BA27),ABS(Resultados!BJ27),ABS(Resultados!BS27),ABS(Resultados!CB27),ABS(Resultados!CK27))/SQRT(COUNT(Resultados!H27,Resultados!Q27,Resultados!Z27,Resultados!AI27,Resultados!AR27,Resultados!BA27,Resultados!BJ27,Resultados!BS27,Resultados!CB27,Resultados!CK27)))</f>
        <v>1.3333333333333714E-5</v>
      </c>
      <c r="I27">
        <f>IF(COUNT(Resultados!I27,Resultados!R27,Resultados!AA27,Resultados!AJ27,Resultados!AS27,Resultados!BB27,Resultados!BK27,Resultados!BT27,Resultados!CC27,Resultados!CL27)&lt;=1, "", _xlfn.STDEV.S(ABS(Resultados!I27),ABS(Resultados!R27),ABS(Resultados!AA27),ABS(Resultados!AJ27),ABS(Resultados!AS27),ABS(Resultados!BB27),ABS(Resultados!BK27),ABS(Resultados!BT27),ABS(Resultados!CC27),ABS(Resultados!CL27))/SQRT(COUNT(Resultados!I27,Resultados!R27,Resultados!AA27,Resultados!AJ27,Resultados!AS27,Resultados!BB27,Resultados!BK27,Resultados!BT27,Resultados!CC27,Resultados!CL27)))</f>
        <v>3.8278279306404046E-4</v>
      </c>
    </row>
    <row r="28" spans="1:9" x14ac:dyDescent="0.3">
      <c r="A28">
        <f>IF(COUNT(Resultados!A28,Resultados!J28,Resultados!S28,Resultados!AB28,Resultados!AK28,Resultados!AT28,Resultados!BC28,Resultados!BL28,Resultados!BU28,Resultados!CD28)&lt;=1, "", _xlfn.STDEV.S(ABS(Resultados!A28),ABS(Resultados!J28),ABS(Resultados!S28),ABS(Resultados!AB28),ABS(Resultados!AK28),ABS(Resultados!AT28),ABS(Resultados!BC28),ABS(Resultados!BL28),ABS(Resultados!BU28),ABS(Resultados!CD28))/SQRT(COUNT(Resultados!A28,Resultados!J28,Resultados!S28,Resultados!AB28,Resultados!AK28,Resultados!AT28,Resultados!BC28,Resultados!BL28,Resultados!BU28,Resultados!CD28)))</f>
        <v>0</v>
      </c>
      <c r="B28" t="str">
        <f>IF(COUNT(Resultados!B28,Resultados!K28,Resultados!T28,Resultados!AC28,Resultados!AL28,Resultados!AU28,Resultados!BD28,Resultados!BM28,Resultados!BV28,Resultados!CE28)&lt;=1, "", _xlfn.STDEV.S(ABS(Resultados!B28),ABS(Resultados!K28),ABS(Resultados!T28),ABS(Resultados!AC28),ABS(Resultados!AL28),ABS(Resultados!AU28),ABS(Resultados!BD28),ABS(Resultados!BM28),ABS(Resultados!BV28),ABS(Resultados!CE28))/SQRT(COUNT(Resultados!B28,Resultados!K28,Resultados!T28,Resultados!AC28,Resultados!AL28,Resultados!AU28,Resultados!BD28,Resultados!BM28,Resultados!BV28,Resultados!CE28)))</f>
        <v/>
      </c>
      <c r="C28">
        <f>IF(COUNT(Resultados!C28,Resultados!L28,Resultados!U28,Resultados!AD28,Resultados!AM28,Resultados!AV28,Resultados!BE28,Resultados!BN28,Resultados!BW28,Resultados!CF28)&lt;=1, "", _xlfn.STDEV.S(ABS(Resultados!C28),ABS(Resultados!L28),ABS(Resultados!U28),ABS(Resultados!AD28),ABS(Resultados!AM28),ABS(Resultados!AV28),ABS(Resultados!BE28),ABS(Resultados!BN28),ABS(Resultados!BW28),ABS(Resultados!CF28))/SQRT(COUNT(Resultados!C28,Resultados!L28,Resultados!U28,Resultados!AD28,Resultados!AM28,Resultados!AV28,Resultados!BE28,Resultados!BN28,Resultados!BW28,Resultados!CF28)))</f>
        <v>0.58214163988576595</v>
      </c>
      <c r="D28">
        <f>IF(COUNT(Resultados!D28,Resultados!M28,Resultados!V28,Resultados!AE28,Resultados!AN28,Resultados!AW28,Resultados!BF28,Resultados!BO28,Resultados!BX28,Resultados!CG28)&lt;=1, "", _xlfn.STDEV.S(ABS(Resultados!D28),ABS(Resultados!M28),ABS(Resultados!V28),ABS(Resultados!AE28),ABS(Resultados!AN28),ABS(Resultados!AW28),ABS(Resultados!BF28),ABS(Resultados!BO28),ABS(Resultados!BX28),ABS(Resultados!CG28))/SQRT(COUNT(Resultados!D28,Resultados!M28,Resultados!V28,Resultados!AE28,Resultados!AN28,Resultados!AW28,Resultados!BF28,Resultados!BO28,Resultados!BX28,Resultados!CG28)))</f>
        <v>1.4302291968616631E-4</v>
      </c>
      <c r="E28">
        <f>IF(COUNT(Resultados!E28,Resultados!N28,Resultados!W28,Resultados!AF28,Resultados!AO28,Resultados!AX28,Resultados!BG28,Resultados!BP28,Resultados!BY28,Resultados!CH28)&lt;=1, "", _xlfn.STDEV.S(ABS(Resultados!E28),ABS(Resultados!N28),ABS(Resultados!W28),ABS(Resultados!AF28),ABS(Resultados!AO28),ABS(Resultados!AX28),ABS(Resultados!BG28),ABS(Resultados!BP28),ABS(Resultados!BY28),ABS(Resultados!CH28))/SQRT(COUNT(Resultados!E28,Resultados!N28,Resultados!W28,Resultados!AF28,Resultados!AO28,Resultados!AX28,Resultados!BG28,Resultados!BP28,Resultados!BY28,Resultados!CH28)))</f>
        <v>9.1846638488178014E-4</v>
      </c>
      <c r="F28">
        <f>IF(COUNT(Resultados!F28,Resultados!O28,Resultados!X28,Resultados!AG28,Resultados!AP28,Resultados!AY28,Resultados!BH28,Resultados!BQ28,Resultados!BZ28,Resultados!CI28)&lt;=1, "", _xlfn.STDEV.S(ABS(Resultados!F28),ABS(Resultados!O28),ABS(Resultados!X28),ABS(Resultados!AG28),ABS(Resultados!AP28),ABS(Resultados!AY28),ABS(Resultados!BH28),ABS(Resultados!BQ28),ABS(Resultados!BZ28),ABS(Resultados!CI28))/SQRT(COUNT(Resultados!F28,Resultados!O28,Resultados!X28,Resultados!AG28,Resultados!AP28,Resultados!AY28,Resultados!BH28,Resultados!BQ28,Resultados!BZ28,Resultados!CI28)))</f>
        <v>8.5601067070973189E-2</v>
      </c>
      <c r="G28">
        <f>IF(COUNT(Resultados!G28,Resultados!P28,Resultados!Y28,Resultados!AH28,Resultados!AQ28,Resultados!AZ28,Resultados!BI28,Resultados!BR28,Resultados!CA28,Resultados!CJ28)&lt;=1, "", _xlfn.STDEV.S(ABS(Resultados!G28),ABS(Resultados!P28),ABS(Resultados!Y28),ABS(Resultados!AH28),ABS(Resultados!AQ28),ABS(Resultados!AZ28),ABS(Resultados!BI28),ABS(Resultados!BR28),ABS(Resultados!CA28),ABS(Resultados!CJ28))/SQRT(COUNT(Resultados!G28,Resultados!P28,Resultados!Y28,Resultados!AH28,Resultados!AQ28,Resultados!AZ28,Resultados!BI28,Resultados!BR28,Resultados!CA28,Resultados!CJ28)))</f>
        <v>1.8503717077085941E-17</v>
      </c>
      <c r="H28">
        <f>IF(COUNT(Resultados!H28,Resultados!Q28,Resultados!Z28,Resultados!AI28,Resultados!AR28,Resultados!BA28,Resultados!BJ28,Resultados!BS28,Resultados!CB28,Resultados!CK28)&lt;=1, "", _xlfn.STDEV.S(ABS(Resultados!H28),ABS(Resultados!Q28),ABS(Resultados!Z28),ABS(Resultados!AI28),ABS(Resultados!AR28),ABS(Resultados!BA28),ABS(Resultados!BJ28),ABS(Resultados!BS28),ABS(Resultados!CB28),ABS(Resultados!CK28))/SQRT(COUNT(Resultados!H28,Resultados!Q28,Resultados!Z28,Resultados!AI28,Resultados!AR28,Resultados!BA28,Resultados!BJ28,Resultados!BS28,Resultados!CB28,Resultados!CK28)))</f>
        <v>1.4907119849998508E-5</v>
      </c>
      <c r="I28">
        <f>IF(COUNT(Resultados!I28,Resultados!R28,Resultados!AA28,Resultados!AJ28,Resultados!AS28,Resultados!BB28,Resultados!BK28,Resultados!BT28,Resultados!CC28,Resultados!CL28)&lt;=1, "", _xlfn.STDEV.S(ABS(Resultados!I28),ABS(Resultados!R28),ABS(Resultados!AA28),ABS(Resultados!AJ28),ABS(Resultados!AS28),ABS(Resultados!BB28),ABS(Resultados!BK28),ABS(Resultados!BT28),ABS(Resultados!CC28),ABS(Resultados!CL28))/SQRT(COUNT(Resultados!I28,Resultados!R28,Resultados!AA28,Resultados!AJ28,Resultados!AS28,Resultados!BB28,Resultados!BK28,Resultados!BT28,Resultados!CC28,Resultados!CL28)))</f>
        <v>4.1065814385052508E-4</v>
      </c>
    </row>
    <row r="29" spans="1:9" x14ac:dyDescent="0.3">
      <c r="A29">
        <f>IF(COUNT(Resultados!A29,Resultados!J29,Resultados!S29,Resultados!AB29,Resultados!AK29,Resultados!AT29,Resultados!BC29,Resultados!BL29,Resultados!BU29,Resultados!CD29)&lt;=1, "", _xlfn.STDEV.S(ABS(Resultados!A29),ABS(Resultados!J29),ABS(Resultados!S29),ABS(Resultados!AB29),ABS(Resultados!AK29),ABS(Resultados!AT29),ABS(Resultados!BC29),ABS(Resultados!BL29),ABS(Resultados!BU29),ABS(Resultados!CD29))/SQRT(COUNT(Resultados!A29,Resultados!J29,Resultados!S29,Resultados!AB29,Resultados!AK29,Resultados!AT29,Resultados!BC29,Resultados!BL29,Resultados!BU29,Resultados!CD29)))</f>
        <v>0</v>
      </c>
      <c r="B29" t="str">
        <f>IF(COUNT(Resultados!B29,Resultados!K29,Resultados!T29,Resultados!AC29,Resultados!AL29,Resultados!AU29,Resultados!BD29,Resultados!BM29,Resultados!BV29,Resultados!CE29)&lt;=1, "", _xlfn.STDEV.S(ABS(Resultados!B29),ABS(Resultados!K29),ABS(Resultados!T29),ABS(Resultados!AC29),ABS(Resultados!AL29),ABS(Resultados!AU29),ABS(Resultados!BD29),ABS(Resultados!BM29),ABS(Resultados!BV29),ABS(Resultados!CE29))/SQRT(COUNT(Resultados!B29,Resultados!K29,Resultados!T29,Resultados!AC29,Resultados!AL29,Resultados!AU29,Resultados!BD29,Resultados!BM29,Resultados!BV29,Resultados!CE29)))</f>
        <v/>
      </c>
      <c r="C29">
        <f>IF(COUNT(Resultados!C29,Resultados!L29,Resultados!U29,Resultados!AD29,Resultados!AM29,Resultados!AV29,Resultados!BE29,Resultados!BN29,Resultados!BW29,Resultados!CF29)&lt;=1, "", _xlfn.STDEV.S(ABS(Resultados!C29),ABS(Resultados!L29),ABS(Resultados!U29),ABS(Resultados!AD29),ABS(Resultados!AM29),ABS(Resultados!AV29),ABS(Resultados!BE29),ABS(Resultados!BN29),ABS(Resultados!BW29),ABS(Resultados!CF29))/SQRT(COUNT(Resultados!C29,Resultados!L29,Resultados!U29,Resultados!AD29,Resultados!AM29,Resultados!AV29,Resultados!BE29,Resultados!BN29,Resultados!BW29,Resultados!CF29)))</f>
        <v>0.58214163988576595</v>
      </c>
      <c r="D29">
        <f>IF(COUNT(Resultados!D29,Resultados!M29,Resultados!V29,Resultados!AE29,Resultados!AN29,Resultados!AW29,Resultados!BF29,Resultados!BO29,Resultados!BX29,Resultados!CG29)&lt;=1, "", _xlfn.STDEV.S(ABS(Resultados!D29),ABS(Resultados!M29),ABS(Resultados!V29),ABS(Resultados!AE29),ABS(Resultados!AN29),ABS(Resultados!AW29),ABS(Resultados!BF29),ABS(Resultados!BO29),ABS(Resultados!BX29),ABS(Resultados!CG29))/SQRT(COUNT(Resultados!D29,Resultados!M29,Resultados!V29,Resultados!AE29,Resultados!AN29,Resultados!AW29,Resultados!BF29,Resultados!BO29,Resultados!BX29,Resultados!CG29)))</f>
        <v>9.7979589711327071E-5</v>
      </c>
      <c r="E29">
        <f>IF(COUNT(Resultados!E29,Resultados!N29,Resultados!W29,Resultados!AF29,Resultados!AO29,Resultados!AX29,Resultados!BG29,Resultados!BP29,Resultados!BY29,Resultados!CH29)&lt;=1, "", _xlfn.STDEV.S(ABS(Resultados!E29),ABS(Resultados!N29),ABS(Resultados!W29),ABS(Resultados!AF29),ABS(Resultados!AO29),ABS(Resultados!AX29),ABS(Resultados!BG29),ABS(Resultados!BP29),ABS(Resultados!BY29),ABS(Resultados!CH29))/SQRT(COUNT(Resultados!E29,Resultados!N29,Resultados!W29,Resultados!AF29,Resultados!AO29,Resultados!AX29,Resultados!BG29,Resultados!BP29,Resultados!BY29,Resultados!CH29)))</f>
        <v>8.8118764578926567E-4</v>
      </c>
      <c r="F29">
        <f>IF(COUNT(Resultados!F29,Resultados!O29,Resultados!X29,Resultados!AG29,Resultados!AP29,Resultados!AY29,Resultados!BH29,Resultados!BQ29,Resultados!BZ29,Resultados!CI29)&lt;=1, "", _xlfn.STDEV.S(ABS(Resultados!F29),ABS(Resultados!O29),ABS(Resultados!X29),ABS(Resultados!AG29),ABS(Resultados!AP29),ABS(Resultados!AY29),ABS(Resultados!BH29),ABS(Resultados!BQ29),ABS(Resultados!BZ29),ABS(Resultados!CI29))/SQRT(COUNT(Resultados!F29,Resultados!O29,Resultados!X29,Resultados!AG29,Resultados!AP29,Resultados!AY29,Resultados!BH29,Resultados!BQ29,Resultados!BZ29,Resultados!CI29)))</f>
        <v>8.2126688587561406E-2</v>
      </c>
      <c r="G29">
        <f>IF(COUNT(Resultados!G29,Resultados!P29,Resultados!Y29,Resultados!AH29,Resultados!AQ29,Resultados!AZ29,Resultados!BI29,Resultados!BR29,Resultados!CA29,Resultados!CJ29)&lt;=1, "", _xlfn.STDEV.S(ABS(Resultados!G29),ABS(Resultados!P29),ABS(Resultados!Y29),ABS(Resultados!AH29),ABS(Resultados!AQ29),ABS(Resultados!AZ29),ABS(Resultados!BI29),ABS(Resultados!BR29),ABS(Resultados!CA29),ABS(Resultados!CJ29))/SQRT(COUNT(Resultados!G29,Resultados!P29,Resultados!Y29,Resultados!AH29,Resultados!AQ29,Resultados!AZ29,Resultados!BI29,Resultados!BR29,Resultados!CA29,Resultados!CJ29)))</f>
        <v>1.8503717077085941E-17</v>
      </c>
      <c r="H29">
        <f>IF(COUNT(Resultados!H29,Resultados!Q29,Resultados!Z29,Resultados!AI29,Resultados!AR29,Resultados!BA29,Resultados!BJ29,Resultados!BS29,Resultados!CB29,Resultados!CK29)&lt;=1, "", _xlfn.STDEV.S(ABS(Resultados!H29),ABS(Resultados!Q29),ABS(Resultados!Z29),ABS(Resultados!AI29),ABS(Resultados!AR29),ABS(Resultados!BA29),ABS(Resultados!BJ29),ABS(Resultados!BS29),ABS(Resultados!CB29),ABS(Resultados!CK29))/SQRT(COUNT(Resultados!H29,Resultados!Q29,Resultados!Z29,Resultados!AI29,Resultados!AR29,Resultados!BA29,Resultados!BJ29,Resultados!BS29,Resultados!CB29,Resultados!CK29)))</f>
        <v>1.3333333333333714E-5</v>
      </c>
      <c r="I29">
        <f>IF(COUNT(Resultados!I29,Resultados!R29,Resultados!AA29,Resultados!AJ29,Resultados!AS29,Resultados!BB29,Resultados!BK29,Resultados!BT29,Resultados!CC29,Resultados!CL29)&lt;=1, "", _xlfn.STDEV.S(ABS(Resultados!I29),ABS(Resultados!R29),ABS(Resultados!AA29),ABS(Resultados!AJ29),ABS(Resultados!AS29),ABS(Resultados!BB29),ABS(Resultados!BK29),ABS(Resultados!BT29),ABS(Resultados!CC29),ABS(Resultados!CL29))/SQRT(COUNT(Resultados!I29,Resultados!R29,Resultados!AA29,Resultados!AJ29,Resultados!AS29,Resultados!BB29,Resultados!BK29,Resultados!BT29,Resultados!CC29,Resultados!CL29)))</f>
        <v>4.848234501101088E-4</v>
      </c>
    </row>
    <row r="30" spans="1:9" x14ac:dyDescent="0.3">
      <c r="A30">
        <f>IF(COUNT(Resultados!A30,Resultados!J30,Resultados!S30,Resultados!AB30,Resultados!AK30,Resultados!AT30,Resultados!BC30,Resultados!BL30,Resultados!BU30,Resultados!CD30)&lt;=1, "", _xlfn.STDEV.S(ABS(Resultados!A30),ABS(Resultados!J30),ABS(Resultados!S30),ABS(Resultados!AB30),ABS(Resultados!AK30),ABS(Resultados!AT30),ABS(Resultados!BC30),ABS(Resultados!BL30),ABS(Resultados!BU30),ABS(Resultados!CD30))/SQRT(COUNT(Resultados!A30,Resultados!J30,Resultados!S30,Resultados!AB30,Resultados!AK30,Resultados!AT30,Resultados!BC30,Resultados!BL30,Resultados!BU30,Resultados!CD30)))</f>
        <v>0</v>
      </c>
      <c r="B30" t="str">
        <f>IF(COUNT(Resultados!B30,Resultados!K30,Resultados!T30,Resultados!AC30,Resultados!AL30,Resultados!AU30,Resultados!BD30,Resultados!BM30,Resultados!BV30,Resultados!CE30)&lt;=1, "", _xlfn.STDEV.S(ABS(Resultados!B30),ABS(Resultados!K30),ABS(Resultados!T30),ABS(Resultados!AC30),ABS(Resultados!AL30),ABS(Resultados!AU30),ABS(Resultados!BD30),ABS(Resultados!BM30),ABS(Resultados!BV30),ABS(Resultados!CE30))/SQRT(COUNT(Resultados!B30,Resultados!K30,Resultados!T30,Resultados!AC30,Resultados!AL30,Resultados!AU30,Resultados!BD30,Resultados!BM30,Resultados!BV30,Resultados!CE30)))</f>
        <v/>
      </c>
      <c r="C30">
        <f>IF(COUNT(Resultados!C30,Resultados!L30,Resultados!U30,Resultados!AD30,Resultados!AM30,Resultados!AV30,Resultados!BE30,Resultados!BN30,Resultados!BW30,Resultados!CF30)&lt;=1, "", _xlfn.STDEV.S(ABS(Resultados!C30),ABS(Resultados!L30),ABS(Resultados!U30),ABS(Resultados!AD30),ABS(Resultados!AM30),ABS(Resultados!AV30),ABS(Resultados!BE30),ABS(Resultados!BN30),ABS(Resultados!BW30),ABS(Resultados!CF30))/SQRT(COUNT(Resultados!C30,Resultados!L30,Resultados!U30,Resultados!AD30,Resultados!AM30,Resultados!AV30,Resultados!BE30,Resultados!BN30,Resultados!BW30,Resultados!CF30)))</f>
        <v>0.58214163988576595</v>
      </c>
      <c r="D30">
        <f>IF(COUNT(Resultados!D30,Resultados!M30,Resultados!V30,Resultados!AE30,Resultados!AN30,Resultados!AW30,Resultados!BF30,Resultados!BO30,Resultados!BX30,Resultados!CG30)&lt;=1, "", _xlfn.STDEV.S(ABS(Resultados!D30),ABS(Resultados!M30),ABS(Resultados!V30),ABS(Resultados!AE30),ABS(Resultados!AN30),ABS(Resultados!AW30),ABS(Resultados!BF30),ABS(Resultados!BO30),ABS(Resultados!BX30),ABS(Resultados!CG30))/SQRT(COUNT(Resultados!D30,Resultados!M30,Resultados!V30,Resultados!AE30,Resultados!AN30,Resultados!AW30,Resultados!BF30,Resultados!BO30,Resultados!BX30,Resultados!CG30)))</f>
        <v>7.3105707331537267E-5</v>
      </c>
      <c r="E30">
        <f>IF(COUNT(Resultados!E30,Resultados!N30,Resultados!W30,Resultados!AF30,Resultados!AO30,Resultados!AX30,Resultados!BG30,Resultados!BP30,Resultados!BY30,Resultados!CH30)&lt;=1, "", _xlfn.STDEV.S(ABS(Resultados!E30),ABS(Resultados!N30),ABS(Resultados!W30),ABS(Resultados!AF30),ABS(Resultados!AO30),ABS(Resultados!AX30),ABS(Resultados!BG30),ABS(Resultados!BP30),ABS(Resultados!BY30),ABS(Resultados!CH30))/SQRT(COUNT(Resultados!E30,Resultados!N30,Resultados!W30,Resultados!AF30,Resultados!AO30,Resultados!AX30,Resultados!BG30,Resultados!BP30,Resultados!BY30,Resultados!CH30)))</f>
        <v>1.0305870099061262E-3</v>
      </c>
      <c r="F30">
        <f>IF(COUNT(Resultados!F30,Resultados!O30,Resultados!X30,Resultados!AG30,Resultados!AP30,Resultados!AY30,Resultados!BH30,Resultados!BQ30,Resultados!BZ30,Resultados!CI30)&lt;=1, "", _xlfn.STDEV.S(ABS(Resultados!F30),ABS(Resultados!O30),ABS(Resultados!X30),ABS(Resultados!AG30),ABS(Resultados!AP30),ABS(Resultados!AY30),ABS(Resultados!BH30),ABS(Resultados!BQ30),ABS(Resultados!BZ30),ABS(Resultados!CI30))/SQRT(COUNT(Resultados!F30,Resultados!O30,Resultados!X30,Resultados!AG30,Resultados!AP30,Resultados!AY30,Resultados!BH30,Resultados!BQ30,Resultados!BZ30,Resultados!CI30)))</f>
        <v>9.6050709323254685E-2</v>
      </c>
      <c r="G30">
        <f>IF(COUNT(Resultados!G30,Resultados!P30,Resultados!Y30,Resultados!AH30,Resultados!AQ30,Resultados!AZ30,Resultados!BI30,Resultados!BR30,Resultados!CA30,Resultados!CJ30)&lt;=1, "", _xlfn.STDEV.S(ABS(Resultados!G30),ABS(Resultados!P30),ABS(Resultados!Y30),ABS(Resultados!AH30),ABS(Resultados!AQ30),ABS(Resultados!AZ30),ABS(Resultados!BI30),ABS(Resultados!BR30),ABS(Resultados!CA30),ABS(Resultados!CJ30))/SQRT(COUNT(Resultados!G30,Resultados!P30,Resultados!Y30,Resultados!AH30,Resultados!AQ30,Resultados!AZ30,Resultados!BI30,Resultados!BR30,Resultados!CA30,Resultados!CJ30)))</f>
        <v>1.8503717077085941E-17</v>
      </c>
      <c r="H30">
        <f>IF(COUNT(Resultados!H30,Resultados!Q30,Resultados!Z30,Resultados!AI30,Resultados!AR30,Resultados!BA30,Resultados!BJ30,Resultados!BS30,Resultados!CB30,Resultados!CK30)&lt;=1, "", _xlfn.STDEV.S(ABS(Resultados!H30),ABS(Resultados!Q30),ABS(Resultados!Z30),ABS(Resultados!AI30),ABS(Resultados!AR30),ABS(Resultados!BA30),ABS(Resultados!BJ30),ABS(Resultados!BS30),ABS(Resultados!CB30),ABS(Resultados!CK30))/SQRT(COUNT(Resultados!H30,Resultados!Q30,Resultados!Z30,Resultados!AI30,Resultados!AR30,Resultados!BA30,Resultados!BJ30,Resultados!BS30,Resultados!CB30,Resultados!CK30)))</f>
        <v>2.10818510677898E-5</v>
      </c>
      <c r="I30">
        <f>IF(COUNT(Resultados!I30,Resultados!R30,Resultados!AA30,Resultados!AJ30,Resultados!AS30,Resultados!BB30,Resultados!BK30,Resultados!BT30,Resultados!CC30,Resultados!CL30)&lt;=1, "", _xlfn.STDEV.S(ABS(Resultados!I30),ABS(Resultados!R30),ABS(Resultados!AA30),ABS(Resultados!AJ30),ABS(Resultados!AS30),ABS(Resultados!BB30),ABS(Resultados!BK30),ABS(Resultados!BT30),ABS(Resultados!CC30),ABS(Resultados!CL30))/SQRT(COUNT(Resultados!I30,Resultados!R30,Resultados!AA30,Resultados!AJ30,Resultados!AS30,Resultados!BB30,Resultados!BK30,Resultados!BT30,Resultados!CC30,Resultados!CL30)))</f>
        <v>3.3034998275950492E-4</v>
      </c>
    </row>
    <row r="31" spans="1:9" x14ac:dyDescent="0.3">
      <c r="A31">
        <f>IF(COUNT(Resultados!A31,Resultados!J31,Resultados!S31,Resultados!AB31,Resultados!AK31,Resultados!AT31,Resultados!BC31,Resultados!BL31,Resultados!BU31,Resultados!CD31)&lt;=1, "", _xlfn.STDEV.S(ABS(Resultados!A31),ABS(Resultados!J31),ABS(Resultados!S31),ABS(Resultados!AB31),ABS(Resultados!AK31),ABS(Resultados!AT31),ABS(Resultados!BC31),ABS(Resultados!BL31),ABS(Resultados!BU31),ABS(Resultados!CD31))/SQRT(COUNT(Resultados!A31,Resultados!J31,Resultados!S31,Resultados!AB31,Resultados!AK31,Resultados!AT31,Resultados!BC31,Resultados!BL31,Resultados!BU31,Resultados!CD31)))</f>
        <v>0</v>
      </c>
      <c r="B31" t="str">
        <f>IF(COUNT(Resultados!B31,Resultados!K31,Resultados!T31,Resultados!AC31,Resultados!AL31,Resultados!AU31,Resultados!BD31,Resultados!BM31,Resultados!BV31,Resultados!CE31)&lt;=1, "", _xlfn.STDEV.S(ABS(Resultados!B31),ABS(Resultados!K31),ABS(Resultados!T31),ABS(Resultados!AC31),ABS(Resultados!AL31),ABS(Resultados!AU31),ABS(Resultados!BD31),ABS(Resultados!BM31),ABS(Resultados!BV31),ABS(Resultados!CE31))/SQRT(COUNT(Resultados!B31,Resultados!K31,Resultados!T31,Resultados!AC31,Resultados!AL31,Resultados!AU31,Resultados!BD31,Resultados!BM31,Resultados!BV31,Resultados!CE31)))</f>
        <v/>
      </c>
      <c r="C31">
        <f>IF(COUNT(Resultados!C31,Resultados!L31,Resultados!U31,Resultados!AD31,Resultados!AM31,Resultados!AV31,Resultados!BE31,Resultados!BN31,Resultados!BW31,Resultados!CF31)&lt;=1, "", _xlfn.STDEV.S(ABS(Resultados!C31),ABS(Resultados!L31),ABS(Resultados!U31),ABS(Resultados!AD31),ABS(Resultados!AM31),ABS(Resultados!AV31),ABS(Resultados!BE31),ABS(Resultados!BN31),ABS(Resultados!BW31),ABS(Resultados!CF31))/SQRT(COUNT(Resultados!C31,Resultados!L31,Resultados!U31,Resultados!AD31,Resultados!AM31,Resultados!AV31,Resultados!BE31,Resultados!BN31,Resultados!BW31,Resultados!CF31)))</f>
        <v>0.58214163988576595</v>
      </c>
      <c r="D31">
        <f>IF(COUNT(Resultados!D31,Resultados!M31,Resultados!V31,Resultados!AE31,Resultados!AN31,Resultados!AW31,Resultados!BF31,Resultados!BO31,Resultados!BX31,Resultados!CG31)&lt;=1, "", _xlfn.STDEV.S(ABS(Resultados!D31),ABS(Resultados!M31),ABS(Resultados!V31),ABS(Resultados!AE31),ABS(Resultados!AN31),ABS(Resultados!AW31),ABS(Resultados!BF31),ABS(Resultados!BO31),ABS(Resultados!BX31),ABS(Resultados!CG31))/SQRT(COUNT(Resultados!D31,Resultados!M31,Resultados!V31,Resultados!AE31,Resultados!AN31,Resultados!AW31,Resultados!BF31,Resultados!BO31,Resultados!BX31,Resultados!CG31)))</f>
        <v>5.5377492419453691E-5</v>
      </c>
      <c r="E31">
        <f>IF(COUNT(Resultados!E31,Resultados!N31,Resultados!W31,Resultados!AF31,Resultados!AO31,Resultados!AX31,Resultados!BG31,Resultados!BP31,Resultados!BY31,Resultados!CH31)&lt;=1, "", _xlfn.STDEV.S(ABS(Resultados!E31),ABS(Resultados!N31),ABS(Resultados!W31),ABS(Resultados!AF31),ABS(Resultados!AO31),ABS(Resultados!AX31),ABS(Resultados!BG31),ABS(Resultados!BP31),ABS(Resultados!BY31),ABS(Resultados!CH31))/SQRT(COUNT(Resultados!E31,Resultados!N31,Resultados!W31,Resultados!AF31,Resultados!AO31,Resultados!AX31,Resultados!BG31,Resultados!BP31,Resultados!BY31,Resultados!CH31)))</f>
        <v>1.2346937959354805E-3</v>
      </c>
      <c r="F31">
        <f>IF(COUNT(Resultados!F31,Resultados!O31,Resultados!X31,Resultados!AG31,Resultados!AP31,Resultados!AY31,Resultados!BH31,Resultados!BQ31,Resultados!BZ31,Resultados!CI31)&lt;=1, "", _xlfn.STDEV.S(ABS(Resultados!F31),ABS(Resultados!O31),ABS(Resultados!X31),ABS(Resultados!AG31),ABS(Resultados!AP31),ABS(Resultados!AY31),ABS(Resultados!BH31),ABS(Resultados!BQ31),ABS(Resultados!BZ31),ABS(Resultados!CI31))/SQRT(COUNT(Resultados!F31,Resultados!O31,Resultados!X31,Resultados!AG31,Resultados!AP31,Resultados!AY31,Resultados!BH31,Resultados!BQ31,Resultados!BZ31,Resultados!CI31)))</f>
        <v>0.11507346178118159</v>
      </c>
      <c r="G31">
        <f>IF(COUNT(Resultados!G31,Resultados!P31,Resultados!Y31,Resultados!AH31,Resultados!AQ31,Resultados!AZ31,Resultados!BI31,Resultados!BR31,Resultados!CA31,Resultados!CJ31)&lt;=1, "", _xlfn.STDEV.S(ABS(Resultados!G31),ABS(Resultados!P31),ABS(Resultados!Y31),ABS(Resultados!AH31),ABS(Resultados!AQ31),ABS(Resultados!AZ31),ABS(Resultados!BI31),ABS(Resultados!BR31),ABS(Resultados!CA31),ABS(Resultados!CJ31))/SQRT(COUNT(Resultados!G31,Resultados!P31,Resultados!Y31,Resultados!AH31,Resultados!AQ31,Resultados!AZ31,Resultados!BI31,Resultados!BR31,Resultados!CA31,Resultados!CJ31)))</f>
        <v>1.8503717077085941E-17</v>
      </c>
      <c r="H31">
        <f>IF(COUNT(Resultados!H31,Resultados!Q31,Resultados!Z31,Resultados!AI31,Resultados!AR31,Resultados!BA31,Resultados!BJ31,Resultados!BS31,Resultados!CB31,Resultados!CK31)&lt;=1, "", _xlfn.STDEV.S(ABS(Resultados!H31),ABS(Resultados!Q31),ABS(Resultados!Z31),ABS(Resultados!AI31),ABS(Resultados!AR31),ABS(Resultados!BA31),ABS(Resultados!BJ31),ABS(Resultados!BS31),ABS(Resultados!CB31),ABS(Resultados!CK31))/SQRT(COUNT(Resultados!H31,Resultados!Q31,Resultados!Z31,Resultados!AI31,Resultados!AR31,Resultados!BA31,Resultados!BJ31,Resultados!BS31,Resultados!CB31,Resultados!CK31)))</f>
        <v>1.7950549357115055E-5</v>
      </c>
      <c r="I31">
        <f>IF(COUNT(Resultados!I31,Resultados!R31,Resultados!AA31,Resultados!AJ31,Resultados!AS31,Resultados!BB31,Resultados!BK31,Resultados!BT31,Resultados!CC31,Resultados!CL31)&lt;=1, "", _xlfn.STDEV.S(ABS(Resultados!I31),ABS(Resultados!R31),ABS(Resultados!AA31),ABS(Resultados!AJ31),ABS(Resultados!AS31),ABS(Resultados!BB31),ABS(Resultados!BK31),ABS(Resultados!BT31),ABS(Resultados!CC31),ABS(Resultados!CL31))/SQRT(COUNT(Resultados!I31,Resultados!R31,Resultados!AA31,Resultados!AJ31,Resultados!AS31,Resultados!BB31,Resultados!BK31,Resultados!BT31,Resultados!CC31,Resultados!CL31)))</f>
        <v>2.8486253994860968E-4</v>
      </c>
    </row>
    <row r="32" spans="1:9" x14ac:dyDescent="0.3">
      <c r="A32">
        <f>IF(COUNT(Resultados!A32,Resultados!J32,Resultados!S32,Resultados!AB32,Resultados!AK32,Resultados!AT32,Resultados!BC32,Resultados!BL32,Resultados!BU32,Resultados!CD32)&lt;=1, "", _xlfn.STDEV.S(ABS(Resultados!A32),ABS(Resultados!J32),ABS(Resultados!S32),ABS(Resultados!AB32),ABS(Resultados!AK32),ABS(Resultados!AT32),ABS(Resultados!BC32),ABS(Resultados!BL32),ABS(Resultados!BU32),ABS(Resultados!CD32))/SQRT(COUNT(Resultados!A32,Resultados!J32,Resultados!S32,Resultados!AB32,Resultados!AK32,Resultados!AT32,Resultados!BC32,Resultados!BL32,Resultados!BU32,Resultados!CD32)))</f>
        <v>0</v>
      </c>
      <c r="B32" t="str">
        <f>IF(COUNT(Resultados!B32,Resultados!K32,Resultados!T32,Resultados!AC32,Resultados!AL32,Resultados!AU32,Resultados!BD32,Resultados!BM32,Resultados!BV32,Resultados!CE32)&lt;=1, "", _xlfn.STDEV.S(ABS(Resultados!B32),ABS(Resultados!K32),ABS(Resultados!T32),ABS(Resultados!AC32),ABS(Resultados!AL32),ABS(Resultados!AU32),ABS(Resultados!BD32),ABS(Resultados!BM32),ABS(Resultados!BV32),ABS(Resultados!CE32))/SQRT(COUNT(Resultados!B32,Resultados!K32,Resultados!T32,Resultados!AC32,Resultados!AL32,Resultados!AU32,Resultados!BD32,Resultados!BM32,Resultados!BV32,Resultados!CE32)))</f>
        <v/>
      </c>
      <c r="C32">
        <f>IF(COUNT(Resultados!C32,Resultados!L32,Resultados!U32,Resultados!AD32,Resultados!AM32,Resultados!AV32,Resultados!BE32,Resultados!BN32,Resultados!BW32,Resultados!CF32)&lt;=1, "", _xlfn.STDEV.S(ABS(Resultados!C32),ABS(Resultados!L32),ABS(Resultados!U32),ABS(Resultados!AD32),ABS(Resultados!AM32),ABS(Resultados!AV32),ABS(Resultados!BE32),ABS(Resultados!BN32),ABS(Resultados!BW32),ABS(Resultados!CF32))/SQRT(COUNT(Resultados!C32,Resultados!L32,Resultados!U32,Resultados!AD32,Resultados!AM32,Resultados!AV32,Resultados!BE32,Resultados!BN32,Resultados!BW32,Resultados!CF32)))</f>
        <v>0.58214163988576595</v>
      </c>
      <c r="D32">
        <f>IF(COUNT(Resultados!D32,Resultados!M32,Resultados!V32,Resultados!AE32,Resultados!AN32,Resultados!AW32,Resultados!BF32,Resultados!BO32,Resultados!BX32,Resultados!CG32)&lt;=1, "", _xlfn.STDEV.S(ABS(Resultados!D32),ABS(Resultados!M32),ABS(Resultados!V32),ABS(Resultados!AE32),ABS(Resultados!AN32),ABS(Resultados!AW32),ABS(Resultados!BF32),ABS(Resultados!BO32),ABS(Resultados!BX32),ABS(Resultados!CG32))/SQRT(COUNT(Resultados!D32,Resultados!M32,Resultados!V32,Resultados!AE32,Resultados!AN32,Resultados!AW32,Resultados!BF32,Resultados!BO32,Resultados!BX32,Resultados!CG32)))</f>
        <v>5.7831171909658494E-5</v>
      </c>
      <c r="E32">
        <f>IF(COUNT(Resultados!E32,Resultados!N32,Resultados!W32,Resultados!AF32,Resultados!AO32,Resultados!AX32,Resultados!BG32,Resultados!BP32,Resultados!BY32,Resultados!CH32)&lt;=1, "", _xlfn.STDEV.S(ABS(Resultados!E32),ABS(Resultados!N32),ABS(Resultados!W32),ABS(Resultados!AF32),ABS(Resultados!AO32),ABS(Resultados!AX32),ABS(Resultados!BG32),ABS(Resultados!BP32),ABS(Resultados!BY32),ABS(Resultados!CH32))/SQRT(COUNT(Resultados!E32,Resultados!N32,Resultados!W32,Resultados!AF32,Resultados!AO32,Resultados!AX32,Resultados!BG32,Resultados!BP32,Resultados!BY32,Resultados!CH32)))</f>
        <v>1.3196761772863452E-3</v>
      </c>
      <c r="F32">
        <f>IF(COUNT(Resultados!F32,Resultados!O32,Resultados!X32,Resultados!AG32,Resultados!AP32,Resultados!AY32,Resultados!BH32,Resultados!BQ32,Resultados!BZ32,Resultados!CI32)&lt;=1, "", _xlfn.STDEV.S(ABS(Resultados!F32),ABS(Resultados!O32),ABS(Resultados!X32),ABS(Resultados!AG32),ABS(Resultados!AP32),ABS(Resultados!AY32),ABS(Resultados!BH32),ABS(Resultados!BQ32),ABS(Resultados!BZ32),ABS(Resultados!CI32))/SQRT(COUNT(Resultados!F32,Resultados!O32,Resultados!X32,Resultados!AG32,Resultados!AP32,Resultados!AY32,Resultados!BH32,Resultados!BQ32,Resultados!BZ32,Resultados!CI32)))</f>
        <v>0.1229938197230908</v>
      </c>
      <c r="G32">
        <f>IF(COUNT(Resultados!G32,Resultados!P32,Resultados!Y32,Resultados!AH32,Resultados!AQ32,Resultados!AZ32,Resultados!BI32,Resultados!BR32,Resultados!CA32,Resultados!CJ32)&lt;=1, "", _xlfn.STDEV.S(ABS(Resultados!G32),ABS(Resultados!P32),ABS(Resultados!Y32),ABS(Resultados!AH32),ABS(Resultados!AQ32),ABS(Resultados!AZ32),ABS(Resultados!BI32),ABS(Resultados!BR32),ABS(Resultados!CA32),ABS(Resultados!CJ32))/SQRT(COUNT(Resultados!G32,Resultados!P32,Resultados!Y32,Resultados!AH32,Resultados!AQ32,Resultados!AZ32,Resultados!BI32,Resultados!BR32,Resultados!CA32,Resultados!CJ32)))</f>
        <v>1.8503717077085941E-17</v>
      </c>
      <c r="H32">
        <f>IF(COUNT(Resultados!H32,Resultados!Q32,Resultados!Z32,Resultados!AI32,Resultados!AR32,Resultados!BA32,Resultados!BJ32,Resultados!BS32,Resultados!CB32,Resultados!CK32)&lt;=1, "", _xlfn.STDEV.S(ABS(Resultados!H32),ABS(Resultados!Q32),ABS(Resultados!Z32),ABS(Resultados!AI32),ABS(Resultados!AR32),ABS(Resultados!BA32),ABS(Resultados!BJ32),ABS(Resultados!BS32),ABS(Resultados!CB32),ABS(Resultados!CK32))/SQRT(COUNT(Resultados!H32,Resultados!Q32,Resultados!Z32,Resultados!AI32,Resultados!AR32,Resultados!BA32,Resultados!BJ32,Resultados!BS32,Resultados!CB32,Resultados!CK32)))</f>
        <v>2.2110831935702738E-5</v>
      </c>
      <c r="I32">
        <f>IF(COUNT(Resultados!I32,Resultados!R32,Resultados!AA32,Resultados!AJ32,Resultados!AS32,Resultados!BB32,Resultados!BK32,Resultados!BT32,Resultados!CC32,Resultados!CL32)&lt;=1, "", _xlfn.STDEV.S(ABS(Resultados!I32),ABS(Resultados!R32),ABS(Resultados!AA32),ABS(Resultados!AJ32),ABS(Resultados!AS32),ABS(Resultados!BB32),ABS(Resultados!BK32),ABS(Resultados!BT32),ABS(Resultados!CC32),ABS(Resultados!CL32))/SQRT(COUNT(Resultados!I32,Resultados!R32,Resultados!AA32,Resultados!AJ32,Resultados!AS32,Resultados!BB32,Resultados!BK32,Resultados!BT32,Resultados!CC32,Resultados!CL32)))</f>
        <v>3.6656134851249117E-4</v>
      </c>
    </row>
    <row r="33" spans="1:9" x14ac:dyDescent="0.3">
      <c r="A33">
        <f>IF(COUNT(Resultados!A33,Resultados!J33,Resultados!S33,Resultados!AB33,Resultados!AK33,Resultados!AT33,Resultados!BC33,Resultados!BL33,Resultados!BU33,Resultados!CD33)&lt;=1, "", _xlfn.STDEV.S(ABS(Resultados!A33),ABS(Resultados!J33),ABS(Resultados!S33),ABS(Resultados!AB33),ABS(Resultados!AK33),ABS(Resultados!AT33),ABS(Resultados!BC33),ABS(Resultados!BL33),ABS(Resultados!BU33),ABS(Resultados!CD33))/SQRT(COUNT(Resultados!A33,Resultados!J33,Resultados!S33,Resultados!AB33,Resultados!AK33,Resultados!AT33,Resultados!BC33,Resultados!BL33,Resultados!BU33,Resultados!CD33)))</f>
        <v>0</v>
      </c>
      <c r="B33" t="str">
        <f>IF(COUNT(Resultados!B33,Resultados!K33,Resultados!T33,Resultados!AC33,Resultados!AL33,Resultados!AU33,Resultados!BD33,Resultados!BM33,Resultados!BV33,Resultados!CE33)&lt;=1, "", _xlfn.STDEV.S(ABS(Resultados!B33),ABS(Resultados!K33),ABS(Resultados!T33),ABS(Resultados!AC33),ABS(Resultados!AL33),ABS(Resultados!AU33),ABS(Resultados!BD33),ABS(Resultados!BM33),ABS(Resultados!BV33),ABS(Resultados!CE33))/SQRT(COUNT(Resultados!B33,Resultados!K33,Resultados!T33,Resultados!AC33,Resultados!AL33,Resultados!AU33,Resultados!BD33,Resultados!BM33,Resultados!BV33,Resultados!CE33)))</f>
        <v/>
      </c>
      <c r="C33">
        <f>IF(COUNT(Resultados!C33,Resultados!L33,Resultados!U33,Resultados!AD33,Resultados!AM33,Resultados!AV33,Resultados!BE33,Resultados!BN33,Resultados!BW33,Resultados!CF33)&lt;=1, "", _xlfn.STDEV.S(ABS(Resultados!C33),ABS(Resultados!L33),ABS(Resultados!U33),ABS(Resultados!AD33),ABS(Resultados!AM33),ABS(Resultados!AV33),ABS(Resultados!BE33),ABS(Resultados!BN33),ABS(Resultados!BW33),ABS(Resultados!CF33))/SQRT(COUNT(Resultados!C33,Resultados!L33,Resultados!U33,Resultados!AD33,Resultados!AM33,Resultados!AV33,Resultados!BE33,Resultados!BN33,Resultados!BW33,Resultados!CF33)))</f>
        <v>0.58214163988576595</v>
      </c>
      <c r="D33">
        <f>IF(COUNT(Resultados!D33,Resultados!M33,Resultados!V33,Resultados!AE33,Resultados!AN33,Resultados!AW33,Resultados!BF33,Resultados!BO33,Resultados!BX33,Resultados!CG33)&lt;=1, "", _xlfn.STDEV.S(ABS(Resultados!D33),ABS(Resultados!M33),ABS(Resultados!V33),ABS(Resultados!AE33),ABS(Resultados!AN33),ABS(Resultados!AW33),ABS(Resultados!BF33),ABS(Resultados!BO33),ABS(Resultados!BX33),ABS(Resultados!CG33))/SQRT(COUNT(Resultados!D33,Resultados!M33,Resultados!V33,Resultados!AE33,Resultados!AN33,Resultados!AW33,Resultados!BF33,Resultados!BO33,Resultados!BX33,Resultados!CG33)))</f>
        <v>6.1463629715285902E-5</v>
      </c>
      <c r="E33">
        <f>IF(COUNT(Resultados!E33,Resultados!N33,Resultados!W33,Resultados!AF33,Resultados!AO33,Resultados!AX33,Resultados!BG33,Resultados!BP33,Resultados!BY33,Resultados!CH33)&lt;=1, "", _xlfn.STDEV.S(ABS(Resultados!E33),ABS(Resultados!N33),ABS(Resultados!W33),ABS(Resultados!AF33),ABS(Resultados!AO33),ABS(Resultados!AX33),ABS(Resultados!BG33),ABS(Resultados!BP33),ABS(Resultados!BY33),ABS(Resultados!CH33))/SQRT(COUNT(Resultados!E33,Resultados!N33,Resultados!W33,Resultados!AF33,Resultados!AO33,Resultados!AX33,Resultados!BG33,Resultados!BP33,Resultados!BY33,Resultados!CH33)))</f>
        <v>1.4765050761310311E-3</v>
      </c>
      <c r="F33">
        <f>IF(COUNT(Resultados!F33,Resultados!O33,Resultados!X33,Resultados!AG33,Resultados!AP33,Resultados!AY33,Resultados!BH33,Resultados!BQ33,Resultados!BZ33,Resultados!CI33)&lt;=1, "", _xlfn.STDEV.S(ABS(Resultados!F33),ABS(Resultados!O33),ABS(Resultados!X33),ABS(Resultados!AG33),ABS(Resultados!AP33),ABS(Resultados!AY33),ABS(Resultados!BH33),ABS(Resultados!BQ33),ABS(Resultados!BZ33),ABS(Resultados!CI33))/SQRT(COUNT(Resultados!F33,Resultados!O33,Resultados!X33,Resultados!AG33,Resultados!AP33,Resultados!AY33,Resultados!BH33,Resultados!BQ33,Resultados!BZ33,Resultados!CI33)))</f>
        <v>0.1376102730954113</v>
      </c>
      <c r="G33">
        <f>IF(COUNT(Resultados!G33,Resultados!P33,Resultados!Y33,Resultados!AH33,Resultados!AQ33,Resultados!AZ33,Resultados!BI33,Resultados!BR33,Resultados!CA33,Resultados!CJ33)&lt;=1, "", _xlfn.STDEV.S(ABS(Resultados!G33),ABS(Resultados!P33),ABS(Resultados!Y33),ABS(Resultados!AH33),ABS(Resultados!AQ33),ABS(Resultados!AZ33),ABS(Resultados!BI33),ABS(Resultados!BR33),ABS(Resultados!CA33),ABS(Resultados!CJ33))/SQRT(COUNT(Resultados!G33,Resultados!P33,Resultados!Y33,Resultados!AH33,Resultados!AQ33,Resultados!AZ33,Resultados!BI33,Resultados!BR33,Resultados!CA33,Resultados!CJ33)))</f>
        <v>1.8503717077085941E-17</v>
      </c>
      <c r="H33">
        <f>IF(COUNT(Resultados!H33,Resultados!Q33,Resultados!Z33,Resultados!AI33,Resultados!AR33,Resultados!BA33,Resultados!BJ33,Resultados!BS33,Resultados!CB33,Resultados!CK33)&lt;=1, "", _xlfn.STDEV.S(ABS(Resultados!H33),ABS(Resultados!Q33),ABS(Resultados!Z33),ABS(Resultados!AI33),ABS(Resultados!AR33),ABS(Resultados!BA33),ABS(Resultados!BJ33),ABS(Resultados!BS33),ABS(Resultados!CB33),ABS(Resultados!CK33))/SQRT(COUNT(Resultados!H33,Resultados!Q33,Resultados!Z33,Resultados!AI33,Resultados!AR33,Resultados!BA33,Resultados!BJ33,Resultados!BS33,Resultados!CB33,Resultados!CK33)))</f>
        <v>2.2360679774997759E-5</v>
      </c>
      <c r="I33">
        <f>IF(COUNT(Resultados!I33,Resultados!R33,Resultados!AA33,Resultados!AJ33,Resultados!AS33,Resultados!BB33,Resultados!BK33,Resultados!BT33,Resultados!CC33,Resultados!CL33)&lt;=1, "", _xlfn.STDEV.S(ABS(Resultados!I33),ABS(Resultados!R33),ABS(Resultados!AA33),ABS(Resultados!AJ33),ABS(Resultados!AS33),ABS(Resultados!BB33),ABS(Resultados!BK33),ABS(Resultados!BT33),ABS(Resultados!CC33),ABS(Resultados!CL33))/SQRT(COUNT(Resultados!I33,Resultados!R33,Resultados!AA33,Resultados!AJ33,Resultados!AS33,Resultados!BB33,Resultados!BK33,Resultados!BT33,Resultados!CC33,Resultados!CL33)))</f>
        <v>4.43672677143339E-4</v>
      </c>
    </row>
    <row r="34" spans="1:9" x14ac:dyDescent="0.3">
      <c r="A34">
        <f>IF(COUNT(Resultados!A34,Resultados!J34,Resultados!S34,Resultados!AB34,Resultados!AK34,Resultados!AT34,Resultados!BC34,Resultados!BL34,Resultados!BU34,Resultados!CD34)&lt;=1, "", _xlfn.STDEV.S(ABS(Resultados!A34),ABS(Resultados!J34),ABS(Resultados!S34),ABS(Resultados!AB34),ABS(Resultados!AK34),ABS(Resultados!AT34),ABS(Resultados!BC34),ABS(Resultados!BL34),ABS(Resultados!BU34),ABS(Resultados!CD34))/SQRT(COUNT(Resultados!A34,Resultados!J34,Resultados!S34,Resultados!AB34,Resultados!AK34,Resultados!AT34,Resultados!BC34,Resultados!BL34,Resultados!BU34,Resultados!CD34)))</f>
        <v>0</v>
      </c>
      <c r="B34" t="str">
        <f>IF(COUNT(Resultados!B34,Resultados!K34,Resultados!T34,Resultados!AC34,Resultados!AL34,Resultados!AU34,Resultados!BD34,Resultados!BM34,Resultados!BV34,Resultados!CE34)&lt;=1, "", _xlfn.STDEV.S(ABS(Resultados!B34),ABS(Resultados!K34),ABS(Resultados!T34),ABS(Resultados!AC34),ABS(Resultados!AL34),ABS(Resultados!AU34),ABS(Resultados!BD34),ABS(Resultados!BM34),ABS(Resultados!BV34),ABS(Resultados!CE34))/SQRT(COUNT(Resultados!B34,Resultados!K34,Resultados!T34,Resultados!AC34,Resultados!AL34,Resultados!AU34,Resultados!BD34,Resultados!BM34,Resultados!BV34,Resultados!CE34)))</f>
        <v/>
      </c>
      <c r="C34">
        <f>IF(COUNT(Resultados!C34,Resultados!L34,Resultados!U34,Resultados!AD34,Resultados!AM34,Resultados!AV34,Resultados!BE34,Resultados!BN34,Resultados!BW34,Resultados!CF34)&lt;=1, "", _xlfn.STDEV.S(ABS(Resultados!C34),ABS(Resultados!L34),ABS(Resultados!U34),ABS(Resultados!AD34),ABS(Resultados!AM34),ABS(Resultados!AV34),ABS(Resultados!BE34),ABS(Resultados!BN34),ABS(Resultados!BW34),ABS(Resultados!CF34))/SQRT(COUNT(Resultados!C34,Resultados!L34,Resultados!U34,Resultados!AD34,Resultados!AM34,Resultados!AV34,Resultados!BE34,Resultados!BN34,Resultados!BW34,Resultados!CF34)))</f>
        <v>0.58214163988576595</v>
      </c>
      <c r="D34">
        <f>IF(COUNT(Resultados!D34,Resultados!M34,Resultados!V34,Resultados!AE34,Resultados!AN34,Resultados!AW34,Resultados!BF34,Resultados!BO34,Resultados!BX34,Resultados!CG34)&lt;=1, "", _xlfn.STDEV.S(ABS(Resultados!D34),ABS(Resultados!M34),ABS(Resultados!V34),ABS(Resultados!AE34),ABS(Resultados!AN34),ABS(Resultados!AW34),ABS(Resultados!BF34),ABS(Resultados!BO34),ABS(Resultados!BX34),ABS(Resultados!CG34))/SQRT(COUNT(Resultados!D34,Resultados!M34,Resultados!V34,Resultados!AE34,Resultados!AN34,Resultados!AW34,Resultados!BF34,Resultados!BO34,Resultados!BX34,Resultados!CG34)))</f>
        <v>1.2476644848141938E-4</v>
      </c>
      <c r="E34">
        <f>IF(COUNT(Resultados!E34,Resultados!N34,Resultados!W34,Resultados!AF34,Resultados!AO34,Resultados!AX34,Resultados!BG34,Resultados!BP34,Resultados!BY34,Resultados!CH34)&lt;=1, "", _xlfn.STDEV.S(ABS(Resultados!E34),ABS(Resultados!N34),ABS(Resultados!W34),ABS(Resultados!AF34),ABS(Resultados!AO34),ABS(Resultados!AX34),ABS(Resultados!BG34),ABS(Resultados!BP34),ABS(Resultados!BY34),ABS(Resultados!CH34))/SQRT(COUNT(Resultados!E34,Resultados!N34,Resultados!W34,Resultados!AF34,Resultados!AO34,Resultados!AX34,Resultados!BG34,Resultados!BP34,Resultados!BY34,Resultados!CH34)))</f>
        <v>9.6259279397998643E-4</v>
      </c>
      <c r="F34">
        <f>IF(COUNT(Resultados!F34,Resultados!O34,Resultados!X34,Resultados!AG34,Resultados!AP34,Resultados!AY34,Resultados!BH34,Resultados!BQ34,Resultados!BZ34,Resultados!CI34)&lt;=1, "", _xlfn.STDEV.S(ABS(Resultados!F34),ABS(Resultados!O34),ABS(Resultados!X34),ABS(Resultados!AG34),ABS(Resultados!AP34),ABS(Resultados!AY34),ABS(Resultados!BH34),ABS(Resultados!BQ34),ABS(Resultados!BZ34),ABS(Resultados!CI34))/SQRT(COUNT(Resultados!F34,Resultados!O34,Resultados!X34,Resultados!AG34,Resultados!AP34,Resultados!AY34,Resultados!BH34,Resultados!BQ34,Resultados!BZ34,Resultados!CI34)))</f>
        <v>8.9713648398931672E-2</v>
      </c>
      <c r="G34">
        <f>IF(COUNT(Resultados!G34,Resultados!P34,Resultados!Y34,Resultados!AH34,Resultados!AQ34,Resultados!AZ34,Resultados!BI34,Resultados!BR34,Resultados!CA34,Resultados!CJ34)&lt;=1, "", _xlfn.STDEV.S(ABS(Resultados!G34),ABS(Resultados!P34),ABS(Resultados!Y34),ABS(Resultados!AH34),ABS(Resultados!AQ34),ABS(Resultados!AZ34),ABS(Resultados!BI34),ABS(Resultados!BR34),ABS(Resultados!CA34),ABS(Resultados!CJ34))/SQRT(COUNT(Resultados!G34,Resultados!P34,Resultados!Y34,Resultados!AH34,Resultados!AQ34,Resultados!AZ34,Resultados!BI34,Resultados!BR34,Resultados!CA34,Resultados!CJ34)))</f>
        <v>1.8503717077085941E-17</v>
      </c>
      <c r="H34">
        <f>IF(COUNT(Resultados!H34,Resultados!Q34,Resultados!Z34,Resultados!AI34,Resultados!AR34,Resultados!BA34,Resultados!BJ34,Resultados!BS34,Resultados!CB34,Resultados!CK34)&lt;=1, "", _xlfn.STDEV.S(ABS(Resultados!H34),ABS(Resultados!Q34),ABS(Resultados!Z34),ABS(Resultados!AI34),ABS(Resultados!AR34),ABS(Resultados!BA34),ABS(Resultados!BJ34),ABS(Resultados!BS34),ABS(Resultados!CB34),ABS(Resultados!CK34))/SQRT(COUNT(Resultados!H34,Resultados!Q34,Resultados!Z34,Resultados!AI34,Resultados!AR34,Resultados!BA34,Resultados!BJ34,Resultados!BS34,Resultados!CB34,Resultados!CK34)))</f>
        <v>2.2110831935702528E-5</v>
      </c>
      <c r="I34">
        <f>IF(COUNT(Resultados!I34,Resultados!R34,Resultados!AA34,Resultados!AJ34,Resultados!AS34,Resultados!BB34,Resultados!BK34,Resultados!BT34,Resultados!CC34,Resultados!CL34)&lt;=1, "", _xlfn.STDEV.S(ABS(Resultados!I34),ABS(Resultados!R34),ABS(Resultados!AA34),ABS(Resultados!AJ34),ABS(Resultados!AS34),ABS(Resultados!BB34),ABS(Resultados!BK34),ABS(Resultados!BT34),ABS(Resultados!CC34),ABS(Resultados!CL34))/SQRT(COUNT(Resultados!I34,Resultados!R34,Resultados!AA34,Resultados!AJ34,Resultados!AS34,Resultados!BB34,Resultados!BK34,Resultados!BT34,Resultados!CC34,Resultados!CL34)))</f>
        <v>4.4566367488432128E-4</v>
      </c>
    </row>
    <row r="35" spans="1:9" x14ac:dyDescent="0.3">
      <c r="A35">
        <f>IF(COUNT(Resultados!A35,Resultados!J35,Resultados!S35,Resultados!AB35,Resultados!AK35,Resultados!AT35,Resultados!BC35,Resultados!BL35,Resultados!BU35,Resultados!CD35)&lt;=1, "", _xlfn.STDEV.S(ABS(Resultados!A35),ABS(Resultados!J35),ABS(Resultados!S35),ABS(Resultados!AB35),ABS(Resultados!AK35),ABS(Resultados!AT35),ABS(Resultados!BC35),ABS(Resultados!BL35),ABS(Resultados!BU35),ABS(Resultados!CD35))/SQRT(COUNT(Resultados!A35,Resultados!J35,Resultados!S35,Resultados!AB35,Resultados!AK35,Resultados!AT35,Resultados!BC35,Resultados!BL35,Resultados!BU35,Resultados!CD35)))</f>
        <v>0</v>
      </c>
      <c r="B35" t="str">
        <f>IF(COUNT(Resultados!B35,Resultados!K35,Resultados!T35,Resultados!AC35,Resultados!AL35,Resultados!AU35,Resultados!BD35,Resultados!BM35,Resultados!BV35,Resultados!CE35)&lt;=1, "", _xlfn.STDEV.S(ABS(Resultados!B35),ABS(Resultados!K35),ABS(Resultados!T35),ABS(Resultados!AC35),ABS(Resultados!AL35),ABS(Resultados!AU35),ABS(Resultados!BD35),ABS(Resultados!BM35),ABS(Resultados!BV35),ABS(Resultados!CE35))/SQRT(COUNT(Resultados!B35,Resultados!K35,Resultados!T35,Resultados!AC35,Resultados!AL35,Resultados!AU35,Resultados!BD35,Resultados!BM35,Resultados!BV35,Resultados!CE35)))</f>
        <v/>
      </c>
      <c r="C35">
        <f>IF(COUNT(Resultados!C35,Resultados!L35,Resultados!U35,Resultados!AD35,Resultados!AM35,Resultados!AV35,Resultados!BE35,Resultados!BN35,Resultados!BW35,Resultados!CF35)&lt;=1, "", _xlfn.STDEV.S(ABS(Resultados!C35),ABS(Resultados!L35),ABS(Resultados!U35),ABS(Resultados!AD35),ABS(Resultados!AM35),ABS(Resultados!AV35),ABS(Resultados!BE35),ABS(Resultados!BN35),ABS(Resultados!BW35),ABS(Resultados!CF35))/SQRT(COUNT(Resultados!C35,Resultados!L35,Resultados!U35,Resultados!AD35,Resultados!AM35,Resultados!AV35,Resultados!BE35,Resultados!BN35,Resultados!BW35,Resultados!CF35)))</f>
        <v>0.58214163988576595</v>
      </c>
      <c r="D35">
        <f>IF(COUNT(Resultados!D35,Resultados!M35,Resultados!V35,Resultados!AE35,Resultados!AN35,Resultados!AW35,Resultados!BF35,Resultados!BO35,Resultados!BX35,Resultados!CG35)&lt;=1, "", _xlfn.STDEV.S(ABS(Resultados!D35),ABS(Resultados!M35),ABS(Resultados!V35),ABS(Resultados!AE35),ABS(Resultados!AN35),ABS(Resultados!AW35),ABS(Resultados!BF35),ABS(Resultados!BO35),ABS(Resultados!BX35),ABS(Resultados!CG35))/SQRT(COUNT(Resultados!D35,Resultados!M35,Resultados!V35,Resultados!AE35,Resultados!AN35,Resultados!AW35,Resultados!BF35,Resultados!BO35,Resultados!BX35,Resultados!CG35)))</f>
        <v>9.9387010105837231E-5</v>
      </c>
      <c r="E35">
        <f>IF(COUNT(Resultados!E35,Resultados!N35,Resultados!W35,Resultados!AF35,Resultados!AO35,Resultados!AX35,Resultados!BG35,Resultados!BP35,Resultados!BY35,Resultados!CH35)&lt;=1, "", _xlfn.STDEV.S(ABS(Resultados!E35),ABS(Resultados!N35),ABS(Resultados!W35),ABS(Resultados!AF35),ABS(Resultados!AO35),ABS(Resultados!AX35),ABS(Resultados!BG35),ABS(Resultados!BP35),ABS(Resultados!BY35),ABS(Resultados!CH35))/SQRT(COUNT(Resultados!E35,Resultados!N35,Resultados!W35,Resultados!AF35,Resultados!AO35,Resultados!AX35,Resultados!BG35,Resultados!BP35,Resultados!BY35,Resultados!CH35)))</f>
        <v>9.8055608925754693E-4</v>
      </c>
      <c r="F35">
        <f>IF(COUNT(Resultados!F35,Resultados!O35,Resultados!X35,Resultados!AG35,Resultados!AP35,Resultados!AY35,Resultados!BH35,Resultados!BQ35,Resultados!BZ35,Resultados!CI35)&lt;=1, "", _xlfn.STDEV.S(ABS(Resultados!F35),ABS(Resultados!O35),ABS(Resultados!X35),ABS(Resultados!AG35),ABS(Resultados!AP35),ABS(Resultados!AY35),ABS(Resultados!BH35),ABS(Resultados!BQ35),ABS(Resultados!BZ35),ABS(Resultados!CI35))/SQRT(COUNT(Resultados!F35,Resultados!O35,Resultados!X35,Resultados!AG35,Resultados!AP35,Resultados!AY35,Resultados!BH35,Resultados!BQ35,Resultados!BZ35,Resultados!CI35)))</f>
        <v>9.1387827518806461E-2</v>
      </c>
      <c r="G35">
        <f>IF(COUNT(Resultados!G35,Resultados!P35,Resultados!Y35,Resultados!AH35,Resultados!AQ35,Resultados!AZ35,Resultados!BI35,Resultados!BR35,Resultados!CA35,Resultados!CJ35)&lt;=1, "", _xlfn.STDEV.S(ABS(Resultados!G35),ABS(Resultados!P35),ABS(Resultados!Y35),ABS(Resultados!AH35),ABS(Resultados!AQ35),ABS(Resultados!AZ35),ABS(Resultados!BI35),ABS(Resultados!BR35),ABS(Resultados!CA35),ABS(Resultados!CJ35))/SQRT(COUNT(Resultados!G35,Resultados!P35,Resultados!Y35,Resultados!AH35,Resultados!AQ35,Resultados!AZ35,Resultados!BI35,Resultados!BR35,Resultados!CA35,Resultados!CJ35)))</f>
        <v>1.8503717077085941E-17</v>
      </c>
      <c r="H35">
        <f>IF(COUNT(Resultados!H35,Resultados!Q35,Resultados!Z35,Resultados!AI35,Resultados!AR35,Resultados!BA35,Resultados!BJ35,Resultados!BS35,Resultados!CB35,Resultados!CK35)&lt;=1, "", _xlfn.STDEV.S(ABS(Resultados!H35),ABS(Resultados!Q35),ABS(Resultados!Z35),ABS(Resultados!AI35),ABS(Resultados!AR35),ABS(Resultados!BA35),ABS(Resultados!BJ35),ABS(Resultados!BS35),ABS(Resultados!CB35),ABS(Resultados!CK35))/SQRT(COUNT(Resultados!H35,Resultados!Q35,Resultados!Z35,Resultados!AI35,Resultados!AR35,Resultados!BA35,Resultados!BJ35,Resultados!BS35,Resultados!CB35,Resultados!CK35)))</f>
        <v>1.3333333333333252E-5</v>
      </c>
      <c r="I35">
        <f>IF(COUNT(Resultados!I35,Resultados!R35,Resultados!AA35,Resultados!AJ35,Resultados!AS35,Resultados!BB35,Resultados!BK35,Resultados!BT35,Resultados!CC35,Resultados!CL35)&lt;=1, "", _xlfn.STDEV.S(ABS(Resultados!I35),ABS(Resultados!R35),ABS(Resultados!AA35),ABS(Resultados!AJ35),ABS(Resultados!AS35),ABS(Resultados!BB35),ABS(Resultados!BK35),ABS(Resultados!BT35),ABS(Resultados!CC35),ABS(Resultados!CL35))/SQRT(COUNT(Resultados!I35,Resultados!R35,Resultados!AA35,Resultados!AJ35,Resultados!AS35,Resultados!BB35,Resultados!BK35,Resultados!BT35,Resultados!CC35,Resultados!CL35)))</f>
        <v>3.9855642288287195E-4</v>
      </c>
    </row>
    <row r="36" spans="1:9" x14ac:dyDescent="0.3">
      <c r="A36">
        <f>IF(COUNT(Resultados!A36,Resultados!J36,Resultados!S36,Resultados!AB36,Resultados!AK36,Resultados!AT36,Resultados!BC36,Resultados!BL36,Resultados!BU36,Resultados!CD36)&lt;=1, "", _xlfn.STDEV.S(ABS(Resultados!A36),ABS(Resultados!J36),ABS(Resultados!S36),ABS(Resultados!AB36),ABS(Resultados!AK36),ABS(Resultados!AT36),ABS(Resultados!BC36),ABS(Resultados!BL36),ABS(Resultados!BU36),ABS(Resultados!CD36))/SQRT(COUNT(Resultados!A36,Resultados!J36,Resultados!S36,Resultados!AB36,Resultados!AK36,Resultados!AT36,Resultados!BC36,Resultados!BL36,Resultados!BU36,Resultados!CD36)))</f>
        <v>0</v>
      </c>
      <c r="B36" t="str">
        <f>IF(COUNT(Resultados!B36,Resultados!K36,Resultados!T36,Resultados!AC36,Resultados!AL36,Resultados!AU36,Resultados!BD36,Resultados!BM36,Resultados!BV36,Resultados!CE36)&lt;=1, "", _xlfn.STDEV.S(ABS(Resultados!B36),ABS(Resultados!K36),ABS(Resultados!T36),ABS(Resultados!AC36),ABS(Resultados!AL36),ABS(Resultados!AU36),ABS(Resultados!BD36),ABS(Resultados!BM36),ABS(Resultados!BV36),ABS(Resultados!CE36))/SQRT(COUNT(Resultados!B36,Resultados!K36,Resultados!T36,Resultados!AC36,Resultados!AL36,Resultados!AU36,Resultados!BD36,Resultados!BM36,Resultados!BV36,Resultados!CE36)))</f>
        <v/>
      </c>
      <c r="C36">
        <f>IF(COUNT(Resultados!C36,Resultados!L36,Resultados!U36,Resultados!AD36,Resultados!AM36,Resultados!AV36,Resultados!BE36,Resultados!BN36,Resultados!BW36,Resultados!CF36)&lt;=1, "", _xlfn.STDEV.S(ABS(Resultados!C36),ABS(Resultados!L36),ABS(Resultados!U36),ABS(Resultados!AD36),ABS(Resultados!AM36),ABS(Resultados!AV36),ABS(Resultados!BE36),ABS(Resultados!BN36),ABS(Resultados!BW36),ABS(Resultados!CF36))/SQRT(COUNT(Resultados!C36,Resultados!L36,Resultados!U36,Resultados!AD36,Resultados!AM36,Resultados!AV36,Resultados!BE36,Resultados!BN36,Resultados!BW36,Resultados!CF36)))</f>
        <v>0.58214163988576595</v>
      </c>
      <c r="D36">
        <f>IF(COUNT(Resultados!D36,Resultados!M36,Resultados!V36,Resultados!AE36,Resultados!AN36,Resultados!AW36,Resultados!BF36,Resultados!BO36,Resultados!BX36,Resultados!CG36)&lt;=1, "", _xlfn.STDEV.S(ABS(Resultados!D36),ABS(Resultados!M36),ABS(Resultados!V36),ABS(Resultados!AE36),ABS(Resultados!AN36),ABS(Resultados!AW36),ABS(Resultados!BF36),ABS(Resultados!BO36),ABS(Resultados!BX36),ABS(Resultados!CG36))/SQRT(COUNT(Resultados!D36,Resultados!M36,Resultados!V36,Resultados!AE36,Resultados!AN36,Resultados!AW36,Resultados!BF36,Resultados!BO36,Resultados!BX36,Resultados!CG36)))</f>
        <v>1.0137937550497036E-4</v>
      </c>
      <c r="E36">
        <f>IF(COUNT(Resultados!E36,Resultados!N36,Resultados!W36,Resultados!AF36,Resultados!AO36,Resultados!AX36,Resultados!BG36,Resultados!BP36,Resultados!BY36,Resultados!CH36)&lt;=1, "", _xlfn.STDEV.S(ABS(Resultados!E36),ABS(Resultados!N36),ABS(Resultados!W36),ABS(Resultados!AF36),ABS(Resultados!AO36),ABS(Resultados!AX36),ABS(Resultados!BG36),ABS(Resultados!BP36),ABS(Resultados!BY36),ABS(Resultados!CH36))/SQRT(COUNT(Resultados!E36,Resultados!N36,Resultados!W36,Resultados!AF36,Resultados!AO36,Resultados!AX36,Resultados!BG36,Resultados!BP36,Resultados!BY36,Resultados!CH36)))</f>
        <v>8.6757479627355141E-4</v>
      </c>
      <c r="F36">
        <f>IF(COUNT(Resultados!F36,Resultados!O36,Resultados!X36,Resultados!AG36,Resultados!AP36,Resultados!AY36,Resultados!BH36,Resultados!BQ36,Resultados!BZ36,Resultados!CI36)&lt;=1, "", _xlfn.STDEV.S(ABS(Resultados!F36),ABS(Resultados!O36),ABS(Resultados!X36),ABS(Resultados!AG36),ABS(Resultados!AP36),ABS(Resultados!AY36),ABS(Resultados!BH36),ABS(Resultados!BQ36),ABS(Resultados!BZ36),ABS(Resultados!CI36))/SQRT(COUNT(Resultados!F36,Resultados!O36,Resultados!X36,Resultados!AG36,Resultados!AP36,Resultados!AY36,Resultados!BH36,Resultados!BQ36,Resultados!BZ36,Resultados!CI36)))</f>
        <v>8.0857971012690266E-2</v>
      </c>
      <c r="G36">
        <f>IF(COUNT(Resultados!G36,Resultados!P36,Resultados!Y36,Resultados!AH36,Resultados!AQ36,Resultados!AZ36,Resultados!BI36,Resultados!BR36,Resultados!CA36,Resultados!CJ36)&lt;=1, "", _xlfn.STDEV.S(ABS(Resultados!G36),ABS(Resultados!P36),ABS(Resultados!Y36),ABS(Resultados!AH36),ABS(Resultados!AQ36),ABS(Resultados!AZ36),ABS(Resultados!BI36),ABS(Resultados!BR36),ABS(Resultados!CA36),ABS(Resultados!CJ36))/SQRT(COUNT(Resultados!G36,Resultados!P36,Resultados!Y36,Resultados!AH36,Resultados!AQ36,Resultados!AZ36,Resultados!BI36,Resultados!BR36,Resultados!CA36,Resultados!CJ36)))</f>
        <v>1.8503717077085941E-17</v>
      </c>
      <c r="H36">
        <f>IF(COUNT(Resultados!H36,Resultados!Q36,Resultados!Z36,Resultados!AI36,Resultados!AR36,Resultados!BA36,Resultados!BJ36,Resultados!BS36,Resultados!CB36,Resultados!CK36)&lt;=1, "", _xlfn.STDEV.S(ABS(Resultados!H36),ABS(Resultados!Q36),ABS(Resultados!Z36),ABS(Resultados!AI36),ABS(Resultados!AR36),ABS(Resultados!BA36),ABS(Resultados!BJ36),ABS(Resultados!BS36),ABS(Resultados!CB36),ABS(Resultados!CK36))/SQRT(COUNT(Resultados!H36,Resultados!Q36,Resultados!Z36,Resultados!AI36,Resultados!AR36,Resultados!BA36,Resultados!BJ36,Resultados!BS36,Resultados!CB36,Resultados!CK36)))</f>
        <v>1.3333333333333252E-5</v>
      </c>
      <c r="I36">
        <f>IF(COUNT(Resultados!I36,Resultados!R36,Resultados!AA36,Resultados!AJ36,Resultados!AS36,Resultados!BB36,Resultados!BK36,Resultados!BT36,Resultados!CC36,Resultados!CL36)&lt;=1, "", _xlfn.STDEV.S(ABS(Resultados!I36),ABS(Resultados!R36),ABS(Resultados!AA36),ABS(Resultados!AJ36),ABS(Resultados!AS36),ABS(Resultados!BB36),ABS(Resultados!BK36),ABS(Resultados!BT36),ABS(Resultados!CC36),ABS(Resultados!CL36))/SQRT(COUNT(Resultados!I36,Resultados!R36,Resultados!AA36,Resultados!AJ36,Resultados!AS36,Resultados!BB36,Resultados!BK36,Resultados!BT36,Resultados!CC36,Resultados!CL36)))</f>
        <v>4.4440234523099716E-4</v>
      </c>
    </row>
    <row r="37" spans="1:9" x14ac:dyDescent="0.3">
      <c r="A37">
        <f>IF(COUNT(Resultados!A37,Resultados!J37,Resultados!S37,Resultados!AB37,Resultados!AK37,Resultados!AT37,Resultados!BC37,Resultados!BL37,Resultados!BU37,Resultados!CD37)&lt;=1, "", _xlfn.STDEV.S(ABS(Resultados!A37),ABS(Resultados!J37),ABS(Resultados!S37),ABS(Resultados!AB37),ABS(Resultados!AK37),ABS(Resultados!AT37),ABS(Resultados!BC37),ABS(Resultados!BL37),ABS(Resultados!BU37),ABS(Resultados!CD37))/SQRT(COUNT(Resultados!A37,Resultados!J37,Resultados!S37,Resultados!AB37,Resultados!AK37,Resultados!AT37,Resultados!BC37,Resultados!BL37,Resultados!BU37,Resultados!CD37)))</f>
        <v>0</v>
      </c>
      <c r="B37" t="str">
        <f>IF(COUNT(Resultados!B37,Resultados!K37,Resultados!T37,Resultados!AC37,Resultados!AL37,Resultados!AU37,Resultados!BD37,Resultados!BM37,Resultados!BV37,Resultados!CE37)&lt;=1, "", _xlfn.STDEV.S(ABS(Resultados!B37),ABS(Resultados!K37),ABS(Resultados!T37),ABS(Resultados!AC37),ABS(Resultados!AL37),ABS(Resultados!AU37),ABS(Resultados!BD37),ABS(Resultados!BM37),ABS(Resultados!BV37),ABS(Resultados!CE37))/SQRT(COUNT(Resultados!B37,Resultados!K37,Resultados!T37,Resultados!AC37,Resultados!AL37,Resultados!AU37,Resultados!BD37,Resultados!BM37,Resultados!BV37,Resultados!CE37)))</f>
        <v/>
      </c>
      <c r="C37">
        <f>IF(COUNT(Resultados!C37,Resultados!L37,Resultados!U37,Resultados!AD37,Resultados!AM37,Resultados!AV37,Resultados!BE37,Resultados!BN37,Resultados!BW37,Resultados!CF37)&lt;=1, "", _xlfn.STDEV.S(ABS(Resultados!C37),ABS(Resultados!L37),ABS(Resultados!U37),ABS(Resultados!AD37),ABS(Resultados!AM37),ABS(Resultados!AV37),ABS(Resultados!BE37),ABS(Resultados!BN37),ABS(Resultados!BW37),ABS(Resultados!CF37))/SQRT(COUNT(Resultados!C37,Resultados!L37,Resultados!U37,Resultados!AD37,Resultados!AM37,Resultados!AV37,Resultados!BE37,Resultados!BN37,Resultados!BW37,Resultados!CF37)))</f>
        <v>0.58214163988576595</v>
      </c>
      <c r="D37">
        <f>IF(COUNT(Resultados!D37,Resultados!M37,Resultados!V37,Resultados!AE37,Resultados!AN37,Resultados!AW37,Resultados!BF37,Resultados!BO37,Resultados!BX37,Resultados!CG37)&lt;=1, "", _xlfn.STDEV.S(ABS(Resultados!D37),ABS(Resultados!M37),ABS(Resultados!V37),ABS(Resultados!AE37),ABS(Resultados!AN37),ABS(Resultados!AW37),ABS(Resultados!BF37),ABS(Resultados!BO37),ABS(Resultados!BX37),ABS(Resultados!CG37))/SQRT(COUNT(Resultados!D37,Resultados!M37,Resultados!V37,Resultados!AE37,Resultados!AN37,Resultados!AW37,Resultados!BF37,Resultados!BO37,Resultados!BX37,Resultados!CG37)))</f>
        <v>5.6174331821175789E-5</v>
      </c>
      <c r="E37">
        <f>IF(COUNT(Resultados!E37,Resultados!N37,Resultados!W37,Resultados!AF37,Resultados!AO37,Resultados!AX37,Resultados!BG37,Resultados!BP37,Resultados!BY37,Resultados!CH37)&lt;=1, "", _xlfn.STDEV.S(ABS(Resultados!E37),ABS(Resultados!N37),ABS(Resultados!W37),ABS(Resultados!AF37),ABS(Resultados!AO37),ABS(Resultados!AX37),ABS(Resultados!BG37),ABS(Resultados!BP37),ABS(Resultados!BY37),ABS(Resultados!CH37))/SQRT(COUNT(Resultados!E37,Resultados!N37,Resultados!W37,Resultados!AF37,Resultados!AO37,Resultados!AX37,Resultados!BG37,Resultados!BP37,Resultados!BY37,Resultados!CH37)))</f>
        <v>8.6126010258745359E-4</v>
      </c>
      <c r="F37">
        <f>IF(COUNT(Resultados!F37,Resultados!O37,Resultados!X37,Resultados!AG37,Resultados!AP37,Resultados!AY37,Resultados!BH37,Resultados!BQ37,Resultados!BZ37,Resultados!CI37)&lt;=1, "", _xlfn.STDEV.S(ABS(Resultados!F37),ABS(Resultados!O37),ABS(Resultados!X37),ABS(Resultados!AG37),ABS(Resultados!AP37),ABS(Resultados!AY37),ABS(Resultados!BH37),ABS(Resultados!BQ37),ABS(Resultados!BZ37),ABS(Resultados!CI37))/SQRT(COUNT(Resultados!F37,Resultados!O37,Resultados!X37,Resultados!AG37,Resultados!AP37,Resultados!AY37,Resultados!BH37,Resultados!BQ37,Resultados!BZ37,Resultados!CI37)))</f>
        <v>8.026944156114324E-2</v>
      </c>
      <c r="G37">
        <f>IF(COUNT(Resultados!G37,Resultados!P37,Resultados!Y37,Resultados!AH37,Resultados!AQ37,Resultados!AZ37,Resultados!BI37,Resultados!BR37,Resultados!CA37,Resultados!CJ37)&lt;=1, "", _xlfn.STDEV.S(ABS(Resultados!G37),ABS(Resultados!P37),ABS(Resultados!Y37),ABS(Resultados!AH37),ABS(Resultados!AQ37),ABS(Resultados!AZ37),ABS(Resultados!BI37),ABS(Resultados!BR37),ABS(Resultados!CA37),ABS(Resultados!CJ37))/SQRT(COUNT(Resultados!G37,Resultados!P37,Resultados!Y37,Resultados!AH37,Resultados!AQ37,Resultados!AZ37,Resultados!BI37,Resultados!BR37,Resultados!CA37,Resultados!CJ37)))</f>
        <v>1.8503717077085941E-17</v>
      </c>
      <c r="H37">
        <f>IF(COUNT(Resultados!H37,Resultados!Q37,Resultados!Z37,Resultados!AI37,Resultados!AR37,Resultados!BA37,Resultados!BJ37,Resultados!BS37,Resultados!CB37,Resultados!CK37)&lt;=1, "", _xlfn.STDEV.S(ABS(Resultados!H37),ABS(Resultados!Q37),ABS(Resultados!Z37),ABS(Resultados!AI37),ABS(Resultados!AR37),ABS(Resultados!BA37),ABS(Resultados!BJ37),ABS(Resultados!BS37),ABS(Resultados!CB37),ABS(Resultados!CK37))/SQRT(COUNT(Resultados!H37,Resultados!Q37,Resultados!Z37,Resultados!AI37,Resultados!AR37,Resultados!BA37,Resultados!BJ37,Resultados!BS37,Resultados!CB37,Resultados!CK37)))</f>
        <v>1.4907119849998508E-5</v>
      </c>
      <c r="I37">
        <f>IF(COUNT(Resultados!I37,Resultados!R37,Resultados!AA37,Resultados!AJ37,Resultados!AS37,Resultados!BB37,Resultados!BK37,Resultados!BT37,Resultados!CC37,Resultados!CL37)&lt;=1, "", _xlfn.STDEV.S(ABS(Resultados!I37),ABS(Resultados!R37),ABS(Resultados!AA37),ABS(Resultados!AJ37),ABS(Resultados!AS37),ABS(Resultados!BB37),ABS(Resultados!BK37),ABS(Resultados!BT37),ABS(Resultados!CC37),ABS(Resultados!CL37))/SQRT(COUNT(Resultados!I37,Resultados!R37,Resultados!AA37,Resultados!AJ37,Resultados!AS37,Resultados!BB37,Resultados!BK37,Resultados!BT37,Resultados!CC37,Resultados!CL37)))</f>
        <v>4.1909969644027359E-4</v>
      </c>
    </row>
    <row r="38" spans="1:9" x14ac:dyDescent="0.3">
      <c r="A38">
        <f>IF(COUNT(Resultados!A38,Resultados!J38,Resultados!S38,Resultados!AB38,Resultados!AK38,Resultados!AT38,Resultados!BC38,Resultados!BL38,Resultados!BU38,Resultados!CD38)&lt;=1, "", _xlfn.STDEV.S(ABS(Resultados!A38),ABS(Resultados!J38),ABS(Resultados!S38),ABS(Resultados!AB38),ABS(Resultados!AK38),ABS(Resultados!AT38),ABS(Resultados!BC38),ABS(Resultados!BL38),ABS(Resultados!BU38),ABS(Resultados!CD38))/SQRT(COUNT(Resultados!A38,Resultados!J38,Resultados!S38,Resultados!AB38,Resultados!AK38,Resultados!AT38,Resultados!BC38,Resultados!BL38,Resultados!BU38,Resultados!CD38)))</f>
        <v>0</v>
      </c>
      <c r="B38" t="str">
        <f>IF(COUNT(Resultados!B38,Resultados!K38,Resultados!T38,Resultados!AC38,Resultados!AL38,Resultados!AU38,Resultados!BD38,Resultados!BM38,Resultados!BV38,Resultados!CE38)&lt;=1, "", _xlfn.STDEV.S(ABS(Resultados!B38),ABS(Resultados!K38),ABS(Resultados!T38),ABS(Resultados!AC38),ABS(Resultados!AL38),ABS(Resultados!AU38),ABS(Resultados!BD38),ABS(Resultados!BM38),ABS(Resultados!BV38),ABS(Resultados!CE38))/SQRT(COUNT(Resultados!B38,Resultados!K38,Resultados!T38,Resultados!AC38,Resultados!AL38,Resultados!AU38,Resultados!BD38,Resultados!BM38,Resultados!BV38,Resultados!CE38)))</f>
        <v/>
      </c>
      <c r="C38">
        <f>IF(COUNT(Resultados!C38,Resultados!L38,Resultados!U38,Resultados!AD38,Resultados!AM38,Resultados!AV38,Resultados!BE38,Resultados!BN38,Resultados!BW38,Resultados!CF38)&lt;=1, "", _xlfn.STDEV.S(ABS(Resultados!C38),ABS(Resultados!L38),ABS(Resultados!U38),ABS(Resultados!AD38),ABS(Resultados!AM38),ABS(Resultados!AV38),ABS(Resultados!BE38),ABS(Resultados!BN38),ABS(Resultados!BW38),ABS(Resultados!CF38))/SQRT(COUNT(Resultados!C38,Resultados!L38,Resultados!U38,Resultados!AD38,Resultados!AM38,Resultados!AV38,Resultados!BE38,Resultados!BN38,Resultados!BW38,Resultados!CF38)))</f>
        <v>0.58214163988576595</v>
      </c>
      <c r="D38">
        <f>IF(COUNT(Resultados!D38,Resultados!M38,Resultados!V38,Resultados!AE38,Resultados!AN38,Resultados!AW38,Resultados!BF38,Resultados!BO38,Resultados!BX38,Resultados!CG38)&lt;=1, "", _xlfn.STDEV.S(ABS(Resultados!D38),ABS(Resultados!M38),ABS(Resultados!V38),ABS(Resultados!AE38),ABS(Resultados!AN38),ABS(Resultados!AW38),ABS(Resultados!BF38),ABS(Resultados!BO38),ABS(Resultados!BX38),ABS(Resultados!CG38))/SQRT(COUNT(Resultados!D38,Resultados!M38,Resultados!V38,Resultados!AE38,Resultados!AN38,Resultados!AW38,Resultados!BF38,Resultados!BO38,Resultados!BX38,Resultados!CG38)))</f>
        <v>4.0688518719112315E-5</v>
      </c>
      <c r="E38">
        <f>IF(COUNT(Resultados!E38,Resultados!N38,Resultados!W38,Resultados!AF38,Resultados!AO38,Resultados!AX38,Resultados!BG38,Resultados!BP38,Resultados!BY38,Resultados!CH38)&lt;=1, "", _xlfn.STDEV.S(ABS(Resultados!E38),ABS(Resultados!N38),ABS(Resultados!W38),ABS(Resultados!AF38),ABS(Resultados!AO38),ABS(Resultados!AX38),ABS(Resultados!BG38),ABS(Resultados!BP38),ABS(Resultados!BY38),ABS(Resultados!CH38))/SQRT(COUNT(Resultados!E38,Resultados!N38,Resultados!W38,Resultados!AF38,Resultados!AO38,Resultados!AX38,Resultados!BG38,Resultados!BP38,Resultados!BY38,Resultados!CH38)))</f>
        <v>9.2921992426892508E-4</v>
      </c>
      <c r="F38">
        <f>IF(COUNT(Resultados!F38,Resultados!O38,Resultados!X38,Resultados!AG38,Resultados!AP38,Resultados!AY38,Resultados!BH38,Resultados!BQ38,Resultados!BZ38,Resultados!CI38)&lt;=1, "", _xlfn.STDEV.S(ABS(Resultados!F38),ABS(Resultados!O38),ABS(Resultados!X38),ABS(Resultados!AG38),ABS(Resultados!AP38),ABS(Resultados!AY38),ABS(Resultados!BH38),ABS(Resultados!BQ38),ABS(Resultados!BZ38),ABS(Resultados!CI38))/SQRT(COUNT(Resultados!F38,Resultados!O38,Resultados!X38,Resultados!AG38,Resultados!AP38,Resultados!AY38,Resultados!BH38,Resultados!BQ38,Resultados!BZ38,Resultados!CI38)))</f>
        <v>8.6603296941866012E-2</v>
      </c>
      <c r="G38">
        <f>IF(COUNT(Resultados!G38,Resultados!P38,Resultados!Y38,Resultados!AH38,Resultados!AQ38,Resultados!AZ38,Resultados!BI38,Resultados!BR38,Resultados!CA38,Resultados!CJ38)&lt;=1, "", _xlfn.STDEV.S(ABS(Resultados!G38),ABS(Resultados!P38),ABS(Resultados!Y38),ABS(Resultados!AH38),ABS(Resultados!AQ38),ABS(Resultados!AZ38),ABS(Resultados!BI38),ABS(Resultados!BR38),ABS(Resultados!CA38),ABS(Resultados!CJ38))/SQRT(COUNT(Resultados!G38,Resultados!P38,Resultados!Y38,Resultados!AH38,Resultados!AQ38,Resultados!AZ38,Resultados!BI38,Resultados!BR38,Resultados!CA38,Resultados!CJ38)))</f>
        <v>1.8503717077085941E-17</v>
      </c>
      <c r="H38">
        <f>IF(COUNT(Resultados!H38,Resultados!Q38,Resultados!Z38,Resultados!AI38,Resultados!AR38,Resultados!BA38,Resultados!BJ38,Resultados!BS38,Resultados!CB38,Resultados!CK38)&lt;=1, "", _xlfn.STDEV.S(ABS(Resultados!H38),ABS(Resultados!Q38),ABS(Resultados!Z38),ABS(Resultados!AI38),ABS(Resultados!AR38),ABS(Resultados!BA38),ABS(Resultados!BJ38),ABS(Resultados!BS38),ABS(Resultados!CB38),ABS(Resultados!CK38))/SQRT(COUNT(Resultados!H38,Resultados!Q38,Resultados!Z38,Resultados!AI38,Resultados!AR38,Resultados!BA38,Resultados!BJ38,Resultados!BS38,Resultados!CB38,Resultados!CK38)))</f>
        <v>1.5275252316519507E-5</v>
      </c>
      <c r="I38">
        <f>IF(COUNT(Resultados!I38,Resultados!R38,Resultados!AA38,Resultados!AJ38,Resultados!AS38,Resultados!BB38,Resultados!BK38,Resultados!BT38,Resultados!CC38,Resultados!CL38)&lt;=1, "", _xlfn.STDEV.S(ABS(Resultados!I38),ABS(Resultados!R38),ABS(Resultados!AA38),ABS(Resultados!AJ38),ABS(Resultados!AS38),ABS(Resultados!BB38),ABS(Resultados!BK38),ABS(Resultados!BT38),ABS(Resultados!CC38),ABS(Resultados!CL38))/SQRT(COUNT(Resultados!I38,Resultados!R38,Resultados!AA38,Resultados!AJ38,Resultados!AS38,Resultados!BB38,Resultados!BK38,Resultados!BT38,Resultados!CC38,Resultados!CL38)))</f>
        <v>9.9426404943639348E-4</v>
      </c>
    </row>
    <row r="39" spans="1:9" x14ac:dyDescent="0.3">
      <c r="A39">
        <f>IF(COUNT(Resultados!A39,Resultados!J39,Resultados!S39,Resultados!AB39,Resultados!AK39,Resultados!AT39,Resultados!BC39,Resultados!BL39,Resultados!BU39,Resultados!CD39)&lt;=1, "", _xlfn.STDEV.S(ABS(Resultados!A39),ABS(Resultados!J39),ABS(Resultados!S39),ABS(Resultados!AB39),ABS(Resultados!AK39),ABS(Resultados!AT39),ABS(Resultados!BC39),ABS(Resultados!BL39),ABS(Resultados!BU39),ABS(Resultados!CD39))/SQRT(COUNT(Resultados!A39,Resultados!J39,Resultados!S39,Resultados!AB39,Resultados!AK39,Resultados!AT39,Resultados!BC39,Resultados!BL39,Resultados!BU39,Resultados!CD39)))</f>
        <v>0</v>
      </c>
      <c r="B39" t="str">
        <f>IF(COUNT(Resultados!B39,Resultados!K39,Resultados!T39,Resultados!AC39,Resultados!AL39,Resultados!AU39,Resultados!BD39,Resultados!BM39,Resultados!BV39,Resultados!CE39)&lt;=1, "", _xlfn.STDEV.S(ABS(Resultados!B39),ABS(Resultados!K39),ABS(Resultados!T39),ABS(Resultados!AC39),ABS(Resultados!AL39),ABS(Resultados!AU39),ABS(Resultados!BD39),ABS(Resultados!BM39),ABS(Resultados!BV39),ABS(Resultados!CE39))/SQRT(COUNT(Resultados!B39,Resultados!K39,Resultados!T39,Resultados!AC39,Resultados!AL39,Resultados!AU39,Resultados!BD39,Resultados!BM39,Resultados!BV39,Resultados!CE39)))</f>
        <v/>
      </c>
      <c r="C39">
        <f>IF(COUNT(Resultados!C39,Resultados!L39,Resultados!U39,Resultados!AD39,Resultados!AM39,Resultados!AV39,Resultados!BE39,Resultados!BN39,Resultados!BW39,Resultados!CF39)&lt;=1, "", _xlfn.STDEV.S(ABS(Resultados!C39),ABS(Resultados!L39),ABS(Resultados!U39),ABS(Resultados!AD39),ABS(Resultados!AM39),ABS(Resultados!AV39),ABS(Resultados!BE39),ABS(Resultados!BN39),ABS(Resultados!BW39),ABS(Resultados!CF39))/SQRT(COUNT(Resultados!C39,Resultados!L39,Resultados!U39,Resultados!AD39,Resultados!AM39,Resultados!AV39,Resultados!BE39,Resultados!BN39,Resultados!BW39,Resultados!CF39)))</f>
        <v>0.58214163988576595</v>
      </c>
      <c r="D39">
        <f>IF(COUNT(Resultados!D39,Resultados!M39,Resultados!V39,Resultados!AE39,Resultados!AN39,Resultados!AW39,Resultados!BF39,Resultados!BO39,Resultados!BX39,Resultados!CG39)&lt;=1, "", _xlfn.STDEV.S(ABS(Resultados!D39),ABS(Resultados!M39),ABS(Resultados!V39),ABS(Resultados!AE39),ABS(Resultados!AN39),ABS(Resultados!AW39),ABS(Resultados!BF39),ABS(Resultados!BO39),ABS(Resultados!BX39),ABS(Resultados!CG39))/SQRT(COUNT(Resultados!D39,Resultados!M39,Resultados!V39,Resultados!AE39,Resultados!AN39,Resultados!AW39,Resultados!BF39,Resultados!BO39,Resultados!BX39,Resultados!CG39)))</f>
        <v>3.0731814857642971E-5</v>
      </c>
      <c r="E39">
        <f>IF(COUNT(Resultados!E39,Resultados!N39,Resultados!W39,Resultados!AF39,Resultados!AO39,Resultados!AX39,Resultados!BG39,Resultados!BP39,Resultados!BY39,Resultados!CH39)&lt;=1, "", _xlfn.STDEV.S(ABS(Resultados!E39),ABS(Resultados!N39),ABS(Resultados!W39),ABS(Resultados!AF39),ABS(Resultados!AO39),ABS(Resultados!AX39),ABS(Resultados!BG39),ABS(Resultados!BP39),ABS(Resultados!BY39),ABS(Resultados!CH39))/SQRT(COUNT(Resultados!E39,Resultados!N39,Resultados!W39,Resultados!AF39,Resultados!AO39,Resultados!AX39,Resultados!BG39,Resultados!BP39,Resultados!BY39,Resultados!CH39)))</f>
        <v>6.239618613607178E-4</v>
      </c>
      <c r="F39">
        <f>IF(COUNT(Resultados!F39,Resultados!O39,Resultados!X39,Resultados!AG39,Resultados!AP39,Resultados!AY39,Resultados!BH39,Resultados!BQ39,Resultados!BZ39,Resultados!CI39)&lt;=1, "", _xlfn.STDEV.S(ABS(Resultados!F39),ABS(Resultados!O39),ABS(Resultados!X39),ABS(Resultados!AG39),ABS(Resultados!AP39),ABS(Resultados!AY39),ABS(Resultados!BH39),ABS(Resultados!BQ39),ABS(Resultados!BZ39),ABS(Resultados!CI39))/SQRT(COUNT(Resultados!F39,Resultados!O39,Resultados!X39,Resultados!AG39,Resultados!AP39,Resultados!AY39,Resultados!BH39,Resultados!BQ39,Resultados!BZ39,Resultados!CI39)))</f>
        <v>5.8153245478822807E-2</v>
      </c>
      <c r="G39">
        <f>IF(COUNT(Resultados!G39,Resultados!P39,Resultados!Y39,Resultados!AH39,Resultados!AQ39,Resultados!AZ39,Resultados!BI39,Resultados!BR39,Resultados!CA39,Resultados!CJ39)&lt;=1, "", _xlfn.STDEV.S(ABS(Resultados!G39),ABS(Resultados!P39),ABS(Resultados!Y39),ABS(Resultados!AH39),ABS(Resultados!AQ39),ABS(Resultados!AZ39),ABS(Resultados!BI39),ABS(Resultados!BR39),ABS(Resultados!CA39),ABS(Resultados!CJ39))/SQRT(COUNT(Resultados!G39,Resultados!P39,Resultados!Y39,Resultados!AH39,Resultados!AQ39,Resultados!AZ39,Resultados!BI39,Resultados!BR39,Resultados!CA39,Resultados!CJ39)))</f>
        <v>1.8503717077085941E-17</v>
      </c>
      <c r="H39">
        <f>IF(COUNT(Resultados!H39,Resultados!Q39,Resultados!Z39,Resultados!AI39,Resultados!AR39,Resultados!BA39,Resultados!BJ39,Resultados!BS39,Resultados!CB39,Resultados!CK39)&lt;=1, "", _xlfn.STDEV.S(ABS(Resultados!H39),ABS(Resultados!Q39),ABS(Resultados!Z39),ABS(Resultados!AI39),ABS(Resultados!AR39),ABS(Resultados!BA39),ABS(Resultados!BJ39),ABS(Resultados!BS39),ABS(Resultados!CB39),ABS(Resultados!CK39))/SQRT(COUNT(Resultados!H39,Resultados!Q39,Resultados!Z39,Resultados!AI39,Resultados!AR39,Resultados!BA39,Resultados!BJ39,Resultados!BS39,Resultados!CB39,Resultados!CK39)))</f>
        <v>1.4456028966473392E-19</v>
      </c>
      <c r="I39">
        <f>IF(COUNT(Resultados!I39,Resultados!R39,Resultados!AA39,Resultados!AJ39,Resultados!AS39,Resultados!BB39,Resultados!BK39,Resultados!BT39,Resultados!CC39,Resultados!CL39)&lt;=1, "", _xlfn.STDEV.S(ABS(Resultados!I39),ABS(Resultados!R39),ABS(Resultados!AA39),ABS(Resultados!AJ39),ABS(Resultados!AS39),ABS(Resultados!BB39),ABS(Resultados!BK39),ABS(Resultados!BT39),ABS(Resultados!CC39),ABS(Resultados!CL39))/SQRT(COUNT(Resultados!I39,Resultados!R39,Resultados!AA39,Resultados!AJ39,Resultados!AS39,Resultados!BB39,Resultados!BK39,Resultados!BT39,Resultados!CC39,Resultados!CL39)))</f>
        <v>3.817090223949149E-4</v>
      </c>
    </row>
    <row r="40" spans="1:9" x14ac:dyDescent="0.3">
      <c r="A40">
        <f>IF(COUNT(Resultados!A40,Resultados!J40,Resultados!S40,Resultados!AB40,Resultados!AK40,Resultados!AT40,Resultados!BC40,Resultados!BL40,Resultados!BU40,Resultados!CD40)&lt;=1, "", _xlfn.STDEV.S(ABS(Resultados!A40),ABS(Resultados!J40),ABS(Resultados!S40),ABS(Resultados!AB40),ABS(Resultados!AK40),ABS(Resultados!AT40),ABS(Resultados!BC40),ABS(Resultados!BL40),ABS(Resultados!BU40),ABS(Resultados!CD40))/SQRT(COUNT(Resultados!A40,Resultados!J40,Resultados!S40,Resultados!AB40,Resultados!AK40,Resultados!AT40,Resultados!BC40,Resultados!BL40,Resultados!BU40,Resultados!CD40)))</f>
        <v>0</v>
      </c>
      <c r="B40" t="str">
        <f>IF(COUNT(Resultados!B40,Resultados!K40,Resultados!T40,Resultados!AC40,Resultados!AL40,Resultados!AU40,Resultados!BD40,Resultados!BM40,Resultados!BV40,Resultados!CE40)&lt;=1, "", _xlfn.STDEV.S(ABS(Resultados!B40),ABS(Resultados!K40),ABS(Resultados!T40),ABS(Resultados!AC40),ABS(Resultados!AL40),ABS(Resultados!AU40),ABS(Resultados!BD40),ABS(Resultados!BM40),ABS(Resultados!BV40),ABS(Resultados!CE40))/SQRT(COUNT(Resultados!B40,Resultados!K40,Resultados!T40,Resultados!AC40,Resultados!AL40,Resultados!AU40,Resultados!BD40,Resultados!BM40,Resultados!BV40,Resultados!CE40)))</f>
        <v/>
      </c>
      <c r="C40">
        <f>IF(COUNT(Resultados!C40,Resultados!L40,Resultados!U40,Resultados!AD40,Resultados!AM40,Resultados!AV40,Resultados!BE40,Resultados!BN40,Resultados!BW40,Resultados!CF40)&lt;=1, "", _xlfn.STDEV.S(ABS(Resultados!C40),ABS(Resultados!L40),ABS(Resultados!U40),ABS(Resultados!AD40),ABS(Resultados!AM40),ABS(Resultados!AV40),ABS(Resultados!BE40),ABS(Resultados!BN40),ABS(Resultados!BW40),ABS(Resultados!CF40))/SQRT(COUNT(Resultados!C40,Resultados!L40,Resultados!U40,Resultados!AD40,Resultados!AM40,Resultados!AV40,Resultados!BE40,Resultados!BN40,Resultados!BW40,Resultados!CF40)))</f>
        <v>0.58214163988576595</v>
      </c>
      <c r="D40">
        <f>IF(COUNT(Resultados!D40,Resultados!M40,Resultados!V40,Resultados!AE40,Resultados!AN40,Resultados!AW40,Resultados!BF40,Resultados!BO40,Resultados!BX40,Resultados!CG40)&lt;=1, "", _xlfn.STDEV.S(ABS(Resultados!D40),ABS(Resultados!M40),ABS(Resultados!V40),ABS(Resultados!AE40),ABS(Resultados!AN40),ABS(Resultados!AW40),ABS(Resultados!BF40),ABS(Resultados!BO40),ABS(Resultados!BX40),ABS(Resultados!CG40))/SQRT(COUNT(Resultados!D40,Resultados!M40,Resultados!V40,Resultados!AE40,Resultados!AN40,Resultados!AW40,Resultados!BF40,Resultados!BO40,Resultados!BX40,Resultados!CG40)))</f>
        <v>4.7140452079103176E-5</v>
      </c>
      <c r="E40">
        <f>IF(COUNT(Resultados!E40,Resultados!N40,Resultados!W40,Resultados!AF40,Resultados!AO40,Resultados!AX40,Resultados!BG40,Resultados!BP40,Resultados!BY40,Resultados!CH40)&lt;=1, "", _xlfn.STDEV.S(ABS(Resultados!E40),ABS(Resultados!N40),ABS(Resultados!W40),ABS(Resultados!AF40),ABS(Resultados!AO40),ABS(Resultados!AX40),ABS(Resultados!BG40),ABS(Resultados!BP40),ABS(Resultados!BY40),ABS(Resultados!CH40))/SQRT(COUNT(Resultados!E40,Resultados!N40,Resultados!W40,Resultados!AF40,Resultados!AO40,Resultados!AX40,Resultados!BG40,Resultados!BP40,Resultados!BY40,Resultados!CH40)))</f>
        <v>3.1803279790509399E-4</v>
      </c>
      <c r="F40">
        <f>IF(COUNT(Resultados!F40,Resultados!O40,Resultados!X40,Resultados!AG40,Resultados!AP40,Resultados!AY40,Resultados!BH40,Resultados!BQ40,Resultados!BZ40,Resultados!CI40)&lt;=1, "", _xlfn.STDEV.S(ABS(Resultados!F40),ABS(Resultados!O40),ABS(Resultados!X40),ABS(Resultados!AG40),ABS(Resultados!AP40),ABS(Resultados!AY40),ABS(Resultados!BH40),ABS(Resultados!BQ40),ABS(Resultados!BZ40),ABS(Resultados!CI40))/SQRT(COUNT(Resultados!F40,Resultados!O40,Resultados!X40,Resultados!AG40,Resultados!AP40,Resultados!AY40,Resultados!BH40,Resultados!BQ40,Resultados!BZ40,Resultados!CI40)))</f>
        <v>2.9640656764746216E-2</v>
      </c>
      <c r="G40">
        <f>IF(COUNT(Resultados!G40,Resultados!P40,Resultados!Y40,Resultados!AH40,Resultados!AQ40,Resultados!AZ40,Resultados!BI40,Resultados!BR40,Resultados!CA40,Resultados!CJ40)&lt;=1, "", _xlfn.STDEV.S(ABS(Resultados!G40),ABS(Resultados!P40),ABS(Resultados!Y40),ABS(Resultados!AH40),ABS(Resultados!AQ40),ABS(Resultados!AZ40),ABS(Resultados!BI40),ABS(Resultados!BR40),ABS(Resultados!CA40),ABS(Resultados!CJ40))/SQRT(COUNT(Resultados!G40,Resultados!P40,Resultados!Y40,Resultados!AH40,Resultados!AQ40,Resultados!AZ40,Resultados!BI40,Resultados!BR40,Resultados!CA40,Resultados!CJ40)))</f>
        <v>1.8503717077085941E-17</v>
      </c>
      <c r="H40">
        <f>IF(COUNT(Resultados!H40,Resultados!Q40,Resultados!Z40,Resultados!AI40,Resultados!AR40,Resultados!BA40,Resultados!BJ40,Resultados!BS40,Resultados!CB40,Resultados!CK40)&lt;=1, "", _xlfn.STDEV.S(ABS(Resultados!H40),ABS(Resultados!Q40),ABS(Resultados!Z40),ABS(Resultados!AI40),ABS(Resultados!AR40),ABS(Resultados!BA40),ABS(Resultados!BJ40),ABS(Resultados!BS40),ABS(Resultados!CB40),ABS(Resultados!CK40))/SQRT(COUNT(Resultados!H40,Resultados!Q40,Resultados!Z40,Resultados!AI40,Resultados!AR40,Resultados!BA40,Resultados!BJ40,Resultados!BS40,Resultados!CB40,Resultados!CK40)))</f>
        <v>1.0000000000000004E-5</v>
      </c>
      <c r="I40">
        <f>IF(COUNT(Resultados!I40,Resultados!R40,Resultados!AA40,Resultados!AJ40,Resultados!AS40,Resultados!BB40,Resultados!BK40,Resultados!BT40,Resultados!CC40,Resultados!CL40)&lt;=1, "", _xlfn.STDEV.S(ABS(Resultados!I40),ABS(Resultados!R40),ABS(Resultados!AA40),ABS(Resultados!AJ40),ABS(Resultados!AS40),ABS(Resultados!BB40),ABS(Resultados!BK40),ABS(Resultados!BT40),ABS(Resultados!CC40),ABS(Resultados!CL40))/SQRT(COUNT(Resultados!I40,Resultados!R40,Resultados!AA40,Resultados!AJ40,Resultados!AS40,Resultados!BB40,Resultados!BK40,Resultados!BT40,Resultados!CC40,Resultados!CL40)))</f>
        <v>3.9469819693805475E-4</v>
      </c>
    </row>
    <row r="41" spans="1:9" x14ac:dyDescent="0.3">
      <c r="A41">
        <f>IF(COUNT(Resultados!A41,Resultados!J41,Resultados!S41,Resultados!AB41,Resultados!AK41,Resultados!AT41,Resultados!BC41,Resultados!BL41,Resultados!BU41,Resultados!CD41)&lt;=1, "", _xlfn.STDEV.S(ABS(Resultados!A41),ABS(Resultados!J41),ABS(Resultados!S41),ABS(Resultados!AB41),ABS(Resultados!AK41),ABS(Resultados!AT41),ABS(Resultados!BC41),ABS(Resultados!BL41),ABS(Resultados!BU41),ABS(Resultados!CD41))/SQRT(COUNT(Resultados!A41,Resultados!J41,Resultados!S41,Resultados!AB41,Resultados!AK41,Resultados!AT41,Resultados!BC41,Resultados!BL41,Resultados!BU41,Resultados!CD41)))</f>
        <v>0</v>
      </c>
      <c r="B41" t="str">
        <f>IF(COUNT(Resultados!B41,Resultados!K41,Resultados!T41,Resultados!AC41,Resultados!AL41,Resultados!AU41,Resultados!BD41,Resultados!BM41,Resultados!BV41,Resultados!CE41)&lt;=1, "", _xlfn.STDEV.S(ABS(Resultados!B41),ABS(Resultados!K41),ABS(Resultados!T41),ABS(Resultados!AC41),ABS(Resultados!AL41),ABS(Resultados!AU41),ABS(Resultados!BD41),ABS(Resultados!BM41),ABS(Resultados!BV41),ABS(Resultados!CE41))/SQRT(COUNT(Resultados!B41,Resultados!K41,Resultados!T41,Resultados!AC41,Resultados!AL41,Resultados!AU41,Resultados!BD41,Resultados!BM41,Resultados!BV41,Resultados!CE41)))</f>
        <v/>
      </c>
      <c r="C41">
        <f>IF(COUNT(Resultados!C41,Resultados!L41,Resultados!U41,Resultados!AD41,Resultados!AM41,Resultados!AV41,Resultados!BE41,Resultados!BN41,Resultados!BW41,Resultados!CF41)&lt;=1, "", _xlfn.STDEV.S(ABS(Resultados!C41),ABS(Resultados!L41),ABS(Resultados!U41),ABS(Resultados!AD41),ABS(Resultados!AM41),ABS(Resultados!AV41),ABS(Resultados!BE41),ABS(Resultados!BN41),ABS(Resultados!BW41),ABS(Resultados!CF41))/SQRT(COUNT(Resultados!C41,Resultados!L41,Resultados!U41,Resultados!AD41,Resultados!AM41,Resultados!AV41,Resultados!BE41,Resultados!BN41,Resultados!BW41,Resultados!CF41)))</f>
        <v>0.58214163988576595</v>
      </c>
      <c r="D41">
        <f>IF(COUNT(Resultados!D41,Resultados!M41,Resultados!V41,Resultados!AE41,Resultados!AN41,Resultados!AW41,Resultados!BF41,Resultados!BO41,Resultados!BX41,Resultados!CG41)&lt;=1, "", _xlfn.STDEV.S(ABS(Resultados!D41),ABS(Resultados!M41),ABS(Resultados!V41),ABS(Resultados!AE41),ABS(Resultados!AN41),ABS(Resultados!AW41),ABS(Resultados!BF41),ABS(Resultados!BO41),ABS(Resultados!BX41),ABS(Resultados!CG41))/SQRT(COUNT(Resultados!D41,Resultados!M41,Resultados!V41,Resultados!AE41,Resultados!AN41,Resultados!AW41,Resultados!BF41,Resultados!BO41,Resultados!BX41,Resultados!CG41)))</f>
        <v>9.5452140421842333E-5</v>
      </c>
      <c r="E41">
        <f>IF(COUNT(Resultados!E41,Resultados!N41,Resultados!W41,Resultados!AF41,Resultados!AO41,Resultados!AX41,Resultados!BG41,Resultados!BP41,Resultados!BY41,Resultados!CH41)&lt;=1, "", _xlfn.STDEV.S(ABS(Resultados!E41),ABS(Resultados!N41),ABS(Resultados!W41),ABS(Resultados!AF41),ABS(Resultados!AO41),ABS(Resultados!AX41),ABS(Resultados!BG41),ABS(Resultados!BP41),ABS(Resultados!BY41),ABS(Resultados!CH41))/SQRT(COUNT(Resultados!E41,Resultados!N41,Resultados!W41,Resultados!AF41,Resultados!AO41,Resultados!AX41,Resultados!BG41,Resultados!BP41,Resultados!BY41,Resultados!CH41)))</f>
        <v>1.4453640597708698E-4</v>
      </c>
      <c r="F41">
        <f>IF(COUNT(Resultados!F41,Resultados!O41,Resultados!X41,Resultados!AG41,Resultados!AP41,Resultados!AY41,Resultados!BH41,Resultados!BQ41,Resultados!BZ41,Resultados!CI41)&lt;=1, "", _xlfn.STDEV.S(ABS(Resultados!F41),ABS(Resultados!O41),ABS(Resultados!X41),ABS(Resultados!AG41),ABS(Resultados!AP41),ABS(Resultados!AY41),ABS(Resultados!BH41),ABS(Resultados!BQ41),ABS(Resultados!BZ41),ABS(Resultados!CI41))/SQRT(COUNT(Resultados!F41,Resultados!O41,Resultados!X41,Resultados!AG41,Resultados!AP41,Resultados!AY41,Resultados!BH41,Resultados!BQ41,Resultados!BZ41,Resultados!CI41)))</f>
        <v>1.3470793037069634E-2</v>
      </c>
      <c r="G41">
        <f>IF(COUNT(Resultados!G41,Resultados!P41,Resultados!Y41,Resultados!AH41,Resultados!AQ41,Resultados!AZ41,Resultados!BI41,Resultados!BR41,Resultados!CA41,Resultados!CJ41)&lt;=1, "", _xlfn.STDEV.S(ABS(Resultados!G41),ABS(Resultados!P41),ABS(Resultados!Y41),ABS(Resultados!AH41),ABS(Resultados!AQ41),ABS(Resultados!AZ41),ABS(Resultados!BI41),ABS(Resultados!BR41),ABS(Resultados!CA41),ABS(Resultados!CJ41))/SQRT(COUNT(Resultados!G41,Resultados!P41,Resultados!Y41,Resultados!AH41,Resultados!AQ41,Resultados!AZ41,Resultados!BI41,Resultados!BR41,Resultados!CA41,Resultados!CJ41)))</f>
        <v>1.8503717077085941E-17</v>
      </c>
      <c r="H41">
        <f>IF(COUNT(Resultados!H41,Resultados!Q41,Resultados!Z41,Resultados!AI41,Resultados!AR41,Resultados!BA41,Resultados!BJ41,Resultados!BS41,Resultados!CB41,Resultados!CK41)&lt;=1, "", _xlfn.STDEV.S(ABS(Resultados!H41),ABS(Resultados!Q41),ABS(Resultados!Z41),ABS(Resultados!AI41),ABS(Resultados!AR41),ABS(Resultados!BA41),ABS(Resultados!BJ41),ABS(Resultados!BS41),ABS(Resultados!CB41),ABS(Resultados!CK41))/SQRT(COUNT(Resultados!H41,Resultados!Q41,Resultados!Z41,Resultados!AI41,Resultados!AR41,Resultados!BA41,Resultados!BJ41,Resultados!BS41,Resultados!CB41,Resultados!CK41)))</f>
        <v>1.807003620809174E-20</v>
      </c>
      <c r="I41">
        <f>IF(COUNT(Resultados!I41,Resultados!R41,Resultados!AA41,Resultados!AJ41,Resultados!AS41,Resultados!BB41,Resultados!BK41,Resultados!BT41,Resultados!CC41,Resultados!CL41)&lt;=1, "", _xlfn.STDEV.S(ABS(Resultados!I41),ABS(Resultados!R41),ABS(Resultados!AA41),ABS(Resultados!AJ41),ABS(Resultados!AS41),ABS(Resultados!BB41),ABS(Resultados!BK41),ABS(Resultados!BT41),ABS(Resultados!CC41),ABS(Resultados!CL41))/SQRT(COUNT(Resultados!I41,Resultados!R41,Resultados!AA41,Resultados!AJ41,Resultados!AS41,Resultados!BB41,Resultados!BK41,Resultados!BT41,Resultados!CC41,Resultados!CL41)))</f>
        <v>4.0962869365373199E-4</v>
      </c>
    </row>
    <row r="42" spans="1:9" x14ac:dyDescent="0.3">
      <c r="A42">
        <f>IF(COUNT(Resultados!A42,Resultados!J42,Resultados!S42,Resultados!AB42,Resultados!AK42,Resultados!AT42,Resultados!BC42,Resultados!BL42,Resultados!BU42,Resultados!CD42)&lt;=1, "", _xlfn.STDEV.S(ABS(Resultados!A42),ABS(Resultados!J42),ABS(Resultados!S42),ABS(Resultados!AB42),ABS(Resultados!AK42),ABS(Resultados!AT42),ABS(Resultados!BC42),ABS(Resultados!BL42),ABS(Resultados!BU42),ABS(Resultados!CD42))/SQRT(COUNT(Resultados!A42,Resultados!J42,Resultados!S42,Resultados!AB42,Resultados!AK42,Resultados!AT42,Resultados!BC42,Resultados!BL42,Resultados!BU42,Resultados!CD42)))</f>
        <v>0</v>
      </c>
      <c r="B42" t="str">
        <f>IF(COUNT(Resultados!B42,Resultados!K42,Resultados!T42,Resultados!AC42,Resultados!AL42,Resultados!AU42,Resultados!BD42,Resultados!BM42,Resultados!BV42,Resultados!CE42)&lt;=1, "", _xlfn.STDEV.S(ABS(Resultados!B42),ABS(Resultados!K42),ABS(Resultados!T42),ABS(Resultados!AC42),ABS(Resultados!AL42),ABS(Resultados!AU42),ABS(Resultados!BD42),ABS(Resultados!BM42),ABS(Resultados!BV42),ABS(Resultados!CE42))/SQRT(COUNT(Resultados!B42,Resultados!K42,Resultados!T42,Resultados!AC42,Resultados!AL42,Resultados!AU42,Resultados!BD42,Resultados!BM42,Resultados!BV42,Resultados!CE42)))</f>
        <v/>
      </c>
      <c r="C42">
        <f>IF(COUNT(Resultados!C42,Resultados!L42,Resultados!U42,Resultados!AD42,Resultados!AM42,Resultados!AV42,Resultados!BE42,Resultados!BN42,Resultados!BW42,Resultados!CF42)&lt;=1, "", _xlfn.STDEV.S(ABS(Resultados!C42),ABS(Resultados!L42),ABS(Resultados!U42),ABS(Resultados!AD42),ABS(Resultados!AM42),ABS(Resultados!AV42),ABS(Resultados!BE42),ABS(Resultados!BN42),ABS(Resultados!BW42),ABS(Resultados!CF42))/SQRT(COUNT(Resultados!C42,Resultados!L42,Resultados!U42,Resultados!AD42,Resultados!AM42,Resultados!AV42,Resultados!BE42,Resultados!BN42,Resultados!BW42,Resultados!CF42)))</f>
        <v>0.58214163988576595</v>
      </c>
      <c r="D42">
        <f>IF(COUNT(Resultados!D42,Resultados!M42,Resultados!V42,Resultados!AE42,Resultados!AN42,Resultados!AW42,Resultados!BF42,Resultados!BO42,Resultados!BX42,Resultados!CG42)&lt;=1, "", _xlfn.STDEV.S(ABS(Resultados!D42),ABS(Resultados!M42),ABS(Resultados!V42),ABS(Resultados!AE42),ABS(Resultados!AN42),ABS(Resultados!AW42),ABS(Resultados!BF42),ABS(Resultados!BO42),ABS(Resultados!BX42),ABS(Resultados!CG42))/SQRT(COUNT(Resultados!D42,Resultados!M42,Resultados!V42,Resultados!AE42,Resultados!AN42,Resultados!AW42,Resultados!BF42,Resultados!BO42,Resultados!BX42,Resultados!CG42)))</f>
        <v>6.7986926847903788E-5</v>
      </c>
      <c r="E42">
        <f>IF(COUNT(Resultados!E42,Resultados!N42,Resultados!W42,Resultados!AF42,Resultados!AO42,Resultados!AX42,Resultados!BG42,Resultados!BP42,Resultados!BY42,Resultados!CH42)&lt;=1, "", _xlfn.STDEV.S(ABS(Resultados!E42),ABS(Resultados!N42),ABS(Resultados!W42),ABS(Resultados!AF42),ABS(Resultados!AO42),ABS(Resultados!AX42),ABS(Resultados!BG42),ABS(Resultados!BP42),ABS(Resultados!BY42),ABS(Resultados!CH42))/SQRT(COUNT(Resultados!E42,Resultados!N42,Resultados!W42,Resultados!AF42,Resultados!AO42,Resultados!AX42,Resultados!BG42,Resultados!BP42,Resultados!BY42,Resultados!CH42)))</f>
        <v>2.0909148615331846E-6</v>
      </c>
      <c r="F42">
        <f>IF(COUNT(Resultados!F42,Resultados!O42,Resultados!X42,Resultados!AG42,Resultados!AP42,Resultados!AY42,Resultados!BH42,Resultados!BQ42,Resultados!BZ42,Resultados!CI42)&lt;=1, "", _xlfn.STDEV.S(ABS(Resultados!F42),ABS(Resultados!O42),ABS(Resultados!X42),ABS(Resultados!AG42),ABS(Resultados!AP42),ABS(Resultados!AY42),ABS(Resultados!BH42),ABS(Resultados!BQ42),ABS(Resultados!BZ42),ABS(Resultados!CI42))/SQRT(COUNT(Resultados!F42,Resultados!O42,Resultados!X42,Resultados!AG42,Resultados!AP42,Resultados!AY42,Resultados!BH42,Resultados!BQ42,Resultados!BZ42,Resultados!CI42)))</f>
        <v>1.9487326510240197E-4</v>
      </c>
      <c r="G42">
        <f>IF(COUNT(Resultados!G42,Resultados!P42,Resultados!Y42,Resultados!AH42,Resultados!AQ42,Resultados!AZ42,Resultados!BI42,Resultados!BR42,Resultados!CA42,Resultados!CJ42)&lt;=1, "", _xlfn.STDEV.S(ABS(Resultados!G42),ABS(Resultados!P42),ABS(Resultados!Y42),ABS(Resultados!AH42),ABS(Resultados!AQ42),ABS(Resultados!AZ42),ABS(Resultados!BI42),ABS(Resultados!BR42),ABS(Resultados!CA42),ABS(Resultados!CJ42))/SQRT(COUNT(Resultados!G42,Resultados!P42,Resultados!Y42,Resultados!AH42,Resultados!AQ42,Resultados!AZ42,Resultados!BI42,Resultados!BR42,Resultados!CA42,Resultados!CJ42)))</f>
        <v>1.8503717077085941E-17</v>
      </c>
      <c r="H42">
        <f>IF(COUNT(Resultados!H42,Resultados!Q42,Resultados!Z42,Resultados!AI42,Resultados!AR42,Resultados!BA42,Resultados!BJ42,Resultados!BS42,Resultados!CB42,Resultados!CK42)&lt;=1, "", _xlfn.STDEV.S(ABS(Resultados!H42),ABS(Resultados!Q42),ABS(Resultados!Z42),ABS(Resultados!AI42),ABS(Resultados!AR42),ABS(Resultados!BA42),ABS(Resultados!BJ42),ABS(Resultados!BS42),ABS(Resultados!CB42),ABS(Resultados!CK42))/SQRT(COUNT(Resultados!H42,Resultados!Q42,Resultados!Z42,Resultados!AI42,Resultados!AR42,Resultados!BA42,Resultados!BJ42,Resultados!BS42,Resultados!CB42,Resultados!CK42)))</f>
        <v>0</v>
      </c>
      <c r="I42">
        <f>IF(COUNT(Resultados!I42,Resultados!R42,Resultados!AA42,Resultados!AJ42,Resultados!AS42,Resultados!BB42,Resultados!BK42,Resultados!BT42,Resultados!CC42,Resultados!CL42)&lt;=1, "", _xlfn.STDEV.S(ABS(Resultados!I42),ABS(Resultados!R42),ABS(Resultados!AA42),ABS(Resultados!AJ42),ABS(Resultados!AS42),ABS(Resultados!BB42),ABS(Resultados!BK42),ABS(Resultados!BT42),ABS(Resultados!CC42),ABS(Resultados!CL42))/SQRT(COUNT(Resultados!I42,Resultados!R42,Resultados!AA42,Resultados!AJ42,Resultados!AS42,Resultados!BB42,Resultados!BK42,Resultados!BT42,Resultados!CC42,Resultados!CL42)))</f>
        <v>3.504538327502368E-4</v>
      </c>
    </row>
    <row r="43" spans="1:9" x14ac:dyDescent="0.3">
      <c r="A43">
        <f>IF(COUNT(Resultados!A43,Resultados!J43,Resultados!S43,Resultados!AB43,Resultados!AK43,Resultados!AT43,Resultados!BC43,Resultados!BL43,Resultados!BU43,Resultados!CD43)&lt;=1, "", _xlfn.STDEV.S(ABS(Resultados!A43),ABS(Resultados!J43),ABS(Resultados!S43),ABS(Resultados!AB43),ABS(Resultados!AK43),ABS(Resultados!AT43),ABS(Resultados!BC43),ABS(Resultados!BL43),ABS(Resultados!BU43),ABS(Resultados!CD43))/SQRT(COUNT(Resultados!A43,Resultados!J43,Resultados!S43,Resultados!AB43,Resultados!AK43,Resultados!AT43,Resultados!BC43,Resultados!BL43,Resultados!BU43,Resultados!CD43)))</f>
        <v>0</v>
      </c>
      <c r="B43" t="str">
        <f>IF(COUNT(Resultados!B43,Resultados!K43,Resultados!T43,Resultados!AC43,Resultados!AL43,Resultados!AU43,Resultados!BD43,Resultados!BM43,Resultados!BV43,Resultados!CE43)&lt;=1, "", _xlfn.STDEV.S(ABS(Resultados!B43),ABS(Resultados!K43),ABS(Resultados!T43),ABS(Resultados!AC43),ABS(Resultados!AL43),ABS(Resultados!AU43),ABS(Resultados!BD43),ABS(Resultados!BM43),ABS(Resultados!BV43),ABS(Resultados!CE43))/SQRT(COUNT(Resultados!B43,Resultados!K43,Resultados!T43,Resultados!AC43,Resultados!AL43,Resultados!AU43,Resultados!BD43,Resultados!BM43,Resultados!BV43,Resultados!CE43)))</f>
        <v/>
      </c>
      <c r="C43">
        <f>IF(COUNT(Resultados!C43,Resultados!L43,Resultados!U43,Resultados!AD43,Resultados!AM43,Resultados!AV43,Resultados!BE43,Resultados!BN43,Resultados!BW43,Resultados!CF43)&lt;=1, "", _xlfn.STDEV.S(ABS(Resultados!C43),ABS(Resultados!L43),ABS(Resultados!U43),ABS(Resultados!AD43),ABS(Resultados!AM43),ABS(Resultados!AV43),ABS(Resultados!BE43),ABS(Resultados!BN43),ABS(Resultados!BW43),ABS(Resultados!CF43))/SQRT(COUNT(Resultados!C43,Resultados!L43,Resultados!U43,Resultados!AD43,Resultados!AM43,Resultados!AV43,Resultados!BE43,Resultados!BN43,Resultados!BW43,Resultados!CF43)))</f>
        <v>0.58214163988576595</v>
      </c>
      <c r="D43">
        <f>IF(COUNT(Resultados!D43,Resultados!M43,Resultados!V43,Resultados!AE43,Resultados!AN43,Resultados!AW43,Resultados!BF43,Resultados!BO43,Resultados!BX43,Resultados!CG43)&lt;=1, "", _xlfn.STDEV.S(ABS(Resultados!D43),ABS(Resultados!M43),ABS(Resultados!V43),ABS(Resultados!AE43),ABS(Resultados!AN43),ABS(Resultados!AW43),ABS(Resultados!BF43),ABS(Resultados!BO43),ABS(Resultados!BX43),ABS(Resultados!CG43))/SQRT(COUNT(Resultados!D43,Resultados!M43,Resultados!V43,Resultados!AE43,Resultados!AN43,Resultados!AW43,Resultados!BF43,Resultados!BO43,Resultados!BX43,Resultados!CG43)))</f>
        <v>3.3993463423951894E-5</v>
      </c>
      <c r="E43">
        <f>IF(COUNT(Resultados!E43,Resultados!N43,Resultados!W43,Resultados!AF43,Resultados!AO43,Resultados!AX43,Resultados!BG43,Resultados!BP43,Resultados!BY43,Resultados!CH43)&lt;=1, "", _xlfn.STDEV.S(ABS(Resultados!E43),ABS(Resultados!N43),ABS(Resultados!W43),ABS(Resultados!AF43),ABS(Resultados!AO43),ABS(Resultados!AX43),ABS(Resultados!BG43),ABS(Resultados!BP43),ABS(Resultados!BY43),ABS(Resultados!CH43))/SQRT(COUNT(Resultados!E43,Resultados!N43,Resultados!W43,Resultados!AF43,Resultados!AO43,Resultados!AX43,Resultados!BG43,Resultados!BP43,Resultados!BY43,Resultados!CH43)))</f>
        <v>1.5733420321498322E-4</v>
      </c>
      <c r="F43">
        <f>IF(COUNT(Resultados!F43,Resultados!O43,Resultados!X43,Resultados!AG43,Resultados!AP43,Resultados!AY43,Resultados!BH43,Resultados!BQ43,Resultados!BZ43,Resultados!CI43)&lt;=1, "", _xlfn.STDEV.S(ABS(Resultados!F43),ABS(Resultados!O43),ABS(Resultados!X43),ABS(Resultados!AG43),ABS(Resultados!AP43),ABS(Resultados!AY43),ABS(Resultados!BH43),ABS(Resultados!BQ43),ABS(Resultados!BZ43),ABS(Resultados!CI43))/SQRT(COUNT(Resultados!F43,Resultados!O43,Resultados!X43,Resultados!AG43,Resultados!AP43,Resultados!AY43,Resultados!BH43,Resultados!BQ43,Resultados!BZ43,Resultados!CI43)))</f>
        <v>1.4931015885106005E-2</v>
      </c>
      <c r="G43">
        <f>IF(COUNT(Resultados!G43,Resultados!P43,Resultados!Y43,Resultados!AH43,Resultados!AQ43,Resultados!AZ43,Resultados!BI43,Resultados!BR43,Resultados!CA43,Resultados!CJ43)&lt;=1, "", _xlfn.STDEV.S(ABS(Resultados!G43),ABS(Resultados!P43),ABS(Resultados!Y43),ABS(Resultados!AH43),ABS(Resultados!AQ43),ABS(Resultados!AZ43),ABS(Resultados!BI43),ABS(Resultados!BR43),ABS(Resultados!CA43),ABS(Resultados!CJ43))/SQRT(COUNT(Resultados!G43,Resultados!P43,Resultados!Y43,Resultados!AH43,Resultados!AQ43,Resultados!AZ43,Resultados!BI43,Resultados!BR43,Resultados!CA43,Resultados!CJ43)))</f>
        <v>1.8503717077085941E-17</v>
      </c>
      <c r="H43">
        <f>IF(COUNT(Resultados!H43,Resultados!Q43,Resultados!Z43,Resultados!AI43,Resultados!AR43,Resultados!BA43,Resultados!BJ43,Resultados!BS43,Resultados!CB43,Resultados!CK43)&lt;=1, "", _xlfn.STDEV.S(ABS(Resultados!H43),ABS(Resultados!Q43),ABS(Resultados!Z43),ABS(Resultados!AI43),ABS(Resultados!AR43),ABS(Resultados!BA43),ABS(Resultados!BJ43),ABS(Resultados!BS43),ABS(Resultados!CB43),ABS(Resultados!CK43))/SQRT(COUNT(Resultados!H43,Resultados!Q43,Resultados!Z43,Resultados!AI43,Resultados!AR43,Resultados!BA43,Resultados!BJ43,Resultados!BS43,Resultados!CB43,Resultados!CK43)))</f>
        <v>1.807003620809174E-20</v>
      </c>
      <c r="I43">
        <f>IF(COUNT(Resultados!I43,Resultados!R43,Resultados!AA43,Resultados!AJ43,Resultados!AS43,Resultados!BB43,Resultados!BK43,Resultados!BT43,Resultados!CC43,Resultados!CL43)&lt;=1, "", _xlfn.STDEV.S(ABS(Resultados!I43),ABS(Resultados!R43),ABS(Resultados!AA43),ABS(Resultados!AJ43),ABS(Resultados!AS43),ABS(Resultados!BB43),ABS(Resultados!BK43),ABS(Resultados!BT43),ABS(Resultados!CC43),ABS(Resultados!CL43))/SQRT(COUNT(Resultados!I43,Resultados!R43,Resultados!AA43,Resultados!AJ43,Resultados!AS43,Resultados!BB43,Resultados!BK43,Resultados!BT43,Resultados!CC43,Resultados!CL43)))</f>
        <v>4.414834840282353E-4</v>
      </c>
    </row>
    <row r="44" spans="1:9" x14ac:dyDescent="0.3">
      <c r="A44">
        <f>IF(COUNT(Resultados!A44,Resultados!J44,Resultados!S44,Resultados!AB44,Resultados!AK44,Resultados!AT44,Resultados!BC44,Resultados!BL44,Resultados!BU44,Resultados!CD44)&lt;=1, "", _xlfn.STDEV.S(ABS(Resultados!A44),ABS(Resultados!J44),ABS(Resultados!S44),ABS(Resultados!AB44),ABS(Resultados!AK44),ABS(Resultados!AT44),ABS(Resultados!BC44),ABS(Resultados!BL44),ABS(Resultados!BU44),ABS(Resultados!CD44))/SQRT(COUNT(Resultados!A44,Resultados!J44,Resultados!S44,Resultados!AB44,Resultados!AK44,Resultados!AT44,Resultados!BC44,Resultados!BL44,Resultados!BU44,Resultados!CD44)))</f>
        <v>0</v>
      </c>
      <c r="B44" t="str">
        <f>IF(COUNT(Resultados!B44,Resultados!K44,Resultados!T44,Resultados!AC44,Resultados!AL44,Resultados!AU44,Resultados!BD44,Resultados!BM44,Resultados!BV44,Resultados!CE44)&lt;=1, "", _xlfn.STDEV.S(ABS(Resultados!B44),ABS(Resultados!K44),ABS(Resultados!T44),ABS(Resultados!AC44),ABS(Resultados!AL44),ABS(Resultados!AU44),ABS(Resultados!BD44),ABS(Resultados!BM44),ABS(Resultados!BV44),ABS(Resultados!CE44))/SQRT(COUNT(Resultados!B44,Resultados!K44,Resultados!T44,Resultados!AC44,Resultados!AL44,Resultados!AU44,Resultados!BD44,Resultados!BM44,Resultados!BV44,Resultados!CE44)))</f>
        <v/>
      </c>
      <c r="C44">
        <f>IF(COUNT(Resultados!C44,Resultados!L44,Resultados!U44,Resultados!AD44,Resultados!AM44,Resultados!AV44,Resultados!BE44,Resultados!BN44,Resultados!BW44,Resultados!CF44)&lt;=1, "", _xlfn.STDEV.S(ABS(Resultados!C44),ABS(Resultados!L44),ABS(Resultados!U44),ABS(Resultados!AD44),ABS(Resultados!AM44),ABS(Resultados!AV44),ABS(Resultados!BE44),ABS(Resultados!BN44),ABS(Resultados!BW44),ABS(Resultados!CF44))/SQRT(COUNT(Resultados!C44,Resultados!L44,Resultados!U44,Resultados!AD44,Resultados!AM44,Resultados!AV44,Resultados!BE44,Resultados!BN44,Resultados!BW44,Resultados!CF44)))</f>
        <v>0.58214163988576595</v>
      </c>
      <c r="D44">
        <f>IF(COUNT(Resultados!D44,Resultados!M44,Resultados!V44,Resultados!AE44,Resultados!AN44,Resultados!AW44,Resultados!BF44,Resultados!BO44,Resultados!BX44,Resultados!CG44)&lt;=1, "", _xlfn.STDEV.S(ABS(Resultados!D44),ABS(Resultados!M44),ABS(Resultados!V44),ABS(Resultados!AE44),ABS(Resultados!AN44),ABS(Resultados!AW44),ABS(Resultados!BF44),ABS(Resultados!BO44),ABS(Resultados!BX44),ABS(Resultados!CG44))/SQRT(COUNT(Resultados!D44,Resultados!M44,Resultados!V44,Resultados!AE44,Resultados!AN44,Resultados!AW44,Resultados!BF44,Resultados!BO44,Resultados!BX44,Resultados!CG44)))</f>
        <v>1.2133516482134196E-4</v>
      </c>
      <c r="E44">
        <f>IF(COUNT(Resultados!E44,Resultados!N44,Resultados!W44,Resultados!AF44,Resultados!AO44,Resultados!AX44,Resultados!BG44,Resultados!BP44,Resultados!BY44,Resultados!CH44)&lt;=1, "", _xlfn.STDEV.S(ABS(Resultados!E44),ABS(Resultados!N44),ABS(Resultados!W44),ABS(Resultados!AF44),ABS(Resultados!AO44),ABS(Resultados!AX44),ABS(Resultados!BG44),ABS(Resultados!BP44),ABS(Resultados!BY44),ABS(Resultados!CH44))/SQRT(COUNT(Resultados!E44,Resultados!N44,Resultados!W44,Resultados!AF44,Resultados!AO44,Resultados!AX44,Resultados!BG44,Resultados!BP44,Resultados!BY44,Resultados!CH44)))</f>
        <v>2.862676275279627E-2</v>
      </c>
      <c r="F44">
        <f>IF(COUNT(Resultados!F44,Resultados!O44,Resultados!X44,Resultados!AG44,Resultados!AP44,Resultados!AY44,Resultados!BH44,Resultados!BQ44,Resultados!BZ44,Resultados!CI44)&lt;=1, "", _xlfn.STDEV.S(ABS(Resultados!F44),ABS(Resultados!O44),ABS(Resultados!X44),ABS(Resultados!AG44),ABS(Resultados!AP44),ABS(Resultados!AY44),ABS(Resultados!BH44),ABS(Resultados!BQ44),ABS(Resultados!BZ44),ABS(Resultados!CI44))/SQRT(COUNT(Resultados!F44,Resultados!O44,Resultados!X44,Resultados!AG44,Resultados!AP44,Resultados!AY44,Resultados!BH44,Resultados!BQ44,Resultados!BZ44,Resultados!CI44)))</f>
        <v>2.7166797852403612</v>
      </c>
      <c r="G44">
        <f>IF(COUNT(Resultados!G44,Resultados!P44,Resultados!Y44,Resultados!AH44,Resultados!AQ44,Resultados!AZ44,Resultados!BI44,Resultados!BR44,Resultados!CA44,Resultados!CJ44)&lt;=1, "", _xlfn.STDEV.S(ABS(Resultados!G44),ABS(Resultados!P44),ABS(Resultados!Y44),ABS(Resultados!AH44),ABS(Resultados!AQ44),ABS(Resultados!AZ44),ABS(Resultados!BI44),ABS(Resultados!BR44),ABS(Resultados!CA44),ABS(Resultados!CJ44))/SQRT(COUNT(Resultados!G44,Resultados!P44,Resultados!Y44,Resultados!AH44,Resultados!AQ44,Resultados!AZ44,Resultados!BI44,Resultados!BR44,Resultados!CA44,Resultados!CJ44)))</f>
        <v>1.8503717077085941E-17</v>
      </c>
      <c r="H44">
        <f>IF(COUNT(Resultados!H44,Resultados!Q44,Resultados!Z44,Resultados!AI44,Resultados!AR44,Resultados!BA44,Resultados!BJ44,Resultados!BS44,Resultados!CB44,Resultados!CK44)&lt;=1, "", _xlfn.STDEV.S(ABS(Resultados!H44),ABS(Resultados!Q44),ABS(Resultados!Z44),ABS(Resultados!AI44),ABS(Resultados!AR44),ABS(Resultados!BA44),ABS(Resultados!BJ44),ABS(Resultados!BS44),ABS(Resultados!CB44),ABS(Resultados!CK44))/SQRT(COUNT(Resultados!H44,Resultados!Q44,Resultados!Z44,Resultados!AI44,Resultados!AR44,Resultados!BA44,Resultados!BJ44,Resultados!BS44,Resultados!CB44,Resultados!CK44)))</f>
        <v>4.4583255451645376E-4</v>
      </c>
      <c r="I44">
        <f>IF(COUNT(Resultados!I44,Resultados!R44,Resultados!AA44,Resultados!AJ44,Resultados!AS44,Resultados!BB44,Resultados!BK44,Resultados!BT44,Resultados!CC44,Resultados!CL44)&lt;=1, "", _xlfn.STDEV.S(ABS(Resultados!I44),ABS(Resultados!R44),ABS(Resultados!AA44),ABS(Resultados!AJ44),ABS(Resultados!AS44),ABS(Resultados!BB44),ABS(Resultados!BK44),ABS(Resultados!BT44),ABS(Resultados!CC44),ABS(Resultados!CL44))/SQRT(COUNT(Resultados!I44,Resultados!R44,Resultados!AA44,Resultados!AJ44,Resultados!AS44,Resultados!BB44,Resultados!BK44,Resultados!BT44,Resultados!CC44,Resultados!CL44)))</f>
        <v>4.0124111559566189E-2</v>
      </c>
    </row>
    <row r="45" spans="1:9" x14ac:dyDescent="0.3">
      <c r="A45">
        <f>IF(COUNT(Resultados!A45,Resultados!J45,Resultados!S45,Resultados!AB45,Resultados!AK45,Resultados!AT45,Resultados!BC45,Resultados!BL45,Resultados!BU45,Resultados!CD45)&lt;=1, "", _xlfn.STDEV.S(ABS(Resultados!A45),ABS(Resultados!J45),ABS(Resultados!S45),ABS(Resultados!AB45),ABS(Resultados!AK45),ABS(Resultados!AT45),ABS(Resultados!BC45),ABS(Resultados!BL45),ABS(Resultados!BU45),ABS(Resultados!CD45))/SQRT(COUNT(Resultados!A45,Resultados!J45,Resultados!S45,Resultados!AB45,Resultados!AK45,Resultados!AT45,Resultados!BC45,Resultados!BL45,Resultados!BU45,Resultados!CD45)))</f>
        <v>0</v>
      </c>
      <c r="B45" t="str">
        <f>IF(COUNT(Resultados!B45,Resultados!K45,Resultados!T45,Resultados!AC45,Resultados!AL45,Resultados!AU45,Resultados!BD45,Resultados!BM45,Resultados!BV45,Resultados!CE45)&lt;=1, "", _xlfn.STDEV.S(ABS(Resultados!B45),ABS(Resultados!K45),ABS(Resultados!T45),ABS(Resultados!AC45),ABS(Resultados!AL45),ABS(Resultados!AU45),ABS(Resultados!BD45),ABS(Resultados!BM45),ABS(Resultados!BV45),ABS(Resultados!CE45))/SQRT(COUNT(Resultados!B45,Resultados!K45,Resultados!T45,Resultados!AC45,Resultados!AL45,Resultados!AU45,Resultados!BD45,Resultados!BM45,Resultados!BV45,Resultados!CE45)))</f>
        <v/>
      </c>
      <c r="C45">
        <f>IF(COUNT(Resultados!C45,Resultados!L45,Resultados!U45,Resultados!AD45,Resultados!AM45,Resultados!AV45,Resultados!BE45,Resultados!BN45,Resultados!BW45,Resultados!CF45)&lt;=1, "", _xlfn.STDEV.S(ABS(Resultados!C45),ABS(Resultados!L45),ABS(Resultados!U45),ABS(Resultados!AD45),ABS(Resultados!AM45),ABS(Resultados!AV45),ABS(Resultados!BE45),ABS(Resultados!BN45),ABS(Resultados!BW45),ABS(Resultados!CF45))/SQRT(COUNT(Resultados!C45,Resultados!L45,Resultados!U45,Resultados!AD45,Resultados!AM45,Resultados!AV45,Resultados!BE45,Resultados!BN45,Resultados!BW45,Resultados!CF45)))</f>
        <v>0.58214163988576595</v>
      </c>
      <c r="D45">
        <f>IF(COUNT(Resultados!D45,Resultados!M45,Resultados!V45,Resultados!AE45,Resultados!AN45,Resultados!AW45,Resultados!BF45,Resultados!BO45,Resultados!BX45,Resultados!CG45)&lt;=1, "", _xlfn.STDEV.S(ABS(Resultados!D45),ABS(Resultados!M45),ABS(Resultados!V45),ABS(Resultados!AE45),ABS(Resultados!AN45),ABS(Resultados!AW45),ABS(Resultados!BF45),ABS(Resultados!BO45),ABS(Resultados!BX45),ABS(Resultados!CG45))/SQRT(COUNT(Resultados!D45,Resultados!M45,Resultados!V45,Resultados!AE45,Resultados!AN45,Resultados!AW45,Resultados!BF45,Resultados!BO45,Resultados!BX45,Resultados!CG45)))</f>
        <v>1.2242911781471305E-4</v>
      </c>
      <c r="E45">
        <f>IF(COUNT(Resultados!E45,Resultados!N45,Resultados!W45,Resultados!AF45,Resultados!AO45,Resultados!AX45,Resultados!BG45,Resultados!BP45,Resultados!BY45,Resultados!CH45)&lt;=1, "", _xlfn.STDEV.S(ABS(Resultados!E45),ABS(Resultados!N45),ABS(Resultados!W45),ABS(Resultados!AF45),ABS(Resultados!AO45),ABS(Resultados!AX45),ABS(Resultados!BG45),ABS(Resultados!BP45),ABS(Resultados!BY45),ABS(Resultados!CH45))/SQRT(COUNT(Resultados!E45,Resultados!N45,Resultados!W45,Resultados!AF45,Resultados!AO45,Resultados!AX45,Resultados!BG45,Resultados!BP45,Resultados!BY45,Resultados!CH45)))</f>
        <v>3.7161826029585524E-2</v>
      </c>
      <c r="F45">
        <f>IF(COUNT(Resultados!F45,Resultados!O45,Resultados!X45,Resultados!AG45,Resultados!AP45,Resultados!AY45,Resultados!BH45,Resultados!BQ45,Resultados!BZ45,Resultados!CI45)&lt;=1, "", _xlfn.STDEV.S(ABS(Resultados!F45),ABS(Resultados!O45),ABS(Resultados!X45),ABS(Resultados!AG45),ABS(Resultados!AP45),ABS(Resultados!AY45),ABS(Resultados!BH45),ABS(Resultados!BQ45),ABS(Resultados!BZ45),ABS(Resultados!CI45))/SQRT(COUNT(Resultados!F45,Resultados!O45,Resultados!X45,Resultados!AG45,Resultados!AP45,Resultados!AY45,Resultados!BH45,Resultados!BQ45,Resultados!BZ45,Resultados!CI45)))</f>
        <v>3.5266572902076647</v>
      </c>
      <c r="G45">
        <f>IF(COUNT(Resultados!G45,Resultados!P45,Resultados!Y45,Resultados!AH45,Resultados!AQ45,Resultados!AZ45,Resultados!BI45,Resultados!BR45,Resultados!CA45,Resultados!CJ45)&lt;=1, "", _xlfn.STDEV.S(ABS(Resultados!G45),ABS(Resultados!P45),ABS(Resultados!Y45),ABS(Resultados!AH45),ABS(Resultados!AQ45),ABS(Resultados!AZ45),ABS(Resultados!BI45),ABS(Resultados!BR45),ABS(Resultados!CA45),ABS(Resultados!CJ45))/SQRT(COUNT(Resultados!G45,Resultados!P45,Resultados!Y45,Resultados!AH45,Resultados!AQ45,Resultados!AZ45,Resultados!BI45,Resultados!BR45,Resultados!CA45,Resultados!CJ45)))</f>
        <v>1.8503717077085941E-17</v>
      </c>
      <c r="H45">
        <f>IF(COUNT(Resultados!H45,Resultados!Q45,Resultados!Z45,Resultados!AI45,Resultados!AR45,Resultados!BA45,Resultados!BJ45,Resultados!BS45,Resultados!CB45,Resultados!CK45)&lt;=1, "", _xlfn.STDEV.S(ABS(Resultados!H45),ABS(Resultados!Q45),ABS(Resultados!Z45),ABS(Resultados!AI45),ABS(Resultados!AR45),ABS(Resultados!BA45),ABS(Resultados!BJ45),ABS(Resultados!BS45),ABS(Resultados!CB45),ABS(Resultados!CK45))/SQRT(COUNT(Resultados!H45,Resultados!Q45,Resultados!Z45,Resultados!AI45,Resultados!AR45,Resultados!BA45,Resultados!BJ45,Resultados!BS45,Resultados!CB45,Resultados!CK45)))</f>
        <v>5.7685931271555862E-4</v>
      </c>
      <c r="I45">
        <f>IF(COUNT(Resultados!I45,Resultados!R45,Resultados!AA45,Resultados!AJ45,Resultados!AS45,Resultados!BB45,Resultados!BK45,Resultados!BT45,Resultados!CC45,Resultados!CL45)&lt;=1, "", _xlfn.STDEV.S(ABS(Resultados!I45),ABS(Resultados!R45),ABS(Resultados!AA45),ABS(Resultados!AJ45),ABS(Resultados!AS45),ABS(Resultados!BB45),ABS(Resultados!BK45),ABS(Resultados!BT45),ABS(Resultados!CC45),ABS(Resultados!CL45))/SQRT(COUNT(Resultados!I45,Resultados!R45,Resultados!AA45,Resultados!AJ45,Resultados!AS45,Resultados!BB45,Resultados!BK45,Resultados!BT45,Resultados!CC45,Resultados!CL45)))</f>
        <v>4.0209951727019112E-2</v>
      </c>
    </row>
    <row r="46" spans="1:9" x14ac:dyDescent="0.3">
      <c r="A46">
        <f>IF(COUNT(Resultados!A46,Resultados!J46,Resultados!S46,Resultados!AB46,Resultados!AK46,Resultados!AT46,Resultados!BC46,Resultados!BL46,Resultados!BU46,Resultados!CD46)&lt;=1, "", _xlfn.STDEV.S(ABS(Resultados!A46),ABS(Resultados!J46),ABS(Resultados!S46),ABS(Resultados!AB46),ABS(Resultados!AK46),ABS(Resultados!AT46),ABS(Resultados!BC46),ABS(Resultados!BL46),ABS(Resultados!BU46),ABS(Resultados!CD46))/SQRT(COUNT(Resultados!A46,Resultados!J46,Resultados!S46,Resultados!AB46,Resultados!AK46,Resultados!AT46,Resultados!BC46,Resultados!BL46,Resultados!BU46,Resultados!CD46)))</f>
        <v>0</v>
      </c>
      <c r="B46" t="str">
        <f>IF(COUNT(Resultados!B46,Resultados!K46,Resultados!T46,Resultados!AC46,Resultados!AL46,Resultados!AU46,Resultados!BD46,Resultados!BM46,Resultados!BV46,Resultados!CE46)&lt;=1, "", _xlfn.STDEV.S(ABS(Resultados!B46),ABS(Resultados!K46),ABS(Resultados!T46),ABS(Resultados!AC46),ABS(Resultados!AL46),ABS(Resultados!AU46),ABS(Resultados!BD46),ABS(Resultados!BM46),ABS(Resultados!BV46),ABS(Resultados!CE46))/SQRT(COUNT(Resultados!B46,Resultados!K46,Resultados!T46,Resultados!AC46,Resultados!AL46,Resultados!AU46,Resultados!BD46,Resultados!BM46,Resultados!BV46,Resultados!CE46)))</f>
        <v/>
      </c>
      <c r="C46">
        <f>IF(COUNT(Resultados!C46,Resultados!L46,Resultados!U46,Resultados!AD46,Resultados!AM46,Resultados!AV46,Resultados!BE46,Resultados!BN46,Resultados!BW46,Resultados!CF46)&lt;=1, "", _xlfn.STDEV.S(ABS(Resultados!C46),ABS(Resultados!L46),ABS(Resultados!U46),ABS(Resultados!AD46),ABS(Resultados!AM46),ABS(Resultados!AV46),ABS(Resultados!BE46),ABS(Resultados!BN46),ABS(Resultados!BW46),ABS(Resultados!CF46))/SQRT(COUNT(Resultados!C46,Resultados!L46,Resultados!U46,Resultados!AD46,Resultados!AM46,Resultados!AV46,Resultados!BE46,Resultados!BN46,Resultados!BW46,Resultados!CF46)))</f>
        <v>0.58214163988576595</v>
      </c>
      <c r="D46">
        <f>IF(COUNT(Resultados!D46,Resultados!M46,Resultados!V46,Resultados!AE46,Resultados!AN46,Resultados!AW46,Resultados!BF46,Resultados!BO46,Resultados!BX46,Resultados!CG46)&lt;=1, "", _xlfn.STDEV.S(ABS(Resultados!D46),ABS(Resultados!M46),ABS(Resultados!V46),ABS(Resultados!AE46),ABS(Resultados!AN46),ABS(Resultados!AW46),ABS(Resultados!BF46),ABS(Resultados!BO46),ABS(Resultados!BX46),ABS(Resultados!CG46))/SQRT(COUNT(Resultados!D46,Resultados!M46,Resultados!V46,Resultados!AE46,Resultados!AN46,Resultados!AW46,Resultados!BF46,Resultados!BO46,Resultados!BX46,Resultados!CG46)))</f>
        <v>4.5946829173634069E-4</v>
      </c>
      <c r="E46">
        <f>IF(COUNT(Resultados!E46,Resultados!N46,Resultados!W46,Resultados!AF46,Resultados!AO46,Resultados!AX46,Resultados!BG46,Resultados!BP46,Resultados!BY46,Resultados!CH46)&lt;=1, "", _xlfn.STDEV.S(ABS(Resultados!E46),ABS(Resultados!N46),ABS(Resultados!W46),ABS(Resultados!AF46),ABS(Resultados!AO46),ABS(Resultados!AX46),ABS(Resultados!BG46),ABS(Resultados!BP46),ABS(Resultados!BY46),ABS(Resultados!CH46))/SQRT(COUNT(Resultados!E46,Resultados!N46,Resultados!W46,Resultados!AF46,Resultados!AO46,Resultados!AX46,Resultados!BG46,Resultados!BP46,Resultados!BY46,Resultados!CH46)))</f>
        <v>4.4527454674193882E-2</v>
      </c>
      <c r="F46">
        <f>IF(COUNT(Resultados!F46,Resultados!O46,Resultados!X46,Resultados!AG46,Resultados!AP46,Resultados!AY46,Resultados!BH46,Resultados!BQ46,Resultados!BZ46,Resultados!CI46)&lt;=1, "", _xlfn.STDEV.S(ABS(Resultados!F46),ABS(Resultados!O46),ABS(Resultados!X46),ABS(Resultados!AG46),ABS(Resultados!AP46),ABS(Resultados!AY46),ABS(Resultados!BH46),ABS(Resultados!BQ46),ABS(Resultados!BZ46),ABS(Resultados!CI46))/SQRT(COUNT(Resultados!F46,Resultados!O46,Resultados!X46,Resultados!AG46,Resultados!AP46,Resultados!AY46,Resultados!BH46,Resultados!BQ46,Resultados!BZ46,Resultados!CI46)))</f>
        <v>4.2256554485810067</v>
      </c>
      <c r="G46">
        <f>IF(COUNT(Resultados!G46,Resultados!P46,Resultados!Y46,Resultados!AH46,Resultados!AQ46,Resultados!AZ46,Resultados!BI46,Resultados!BR46,Resultados!CA46,Resultados!CJ46)&lt;=1, "", _xlfn.STDEV.S(ABS(Resultados!G46),ABS(Resultados!P46),ABS(Resultados!Y46),ABS(Resultados!AH46),ABS(Resultados!AQ46),ABS(Resultados!AZ46),ABS(Resultados!BI46),ABS(Resultados!BR46),ABS(Resultados!CA46),ABS(Resultados!CJ46))/SQRT(COUNT(Resultados!G46,Resultados!P46,Resultados!Y46,Resultados!AH46,Resultados!AQ46,Resultados!AZ46,Resultados!BI46,Resultados!BR46,Resultados!CA46,Resultados!CJ46)))</f>
        <v>1.8503717077085941E-17</v>
      </c>
      <c r="H46">
        <f>IF(COUNT(Resultados!H46,Resultados!Q46,Resultados!Z46,Resultados!AI46,Resultados!AR46,Resultados!BA46,Resultados!BJ46,Resultados!BS46,Resultados!CB46,Resultados!CK46)&lt;=1, "", _xlfn.STDEV.S(ABS(Resultados!H46),ABS(Resultados!Q46),ABS(Resultados!Z46),ABS(Resultados!AI46),ABS(Resultados!AR46),ABS(Resultados!BA46),ABS(Resultados!BJ46),ABS(Resultados!BS46),ABS(Resultados!CB46),ABS(Resultados!CK46))/SQRT(COUNT(Resultados!H46,Resultados!Q46,Resultados!Z46,Resultados!AI46,Resultados!AR46,Resultados!BA46,Resultados!BJ46,Resultados!BS46,Resultados!CB46,Resultados!CK46)))</f>
        <v>6.9790161675315409E-4</v>
      </c>
      <c r="I46">
        <f>IF(COUNT(Resultados!I46,Resultados!R46,Resultados!AA46,Resultados!AJ46,Resultados!AS46,Resultados!BB46,Resultados!BK46,Resultados!BT46,Resultados!CC46,Resultados!CL46)&lt;=1, "", _xlfn.STDEV.S(ABS(Resultados!I46),ABS(Resultados!R46),ABS(Resultados!AA46),ABS(Resultados!AJ46),ABS(Resultados!AS46),ABS(Resultados!BB46),ABS(Resultados!BK46),ABS(Resultados!BT46),ABS(Resultados!CC46),ABS(Resultados!CL46))/SQRT(COUNT(Resultados!I46,Resultados!R46,Resultados!AA46,Resultados!AJ46,Resultados!AS46,Resultados!BB46,Resultados!BK46,Resultados!BT46,Resultados!CC46,Resultados!CL46)))</f>
        <v>4.0075621567236389E-2</v>
      </c>
    </row>
    <row r="47" spans="1:9" x14ac:dyDescent="0.3">
      <c r="A47">
        <f>IF(COUNT(Resultados!A47,Resultados!J47,Resultados!S47,Resultados!AB47,Resultados!AK47,Resultados!AT47,Resultados!BC47,Resultados!BL47,Resultados!BU47,Resultados!CD47)&lt;=1, "", _xlfn.STDEV.S(ABS(Resultados!A47),ABS(Resultados!J47),ABS(Resultados!S47),ABS(Resultados!AB47),ABS(Resultados!AK47),ABS(Resultados!AT47),ABS(Resultados!BC47),ABS(Resultados!BL47),ABS(Resultados!BU47),ABS(Resultados!CD47))/SQRT(COUNT(Resultados!A47,Resultados!J47,Resultados!S47,Resultados!AB47,Resultados!AK47,Resultados!AT47,Resultados!BC47,Resultados!BL47,Resultados!BU47,Resultados!CD47)))</f>
        <v>0</v>
      </c>
      <c r="B47" t="str">
        <f>IF(COUNT(Resultados!B47,Resultados!K47,Resultados!T47,Resultados!AC47,Resultados!AL47,Resultados!AU47,Resultados!BD47,Resultados!BM47,Resultados!BV47,Resultados!CE47)&lt;=1, "", _xlfn.STDEV.S(ABS(Resultados!B47),ABS(Resultados!K47),ABS(Resultados!T47),ABS(Resultados!AC47),ABS(Resultados!AL47),ABS(Resultados!AU47),ABS(Resultados!BD47),ABS(Resultados!BM47),ABS(Resultados!BV47),ABS(Resultados!CE47))/SQRT(COUNT(Resultados!B47,Resultados!K47,Resultados!T47,Resultados!AC47,Resultados!AL47,Resultados!AU47,Resultados!BD47,Resultados!BM47,Resultados!BV47,Resultados!CE47)))</f>
        <v/>
      </c>
      <c r="C47">
        <f>IF(COUNT(Resultados!C47,Resultados!L47,Resultados!U47,Resultados!AD47,Resultados!AM47,Resultados!AV47,Resultados!BE47,Resultados!BN47,Resultados!BW47,Resultados!CF47)&lt;=1, "", _xlfn.STDEV.S(ABS(Resultados!C47),ABS(Resultados!L47),ABS(Resultados!U47),ABS(Resultados!AD47),ABS(Resultados!AM47),ABS(Resultados!AV47),ABS(Resultados!BE47),ABS(Resultados!BN47),ABS(Resultados!BW47),ABS(Resultados!CF47))/SQRT(COUNT(Resultados!C47,Resultados!L47,Resultados!U47,Resultados!AD47,Resultados!AM47,Resultados!AV47,Resultados!BE47,Resultados!BN47,Resultados!BW47,Resultados!CF47)))</f>
        <v>0.58214163988576595</v>
      </c>
      <c r="D47">
        <f>IF(COUNT(Resultados!D47,Resultados!M47,Resultados!V47,Resultados!AE47,Resultados!AN47,Resultados!AW47,Resultados!BF47,Resultados!BO47,Resultados!BX47,Resultados!CG47)&lt;=1, "", _xlfn.STDEV.S(ABS(Resultados!D47),ABS(Resultados!M47),ABS(Resultados!V47),ABS(Resultados!AE47),ABS(Resultados!AN47),ABS(Resultados!AW47),ABS(Resultados!BF47),ABS(Resultados!BO47),ABS(Resultados!BX47),ABS(Resultados!CG47))/SQRT(COUNT(Resultados!D47,Resultados!M47,Resultados!V47,Resultados!AE47,Resultados!AN47,Resultados!AW47,Resultados!BF47,Resultados!BO47,Resultados!BX47,Resultados!CG47)))</f>
        <v>6.8967786361137857E-4</v>
      </c>
      <c r="E47">
        <f>IF(COUNT(Resultados!E47,Resultados!N47,Resultados!W47,Resultados!AF47,Resultados!AO47,Resultados!AX47,Resultados!BG47,Resultados!BP47,Resultados!BY47,Resultados!CH47)&lt;=1, "", _xlfn.STDEV.S(ABS(Resultados!E47),ABS(Resultados!N47),ABS(Resultados!W47),ABS(Resultados!AF47),ABS(Resultados!AO47),ABS(Resultados!AX47),ABS(Resultados!BG47),ABS(Resultados!BP47),ABS(Resultados!BY47),ABS(Resultados!CH47))/SQRT(COUNT(Resultados!E47,Resultados!N47,Resultados!W47,Resultados!AF47,Resultados!AO47,Resultados!AX47,Resultados!BG47,Resultados!BP47,Resultados!BY47,Resultados!CH47)))</f>
        <v>5.0968544353870937E-2</v>
      </c>
      <c r="F47">
        <f>IF(COUNT(Resultados!F47,Resultados!O47,Resultados!X47,Resultados!AG47,Resultados!AP47,Resultados!AY47,Resultados!BH47,Resultados!BQ47,Resultados!BZ47,Resultados!CI47)&lt;=1, "", _xlfn.STDEV.S(ABS(Resultados!F47),ABS(Resultados!O47),ABS(Resultados!X47),ABS(Resultados!AG47),ABS(Resultados!AP47),ABS(Resultados!AY47),ABS(Resultados!BH47),ABS(Resultados!BQ47),ABS(Resultados!BZ47),ABS(Resultados!CI47))/SQRT(COUNT(Resultados!F47,Resultados!O47,Resultados!X47,Resultados!AG47,Resultados!AP47,Resultados!AY47,Resultados!BH47,Resultados!BQ47,Resultados!BZ47,Resultados!CI47)))</f>
        <v>4.8369148591823468</v>
      </c>
      <c r="G47">
        <f>IF(COUNT(Resultados!G47,Resultados!P47,Resultados!Y47,Resultados!AH47,Resultados!AQ47,Resultados!AZ47,Resultados!BI47,Resultados!BR47,Resultados!CA47,Resultados!CJ47)&lt;=1, "", _xlfn.STDEV.S(ABS(Resultados!G47),ABS(Resultados!P47),ABS(Resultados!Y47),ABS(Resultados!AH47),ABS(Resultados!AQ47),ABS(Resultados!AZ47),ABS(Resultados!BI47),ABS(Resultados!BR47),ABS(Resultados!CA47),ABS(Resultados!CJ47))/SQRT(COUNT(Resultados!G47,Resultados!P47,Resultados!Y47,Resultados!AH47,Resultados!AQ47,Resultados!AZ47,Resultados!BI47,Resultados!BR47,Resultados!CA47,Resultados!CJ47)))</f>
        <v>1.8503717077085941E-17</v>
      </c>
      <c r="H47">
        <f>IF(COUNT(Resultados!H47,Resultados!Q47,Resultados!Z47,Resultados!AI47,Resultados!AR47,Resultados!BA47,Resultados!BJ47,Resultados!BS47,Resultados!CB47,Resultados!CK47)&lt;=1, "", _xlfn.STDEV.S(ABS(Resultados!H47),ABS(Resultados!Q47),ABS(Resultados!Z47),ABS(Resultados!AI47),ABS(Resultados!AR47),ABS(Resultados!BA47),ABS(Resultados!BJ47),ABS(Resultados!BS47),ABS(Resultados!CB47),ABS(Resultados!CK47))/SQRT(COUNT(Resultados!H47,Resultados!Q47,Resultados!Z47,Resultados!AI47,Resultados!AR47,Resultados!BA47,Resultados!BJ47,Resultados!BS47,Resultados!CB47,Resultados!CK47)))</f>
        <v>7.9680612447445456E-4</v>
      </c>
      <c r="I47">
        <f>IF(COUNT(Resultados!I47,Resultados!R47,Resultados!AA47,Resultados!AJ47,Resultados!AS47,Resultados!BB47,Resultados!BK47,Resultados!BT47,Resultados!CC47,Resultados!CL47)&lt;=1, "", _xlfn.STDEV.S(ABS(Resultados!I47),ABS(Resultados!R47),ABS(Resultados!AA47),ABS(Resultados!AJ47),ABS(Resultados!AS47),ABS(Resultados!BB47),ABS(Resultados!BK47),ABS(Resultados!BT47),ABS(Resultados!CC47),ABS(Resultados!CL47))/SQRT(COUNT(Resultados!I47,Resultados!R47,Resultados!AA47,Resultados!AJ47,Resultados!AS47,Resultados!BB47,Resultados!BK47,Resultados!BT47,Resultados!CC47,Resultados!CL47)))</f>
        <v>4.0097044336902664E-2</v>
      </c>
    </row>
    <row r="48" spans="1:9" x14ac:dyDescent="0.3">
      <c r="A48">
        <f>IF(COUNT(Resultados!A48,Resultados!J48,Resultados!S48,Resultados!AB48,Resultados!AK48,Resultados!AT48,Resultados!BC48,Resultados!BL48,Resultados!BU48,Resultados!CD48)&lt;=1, "", _xlfn.STDEV.S(ABS(Resultados!A48),ABS(Resultados!J48),ABS(Resultados!S48),ABS(Resultados!AB48),ABS(Resultados!AK48),ABS(Resultados!AT48),ABS(Resultados!BC48),ABS(Resultados!BL48),ABS(Resultados!BU48),ABS(Resultados!CD48))/SQRT(COUNT(Resultados!A48,Resultados!J48,Resultados!S48,Resultados!AB48,Resultados!AK48,Resultados!AT48,Resultados!BC48,Resultados!BL48,Resultados!BU48,Resultados!CD48)))</f>
        <v>0</v>
      </c>
      <c r="B48" t="str">
        <f>IF(COUNT(Resultados!B48,Resultados!K48,Resultados!T48,Resultados!AC48,Resultados!AL48,Resultados!AU48,Resultados!BD48,Resultados!BM48,Resultados!BV48,Resultados!CE48)&lt;=1, "", _xlfn.STDEV.S(ABS(Resultados!B48),ABS(Resultados!K48),ABS(Resultados!T48),ABS(Resultados!AC48),ABS(Resultados!AL48),ABS(Resultados!AU48),ABS(Resultados!BD48),ABS(Resultados!BM48),ABS(Resultados!BV48),ABS(Resultados!CE48))/SQRT(COUNT(Resultados!B48,Resultados!K48,Resultados!T48,Resultados!AC48,Resultados!AL48,Resultados!AU48,Resultados!BD48,Resultados!BM48,Resultados!BV48,Resultados!CE48)))</f>
        <v/>
      </c>
      <c r="C48">
        <f>IF(COUNT(Resultados!C48,Resultados!L48,Resultados!U48,Resultados!AD48,Resultados!AM48,Resultados!AV48,Resultados!BE48,Resultados!BN48,Resultados!BW48,Resultados!CF48)&lt;=1, "", _xlfn.STDEV.S(ABS(Resultados!C48),ABS(Resultados!L48),ABS(Resultados!U48),ABS(Resultados!AD48),ABS(Resultados!AM48),ABS(Resultados!AV48),ABS(Resultados!BE48),ABS(Resultados!BN48),ABS(Resultados!BW48),ABS(Resultados!CF48))/SQRT(COUNT(Resultados!C48,Resultados!L48,Resultados!U48,Resultados!AD48,Resultados!AM48,Resultados!AV48,Resultados!BE48,Resultados!BN48,Resultados!BW48,Resultados!CF48)))</f>
        <v>0.58214163988576595</v>
      </c>
      <c r="D48">
        <f>IF(COUNT(Resultados!D48,Resultados!M48,Resultados!V48,Resultados!AE48,Resultados!AN48,Resultados!AW48,Resultados!BF48,Resultados!BO48,Resultados!BX48,Resultados!CG48)&lt;=1, "", _xlfn.STDEV.S(ABS(Resultados!D48),ABS(Resultados!M48),ABS(Resultados!V48),ABS(Resultados!AE48),ABS(Resultados!AN48),ABS(Resultados!AW48),ABS(Resultados!BF48),ABS(Resultados!BO48),ABS(Resultados!BX48),ABS(Resultados!CG48))/SQRT(COUNT(Resultados!D48,Resultados!M48,Resultados!V48,Resultados!AE48,Resultados!AN48,Resultados!AW48,Resultados!BF48,Resultados!BO48,Resultados!BX48,Resultados!CG48)))</f>
        <v>8.1679590814080067E-4</v>
      </c>
      <c r="E48">
        <f>IF(COUNT(Resultados!E48,Resultados!N48,Resultados!W48,Resultados!AF48,Resultados!AO48,Resultados!AX48,Resultados!BG48,Resultados!BP48,Resultados!BY48,Resultados!CH48)&lt;=1, "", _xlfn.STDEV.S(ABS(Resultados!E48),ABS(Resultados!N48),ABS(Resultados!W48),ABS(Resultados!AF48),ABS(Resultados!AO48),ABS(Resultados!AX48),ABS(Resultados!BG48),ABS(Resultados!BP48),ABS(Resultados!BY48),ABS(Resultados!CH48))/SQRT(COUNT(Resultados!E48,Resultados!N48,Resultados!W48,Resultados!AF48,Resultados!AO48,Resultados!AX48,Resultados!BG48,Resultados!BP48,Resultados!BY48,Resultados!CH48)))</f>
        <v>5.6220014327573259E-2</v>
      </c>
      <c r="F48">
        <f>IF(COUNT(Resultados!F48,Resultados!O48,Resultados!X48,Resultados!AG48,Resultados!AP48,Resultados!AY48,Resultados!BH48,Resultados!BQ48,Resultados!BZ48,Resultados!CI48)&lt;=1, "", _xlfn.STDEV.S(ABS(Resultados!F48),ABS(Resultados!O48),ABS(Resultados!X48),ABS(Resultados!AG48),ABS(Resultados!AP48),ABS(Resultados!AY48),ABS(Resultados!BH48),ABS(Resultados!BQ48),ABS(Resultados!BZ48),ABS(Resultados!CI48))/SQRT(COUNT(Resultados!F48,Resultados!O48,Resultados!X48,Resultados!AG48,Resultados!AP48,Resultados!AY48,Resultados!BH48,Resultados!BQ48,Resultados!BZ48,Resultados!CI48)))</f>
        <v>5.3352793596867016</v>
      </c>
      <c r="G48">
        <f>IF(COUNT(Resultados!G48,Resultados!P48,Resultados!Y48,Resultados!AH48,Resultados!AQ48,Resultados!AZ48,Resultados!BI48,Resultados!BR48,Resultados!CA48,Resultados!CJ48)&lt;=1, "", _xlfn.STDEV.S(ABS(Resultados!G48),ABS(Resultados!P48),ABS(Resultados!Y48),ABS(Resultados!AH48),ABS(Resultados!AQ48),ABS(Resultados!AZ48),ABS(Resultados!BI48),ABS(Resultados!BR48),ABS(Resultados!CA48),ABS(Resultados!CJ48))/SQRT(COUNT(Resultados!G48,Resultados!P48,Resultados!Y48,Resultados!AH48,Resultados!AQ48,Resultados!AZ48,Resultados!BI48,Resultados!BR48,Resultados!CA48,Resultados!CJ48)))</f>
        <v>1.8503717077085941E-17</v>
      </c>
      <c r="H48">
        <f>IF(COUNT(Resultados!H48,Resultados!Q48,Resultados!Z48,Resultados!AI48,Resultados!AR48,Resultados!BA48,Resultados!BJ48,Resultados!BS48,Resultados!CB48,Resultados!CK48)&lt;=1, "", _xlfn.STDEV.S(ABS(Resultados!H48),ABS(Resultados!Q48),ABS(Resultados!Z48),ABS(Resultados!AI48),ABS(Resultados!AR48),ABS(Resultados!BA48),ABS(Resultados!BJ48),ABS(Resultados!BS48),ABS(Resultados!CB48),ABS(Resultados!CK48))/SQRT(COUNT(Resultados!H48,Resultados!Q48,Resultados!Z48,Resultados!AI48,Resultados!AR48,Resultados!BA48,Resultados!BJ48,Resultados!BS48,Resultados!CB48,Resultados!CK48)))</f>
        <v>8.7471265123023243E-4</v>
      </c>
      <c r="I48">
        <f>IF(COUNT(Resultados!I48,Resultados!R48,Resultados!AA48,Resultados!AJ48,Resultados!AS48,Resultados!BB48,Resultados!BK48,Resultados!BT48,Resultados!CC48,Resultados!CL48)&lt;=1, "", _xlfn.STDEV.S(ABS(Resultados!I48),ABS(Resultados!R48),ABS(Resultados!AA48),ABS(Resultados!AJ48),ABS(Resultados!AS48),ABS(Resultados!BB48),ABS(Resultados!BK48),ABS(Resultados!BT48),ABS(Resultados!CC48),ABS(Resultados!CL48))/SQRT(COUNT(Resultados!I48,Resultados!R48,Resultados!AA48,Resultados!AJ48,Resultados!AS48,Resultados!BB48,Resultados!BK48,Resultados!BT48,Resultados!CC48,Resultados!CL48)))</f>
        <v>4.0131165446711775E-2</v>
      </c>
    </row>
    <row r="49" spans="1:9" x14ac:dyDescent="0.3">
      <c r="A49">
        <f>IF(COUNT(Resultados!A49,Resultados!J49,Resultados!S49,Resultados!AB49,Resultados!AK49,Resultados!AT49,Resultados!BC49,Resultados!BL49,Resultados!BU49,Resultados!CD49)&lt;=1, "", _xlfn.STDEV.S(ABS(Resultados!A49),ABS(Resultados!J49),ABS(Resultados!S49),ABS(Resultados!AB49),ABS(Resultados!AK49),ABS(Resultados!AT49),ABS(Resultados!BC49),ABS(Resultados!BL49),ABS(Resultados!BU49),ABS(Resultados!CD49))/SQRT(COUNT(Resultados!A49,Resultados!J49,Resultados!S49,Resultados!AB49,Resultados!AK49,Resultados!AT49,Resultados!BC49,Resultados!BL49,Resultados!BU49,Resultados!CD49)))</f>
        <v>0</v>
      </c>
      <c r="B49" t="str">
        <f>IF(COUNT(Resultados!B49,Resultados!K49,Resultados!T49,Resultados!AC49,Resultados!AL49,Resultados!AU49,Resultados!BD49,Resultados!BM49,Resultados!BV49,Resultados!CE49)&lt;=1, "", _xlfn.STDEV.S(ABS(Resultados!B49),ABS(Resultados!K49),ABS(Resultados!T49),ABS(Resultados!AC49),ABS(Resultados!AL49),ABS(Resultados!AU49),ABS(Resultados!BD49),ABS(Resultados!BM49),ABS(Resultados!BV49),ABS(Resultados!CE49))/SQRT(COUNT(Resultados!B49,Resultados!K49,Resultados!T49,Resultados!AC49,Resultados!AL49,Resultados!AU49,Resultados!BD49,Resultados!BM49,Resultados!BV49,Resultados!CE49)))</f>
        <v/>
      </c>
      <c r="C49">
        <f>IF(COUNT(Resultados!C49,Resultados!L49,Resultados!U49,Resultados!AD49,Resultados!AM49,Resultados!AV49,Resultados!BE49,Resultados!BN49,Resultados!BW49,Resultados!CF49)&lt;=1, "", _xlfn.STDEV.S(ABS(Resultados!C49),ABS(Resultados!L49),ABS(Resultados!U49),ABS(Resultados!AD49),ABS(Resultados!AM49),ABS(Resultados!AV49),ABS(Resultados!BE49),ABS(Resultados!BN49),ABS(Resultados!BW49),ABS(Resultados!CF49))/SQRT(COUNT(Resultados!C49,Resultados!L49,Resultados!U49,Resultados!AD49,Resultados!AM49,Resultados!AV49,Resultados!BE49,Resultados!BN49,Resultados!BW49,Resultados!CF49)))</f>
        <v>0.58214163988576595</v>
      </c>
      <c r="D49">
        <f>IF(COUNT(Resultados!D49,Resultados!M49,Resultados!V49,Resultados!AE49,Resultados!AN49,Resultados!AW49,Resultados!BF49,Resultados!BO49,Resultados!BX49,Resultados!CG49)&lt;=1, "", _xlfn.STDEV.S(ABS(Resultados!D49),ABS(Resultados!M49),ABS(Resultados!V49),ABS(Resultados!AE49),ABS(Resultados!AN49),ABS(Resultados!AW49),ABS(Resultados!BF49),ABS(Resultados!BO49),ABS(Resultados!BX49),ABS(Resultados!CG49))/SQRT(COUNT(Resultados!D49,Resultados!M49,Resultados!V49,Resultados!AE49,Resultados!AN49,Resultados!AW49,Resultados!BF49,Resultados!BO49,Resultados!BX49,Resultados!CG49)))</f>
        <v>8.22300296593512E-4</v>
      </c>
      <c r="E49">
        <f>IF(COUNT(Resultados!E49,Resultados!N49,Resultados!W49,Resultados!AF49,Resultados!AO49,Resultados!AX49,Resultados!BG49,Resultados!BP49,Resultados!BY49,Resultados!CH49)&lt;=1, "", _xlfn.STDEV.S(ABS(Resultados!E49),ABS(Resultados!N49),ABS(Resultados!W49),ABS(Resultados!AF49),ABS(Resultados!AO49),ABS(Resultados!AX49),ABS(Resultados!BG49),ABS(Resultados!BP49),ABS(Resultados!BY49),ABS(Resultados!CH49))/SQRT(COUNT(Resultados!E49,Resultados!N49,Resultados!W49,Resultados!AF49,Resultados!AO49,Resultados!AX49,Resultados!BG49,Resultados!BP49,Resultados!BY49,Resultados!CH49)))</f>
        <v>5.9988333390174148E-2</v>
      </c>
      <c r="F49">
        <f>IF(COUNT(Resultados!F49,Resultados!O49,Resultados!X49,Resultados!AG49,Resultados!AP49,Resultados!AY49,Resultados!BH49,Resultados!BQ49,Resultados!BZ49,Resultados!CI49)&lt;=1, "", _xlfn.STDEV.S(ABS(Resultados!F49),ABS(Resultados!O49),ABS(Resultados!X49),ABS(Resultados!AG49),ABS(Resultados!AP49),ABS(Resultados!AY49),ABS(Resultados!BH49),ABS(Resultados!BQ49),ABS(Resultados!BZ49),ABS(Resultados!CI49))/SQRT(COUNT(Resultados!F49,Resultados!O49,Resultados!X49,Resultados!AG49,Resultados!AP49,Resultados!AY49,Resultados!BH49,Resultados!BQ49,Resultados!BZ49,Resultados!CI49)))</f>
        <v>5.6928928387275279</v>
      </c>
      <c r="G49">
        <f>IF(COUNT(Resultados!G49,Resultados!P49,Resultados!Y49,Resultados!AH49,Resultados!AQ49,Resultados!AZ49,Resultados!BI49,Resultados!BR49,Resultados!CA49,Resultados!CJ49)&lt;=1, "", _xlfn.STDEV.S(ABS(Resultados!G49),ABS(Resultados!P49),ABS(Resultados!Y49),ABS(Resultados!AH49),ABS(Resultados!AQ49),ABS(Resultados!AZ49),ABS(Resultados!BI49),ABS(Resultados!BR49),ABS(Resultados!CA49),ABS(Resultados!CJ49))/SQRT(COUNT(Resultados!G49,Resultados!P49,Resultados!Y49,Resultados!AH49,Resultados!AQ49,Resultados!AZ49,Resultados!BI49,Resultados!BR49,Resultados!CA49,Resultados!CJ49)))</f>
        <v>1.8503717077085941E-17</v>
      </c>
      <c r="H49">
        <f>IF(COUNT(Resultados!H49,Resultados!Q49,Resultados!Z49,Resultados!AI49,Resultados!AR49,Resultados!BA49,Resultados!BJ49,Resultados!BS49,Resultados!CB49,Resultados!CK49)&lt;=1, "", _xlfn.STDEV.S(ABS(Resultados!H49),ABS(Resultados!Q49),ABS(Resultados!Z49),ABS(Resultados!AI49),ABS(Resultados!AR49),ABS(Resultados!BA49),ABS(Resultados!BJ49),ABS(Resultados!BS49),ABS(Resultados!CB49),ABS(Resultados!CK49))/SQRT(COUNT(Resultados!H49,Resultados!Q49,Resultados!Z49,Resultados!AI49,Resultados!AR49,Resultados!BA49,Resultados!BJ49,Resultados!BS49,Resultados!CB49,Resultados!CK49)))</f>
        <v>9.267865629870414E-4</v>
      </c>
      <c r="I49">
        <f>IF(COUNT(Resultados!I49,Resultados!R49,Resultados!AA49,Resultados!AJ49,Resultados!AS49,Resultados!BB49,Resultados!BK49,Resultados!BT49,Resultados!CC49,Resultados!CL49)&lt;=1, "", _xlfn.STDEV.S(ABS(Resultados!I49),ABS(Resultados!R49),ABS(Resultados!AA49),ABS(Resultados!AJ49),ABS(Resultados!AS49),ABS(Resultados!BB49),ABS(Resultados!BK49),ABS(Resultados!BT49),ABS(Resultados!CC49),ABS(Resultados!CL49))/SQRT(COUNT(Resultados!I49,Resultados!R49,Resultados!AA49,Resultados!AJ49,Resultados!AS49,Resultados!BB49,Resultados!BK49,Resultados!BT49,Resultados!CC49,Resultados!CL49)))</f>
        <v>4.0134164553960537E-2</v>
      </c>
    </row>
    <row r="50" spans="1:9" x14ac:dyDescent="0.3">
      <c r="A50">
        <f>IF(COUNT(Resultados!A50,Resultados!J50,Resultados!S50,Resultados!AB50,Resultados!AK50,Resultados!AT50,Resultados!BC50,Resultados!BL50,Resultados!BU50,Resultados!CD50)&lt;=1, "", _xlfn.STDEV.S(ABS(Resultados!A50),ABS(Resultados!J50),ABS(Resultados!S50),ABS(Resultados!AB50),ABS(Resultados!AK50),ABS(Resultados!AT50),ABS(Resultados!BC50),ABS(Resultados!BL50),ABS(Resultados!BU50),ABS(Resultados!CD50))/SQRT(COUNT(Resultados!A50,Resultados!J50,Resultados!S50,Resultados!AB50,Resultados!AK50,Resultados!AT50,Resultados!BC50,Resultados!BL50,Resultados!BU50,Resultados!CD50)))</f>
        <v>0</v>
      </c>
      <c r="B50" t="str">
        <f>IF(COUNT(Resultados!B50,Resultados!K50,Resultados!T50,Resultados!AC50,Resultados!AL50,Resultados!AU50,Resultados!BD50,Resultados!BM50,Resultados!BV50,Resultados!CE50)&lt;=1, "", _xlfn.STDEV.S(ABS(Resultados!B50),ABS(Resultados!K50),ABS(Resultados!T50),ABS(Resultados!AC50),ABS(Resultados!AL50),ABS(Resultados!AU50),ABS(Resultados!BD50),ABS(Resultados!BM50),ABS(Resultados!BV50),ABS(Resultados!CE50))/SQRT(COUNT(Resultados!B50,Resultados!K50,Resultados!T50,Resultados!AC50,Resultados!AL50,Resultados!AU50,Resultados!BD50,Resultados!BM50,Resultados!BV50,Resultados!CE50)))</f>
        <v/>
      </c>
      <c r="C50">
        <f>IF(COUNT(Resultados!C50,Resultados!L50,Resultados!U50,Resultados!AD50,Resultados!AM50,Resultados!AV50,Resultados!BE50,Resultados!BN50,Resultados!BW50,Resultados!CF50)&lt;=1, "", _xlfn.STDEV.S(ABS(Resultados!C50),ABS(Resultados!L50),ABS(Resultados!U50),ABS(Resultados!AD50),ABS(Resultados!AM50),ABS(Resultados!AV50),ABS(Resultados!BE50),ABS(Resultados!BN50),ABS(Resultados!BW50),ABS(Resultados!CF50))/SQRT(COUNT(Resultados!C50,Resultados!L50,Resultados!U50,Resultados!AD50,Resultados!AM50,Resultados!AV50,Resultados!BE50,Resultados!BN50,Resultados!BW50,Resultados!CF50)))</f>
        <v>0.54160256030906406</v>
      </c>
      <c r="D50">
        <f>IF(COUNT(Resultados!D50,Resultados!M50,Resultados!V50,Resultados!AE50,Resultados!AN50,Resultados!AW50,Resultados!BF50,Resultados!BO50,Resultados!BX50,Resultados!CG50)&lt;=1, "", _xlfn.STDEV.S(ABS(Resultados!D50),ABS(Resultados!M50),ABS(Resultados!V50),ABS(Resultados!AE50),ABS(Resultados!AN50),ABS(Resultados!AW50),ABS(Resultados!BF50),ABS(Resultados!BO50),ABS(Resultados!BX50),ABS(Resultados!CG50))/SQRT(COUNT(Resultados!D50,Resultados!M50,Resultados!V50,Resultados!AE50,Resultados!AN50,Resultados!AW50,Resultados!BF50,Resultados!BO50,Resultados!BX50,Resultados!CG50)))</f>
        <v>9.4036045098556617E-4</v>
      </c>
      <c r="E50">
        <f>IF(COUNT(Resultados!E50,Resultados!N50,Resultados!W50,Resultados!AF50,Resultados!AO50,Resultados!AX50,Resultados!BG50,Resultados!BP50,Resultados!BY50,Resultados!CH50)&lt;=1, "", _xlfn.STDEV.S(ABS(Resultados!E50),ABS(Resultados!N50),ABS(Resultados!W50),ABS(Resultados!AF50),ABS(Resultados!AO50),ABS(Resultados!AX50),ABS(Resultados!BG50),ABS(Resultados!BP50),ABS(Resultados!BY50),ABS(Resultados!CH50))/SQRT(COUNT(Resultados!E50,Resultados!N50,Resultados!W50,Resultados!AF50,Resultados!AO50,Resultados!AX50,Resultados!BG50,Resultados!BP50,Resultados!BY50,Resultados!CH50)))</f>
        <v>6.2591932403630895E-2</v>
      </c>
      <c r="F50">
        <f>IF(COUNT(Resultados!F50,Resultados!O50,Resultados!X50,Resultados!AG50,Resultados!AP50,Resultados!AY50,Resultados!BH50,Resultados!BQ50,Resultados!BZ50,Resultados!CI50)&lt;=1, "", _xlfn.STDEV.S(ABS(Resultados!F50),ABS(Resultados!O50),ABS(Resultados!X50),ABS(Resultados!AG50),ABS(Resultados!AP50),ABS(Resultados!AY50),ABS(Resultados!BH50),ABS(Resultados!BQ50),ABS(Resultados!BZ50),ABS(Resultados!CI50))/SQRT(COUNT(Resultados!F50,Resultados!O50,Resultados!X50,Resultados!AG50,Resultados!AP50,Resultados!AY50,Resultados!BH50,Resultados!BQ50,Resultados!BZ50,Resultados!CI50)))</f>
        <v>5.9399743851045734</v>
      </c>
      <c r="G50">
        <f>IF(COUNT(Resultados!G50,Resultados!P50,Resultados!Y50,Resultados!AH50,Resultados!AQ50,Resultados!AZ50,Resultados!BI50,Resultados!BR50,Resultados!CA50,Resultados!CJ50)&lt;=1, "", _xlfn.STDEV.S(ABS(Resultados!G50),ABS(Resultados!P50),ABS(Resultados!Y50),ABS(Resultados!AH50),ABS(Resultados!AQ50),ABS(Resultados!AZ50),ABS(Resultados!BI50),ABS(Resultados!BR50),ABS(Resultados!CA50),ABS(Resultados!CJ50))/SQRT(COUNT(Resultados!G50,Resultados!P50,Resultados!Y50,Resultados!AH50,Resultados!AQ50,Resultados!AZ50,Resultados!BI50,Resultados!BR50,Resultados!CA50,Resultados!CJ50)))</f>
        <v>1.8503717077085941E-17</v>
      </c>
      <c r="H50">
        <f>IF(COUNT(Resultados!H50,Resultados!Q50,Resultados!Z50,Resultados!AI50,Resultados!AR50,Resultados!BA50,Resultados!BJ50,Resultados!BS50,Resultados!CB50,Resultados!CK50)&lt;=1, "", _xlfn.STDEV.S(ABS(Resultados!H50),ABS(Resultados!Q50),ABS(Resultados!Z50),ABS(Resultados!AI50),ABS(Resultados!AR50),ABS(Resultados!BA50),ABS(Resultados!BJ50),ABS(Resultados!BS50),ABS(Resultados!CB50),ABS(Resultados!CK50))/SQRT(COUNT(Resultados!H50,Resultados!Q50,Resultados!Z50,Resultados!AI50,Resultados!AR50,Resultados!BA50,Resultados!BJ50,Resultados!BS50,Resultados!CB50,Resultados!CK50)))</f>
        <v>9.7011454077455318E-4</v>
      </c>
      <c r="I50">
        <f>IF(COUNT(Resultados!I50,Resultados!R50,Resultados!AA50,Resultados!AJ50,Resultados!AS50,Resultados!BB50,Resultados!BK50,Resultados!BT50,Resultados!CC50,Resultados!CL50)&lt;=1, "", _xlfn.STDEV.S(ABS(Resultados!I50),ABS(Resultados!R50),ABS(Resultados!AA50),ABS(Resultados!AJ50),ABS(Resultados!AS50),ABS(Resultados!BB50),ABS(Resultados!BK50),ABS(Resultados!BT50),ABS(Resultados!CC50),ABS(Resultados!CL50))/SQRT(COUNT(Resultados!I50,Resultados!R50,Resultados!AA50,Resultados!AJ50,Resultados!AS50,Resultados!BB50,Resultados!BK50,Resultados!BT50,Resultados!CC50,Resultados!CL50)))</f>
        <v>4.0325483693458425E-2</v>
      </c>
    </row>
    <row r="51" spans="1:9" x14ac:dyDescent="0.3">
      <c r="A51">
        <f>IF(COUNT(Resultados!A51,Resultados!J51,Resultados!S51,Resultados!AB51,Resultados!AK51,Resultados!AT51,Resultados!BC51,Resultados!BL51,Resultados!BU51,Resultados!CD51)&lt;=1, "", _xlfn.STDEV.S(ABS(Resultados!A51),ABS(Resultados!J51),ABS(Resultados!S51),ABS(Resultados!AB51),ABS(Resultados!AK51),ABS(Resultados!AT51),ABS(Resultados!BC51),ABS(Resultados!BL51),ABS(Resultados!BU51),ABS(Resultados!CD51))/SQRT(COUNT(Resultados!A51,Resultados!J51,Resultados!S51,Resultados!AB51,Resultados!AK51,Resultados!AT51,Resultados!BC51,Resultados!BL51,Resultados!BU51,Resultados!CD51)))</f>
        <v>0</v>
      </c>
      <c r="B51" t="str">
        <f>IF(COUNT(Resultados!B51,Resultados!K51,Resultados!T51,Resultados!AC51,Resultados!AL51,Resultados!AU51,Resultados!BD51,Resultados!BM51,Resultados!BV51,Resultados!CE51)&lt;=1, "", _xlfn.STDEV.S(ABS(Resultados!B51),ABS(Resultados!K51),ABS(Resultados!T51),ABS(Resultados!AC51),ABS(Resultados!AL51),ABS(Resultados!AU51),ABS(Resultados!BD51),ABS(Resultados!BM51),ABS(Resultados!BV51),ABS(Resultados!CE51))/SQRT(COUNT(Resultados!B51,Resultados!K51,Resultados!T51,Resultados!AC51,Resultados!AL51,Resultados!AU51,Resultados!BD51,Resultados!BM51,Resultados!BV51,Resultados!CE51)))</f>
        <v/>
      </c>
      <c r="C51">
        <f>IF(COUNT(Resultados!C51,Resultados!L51,Resultados!U51,Resultados!AD51,Resultados!AM51,Resultados!AV51,Resultados!BE51,Resultados!BN51,Resultados!BW51,Resultados!CF51)&lt;=1, "", _xlfn.STDEV.S(ABS(Resultados!C51),ABS(Resultados!L51),ABS(Resultados!U51),ABS(Resultados!AD51),ABS(Resultados!AM51),ABS(Resultados!AV51),ABS(Resultados!BE51),ABS(Resultados!BN51),ABS(Resultados!BW51),ABS(Resultados!CF51))/SQRT(COUNT(Resultados!C51,Resultados!L51,Resultados!U51,Resultados!AD51,Resultados!AM51,Resultados!AV51,Resultados!BE51,Resultados!BN51,Resultados!BW51,Resultados!CF51)))</f>
        <v>0.54160256030906406</v>
      </c>
      <c r="D51">
        <f>IF(COUNT(Resultados!D51,Resultados!M51,Resultados!V51,Resultados!AE51,Resultados!AN51,Resultados!AW51,Resultados!BF51,Resultados!BO51,Resultados!BX51,Resultados!CG51)&lt;=1, "", _xlfn.STDEV.S(ABS(Resultados!D51),ABS(Resultados!M51),ABS(Resultados!V51),ABS(Resultados!AE51),ABS(Resultados!AN51),ABS(Resultados!AW51),ABS(Resultados!BF51),ABS(Resultados!BO51),ABS(Resultados!BX51),ABS(Resultados!CG51))/SQRT(COUNT(Resultados!D51,Resultados!M51,Resultados!V51,Resultados!AE51,Resultados!AN51,Resultados!AW51,Resultados!BF51,Resultados!BO51,Resultados!BX51,Resultados!CG51)))</f>
        <v>9.9735762002514552E-4</v>
      </c>
      <c r="E51">
        <f>IF(COUNT(Resultados!E51,Resultados!N51,Resultados!W51,Resultados!AF51,Resultados!AO51,Resultados!AX51,Resultados!BG51,Resultados!BP51,Resultados!BY51,Resultados!CH51)&lt;=1, "", _xlfn.STDEV.S(ABS(Resultados!E51),ABS(Resultados!N51),ABS(Resultados!W51),ABS(Resultados!AF51),ABS(Resultados!AO51),ABS(Resultados!AX51),ABS(Resultados!BG51),ABS(Resultados!BP51),ABS(Resultados!BY51),ABS(Resultados!CH51))/SQRT(COUNT(Resultados!E51,Resultados!N51,Resultados!W51,Resultados!AF51,Resultados!AO51,Resultados!AX51,Resultados!BG51,Resultados!BP51,Resultados!BY51,Resultados!CH51)))</f>
        <v>6.3161028851203962E-2</v>
      </c>
      <c r="F51">
        <f>IF(COUNT(Resultados!F51,Resultados!O51,Resultados!X51,Resultados!AG51,Resultados!AP51,Resultados!AY51,Resultados!BH51,Resultados!BQ51,Resultados!BZ51,Resultados!CI51)&lt;=1, "", _xlfn.STDEV.S(ABS(Resultados!F51),ABS(Resultados!O51),ABS(Resultados!X51),ABS(Resultados!AG51),ABS(Resultados!AP51),ABS(Resultados!AY51),ABS(Resultados!BH51),ABS(Resultados!BQ51),ABS(Resultados!BZ51),ABS(Resultados!CI51))/SQRT(COUNT(Resultados!F51,Resultados!O51,Resultados!X51,Resultados!AG51,Resultados!AP51,Resultados!AY51,Resultados!BH51,Resultados!BQ51,Resultados!BZ51,Resultados!CI51)))</f>
        <v>5.9939816379792603</v>
      </c>
      <c r="G51">
        <f>IF(COUNT(Resultados!G51,Resultados!P51,Resultados!Y51,Resultados!AH51,Resultados!AQ51,Resultados!AZ51,Resultados!BI51,Resultados!BR51,Resultados!CA51,Resultados!CJ51)&lt;=1, "", _xlfn.STDEV.S(ABS(Resultados!G51),ABS(Resultados!P51),ABS(Resultados!Y51),ABS(Resultados!AH51),ABS(Resultados!AQ51),ABS(Resultados!AZ51),ABS(Resultados!BI51),ABS(Resultados!BR51),ABS(Resultados!CA51),ABS(Resultados!CJ51))/SQRT(COUNT(Resultados!G51,Resultados!P51,Resultados!Y51,Resultados!AH51,Resultados!AQ51,Resultados!AZ51,Resultados!BI51,Resultados!BR51,Resultados!CA51,Resultados!CJ51)))</f>
        <v>1.8503717077085941E-17</v>
      </c>
      <c r="H51">
        <f>IF(COUNT(Resultados!H51,Resultados!Q51,Resultados!Z51,Resultados!AI51,Resultados!AR51,Resultados!BA51,Resultados!BJ51,Resultados!BS51,Resultados!CB51,Resultados!CK51)&lt;=1, "", _xlfn.STDEV.S(ABS(Resultados!H51),ABS(Resultados!Q51),ABS(Resultados!Z51),ABS(Resultados!AI51),ABS(Resultados!AR51),ABS(Resultados!BA51),ABS(Resultados!BJ51),ABS(Resultados!BS51),ABS(Resultados!CB51),ABS(Resultados!CK51))/SQRT(COUNT(Resultados!H51,Resultados!Q51,Resultados!Z51,Resultados!AI51,Resultados!AR51,Resultados!BA51,Resultados!BJ51,Resultados!BS51,Resultados!CB51,Resultados!CK51)))</f>
        <v>9.8022673114154819E-4</v>
      </c>
      <c r="I51">
        <f>IF(COUNT(Resultados!I51,Resultados!R51,Resultados!AA51,Resultados!AJ51,Resultados!AS51,Resultados!BB51,Resultados!BK51,Resultados!BT51,Resultados!CC51,Resultados!CL51)&lt;=1, "", _xlfn.STDEV.S(ABS(Resultados!I51),ABS(Resultados!R51),ABS(Resultados!AA51),ABS(Resultados!AJ51),ABS(Resultados!AS51),ABS(Resultados!BB51),ABS(Resultados!BK51),ABS(Resultados!BT51),ABS(Resultados!CC51),ABS(Resultados!CL51))/SQRT(COUNT(Resultados!I51,Resultados!R51,Resultados!AA51,Resultados!AJ51,Resultados!AS51,Resultados!BB51,Resultados!BK51,Resultados!BT51,Resultados!CC51,Resultados!CL51)))</f>
        <v>4.0191897630133137E-2</v>
      </c>
    </row>
    <row r="52" spans="1:9" x14ac:dyDescent="0.3">
      <c r="A52">
        <f>IF(COUNT(Resultados!A52,Resultados!J52,Resultados!S52,Resultados!AB52,Resultados!AK52,Resultados!AT52,Resultados!BC52,Resultados!BL52,Resultados!BU52,Resultados!CD52)&lt;=1, "", _xlfn.STDEV.S(ABS(Resultados!A52),ABS(Resultados!J52),ABS(Resultados!S52),ABS(Resultados!AB52),ABS(Resultados!AK52),ABS(Resultados!AT52),ABS(Resultados!BC52),ABS(Resultados!BL52),ABS(Resultados!BU52),ABS(Resultados!CD52))/SQRT(COUNT(Resultados!A52,Resultados!J52,Resultados!S52,Resultados!AB52,Resultados!AK52,Resultados!AT52,Resultados!BC52,Resultados!BL52,Resultados!BU52,Resultados!CD52)))</f>
        <v>0</v>
      </c>
      <c r="B52" t="str">
        <f>IF(COUNT(Resultados!B52,Resultados!K52,Resultados!T52,Resultados!AC52,Resultados!AL52,Resultados!AU52,Resultados!BD52,Resultados!BM52,Resultados!BV52,Resultados!CE52)&lt;=1, "", _xlfn.STDEV.S(ABS(Resultados!B52),ABS(Resultados!K52),ABS(Resultados!T52),ABS(Resultados!AC52),ABS(Resultados!AL52),ABS(Resultados!AU52),ABS(Resultados!BD52),ABS(Resultados!BM52),ABS(Resultados!BV52),ABS(Resultados!CE52))/SQRT(COUNT(Resultados!B52,Resultados!K52,Resultados!T52,Resultados!AC52,Resultados!AL52,Resultados!AU52,Resultados!BD52,Resultados!BM52,Resultados!BV52,Resultados!CE52)))</f>
        <v/>
      </c>
      <c r="C52">
        <f>IF(COUNT(Resultados!C52,Resultados!L52,Resultados!U52,Resultados!AD52,Resultados!AM52,Resultados!AV52,Resultados!BE52,Resultados!BN52,Resultados!BW52,Resultados!CF52)&lt;=1, "", _xlfn.STDEV.S(ABS(Resultados!C52),ABS(Resultados!L52),ABS(Resultados!U52),ABS(Resultados!AD52),ABS(Resultados!AM52),ABS(Resultados!AV52),ABS(Resultados!BE52),ABS(Resultados!BN52),ABS(Resultados!BW52),ABS(Resultados!CF52))/SQRT(COUNT(Resultados!C52,Resultados!L52,Resultados!U52,Resultados!AD52,Resultados!AM52,Resultados!AV52,Resultados!BE52,Resultados!BN52,Resultados!BW52,Resultados!CF52)))</f>
        <v>0.54160256030906406</v>
      </c>
      <c r="D52">
        <f>IF(COUNT(Resultados!D52,Resultados!M52,Resultados!V52,Resultados!AE52,Resultados!AN52,Resultados!AW52,Resultados!BF52,Resultados!BO52,Resultados!BX52,Resultados!CG52)&lt;=1, "", _xlfn.STDEV.S(ABS(Resultados!D52),ABS(Resultados!M52),ABS(Resultados!V52),ABS(Resultados!AE52),ABS(Resultados!AN52),ABS(Resultados!AW52),ABS(Resultados!BF52),ABS(Resultados!BO52),ABS(Resultados!BX52),ABS(Resultados!CG52))/SQRT(COUNT(Resultados!D52,Resultados!M52,Resultados!V52,Resultados!AE52,Resultados!AN52,Resultados!AW52,Resultados!BF52,Resultados!BO52,Resultados!BX52,Resultados!CG52)))</f>
        <v>1.0092956840182059E-3</v>
      </c>
      <c r="E52">
        <f>IF(COUNT(Resultados!E52,Resultados!N52,Resultados!W52,Resultados!AF52,Resultados!AO52,Resultados!AX52,Resultados!BG52,Resultados!BP52,Resultados!BY52,Resultados!CH52)&lt;=1, "", _xlfn.STDEV.S(ABS(Resultados!E52),ABS(Resultados!N52),ABS(Resultados!W52),ABS(Resultados!AF52),ABS(Resultados!AO52),ABS(Resultados!AX52),ABS(Resultados!BG52),ABS(Resultados!BP52),ABS(Resultados!BY52),ABS(Resultados!CH52))/SQRT(COUNT(Resultados!E52,Resultados!N52,Resultados!W52,Resultados!AF52,Resultados!AO52,Resultados!AX52,Resultados!BG52,Resultados!BP52,Resultados!BY52,Resultados!CH52)))</f>
        <v>6.2586061174454879E-2</v>
      </c>
      <c r="F52">
        <f>IF(COUNT(Resultados!F52,Resultados!O52,Resultados!X52,Resultados!AG52,Resultados!AP52,Resultados!AY52,Resultados!BH52,Resultados!BQ52,Resultados!BZ52,Resultados!CI52)&lt;=1, "", _xlfn.STDEV.S(ABS(Resultados!F52),ABS(Resultados!O52),ABS(Resultados!X52),ABS(Resultados!AG52),ABS(Resultados!AP52),ABS(Resultados!AY52),ABS(Resultados!BH52),ABS(Resultados!BQ52),ABS(Resultados!BZ52),ABS(Resultados!CI52))/SQRT(COUNT(Resultados!F52,Resultados!O52,Resultados!X52,Resultados!AG52,Resultados!AP52,Resultados!AY52,Resultados!BH52,Resultados!BQ52,Resultados!BZ52,Resultados!CI52)))</f>
        <v>5.9394172054557703</v>
      </c>
      <c r="G52">
        <f>IF(COUNT(Resultados!G52,Resultados!P52,Resultados!Y52,Resultados!AH52,Resultados!AQ52,Resultados!AZ52,Resultados!BI52,Resultados!BR52,Resultados!CA52,Resultados!CJ52)&lt;=1, "", _xlfn.STDEV.S(ABS(Resultados!G52),ABS(Resultados!P52),ABS(Resultados!Y52),ABS(Resultados!AH52),ABS(Resultados!AQ52),ABS(Resultados!AZ52),ABS(Resultados!BI52),ABS(Resultados!BR52),ABS(Resultados!CA52),ABS(Resultados!CJ52))/SQRT(COUNT(Resultados!G52,Resultados!P52,Resultados!Y52,Resultados!AH52,Resultados!AQ52,Resultados!AZ52,Resultados!BI52,Resultados!BR52,Resultados!CA52,Resultados!CJ52)))</f>
        <v>1.8503717077085941E-17</v>
      </c>
      <c r="H52">
        <f>IF(COUNT(Resultados!H52,Resultados!Q52,Resultados!Z52,Resultados!AI52,Resultados!AR52,Resultados!BA52,Resultados!BJ52,Resultados!BS52,Resultados!CB52,Resultados!CK52)&lt;=1, "", _xlfn.STDEV.S(ABS(Resultados!H52),ABS(Resultados!Q52),ABS(Resultados!Z52),ABS(Resultados!AI52),ABS(Resultados!AR52),ABS(Resultados!BA52),ABS(Resultados!BJ52),ABS(Resultados!BS52),ABS(Resultados!CB52),ABS(Resultados!CK52))/SQRT(COUNT(Resultados!H52,Resultados!Q52,Resultados!Z52,Resultados!AI52,Resultados!AR52,Resultados!BA52,Resultados!BJ52,Resultados!BS52,Resultados!CB52,Resultados!CK52)))</f>
        <v>9.7568209758894101E-4</v>
      </c>
      <c r="I52">
        <f>IF(COUNT(Resultados!I52,Resultados!R52,Resultados!AA52,Resultados!AJ52,Resultados!AS52,Resultados!BB52,Resultados!BK52,Resultados!BT52,Resultados!CC52,Resultados!CL52)&lt;=1, "", _xlfn.STDEV.S(ABS(Resultados!I52),ABS(Resultados!R52),ABS(Resultados!AA52),ABS(Resultados!AJ52),ABS(Resultados!AS52),ABS(Resultados!BB52),ABS(Resultados!BK52),ABS(Resultados!BT52),ABS(Resultados!CC52),ABS(Resultados!CL52))/SQRT(COUNT(Resultados!I52,Resultados!R52,Resultados!AA52,Resultados!AJ52,Resultados!AS52,Resultados!BB52,Resultados!BK52,Resultados!BT52,Resultados!CC52,Resultados!CL52)))</f>
        <v>4.0332659896585035E-2</v>
      </c>
    </row>
    <row r="53" spans="1:9" x14ac:dyDescent="0.3">
      <c r="A53">
        <f>IF(COUNT(Resultados!A53,Resultados!J53,Resultados!S53,Resultados!AB53,Resultados!AK53,Resultados!AT53,Resultados!BC53,Resultados!BL53,Resultados!BU53,Resultados!CD53)&lt;=1, "", _xlfn.STDEV.S(ABS(Resultados!A53),ABS(Resultados!J53),ABS(Resultados!S53),ABS(Resultados!AB53),ABS(Resultados!AK53),ABS(Resultados!AT53),ABS(Resultados!BC53),ABS(Resultados!BL53),ABS(Resultados!BU53),ABS(Resultados!CD53))/SQRT(COUNT(Resultados!A53,Resultados!J53,Resultados!S53,Resultados!AB53,Resultados!AK53,Resultados!AT53,Resultados!BC53,Resultados!BL53,Resultados!BU53,Resultados!CD53)))</f>
        <v>0</v>
      </c>
      <c r="B53" t="str">
        <f>IF(COUNT(Resultados!B53,Resultados!K53,Resultados!T53,Resultados!AC53,Resultados!AL53,Resultados!AU53,Resultados!BD53,Resultados!BM53,Resultados!BV53,Resultados!CE53)&lt;=1, "", _xlfn.STDEV.S(ABS(Resultados!B53),ABS(Resultados!K53),ABS(Resultados!T53),ABS(Resultados!AC53),ABS(Resultados!AL53),ABS(Resultados!AU53),ABS(Resultados!BD53),ABS(Resultados!BM53),ABS(Resultados!BV53),ABS(Resultados!CE53))/SQRT(COUNT(Resultados!B53,Resultados!K53,Resultados!T53,Resultados!AC53,Resultados!AL53,Resultados!AU53,Resultados!BD53,Resultados!BM53,Resultados!BV53,Resultados!CE53)))</f>
        <v/>
      </c>
      <c r="C53">
        <f>IF(COUNT(Resultados!C53,Resultados!L53,Resultados!U53,Resultados!AD53,Resultados!AM53,Resultados!AV53,Resultados!BE53,Resultados!BN53,Resultados!BW53,Resultados!CF53)&lt;=1, "", _xlfn.STDEV.S(ABS(Resultados!C53),ABS(Resultados!L53),ABS(Resultados!U53),ABS(Resultados!AD53),ABS(Resultados!AM53),ABS(Resultados!AV53),ABS(Resultados!BE53),ABS(Resultados!BN53),ABS(Resultados!BW53),ABS(Resultados!CF53))/SQRT(COUNT(Resultados!C53,Resultados!L53,Resultados!U53,Resultados!AD53,Resultados!AM53,Resultados!AV53,Resultados!BE53,Resultados!BN53,Resultados!BW53,Resultados!CF53)))</f>
        <v>0.54160256030906406</v>
      </c>
      <c r="D53">
        <f>IF(COUNT(Resultados!D53,Resultados!M53,Resultados!V53,Resultados!AE53,Resultados!AN53,Resultados!AW53,Resultados!BF53,Resultados!BO53,Resultados!BX53,Resultados!CG53)&lt;=1, "", _xlfn.STDEV.S(ABS(Resultados!D53),ABS(Resultados!M53),ABS(Resultados!V53),ABS(Resultados!AE53),ABS(Resultados!AN53),ABS(Resultados!AW53),ABS(Resultados!BF53),ABS(Resultados!BO53),ABS(Resultados!BX53),ABS(Resultados!CG53))/SQRT(COUNT(Resultados!D53,Resultados!M53,Resultados!V53,Resultados!AE53,Resultados!AN53,Resultados!AW53,Resultados!BF53,Resultados!BO53,Resultados!BX53,Resultados!CG53)))</f>
        <v>1.0084311247345221E-3</v>
      </c>
      <c r="E53">
        <f>IF(COUNT(Resultados!E53,Resultados!N53,Resultados!W53,Resultados!AF53,Resultados!AO53,Resultados!AX53,Resultados!BG53,Resultados!BP53,Resultados!BY53,Resultados!CH53)&lt;=1, "", _xlfn.STDEV.S(ABS(Resultados!E53),ABS(Resultados!N53),ABS(Resultados!W53),ABS(Resultados!AF53),ABS(Resultados!AO53),ABS(Resultados!AX53),ABS(Resultados!BG53),ABS(Resultados!BP53),ABS(Resultados!BY53),ABS(Resultados!CH53))/SQRT(COUNT(Resultados!E53,Resultados!N53,Resultados!W53,Resultados!AF53,Resultados!AO53,Resultados!AX53,Resultados!BG53,Resultados!BP53,Resultados!BY53,Resultados!CH53)))</f>
        <v>5.99961317536866E-2</v>
      </c>
      <c r="F53">
        <f>IF(COUNT(Resultados!F53,Resultados!O53,Resultados!X53,Resultados!AG53,Resultados!AP53,Resultados!AY53,Resultados!BH53,Resultados!BQ53,Resultados!BZ53,Resultados!CI53)&lt;=1, "", _xlfn.STDEV.S(ABS(Resultados!F53),ABS(Resultados!O53),ABS(Resultados!X53),ABS(Resultados!AG53),ABS(Resultados!AP53),ABS(Resultados!AY53),ABS(Resultados!BH53),ABS(Resultados!BQ53),ABS(Resultados!BZ53),ABS(Resultados!CI53))/SQRT(COUNT(Resultados!F53,Resultados!O53,Resultados!X53,Resultados!AG53,Resultados!AP53,Resultados!AY53,Resultados!BH53,Resultados!BQ53,Resultados!BZ53,Resultados!CI53)))</f>
        <v>5.6936329034248603</v>
      </c>
      <c r="G53">
        <f>IF(COUNT(Resultados!G53,Resultados!P53,Resultados!Y53,Resultados!AH53,Resultados!AQ53,Resultados!AZ53,Resultados!BI53,Resultados!BR53,Resultados!CA53,Resultados!CJ53)&lt;=1, "", _xlfn.STDEV.S(ABS(Resultados!G53),ABS(Resultados!P53),ABS(Resultados!Y53),ABS(Resultados!AH53),ABS(Resultados!AQ53),ABS(Resultados!AZ53),ABS(Resultados!BI53),ABS(Resultados!BR53),ABS(Resultados!CA53),ABS(Resultados!CJ53))/SQRT(COUNT(Resultados!G53,Resultados!P53,Resultados!Y53,Resultados!AH53,Resultados!AQ53,Resultados!AZ53,Resultados!BI53,Resultados!BR53,Resultados!CA53,Resultados!CJ53)))</f>
        <v>1.8503717077085941E-17</v>
      </c>
      <c r="H53">
        <f>IF(COUNT(Resultados!H53,Resultados!Q53,Resultados!Z53,Resultados!AI53,Resultados!AR53,Resultados!BA53,Resultados!BJ53,Resultados!BS53,Resultados!CB53,Resultados!CK53)&lt;=1, "", _xlfn.STDEV.S(ABS(Resultados!H53),ABS(Resultados!Q53),ABS(Resultados!Z53),ABS(Resultados!AI53),ABS(Resultados!AR53),ABS(Resultados!BA53),ABS(Resultados!BJ53),ABS(Resultados!BS53),ABS(Resultados!CB53),ABS(Resultados!CK53))/SQRT(COUNT(Resultados!H53,Resultados!Q53,Resultados!Z53,Resultados!AI53,Resultados!AR53,Resultados!BA53,Resultados!BJ53,Resultados!BS53,Resultados!CB53,Resultados!CK53)))</f>
        <v>9.3140276524772642E-4</v>
      </c>
      <c r="I53">
        <f>IF(COUNT(Resultados!I53,Resultados!R53,Resultados!AA53,Resultados!AJ53,Resultados!AS53,Resultados!BB53,Resultados!BK53,Resultados!BT53,Resultados!CC53,Resultados!CL53)&lt;=1, "", _xlfn.STDEV.S(ABS(Resultados!I53),ABS(Resultados!R53),ABS(Resultados!AA53),ABS(Resultados!AJ53),ABS(Resultados!AS53),ABS(Resultados!BB53),ABS(Resultados!BK53),ABS(Resultados!BT53),ABS(Resultados!CC53),ABS(Resultados!CL53))/SQRT(COUNT(Resultados!I53,Resultados!R53,Resultados!AA53,Resultados!AJ53,Resultados!AS53,Resultados!BB53,Resultados!BK53,Resultados!BT53,Resultados!CC53,Resultados!CL53)))</f>
        <v>4.0150976830515564E-2</v>
      </c>
    </row>
    <row r="54" spans="1:9" x14ac:dyDescent="0.3">
      <c r="A54">
        <f>IF(COUNT(Resultados!A54,Resultados!J54,Resultados!S54,Resultados!AB54,Resultados!AK54,Resultados!AT54,Resultados!BC54,Resultados!BL54,Resultados!BU54,Resultados!CD54)&lt;=1, "", _xlfn.STDEV.S(ABS(Resultados!A54),ABS(Resultados!J54),ABS(Resultados!S54),ABS(Resultados!AB54),ABS(Resultados!AK54),ABS(Resultados!AT54),ABS(Resultados!BC54),ABS(Resultados!BL54),ABS(Resultados!BU54),ABS(Resultados!CD54))/SQRT(COUNT(Resultados!A54,Resultados!J54,Resultados!S54,Resultados!AB54,Resultados!AK54,Resultados!AT54,Resultados!BC54,Resultados!BL54,Resultados!BU54,Resultados!CD54)))</f>
        <v>0</v>
      </c>
      <c r="B54" t="str">
        <f>IF(COUNT(Resultados!B54,Resultados!K54,Resultados!T54,Resultados!AC54,Resultados!AL54,Resultados!AU54,Resultados!BD54,Resultados!BM54,Resultados!BV54,Resultados!CE54)&lt;=1, "", _xlfn.STDEV.S(ABS(Resultados!B54),ABS(Resultados!K54),ABS(Resultados!T54),ABS(Resultados!AC54),ABS(Resultados!AL54),ABS(Resultados!AU54),ABS(Resultados!BD54),ABS(Resultados!BM54),ABS(Resultados!BV54),ABS(Resultados!CE54))/SQRT(COUNT(Resultados!B54,Resultados!K54,Resultados!T54,Resultados!AC54,Resultados!AL54,Resultados!AU54,Resultados!BD54,Resultados!BM54,Resultados!BV54,Resultados!CE54)))</f>
        <v/>
      </c>
      <c r="C54">
        <f>IF(COUNT(Resultados!C54,Resultados!L54,Resultados!U54,Resultados!AD54,Resultados!AM54,Resultados!AV54,Resultados!BE54,Resultados!BN54,Resultados!BW54,Resultados!CF54)&lt;=1, "", _xlfn.STDEV.S(ABS(Resultados!C54),ABS(Resultados!L54),ABS(Resultados!U54),ABS(Resultados!AD54),ABS(Resultados!AM54),ABS(Resultados!AV54),ABS(Resultados!BE54),ABS(Resultados!BN54),ABS(Resultados!BW54),ABS(Resultados!CF54))/SQRT(COUNT(Resultados!C54,Resultados!L54,Resultados!U54,Resultados!AD54,Resultados!AM54,Resultados!AV54,Resultados!BE54,Resultados!BN54,Resultados!BW54,Resultados!CF54)))</f>
        <v>0.54160256030906406</v>
      </c>
      <c r="D54">
        <f>IF(COUNT(Resultados!D54,Resultados!M54,Resultados!V54,Resultados!AE54,Resultados!AN54,Resultados!AW54,Resultados!BF54,Resultados!BO54,Resultados!BX54,Resultados!CG54)&lt;=1, "", _xlfn.STDEV.S(ABS(Resultados!D54),ABS(Resultados!M54),ABS(Resultados!V54),ABS(Resultados!AE54),ABS(Resultados!AN54),ABS(Resultados!AW54),ABS(Resultados!BF54),ABS(Resultados!BO54),ABS(Resultados!BX54),ABS(Resultados!CG54))/SQRT(COUNT(Resultados!D54,Resultados!M54,Resultados!V54,Resultados!AE54,Resultados!AN54,Resultados!AW54,Resultados!BF54,Resultados!BO54,Resultados!BX54,Resultados!CG54)))</f>
        <v>1.0223937054231547E-3</v>
      </c>
      <c r="E54">
        <f>IF(COUNT(Resultados!E54,Resultados!N54,Resultados!W54,Resultados!AF54,Resultados!AO54,Resultados!AX54,Resultados!BG54,Resultados!BP54,Resultados!BY54,Resultados!CH54)&lt;=1, "", _xlfn.STDEV.S(ABS(Resultados!E54),ABS(Resultados!N54),ABS(Resultados!W54),ABS(Resultados!AF54),ABS(Resultados!AO54),ABS(Resultados!AX54),ABS(Resultados!BG54),ABS(Resultados!BP54),ABS(Resultados!BY54),ABS(Resultados!CH54))/SQRT(COUNT(Resultados!E54,Resultados!N54,Resultados!W54,Resultados!AF54,Resultados!AO54,Resultados!AX54,Resultados!BG54,Resultados!BP54,Resultados!BY54,Resultados!CH54)))</f>
        <v>5.6238827065367224E-2</v>
      </c>
      <c r="F54">
        <f>IF(COUNT(Resultados!F54,Resultados!O54,Resultados!X54,Resultados!AG54,Resultados!AP54,Resultados!AY54,Resultados!BH54,Resultados!BQ54,Resultados!BZ54,Resultados!CI54)&lt;=1, "", _xlfn.STDEV.S(ABS(Resultados!F54),ABS(Resultados!O54),ABS(Resultados!X54),ABS(Resultados!AG54),ABS(Resultados!AP54),ABS(Resultados!AY54),ABS(Resultados!BH54),ABS(Resultados!BQ54),ABS(Resultados!BZ54),ABS(Resultados!CI54))/SQRT(COUNT(Resultados!F54,Resultados!O54,Resultados!X54,Resultados!AG54,Resultados!AP54,Resultados!AY54,Resultados!BH54,Resultados!BQ54,Resultados!BZ54,Resultados!CI54)))</f>
        <v>5.3370646885033493</v>
      </c>
      <c r="G54">
        <f>IF(COUNT(Resultados!G54,Resultados!P54,Resultados!Y54,Resultados!AH54,Resultados!AQ54,Resultados!AZ54,Resultados!BI54,Resultados!BR54,Resultados!CA54,Resultados!CJ54)&lt;=1, "", _xlfn.STDEV.S(ABS(Resultados!G54),ABS(Resultados!P54),ABS(Resultados!Y54),ABS(Resultados!AH54),ABS(Resultados!AQ54),ABS(Resultados!AZ54),ABS(Resultados!BI54),ABS(Resultados!BR54),ABS(Resultados!CA54),ABS(Resultados!CJ54))/SQRT(COUNT(Resultados!G54,Resultados!P54,Resultados!Y54,Resultados!AH54,Resultados!AQ54,Resultados!AZ54,Resultados!BI54,Resultados!BR54,Resultados!CA54,Resultados!CJ54)))</f>
        <v>1.8503717077085941E-17</v>
      </c>
      <c r="H54">
        <f>IF(COUNT(Resultados!H54,Resultados!Q54,Resultados!Z54,Resultados!AI54,Resultados!AR54,Resultados!BA54,Resultados!BJ54,Resultados!BS54,Resultados!CB54,Resultados!CK54)&lt;=1, "", _xlfn.STDEV.S(ABS(Resultados!H54),ABS(Resultados!Q54),ABS(Resultados!Z54),ABS(Resultados!AI54),ABS(Resultados!AR54),ABS(Resultados!BA54),ABS(Resultados!BJ54),ABS(Resultados!BS54),ABS(Resultados!CB54),ABS(Resultados!CK54))/SQRT(COUNT(Resultados!H54,Resultados!Q54,Resultados!Z54,Resultados!AI54,Resultados!AR54,Resultados!BA54,Resultados!BJ54,Resultados!BS54,Resultados!CB54,Resultados!CK54)))</f>
        <v>8.7471265123023254E-4</v>
      </c>
      <c r="I54">
        <f>IF(COUNT(Resultados!I54,Resultados!R54,Resultados!AA54,Resultados!AJ54,Resultados!AS54,Resultados!BB54,Resultados!BK54,Resultados!BT54,Resultados!CC54,Resultados!CL54)&lt;=1, "", _xlfn.STDEV.S(ABS(Resultados!I54),ABS(Resultados!R54),ABS(Resultados!AA54),ABS(Resultados!AJ54),ABS(Resultados!AS54),ABS(Resultados!BB54),ABS(Resultados!BK54),ABS(Resultados!BT54),ABS(Resultados!CC54),ABS(Resultados!CL54))/SQRT(COUNT(Resultados!I54,Resultados!R54,Resultados!AA54,Resultados!AJ54,Resultados!AS54,Resultados!BB54,Resultados!BK54,Resultados!BT54,Resultados!CC54,Resultados!CL54)))</f>
        <v>4.0169707154631938E-2</v>
      </c>
    </row>
    <row r="55" spans="1:9" x14ac:dyDescent="0.3">
      <c r="A55">
        <f>IF(COUNT(Resultados!A55,Resultados!J55,Resultados!S55,Resultados!AB55,Resultados!AK55,Resultados!AT55,Resultados!BC55,Resultados!BL55,Resultados!BU55,Resultados!CD55)&lt;=1, "", _xlfn.STDEV.S(ABS(Resultados!A55),ABS(Resultados!J55),ABS(Resultados!S55),ABS(Resultados!AB55),ABS(Resultados!AK55),ABS(Resultados!AT55),ABS(Resultados!BC55),ABS(Resultados!BL55),ABS(Resultados!BU55),ABS(Resultados!CD55))/SQRT(COUNT(Resultados!A55,Resultados!J55,Resultados!S55,Resultados!AB55,Resultados!AK55,Resultados!AT55,Resultados!BC55,Resultados!BL55,Resultados!BU55,Resultados!CD55)))</f>
        <v>0</v>
      </c>
      <c r="B55" t="str">
        <f>IF(COUNT(Resultados!B55,Resultados!K55,Resultados!T55,Resultados!AC55,Resultados!AL55,Resultados!AU55,Resultados!BD55,Resultados!BM55,Resultados!BV55,Resultados!CE55)&lt;=1, "", _xlfn.STDEV.S(ABS(Resultados!B55),ABS(Resultados!K55),ABS(Resultados!T55),ABS(Resultados!AC55),ABS(Resultados!AL55),ABS(Resultados!AU55),ABS(Resultados!BD55),ABS(Resultados!BM55),ABS(Resultados!BV55),ABS(Resultados!CE55))/SQRT(COUNT(Resultados!B55,Resultados!K55,Resultados!T55,Resultados!AC55,Resultados!AL55,Resultados!AU55,Resultados!BD55,Resultados!BM55,Resultados!BV55,Resultados!CE55)))</f>
        <v/>
      </c>
      <c r="C55">
        <f>IF(COUNT(Resultados!C55,Resultados!L55,Resultados!U55,Resultados!AD55,Resultados!AM55,Resultados!AV55,Resultados!BE55,Resultados!BN55,Resultados!BW55,Resultados!CF55)&lt;=1, "", _xlfn.STDEV.S(ABS(Resultados!C55),ABS(Resultados!L55),ABS(Resultados!U55),ABS(Resultados!AD55),ABS(Resultados!AM55),ABS(Resultados!AV55),ABS(Resultados!BE55),ABS(Resultados!BN55),ABS(Resultados!BW55),ABS(Resultados!CF55))/SQRT(COUNT(Resultados!C55,Resultados!L55,Resultados!U55,Resultados!AD55,Resultados!AM55,Resultados!AV55,Resultados!BE55,Resultados!BN55,Resultados!BW55,Resultados!CF55)))</f>
        <v>0.54160256030906406</v>
      </c>
      <c r="D55">
        <f>IF(COUNT(Resultados!D55,Resultados!M55,Resultados!V55,Resultados!AE55,Resultados!AN55,Resultados!AW55,Resultados!BF55,Resultados!BO55,Resultados!BX55,Resultados!CG55)&lt;=1, "", _xlfn.STDEV.S(ABS(Resultados!D55),ABS(Resultados!M55),ABS(Resultados!V55),ABS(Resultados!AE55),ABS(Resultados!AN55),ABS(Resultados!AW55),ABS(Resultados!BF55),ABS(Resultados!BO55),ABS(Resultados!BX55),ABS(Resultados!CG55))/SQRT(COUNT(Resultados!D55,Resultados!M55,Resultados!V55,Resultados!AE55,Resultados!AN55,Resultados!AW55,Resultados!BF55,Resultados!BO55,Resultados!BX55,Resultados!CG55)))</f>
        <v>9.0370226168676702E-4</v>
      </c>
      <c r="E55">
        <f>IF(COUNT(Resultados!E55,Resultados!N55,Resultados!W55,Resultados!AF55,Resultados!AO55,Resultados!AX55,Resultados!BG55,Resultados!BP55,Resultados!BY55,Resultados!CH55)&lt;=1, "", _xlfn.STDEV.S(ABS(Resultados!E55),ABS(Resultados!N55),ABS(Resultados!W55),ABS(Resultados!AF55),ABS(Resultados!AO55),ABS(Resultados!AX55),ABS(Resultados!BG55),ABS(Resultados!BP55),ABS(Resultados!BY55),ABS(Resultados!CH55))/SQRT(COUNT(Resultados!E55,Resultados!N55,Resultados!W55,Resultados!AF55,Resultados!AO55,Resultados!AX55,Resultados!BG55,Resultados!BP55,Resultados!BY55,Resultados!CH55)))</f>
        <v>5.1047835325734543E-2</v>
      </c>
      <c r="F55">
        <f>IF(COUNT(Resultados!F55,Resultados!O55,Resultados!X55,Resultados!AG55,Resultados!AP55,Resultados!AY55,Resultados!BH55,Resultados!BQ55,Resultados!BZ55,Resultados!CI55)&lt;=1, "", _xlfn.STDEV.S(ABS(Resultados!F55),ABS(Resultados!O55),ABS(Resultados!X55),ABS(Resultados!AG55),ABS(Resultados!AP55),ABS(Resultados!AY55),ABS(Resultados!BH55),ABS(Resultados!BQ55),ABS(Resultados!BZ55),ABS(Resultados!CI55))/SQRT(COUNT(Resultados!F55,Resultados!O55,Resultados!X55,Resultados!AG55,Resultados!AP55,Resultados!AY55,Resultados!BH55,Resultados!BQ55,Resultados!BZ55,Resultados!CI55)))</f>
        <v>4.8444395724122034</v>
      </c>
      <c r="G55">
        <f>IF(COUNT(Resultados!G55,Resultados!P55,Resultados!Y55,Resultados!AH55,Resultados!AQ55,Resultados!AZ55,Resultados!BI55,Resultados!BR55,Resultados!CA55,Resultados!CJ55)&lt;=1, "", _xlfn.STDEV.S(ABS(Resultados!G55),ABS(Resultados!P55),ABS(Resultados!Y55),ABS(Resultados!AH55),ABS(Resultados!AQ55),ABS(Resultados!AZ55),ABS(Resultados!BI55),ABS(Resultados!BR55),ABS(Resultados!CA55),ABS(Resultados!CJ55))/SQRT(COUNT(Resultados!G55,Resultados!P55,Resultados!Y55,Resultados!AH55,Resultados!AQ55,Resultados!AZ55,Resultados!BI55,Resultados!BR55,Resultados!CA55,Resultados!CJ55)))</f>
        <v>1.8503717077085941E-17</v>
      </c>
      <c r="H55">
        <f>IF(COUNT(Resultados!H55,Resultados!Q55,Resultados!Z55,Resultados!AI55,Resultados!AR55,Resultados!BA55,Resultados!BJ55,Resultados!BS55,Resultados!CB55,Resultados!CK55)&lt;=1, "", _xlfn.STDEV.S(ABS(Resultados!H55),ABS(Resultados!Q55),ABS(Resultados!Z55),ABS(Resultados!AI55),ABS(Resultados!AR55),ABS(Resultados!BA55),ABS(Resultados!BJ55),ABS(Resultados!BS55),ABS(Resultados!CB55),ABS(Resultados!CK55))/SQRT(COUNT(Resultados!H55,Resultados!Q55,Resultados!Z55,Resultados!AI55,Resultados!AR55,Resultados!BA55,Resultados!BJ55,Resultados!BS55,Resultados!CB55,Resultados!CK55)))</f>
        <v>7.9680612447445445E-4</v>
      </c>
      <c r="I55">
        <f>IF(COUNT(Resultados!I55,Resultados!R55,Resultados!AA55,Resultados!AJ55,Resultados!AS55,Resultados!BB55,Resultados!BK55,Resultados!BT55,Resultados!CC55,Resultados!CL55)&lt;=1, "", _xlfn.STDEV.S(ABS(Resultados!I55),ABS(Resultados!R55),ABS(Resultados!AA55),ABS(Resultados!AJ55),ABS(Resultados!AS55),ABS(Resultados!BB55),ABS(Resultados!BK55),ABS(Resultados!BT55),ABS(Resultados!CC55),ABS(Resultados!CL55))/SQRT(COUNT(Resultados!I55,Resultados!R55,Resultados!AA55,Resultados!AJ55,Resultados!AS55,Resultados!BB55,Resultados!BK55,Resultados!BT55,Resultados!CC55,Resultados!CL55)))</f>
        <v>4.0171350997943743E-2</v>
      </c>
    </row>
    <row r="56" spans="1:9" x14ac:dyDescent="0.3">
      <c r="A56">
        <f>IF(COUNT(Resultados!A56,Resultados!J56,Resultados!S56,Resultados!AB56,Resultados!AK56,Resultados!AT56,Resultados!BC56,Resultados!BL56,Resultados!BU56,Resultados!CD56)&lt;=1, "", _xlfn.STDEV.S(ABS(Resultados!A56),ABS(Resultados!J56),ABS(Resultados!S56),ABS(Resultados!AB56),ABS(Resultados!AK56),ABS(Resultados!AT56),ABS(Resultados!BC56),ABS(Resultados!BL56),ABS(Resultados!BU56),ABS(Resultados!CD56))/SQRT(COUNT(Resultados!A56,Resultados!J56,Resultados!S56,Resultados!AB56,Resultados!AK56,Resultados!AT56,Resultados!BC56,Resultados!BL56,Resultados!BU56,Resultados!CD56)))</f>
        <v>0</v>
      </c>
      <c r="B56" t="str">
        <f>IF(COUNT(Resultados!B56,Resultados!K56,Resultados!T56,Resultados!AC56,Resultados!AL56,Resultados!AU56,Resultados!BD56,Resultados!BM56,Resultados!BV56,Resultados!CE56)&lt;=1, "", _xlfn.STDEV.S(ABS(Resultados!B56),ABS(Resultados!K56),ABS(Resultados!T56),ABS(Resultados!AC56),ABS(Resultados!AL56),ABS(Resultados!AU56),ABS(Resultados!BD56),ABS(Resultados!BM56),ABS(Resultados!BV56),ABS(Resultados!CE56))/SQRT(COUNT(Resultados!B56,Resultados!K56,Resultados!T56,Resultados!AC56,Resultados!AL56,Resultados!AU56,Resultados!BD56,Resultados!BM56,Resultados!BV56,Resultados!CE56)))</f>
        <v/>
      </c>
      <c r="C56">
        <f>IF(COUNT(Resultados!C56,Resultados!L56,Resultados!U56,Resultados!AD56,Resultados!AM56,Resultados!AV56,Resultados!BE56,Resultados!BN56,Resultados!BW56,Resultados!CF56)&lt;=1, "", _xlfn.STDEV.S(ABS(Resultados!C56),ABS(Resultados!L56),ABS(Resultados!U56),ABS(Resultados!AD56),ABS(Resultados!AM56),ABS(Resultados!AV56),ABS(Resultados!BE56),ABS(Resultados!BN56),ABS(Resultados!BW56),ABS(Resultados!CF56))/SQRT(COUNT(Resultados!C56,Resultados!L56,Resultados!U56,Resultados!AD56,Resultados!AM56,Resultados!AV56,Resultados!BE56,Resultados!BN56,Resultados!BW56,Resultados!CF56)))</f>
        <v>0.54160256030906406</v>
      </c>
      <c r="D56">
        <f>IF(COUNT(Resultados!D56,Resultados!M56,Resultados!V56,Resultados!AE56,Resultados!AN56,Resultados!AW56,Resultados!BF56,Resultados!BO56,Resultados!BX56,Resultados!CG56)&lt;=1, "", _xlfn.STDEV.S(ABS(Resultados!D56),ABS(Resultados!M56),ABS(Resultados!V56),ABS(Resultados!AE56),ABS(Resultados!AN56),ABS(Resultados!AW56),ABS(Resultados!BF56),ABS(Resultados!BO56),ABS(Resultados!BX56),ABS(Resultados!CG56))/SQRT(COUNT(Resultados!D56,Resultados!M56,Resultados!V56,Resultados!AE56,Resultados!AN56,Resultados!AW56,Resultados!BF56,Resultados!BO56,Resultados!BX56,Resultados!CG56)))</f>
        <v>8.0736195930532478E-4</v>
      </c>
      <c r="E56">
        <f>IF(COUNT(Resultados!E56,Resultados!N56,Resultados!W56,Resultados!AF56,Resultados!AO56,Resultados!AX56,Resultados!BG56,Resultados!BP56,Resultados!BY56,Resultados!CH56)&lt;=1, "", _xlfn.STDEV.S(ABS(Resultados!E56),ABS(Resultados!N56),ABS(Resultados!W56),ABS(Resultados!AF56),ABS(Resultados!AO56),ABS(Resultados!AX56),ABS(Resultados!BG56),ABS(Resultados!BP56),ABS(Resultados!BY56),ABS(Resultados!CH56))/SQRT(COUNT(Resultados!E56,Resultados!N56,Resultados!W56,Resultados!AF56,Resultados!AO56,Resultados!AX56,Resultados!BG56,Resultados!BP56,Resultados!BY56,Resultados!CH56)))</f>
        <v>4.4556493532295793E-2</v>
      </c>
      <c r="F56">
        <f>IF(COUNT(Resultados!F56,Resultados!O56,Resultados!X56,Resultados!AG56,Resultados!AP56,Resultados!AY56,Resultados!BH56,Resultados!BQ56,Resultados!BZ56,Resultados!CI56)&lt;=1, "", _xlfn.STDEV.S(ABS(Resultados!F56),ABS(Resultados!O56),ABS(Resultados!X56),ABS(Resultados!AG56),ABS(Resultados!AP56),ABS(Resultados!AY56),ABS(Resultados!BH56),ABS(Resultados!BQ56),ABS(Resultados!BZ56),ABS(Resultados!CI56))/SQRT(COUNT(Resultados!F56,Resultados!O56,Resultados!X56,Resultados!AG56,Resultados!AP56,Resultados!AY56,Resultados!BH56,Resultados!BQ56,Resultados!BZ56,Resultados!CI56)))</f>
        <v>4.2284112362148774</v>
      </c>
      <c r="G56">
        <f>IF(COUNT(Resultados!G56,Resultados!P56,Resultados!Y56,Resultados!AH56,Resultados!AQ56,Resultados!AZ56,Resultados!BI56,Resultados!BR56,Resultados!CA56,Resultados!CJ56)&lt;=1, "", _xlfn.STDEV.S(ABS(Resultados!G56),ABS(Resultados!P56),ABS(Resultados!Y56),ABS(Resultados!AH56),ABS(Resultados!AQ56),ABS(Resultados!AZ56),ABS(Resultados!BI56),ABS(Resultados!BR56),ABS(Resultados!CA56),ABS(Resultados!CJ56))/SQRT(COUNT(Resultados!G56,Resultados!P56,Resultados!Y56,Resultados!AH56,Resultados!AQ56,Resultados!AZ56,Resultados!BI56,Resultados!BR56,Resultados!CA56,Resultados!CJ56)))</f>
        <v>1.8503717077085941E-17</v>
      </c>
      <c r="H56">
        <f>IF(COUNT(Resultados!H56,Resultados!Q56,Resultados!Z56,Resultados!AI56,Resultados!AR56,Resultados!BA56,Resultados!BJ56,Resultados!BS56,Resultados!CB56,Resultados!CK56)&lt;=1, "", _xlfn.STDEV.S(ABS(Resultados!H56),ABS(Resultados!Q56),ABS(Resultados!Z56),ABS(Resultados!AI56),ABS(Resultados!AR56),ABS(Resultados!BA56),ABS(Resultados!BJ56),ABS(Resultados!BS56),ABS(Resultados!CB56),ABS(Resultados!CK56))/SQRT(COUNT(Resultados!H56,Resultados!Q56,Resultados!Z56,Resultados!AI56,Resultados!AR56,Resultados!BA56,Resultados!BJ56,Resultados!BS56,Resultados!CB56,Resultados!CK56)))</f>
        <v>6.9682613804783943E-4</v>
      </c>
      <c r="I56">
        <f>IF(COUNT(Resultados!I56,Resultados!R56,Resultados!AA56,Resultados!AJ56,Resultados!AS56,Resultados!BB56,Resultados!BK56,Resultados!BT56,Resultados!CC56,Resultados!CL56)&lt;=1, "", _xlfn.STDEV.S(ABS(Resultados!I56),ABS(Resultados!R56),ABS(Resultados!AA56),ABS(Resultados!AJ56),ABS(Resultados!AS56),ABS(Resultados!BB56),ABS(Resultados!BK56),ABS(Resultados!BT56),ABS(Resultados!CC56),ABS(Resultados!CL56))/SQRT(COUNT(Resultados!I56,Resultados!R56,Resultados!AA56,Resultados!AJ56,Resultados!AS56,Resultados!BB56,Resultados!BK56,Resultados!BT56,Resultados!CC56,Resultados!CL56)))</f>
        <v>4.0118793484686305E-2</v>
      </c>
    </row>
    <row r="57" spans="1:9" x14ac:dyDescent="0.3">
      <c r="A57">
        <f>IF(COUNT(Resultados!A57,Resultados!J57,Resultados!S57,Resultados!AB57,Resultados!AK57,Resultados!AT57,Resultados!BC57,Resultados!BL57,Resultados!BU57,Resultados!CD57)&lt;=1, "", _xlfn.STDEV.S(ABS(Resultados!A57),ABS(Resultados!J57),ABS(Resultados!S57),ABS(Resultados!AB57),ABS(Resultados!AK57),ABS(Resultados!AT57),ABS(Resultados!BC57),ABS(Resultados!BL57),ABS(Resultados!BU57),ABS(Resultados!CD57))/SQRT(COUNT(Resultados!A57,Resultados!J57,Resultados!S57,Resultados!AB57,Resultados!AK57,Resultados!AT57,Resultados!BC57,Resultados!BL57,Resultados!BU57,Resultados!CD57)))</f>
        <v>0</v>
      </c>
      <c r="B57" t="str">
        <f>IF(COUNT(Resultados!B57,Resultados!K57,Resultados!T57,Resultados!AC57,Resultados!AL57,Resultados!AU57,Resultados!BD57,Resultados!BM57,Resultados!BV57,Resultados!CE57)&lt;=1, "", _xlfn.STDEV.S(ABS(Resultados!B57),ABS(Resultados!K57),ABS(Resultados!T57),ABS(Resultados!AC57),ABS(Resultados!AL57),ABS(Resultados!AU57),ABS(Resultados!BD57),ABS(Resultados!BM57),ABS(Resultados!BV57),ABS(Resultados!CE57))/SQRT(COUNT(Resultados!B57,Resultados!K57,Resultados!T57,Resultados!AC57,Resultados!AL57,Resultados!AU57,Resultados!BD57,Resultados!BM57,Resultados!BV57,Resultados!CE57)))</f>
        <v/>
      </c>
      <c r="C57">
        <f>IF(COUNT(Resultados!C57,Resultados!L57,Resultados!U57,Resultados!AD57,Resultados!AM57,Resultados!AV57,Resultados!BE57,Resultados!BN57,Resultados!BW57,Resultados!CF57)&lt;=1, "", _xlfn.STDEV.S(ABS(Resultados!C57),ABS(Resultados!L57),ABS(Resultados!U57),ABS(Resultados!AD57),ABS(Resultados!AM57),ABS(Resultados!AV57),ABS(Resultados!BE57),ABS(Resultados!BN57),ABS(Resultados!BW57),ABS(Resultados!CF57))/SQRT(COUNT(Resultados!C57,Resultados!L57,Resultados!U57,Resultados!AD57,Resultados!AM57,Resultados!AV57,Resultados!BE57,Resultados!BN57,Resultados!BW57,Resultados!CF57)))</f>
        <v>0.54160256030906406</v>
      </c>
      <c r="D57">
        <f>IF(COUNT(Resultados!D57,Resultados!M57,Resultados!V57,Resultados!AE57,Resultados!AN57,Resultados!AW57,Resultados!BF57,Resultados!BO57,Resultados!BX57,Resultados!CG57)&lt;=1, "", _xlfn.STDEV.S(ABS(Resultados!D57),ABS(Resultados!M57),ABS(Resultados!V57),ABS(Resultados!AE57),ABS(Resultados!AN57),ABS(Resultados!AW57),ABS(Resultados!BF57),ABS(Resultados!BO57),ABS(Resultados!BX57),ABS(Resultados!CG57))/SQRT(COUNT(Resultados!D57,Resultados!M57,Resultados!V57,Resultados!AE57,Resultados!AN57,Resultados!AW57,Resultados!BF57,Resultados!BO57,Resultados!BX57,Resultados!CG57)))</f>
        <v>6.3822670998112639E-4</v>
      </c>
      <c r="E57">
        <f>IF(COUNT(Resultados!E57,Resultados!N57,Resultados!W57,Resultados!AF57,Resultados!AO57,Resultados!AX57,Resultados!BG57,Resultados!BP57,Resultados!BY57,Resultados!CH57)&lt;=1, "", _xlfn.STDEV.S(ABS(Resultados!E57),ABS(Resultados!N57),ABS(Resultados!W57),ABS(Resultados!AF57),ABS(Resultados!AO57),ABS(Resultados!AX57),ABS(Resultados!BG57),ABS(Resultados!BP57),ABS(Resultados!BY57),ABS(Resultados!CH57))/SQRT(COUNT(Resultados!E57,Resultados!N57,Resultados!W57,Resultados!AF57,Resultados!AO57,Resultados!AX57,Resultados!BG57,Resultados!BP57,Resultados!BY57,Resultados!CH57)))</f>
        <v>3.7098356372266876E-2</v>
      </c>
      <c r="F57">
        <f>IF(COUNT(Resultados!F57,Resultados!O57,Resultados!X57,Resultados!AG57,Resultados!AP57,Resultados!AY57,Resultados!BH57,Resultados!BQ57,Resultados!BZ57,Resultados!CI57)&lt;=1, "", _xlfn.STDEV.S(ABS(Resultados!F57),ABS(Resultados!O57),ABS(Resultados!X57),ABS(Resultados!AG57),ABS(Resultados!AP57),ABS(Resultados!AY57),ABS(Resultados!BH57),ABS(Resultados!BQ57),ABS(Resultados!BZ57),ABS(Resultados!CI57))/SQRT(COUNT(Resultados!F57,Resultados!O57,Resultados!X57,Resultados!AG57,Resultados!AP57,Resultados!AY57,Resultados!BH57,Resultados!BQ57,Resultados!BZ57,Resultados!CI57)))</f>
        <v>3.5206340197280976</v>
      </c>
      <c r="G57">
        <f>IF(COUNT(Resultados!G57,Resultados!P57,Resultados!Y57,Resultados!AH57,Resultados!AQ57,Resultados!AZ57,Resultados!BI57,Resultados!BR57,Resultados!CA57,Resultados!CJ57)&lt;=1, "", _xlfn.STDEV.S(ABS(Resultados!G57),ABS(Resultados!P57),ABS(Resultados!Y57),ABS(Resultados!AH57),ABS(Resultados!AQ57),ABS(Resultados!AZ57),ABS(Resultados!BI57),ABS(Resultados!BR57),ABS(Resultados!CA57),ABS(Resultados!CJ57))/SQRT(COUNT(Resultados!G57,Resultados!P57,Resultados!Y57,Resultados!AH57,Resultados!AQ57,Resultados!AZ57,Resultados!BI57,Resultados!BR57,Resultados!CA57,Resultados!CJ57)))</f>
        <v>1.8503717077085941E-17</v>
      </c>
      <c r="H57">
        <f>IF(COUNT(Resultados!H57,Resultados!Q57,Resultados!Z57,Resultados!AI57,Resultados!AR57,Resultados!BA57,Resultados!BJ57,Resultados!BS57,Resultados!CB57,Resultados!CK57)&lt;=1, "", _xlfn.STDEV.S(ABS(Resultados!H57),ABS(Resultados!Q57),ABS(Resultados!Z57),ABS(Resultados!AI57),ABS(Resultados!AR57),ABS(Resultados!BA57),ABS(Resultados!BJ57),ABS(Resultados!BS57),ABS(Resultados!CB57),ABS(Resultados!CK57))/SQRT(COUNT(Resultados!H57,Resultados!Q57,Resultados!Z57,Resultados!AI57,Resultados!AR57,Resultados!BA57,Resultados!BJ57,Resultados!BS57,Resultados!CB57,Resultados!CK57)))</f>
        <v>5.7916606714597258E-4</v>
      </c>
      <c r="I57">
        <f>IF(COUNT(Resultados!I57,Resultados!R57,Resultados!AA57,Resultados!AJ57,Resultados!AS57,Resultados!BB57,Resultados!BK57,Resultados!BT57,Resultados!CC57,Resultados!CL57)&lt;=1, "", _xlfn.STDEV.S(ABS(Resultados!I57),ABS(Resultados!R57),ABS(Resultados!AA57),ABS(Resultados!AJ57),ABS(Resultados!AS57),ABS(Resultados!BB57),ABS(Resultados!BK57),ABS(Resultados!BT57),ABS(Resultados!CC57),ABS(Resultados!CL57))/SQRT(COUNT(Resultados!I57,Resultados!R57,Resultados!AA57,Resultados!AJ57,Resultados!AS57,Resultados!BB57,Resultados!BK57,Resultados!BT57,Resultados!CC57,Resultados!CL57)))</f>
        <v>4.0185564815684895E-2</v>
      </c>
    </row>
    <row r="58" spans="1:9" x14ac:dyDescent="0.3">
      <c r="A58">
        <f>IF(COUNT(Resultados!A58,Resultados!J58,Resultados!S58,Resultados!AB58,Resultados!AK58,Resultados!AT58,Resultados!BC58,Resultados!BL58,Resultados!BU58,Resultados!CD58)&lt;=1, "", _xlfn.STDEV.S(ABS(Resultados!A58),ABS(Resultados!J58),ABS(Resultados!S58),ABS(Resultados!AB58),ABS(Resultados!AK58),ABS(Resultados!AT58),ABS(Resultados!BC58),ABS(Resultados!BL58),ABS(Resultados!BU58),ABS(Resultados!CD58))/SQRT(COUNT(Resultados!A58,Resultados!J58,Resultados!S58,Resultados!AB58,Resultados!AK58,Resultados!AT58,Resultados!BC58,Resultados!BL58,Resultados!BU58,Resultados!CD58)))</f>
        <v>0</v>
      </c>
      <c r="B58" t="str">
        <f>IF(COUNT(Resultados!B58,Resultados!K58,Resultados!T58,Resultados!AC58,Resultados!AL58,Resultados!AU58,Resultados!BD58,Resultados!BM58,Resultados!BV58,Resultados!CE58)&lt;=1, "", _xlfn.STDEV.S(ABS(Resultados!B58),ABS(Resultados!K58),ABS(Resultados!T58),ABS(Resultados!AC58),ABS(Resultados!AL58),ABS(Resultados!AU58),ABS(Resultados!BD58),ABS(Resultados!BM58),ABS(Resultados!BV58),ABS(Resultados!CE58))/SQRT(COUNT(Resultados!B58,Resultados!K58,Resultados!T58,Resultados!AC58,Resultados!AL58,Resultados!AU58,Resultados!BD58,Resultados!BM58,Resultados!BV58,Resultados!CE58)))</f>
        <v/>
      </c>
      <c r="C58">
        <f>IF(COUNT(Resultados!C58,Resultados!L58,Resultados!U58,Resultados!AD58,Resultados!AM58,Resultados!AV58,Resultados!BE58,Resultados!BN58,Resultados!BW58,Resultados!CF58)&lt;=1, "", _xlfn.STDEV.S(ABS(Resultados!C58),ABS(Resultados!L58),ABS(Resultados!U58),ABS(Resultados!AD58),ABS(Resultados!AM58),ABS(Resultados!AV58),ABS(Resultados!BE58),ABS(Resultados!BN58),ABS(Resultados!BW58),ABS(Resultados!CF58))/SQRT(COUNT(Resultados!C58,Resultados!L58,Resultados!U58,Resultados!AD58,Resultados!AM58,Resultados!AV58,Resultados!BE58,Resultados!BN58,Resultados!BW58,Resultados!CF58)))</f>
        <v>0.54160256030906406</v>
      </c>
      <c r="D58">
        <f>IF(COUNT(Resultados!D58,Resultados!M58,Resultados!V58,Resultados!AE58,Resultados!AN58,Resultados!AW58,Resultados!BF58,Resultados!BO58,Resultados!BX58,Resultados!CG58)&lt;=1, "", _xlfn.STDEV.S(ABS(Resultados!D58),ABS(Resultados!M58),ABS(Resultados!V58),ABS(Resultados!AE58),ABS(Resultados!AN58),ABS(Resultados!AW58),ABS(Resultados!BF58),ABS(Resultados!BO58),ABS(Resultados!BX58),ABS(Resultados!CG58))/SQRT(COUNT(Resultados!D58,Resultados!M58,Resultados!V58,Resultados!AE58,Resultados!AN58,Resultados!AW58,Resultados!BF58,Resultados!BO58,Resultados!BX58,Resultados!CG58)))</f>
        <v>5.5957325009530433E-4</v>
      </c>
      <c r="E58">
        <f>IF(COUNT(Resultados!E58,Resultados!N58,Resultados!W58,Resultados!AF58,Resultados!AO58,Resultados!AX58,Resultados!BG58,Resultados!BP58,Resultados!BY58,Resultados!CH58)&lt;=1, "", _xlfn.STDEV.S(ABS(Resultados!E58),ABS(Resultados!N58),ABS(Resultados!W58),ABS(Resultados!AF58),ABS(Resultados!AO58),ABS(Resultados!AX58),ABS(Resultados!BG58),ABS(Resultados!BP58),ABS(Resultados!BY58),ABS(Resultados!CH58))/SQRT(COUNT(Resultados!E58,Resultados!N58,Resultados!W58,Resultados!AF58,Resultados!AO58,Resultados!AX58,Resultados!BG58,Resultados!BP58,Resultados!BY58,Resultados!CH58)))</f>
        <v>2.8621862256643402E-2</v>
      </c>
      <c r="F58">
        <f>IF(COUNT(Resultados!F58,Resultados!O58,Resultados!X58,Resultados!AG58,Resultados!AP58,Resultados!AY58,Resultados!BH58,Resultados!BQ58,Resultados!BZ58,Resultados!CI58)&lt;=1, "", _xlfn.STDEV.S(ABS(Resultados!F58),ABS(Resultados!O58),ABS(Resultados!X58),ABS(Resultados!AG58),ABS(Resultados!AP58),ABS(Resultados!AY58),ABS(Resultados!BH58),ABS(Resultados!BQ58),ABS(Resultados!BZ58),ABS(Resultados!CI58))/SQRT(COUNT(Resultados!F58,Resultados!O58,Resultados!X58,Resultados!AG58,Resultados!AP58,Resultados!AY58,Resultados!BH58,Resultados!BQ58,Resultados!BZ58,Resultados!CI58)))</f>
        <v>2.7162147281554456</v>
      </c>
      <c r="G58">
        <f>IF(COUNT(Resultados!G58,Resultados!P58,Resultados!Y58,Resultados!AH58,Resultados!AQ58,Resultados!AZ58,Resultados!BI58,Resultados!BR58,Resultados!CA58,Resultados!CJ58)&lt;=1, "", _xlfn.STDEV.S(ABS(Resultados!G58),ABS(Resultados!P58),ABS(Resultados!Y58),ABS(Resultados!AH58),ABS(Resultados!AQ58),ABS(Resultados!AZ58),ABS(Resultados!BI58),ABS(Resultados!BR58),ABS(Resultados!CA58),ABS(Resultados!CJ58))/SQRT(COUNT(Resultados!G58,Resultados!P58,Resultados!Y58,Resultados!AH58,Resultados!AQ58,Resultados!AZ58,Resultados!BI58,Resultados!BR58,Resultados!CA58,Resultados!CJ58)))</f>
        <v>1.8503717077085941E-17</v>
      </c>
      <c r="H58">
        <f>IF(COUNT(Resultados!H58,Resultados!Q58,Resultados!Z58,Resultados!AI58,Resultados!AR58,Resultados!BA58,Resultados!BJ58,Resultados!BS58,Resultados!CB58,Resultados!CK58)&lt;=1, "", _xlfn.STDEV.S(ABS(Resultados!H58),ABS(Resultados!Q58),ABS(Resultados!Z58),ABS(Resultados!AI58),ABS(Resultados!AR58),ABS(Resultados!BA58),ABS(Resultados!BJ58),ABS(Resultados!BS58),ABS(Resultados!CB58),ABS(Resultados!CK58))/SQRT(COUNT(Resultados!H58,Resultados!Q58,Resultados!Z58,Resultados!AI58,Resultados!AR58,Resultados!BA58,Resultados!BJ58,Resultados!BS58,Resultados!CB58,Resultados!CK58)))</f>
        <v>4.4899888641287272E-4</v>
      </c>
      <c r="I58">
        <f>IF(COUNT(Resultados!I58,Resultados!R58,Resultados!AA58,Resultados!AJ58,Resultados!AS58,Resultados!BB58,Resultados!BK58,Resultados!BT58,Resultados!CC58,Resultados!CL58)&lt;=1, "", _xlfn.STDEV.S(ABS(Resultados!I58),ABS(Resultados!R58),ABS(Resultados!AA58),ABS(Resultados!AJ58),ABS(Resultados!AS58),ABS(Resultados!BB58),ABS(Resultados!BK58),ABS(Resultados!BT58),ABS(Resultados!CC58),ABS(Resultados!CL58))/SQRT(COUNT(Resultados!I58,Resultados!R58,Resultados!AA58,Resultados!AJ58,Resultados!AS58,Resultados!BB58,Resultados!BK58,Resultados!BT58,Resultados!CC58,Resultados!CL58)))</f>
        <v>4.0154217945041988E-2</v>
      </c>
    </row>
    <row r="59" spans="1:9" x14ac:dyDescent="0.3">
      <c r="A59">
        <f>IF(COUNT(Resultados!A59,Resultados!J59,Resultados!S59,Resultados!AB59,Resultados!AK59,Resultados!AT59,Resultados!BC59,Resultados!BL59,Resultados!BU59,Resultados!CD59)&lt;=1, "", _xlfn.STDEV.S(ABS(Resultados!A59),ABS(Resultados!J59),ABS(Resultados!S59),ABS(Resultados!AB59),ABS(Resultados!AK59),ABS(Resultados!AT59),ABS(Resultados!BC59),ABS(Resultados!BL59),ABS(Resultados!BU59),ABS(Resultados!CD59))/SQRT(COUNT(Resultados!A59,Resultados!J59,Resultados!S59,Resultados!AB59,Resultados!AK59,Resultados!AT59,Resultados!BC59,Resultados!BL59,Resultados!BU59,Resultados!CD59)))</f>
        <v>0</v>
      </c>
      <c r="B59" t="str">
        <f>IF(COUNT(Resultados!B59,Resultados!K59,Resultados!T59,Resultados!AC59,Resultados!AL59,Resultados!AU59,Resultados!BD59,Resultados!BM59,Resultados!BV59,Resultados!CE59)&lt;=1, "", _xlfn.STDEV.S(ABS(Resultados!B59),ABS(Resultados!K59),ABS(Resultados!T59),ABS(Resultados!AC59),ABS(Resultados!AL59),ABS(Resultados!AU59),ABS(Resultados!BD59),ABS(Resultados!BM59),ABS(Resultados!BV59),ABS(Resultados!CE59))/SQRT(COUNT(Resultados!B59,Resultados!K59,Resultados!T59,Resultados!AC59,Resultados!AL59,Resultados!AU59,Resultados!BD59,Resultados!BM59,Resultados!BV59,Resultados!CE59)))</f>
        <v/>
      </c>
      <c r="C59">
        <f>IF(COUNT(Resultados!C59,Resultados!L59,Resultados!U59,Resultados!AD59,Resultados!AM59,Resultados!AV59,Resultados!BE59,Resultados!BN59,Resultados!BW59,Resultados!CF59)&lt;=1, "", _xlfn.STDEV.S(ABS(Resultados!C59),ABS(Resultados!L59),ABS(Resultados!U59),ABS(Resultados!AD59),ABS(Resultados!AM59),ABS(Resultados!AV59),ABS(Resultados!BE59),ABS(Resultados!BN59),ABS(Resultados!BW59),ABS(Resultados!CF59))/SQRT(COUNT(Resultados!C59,Resultados!L59,Resultados!U59,Resultados!AD59,Resultados!AM59,Resultados!AV59,Resultados!BE59,Resultados!BN59,Resultados!BW59,Resultados!CF59)))</f>
        <v>0.54160256030906406</v>
      </c>
      <c r="D59">
        <f>IF(COUNT(Resultados!D59,Resultados!M59,Resultados!V59,Resultados!AE59,Resultados!AN59,Resultados!AW59,Resultados!BF59,Resultados!BO59,Resultados!BX59,Resultados!CG59)&lt;=1, "", _xlfn.STDEV.S(ABS(Resultados!D59),ABS(Resultados!M59),ABS(Resultados!V59),ABS(Resultados!AE59),ABS(Resultados!AN59),ABS(Resultados!AW59),ABS(Resultados!BF59),ABS(Resultados!BO59),ABS(Resultados!BX59),ABS(Resultados!CG59))/SQRT(COUNT(Resultados!D59,Resultados!M59,Resultados!V59,Resultados!AE59,Resultados!AN59,Resultados!AW59,Resultados!BF59,Resultados!BO59,Resultados!BX59,Resultados!CG59)))</f>
        <v>5.1854497287013419E-4</v>
      </c>
      <c r="E59">
        <f>IF(COUNT(Resultados!E59,Resultados!N59,Resultados!W59,Resultados!AF59,Resultados!AO59,Resultados!AX59,Resultados!BG59,Resultados!BP59,Resultados!BY59,Resultados!CH59)&lt;=1, "", _xlfn.STDEV.S(ABS(Resultados!E59),ABS(Resultados!N59),ABS(Resultados!W59),ABS(Resultados!AF59),ABS(Resultados!AO59),ABS(Resultados!AX59),ABS(Resultados!BG59),ABS(Resultados!BP59),ABS(Resultados!BY59),ABS(Resultados!CH59))/SQRT(COUNT(Resultados!E59,Resultados!N59,Resultados!W59,Resultados!AF59,Resultados!AO59,Resultados!AX59,Resultados!BG59,Resultados!BP59,Resultados!BY59,Resultados!CH59)))</f>
        <v>1.9455218377510599E-2</v>
      </c>
      <c r="F59">
        <f>IF(COUNT(Resultados!F59,Resultados!O59,Resultados!X59,Resultados!AG59,Resultados!AP59,Resultados!AY59,Resultados!BH59,Resultados!BQ59,Resultados!BZ59,Resultados!CI59)&lt;=1, "", _xlfn.STDEV.S(ABS(Resultados!F59),ABS(Resultados!O59),ABS(Resultados!X59),ABS(Resultados!AG59),ABS(Resultados!AP59),ABS(Resultados!AY59),ABS(Resultados!BH59),ABS(Resultados!BQ59),ABS(Resultados!BZ59),ABS(Resultados!CI59))/SQRT(COUNT(Resultados!F59,Resultados!O59,Resultados!X59,Resultados!AG59,Resultados!AP59,Resultados!AY59,Resultados!BH59,Resultados!BQ59,Resultados!BZ59,Resultados!CI59)))</f>
        <v>1.8463002240257866</v>
      </c>
      <c r="G59">
        <f>IF(COUNT(Resultados!G59,Resultados!P59,Resultados!Y59,Resultados!AH59,Resultados!AQ59,Resultados!AZ59,Resultados!BI59,Resultados!BR59,Resultados!CA59,Resultados!CJ59)&lt;=1, "", _xlfn.STDEV.S(ABS(Resultados!G59),ABS(Resultados!P59),ABS(Resultados!Y59),ABS(Resultados!AH59),ABS(Resultados!AQ59),ABS(Resultados!AZ59),ABS(Resultados!BI59),ABS(Resultados!BR59),ABS(Resultados!CA59),ABS(Resultados!CJ59))/SQRT(COUNT(Resultados!G59,Resultados!P59,Resultados!Y59,Resultados!AH59,Resultados!AQ59,Resultados!AZ59,Resultados!BI59,Resultados!BR59,Resultados!CA59,Resultados!CJ59)))</f>
        <v>1.8503717077085941E-17</v>
      </c>
      <c r="H59">
        <f>IF(COUNT(Resultados!H59,Resultados!Q59,Resultados!Z59,Resultados!AI59,Resultados!AR59,Resultados!BA59,Resultados!BJ59,Resultados!BS59,Resultados!CB59,Resultados!CK59)&lt;=1, "", _xlfn.STDEV.S(ABS(Resultados!H59),ABS(Resultados!Q59),ABS(Resultados!Z59),ABS(Resultados!AI59),ABS(Resultados!AR59),ABS(Resultados!BA59),ABS(Resultados!BJ59),ABS(Resultados!BS59),ABS(Resultados!CB59),ABS(Resultados!CK59))/SQRT(COUNT(Resultados!H59,Resultados!Q59,Resultados!Z59,Resultados!AI59,Resultados!AR59,Resultados!BA59,Resultados!BJ59,Resultados!BS59,Resultados!CB59,Resultados!CK59)))</f>
        <v>3.0127506811328887E-4</v>
      </c>
      <c r="I59">
        <f>IF(COUNT(Resultados!I59,Resultados!R59,Resultados!AA59,Resultados!AJ59,Resultados!AS59,Resultados!BB59,Resultados!BK59,Resultados!BT59,Resultados!CC59,Resultados!CL59)&lt;=1, "", _xlfn.STDEV.S(ABS(Resultados!I59),ABS(Resultados!R59),ABS(Resultados!AA59),ABS(Resultados!AJ59),ABS(Resultados!AS59),ABS(Resultados!BB59),ABS(Resultados!BK59),ABS(Resultados!BT59),ABS(Resultados!CC59),ABS(Resultados!CL59))/SQRT(COUNT(Resultados!I59,Resultados!R59,Resultados!AA59,Resultados!AJ59,Resultados!AS59,Resultados!BB59,Resultados!BK59,Resultados!BT59,Resultados!CC59,Resultados!CL59)))</f>
        <v>4.0050635729452784E-2</v>
      </c>
    </row>
    <row r="60" spans="1:9" x14ac:dyDescent="0.3">
      <c r="A60">
        <f>IF(COUNT(Resultados!A60,Resultados!J60,Resultados!S60,Resultados!AB60,Resultados!AK60,Resultados!AT60,Resultados!BC60,Resultados!BL60,Resultados!BU60,Resultados!CD60)&lt;=1, "", _xlfn.STDEV.S(ABS(Resultados!A60),ABS(Resultados!J60),ABS(Resultados!S60),ABS(Resultados!AB60),ABS(Resultados!AK60),ABS(Resultados!AT60),ABS(Resultados!BC60),ABS(Resultados!BL60),ABS(Resultados!BU60),ABS(Resultados!CD60))/SQRT(COUNT(Resultados!A60,Resultados!J60,Resultados!S60,Resultados!AB60,Resultados!AK60,Resultados!AT60,Resultados!BC60,Resultados!BL60,Resultados!BU60,Resultados!CD60)))</f>
        <v>0</v>
      </c>
      <c r="B60" t="str">
        <f>IF(COUNT(Resultados!B60,Resultados!K60,Resultados!T60,Resultados!AC60,Resultados!AL60,Resultados!AU60,Resultados!BD60,Resultados!BM60,Resultados!BV60,Resultados!CE60)&lt;=1, "", _xlfn.STDEV.S(ABS(Resultados!B60),ABS(Resultados!K60),ABS(Resultados!T60),ABS(Resultados!AC60),ABS(Resultados!AL60),ABS(Resultados!AU60),ABS(Resultados!BD60),ABS(Resultados!BM60),ABS(Resultados!BV60),ABS(Resultados!CE60))/SQRT(COUNT(Resultados!B60,Resultados!K60,Resultados!T60,Resultados!AC60,Resultados!AL60,Resultados!AU60,Resultados!BD60,Resultados!BM60,Resultados!BV60,Resultados!CE60)))</f>
        <v/>
      </c>
      <c r="C60">
        <f>IF(COUNT(Resultados!C60,Resultados!L60,Resultados!U60,Resultados!AD60,Resultados!AM60,Resultados!AV60,Resultados!BE60,Resultados!BN60,Resultados!BW60,Resultados!CF60)&lt;=1, "", _xlfn.STDEV.S(ABS(Resultados!C60),ABS(Resultados!L60),ABS(Resultados!U60),ABS(Resultados!AD60),ABS(Resultados!AM60),ABS(Resultados!AV60),ABS(Resultados!BE60),ABS(Resultados!BN60),ABS(Resultados!BW60),ABS(Resultados!CF60))/SQRT(COUNT(Resultados!C60,Resultados!L60,Resultados!U60,Resultados!AD60,Resultados!AM60,Resultados!AV60,Resultados!BE60,Resultados!BN60,Resultados!BW60,Resultados!CF60)))</f>
        <v>0.54160256030906406</v>
      </c>
      <c r="D60">
        <f>IF(COUNT(Resultados!D60,Resultados!M60,Resultados!V60,Resultados!AE60,Resultados!AN60,Resultados!AW60,Resultados!BF60,Resultados!BO60,Resultados!BX60,Resultados!CG60)&lt;=1, "", _xlfn.STDEV.S(ABS(Resultados!D60),ABS(Resultados!M60),ABS(Resultados!V60),ABS(Resultados!AE60),ABS(Resultados!AN60),ABS(Resultados!AW60),ABS(Resultados!BF60),ABS(Resultados!BO60),ABS(Resultados!BX60),ABS(Resultados!CG60))/SQRT(COUNT(Resultados!D60,Resultados!M60,Resultados!V60,Resultados!AE60,Resultados!AN60,Resultados!AW60,Resultados!BF60,Resultados!BO60,Resultados!BX60,Resultados!CG60)))</f>
        <v>4.4176414018744773E-4</v>
      </c>
      <c r="E60">
        <f>IF(COUNT(Resultados!E60,Resultados!N60,Resultados!W60,Resultados!AF60,Resultados!AO60,Resultados!AX60,Resultados!BG60,Resultados!BP60,Resultados!BY60,Resultados!CH60)&lt;=1, "", _xlfn.STDEV.S(ABS(Resultados!E60),ABS(Resultados!N60),ABS(Resultados!W60),ABS(Resultados!AF60),ABS(Resultados!AO60),ABS(Resultados!AX60),ABS(Resultados!BG60),ABS(Resultados!BP60),ABS(Resultados!BY60),ABS(Resultados!CH60))/SQRT(COUNT(Resultados!E60,Resultados!N60,Resultados!W60,Resultados!AF60,Resultados!AO60,Resultados!AX60,Resultados!BG60,Resultados!BP60,Resultados!BY60,Resultados!CH60)))</f>
        <v>9.8766112550015342E-3</v>
      </c>
      <c r="F60">
        <f>IF(COUNT(Resultados!F60,Resultados!O60,Resultados!X60,Resultados!AG60,Resultados!AP60,Resultados!AY60,Resultados!BH60,Resultados!BQ60,Resultados!BZ60,Resultados!CI60)&lt;=1, "", _xlfn.STDEV.S(ABS(Resultados!F60),ABS(Resultados!O60),ABS(Resultados!X60),ABS(Resultados!AG60),ABS(Resultados!AP60),ABS(Resultados!AY60),ABS(Resultados!BH60),ABS(Resultados!BQ60),ABS(Resultados!BZ60),ABS(Resultados!CI60))/SQRT(COUNT(Resultados!F60,Resultados!O60,Resultados!X60,Resultados!AG60,Resultados!AP60,Resultados!AY60,Resultados!BH60,Resultados!BQ60,Resultados!BZ60,Resultados!CI60)))</f>
        <v>0.93729040809962261</v>
      </c>
      <c r="G60">
        <f>IF(COUNT(Resultados!G60,Resultados!P60,Resultados!Y60,Resultados!AH60,Resultados!AQ60,Resultados!AZ60,Resultados!BI60,Resultados!BR60,Resultados!CA60,Resultados!CJ60)&lt;=1, "", _xlfn.STDEV.S(ABS(Resultados!G60),ABS(Resultados!P60),ABS(Resultados!Y60),ABS(Resultados!AH60),ABS(Resultados!AQ60),ABS(Resultados!AZ60),ABS(Resultados!BI60),ABS(Resultados!BR60),ABS(Resultados!CA60),ABS(Resultados!CJ60))/SQRT(COUNT(Resultados!G60,Resultados!P60,Resultados!Y60,Resultados!AH60,Resultados!AQ60,Resultados!AZ60,Resultados!BI60,Resultados!BR60,Resultados!CA60,Resultados!CJ60)))</f>
        <v>1.8503717077085941E-17</v>
      </c>
      <c r="H60">
        <f>IF(COUNT(Resultados!H60,Resultados!Q60,Resultados!Z60,Resultados!AI60,Resultados!AR60,Resultados!BA60,Resultados!BJ60,Resultados!BS60,Resultados!CB60,Resultados!CK60)&lt;=1, "", _xlfn.STDEV.S(ABS(Resultados!H60),ABS(Resultados!Q60),ABS(Resultados!Z60),ABS(Resultados!AI60),ABS(Resultados!AR60),ABS(Resultados!BA60),ABS(Resultados!BJ60),ABS(Resultados!BS60),ABS(Resultados!CB60),ABS(Resultados!CK60))/SQRT(COUNT(Resultados!H60,Resultados!Q60,Resultados!Z60,Resultados!AI60,Resultados!AR60,Resultados!BA60,Resultados!BJ60,Resultados!BS60,Resultados!CB60,Resultados!CK60)))</f>
        <v>1.5143755588800734E-4</v>
      </c>
      <c r="I60">
        <f>IF(COUNT(Resultados!I60,Resultados!R60,Resultados!AA60,Resultados!AJ60,Resultados!AS60,Resultados!BB60,Resultados!BK60,Resultados!BT60,Resultados!CC60,Resultados!CL60)&lt;=1, "", _xlfn.STDEV.S(ABS(Resultados!I60),ABS(Resultados!R60),ABS(Resultados!AA60),ABS(Resultados!AJ60),ABS(Resultados!AS60),ABS(Resultados!BB60),ABS(Resultados!BK60),ABS(Resultados!BT60),ABS(Resultados!CC60),ABS(Resultados!CL60))/SQRT(COUNT(Resultados!I60,Resultados!R60,Resultados!AA60,Resultados!AJ60,Resultados!AS60,Resultados!BB60,Resultados!BK60,Resultados!BT60,Resultados!CC60,Resultados!CL60)))</f>
        <v>4.0331382481746517E-2</v>
      </c>
    </row>
    <row r="61" spans="1:9" x14ac:dyDescent="0.3">
      <c r="A61">
        <f>IF(COUNT(Resultados!A61,Resultados!J61,Resultados!S61,Resultados!AB61,Resultados!AK61,Resultados!AT61,Resultados!BC61,Resultados!BL61,Resultados!BU61,Resultados!CD61)&lt;=1, "", _xlfn.STDEV.S(ABS(Resultados!A61),ABS(Resultados!J61),ABS(Resultados!S61),ABS(Resultados!AB61),ABS(Resultados!AK61),ABS(Resultados!AT61),ABS(Resultados!BC61),ABS(Resultados!BL61),ABS(Resultados!BU61),ABS(Resultados!CD61))/SQRT(COUNT(Resultados!A61,Resultados!J61,Resultados!S61,Resultados!AB61,Resultados!AK61,Resultados!AT61,Resultados!BC61,Resultados!BL61,Resultados!BU61,Resultados!CD61)))</f>
        <v>0</v>
      </c>
      <c r="B61" t="str">
        <f>IF(COUNT(Resultados!B61,Resultados!K61,Resultados!T61,Resultados!AC61,Resultados!AL61,Resultados!AU61,Resultados!BD61,Resultados!BM61,Resultados!BV61,Resultados!CE61)&lt;=1, "", _xlfn.STDEV.S(ABS(Resultados!B61),ABS(Resultados!K61),ABS(Resultados!T61),ABS(Resultados!AC61),ABS(Resultados!AL61),ABS(Resultados!AU61),ABS(Resultados!BD61),ABS(Resultados!BM61),ABS(Resultados!BV61),ABS(Resultados!CE61))/SQRT(COUNT(Resultados!B61,Resultados!K61,Resultados!T61,Resultados!AC61,Resultados!AL61,Resultados!AU61,Resultados!BD61,Resultados!BM61,Resultados!BV61,Resultados!CE61)))</f>
        <v/>
      </c>
      <c r="C61">
        <f>IF(COUNT(Resultados!C61,Resultados!L61,Resultados!U61,Resultados!AD61,Resultados!AM61,Resultados!AV61,Resultados!BE61,Resultados!BN61,Resultados!BW61,Resultados!CF61)&lt;=1, "", _xlfn.STDEV.S(ABS(Resultados!C61),ABS(Resultados!L61),ABS(Resultados!U61),ABS(Resultados!AD61),ABS(Resultados!AM61),ABS(Resultados!AV61),ABS(Resultados!BE61),ABS(Resultados!BN61),ABS(Resultados!BW61),ABS(Resultados!CF61))/SQRT(COUNT(Resultados!C61,Resultados!L61,Resultados!U61,Resultados!AD61,Resultados!AM61,Resultados!AV61,Resultados!BE61,Resultados!BN61,Resultados!BW61,Resultados!CF61)))</f>
        <v>0.54160256030906406</v>
      </c>
      <c r="D61">
        <f>IF(COUNT(Resultados!D61,Resultados!M61,Resultados!V61,Resultados!AE61,Resultados!AN61,Resultados!AW61,Resultados!BF61,Resultados!BO61,Resultados!BX61,Resultados!CG61)&lt;=1, "", _xlfn.STDEV.S(ABS(Resultados!D61),ABS(Resultados!M61),ABS(Resultados!V61),ABS(Resultados!AE61),ABS(Resultados!AN61),ABS(Resultados!AW61),ABS(Resultados!BF61),ABS(Resultados!BO61),ABS(Resultados!BX61),ABS(Resultados!CG61))/SQRT(COUNT(Resultados!D61,Resultados!M61,Resultados!V61,Resultados!AE61,Resultados!AN61,Resultados!AW61,Resultados!BF61,Resultados!BO61,Resultados!BX61,Resultados!CG61)))</f>
        <v>1.7813852287849858E-4</v>
      </c>
      <c r="E61">
        <f>IF(COUNT(Resultados!E61,Resultados!N61,Resultados!W61,Resultados!AF61,Resultados!AO61,Resultados!AX61,Resultados!BG61,Resultados!BP61,Resultados!BY61,Resultados!CH61)&lt;=1, "", _xlfn.STDEV.S(ABS(Resultados!E61),ABS(Resultados!N61),ABS(Resultados!W61),ABS(Resultados!AF61),ABS(Resultados!AO61),ABS(Resultados!AX61),ABS(Resultados!BG61),ABS(Resultados!BP61),ABS(Resultados!BY61),ABS(Resultados!CH61))/SQRT(COUNT(Resultados!E61,Resultados!N61,Resultados!W61,Resultados!AF61,Resultados!AO61,Resultados!AX61,Resultados!BG61,Resultados!BP61,Resultados!BY61,Resultados!CH61)))</f>
        <v>1.8415649633332914E-4</v>
      </c>
      <c r="F61">
        <f>IF(COUNT(Resultados!F61,Resultados!O61,Resultados!X61,Resultados!AG61,Resultados!AP61,Resultados!AY61,Resultados!BH61,Resultados!BQ61,Resultados!BZ61,Resultados!CI61)&lt;=1, "", _xlfn.STDEV.S(ABS(Resultados!F61),ABS(Resultados!O61),ABS(Resultados!X61),ABS(Resultados!AG61),ABS(Resultados!AP61),ABS(Resultados!AY61),ABS(Resultados!BH61),ABS(Resultados!BQ61),ABS(Resultados!BZ61),ABS(Resultados!CI61))/SQRT(COUNT(Resultados!F61,Resultados!O61,Resultados!X61,Resultados!AG61,Resultados!AP61,Resultados!AY61,Resultados!BH61,Resultados!BQ61,Resultados!BZ61,Resultados!CI61)))</f>
        <v>10.909257600181935</v>
      </c>
      <c r="G61">
        <f>IF(COUNT(Resultados!G61,Resultados!P61,Resultados!Y61,Resultados!AH61,Resultados!AQ61,Resultados!AZ61,Resultados!BI61,Resultados!BR61,Resultados!CA61,Resultados!CJ61)&lt;=1, "", _xlfn.STDEV.S(ABS(Resultados!G61),ABS(Resultados!P61),ABS(Resultados!Y61),ABS(Resultados!AH61),ABS(Resultados!AQ61),ABS(Resultados!AZ61),ABS(Resultados!BI61),ABS(Resultados!BR61),ABS(Resultados!CA61),ABS(Resultados!CJ61))/SQRT(COUNT(Resultados!G61,Resultados!P61,Resultados!Y61,Resultados!AH61,Resultados!AQ61,Resultados!AZ61,Resultados!BI61,Resultados!BR61,Resultados!CA61,Resultados!CJ61)))</f>
        <v>1.8503717077085941E-17</v>
      </c>
      <c r="H61">
        <f>IF(COUNT(Resultados!H61,Resultados!Q61,Resultados!Z61,Resultados!AI61,Resultados!AR61,Resultados!BA61,Resultados!BJ61,Resultados!BS61,Resultados!CB61,Resultados!CK61)&lt;=1, "", _xlfn.STDEV.S(ABS(Resultados!H61),ABS(Resultados!Q61),ABS(Resultados!Z61),ABS(Resultados!AI61),ABS(Resultados!AR61),ABS(Resultados!BA61),ABS(Resultados!BJ61),ABS(Resultados!BS61),ABS(Resultados!CB61),ABS(Resultados!CK61))/SQRT(COUNT(Resultados!H61,Resultados!Q61,Resultados!Z61,Resultados!AI61,Resultados!AR61,Resultados!BA61,Resultados!BJ61,Resultados!BS61,Resultados!CB61,Resultados!CK61)))</f>
        <v>0</v>
      </c>
      <c r="I61">
        <f>IF(COUNT(Resultados!I61,Resultados!R61,Resultados!AA61,Resultados!AJ61,Resultados!AS61,Resultados!BB61,Resultados!BK61,Resultados!BT61,Resultados!CC61,Resultados!CL61)&lt;=1, "", _xlfn.STDEV.S(ABS(Resultados!I61),ABS(Resultados!R61),ABS(Resultados!AA61),ABS(Resultados!AJ61),ABS(Resultados!AS61),ABS(Resultados!BB61),ABS(Resultados!BK61),ABS(Resultados!BT61),ABS(Resultados!CC61),ABS(Resultados!CL61))/SQRT(COUNT(Resultados!I61,Resultados!R61,Resultados!AA61,Resultados!AJ61,Resultados!AS61,Resultados!BB61,Resultados!BK61,Resultados!BT61,Resultados!CC61,Resultados!CL61)))</f>
        <v>4.0167830037094031E-2</v>
      </c>
    </row>
    <row r="62" spans="1:9" x14ac:dyDescent="0.3">
      <c r="A62">
        <f>IF(COUNT(Resultados!A62,Resultados!J62,Resultados!S62,Resultados!AB62,Resultados!AK62,Resultados!AT62,Resultados!BC62,Resultados!BL62,Resultados!BU62,Resultados!CD62)&lt;=1, "", _xlfn.STDEV.S(ABS(Resultados!A62),ABS(Resultados!J62),ABS(Resultados!S62),ABS(Resultados!AB62),ABS(Resultados!AK62),ABS(Resultados!AT62),ABS(Resultados!BC62),ABS(Resultados!BL62),ABS(Resultados!BU62),ABS(Resultados!CD62))/SQRT(COUNT(Resultados!A62,Resultados!J62,Resultados!S62,Resultados!AB62,Resultados!AK62,Resultados!AT62,Resultados!BC62,Resultados!BL62,Resultados!BU62,Resultados!CD62)))</f>
        <v>0</v>
      </c>
      <c r="B62" t="str">
        <f>IF(COUNT(Resultados!B62,Resultados!K62,Resultados!T62,Resultados!AC62,Resultados!AL62,Resultados!AU62,Resultados!BD62,Resultados!BM62,Resultados!BV62,Resultados!CE62)&lt;=1, "", _xlfn.STDEV.S(ABS(Resultados!B62),ABS(Resultados!K62),ABS(Resultados!T62),ABS(Resultados!AC62),ABS(Resultados!AL62),ABS(Resultados!AU62),ABS(Resultados!BD62),ABS(Resultados!BM62),ABS(Resultados!BV62),ABS(Resultados!CE62))/SQRT(COUNT(Resultados!B62,Resultados!K62,Resultados!T62,Resultados!AC62,Resultados!AL62,Resultados!AU62,Resultados!BD62,Resultados!BM62,Resultados!BV62,Resultados!CE62)))</f>
        <v/>
      </c>
      <c r="C62">
        <f>IF(COUNT(Resultados!C62,Resultados!L62,Resultados!U62,Resultados!AD62,Resultados!AM62,Resultados!AV62,Resultados!BE62,Resultados!BN62,Resultados!BW62,Resultados!CF62)&lt;=1, "", _xlfn.STDEV.S(ABS(Resultados!C62),ABS(Resultados!L62),ABS(Resultados!U62),ABS(Resultados!AD62),ABS(Resultados!AM62),ABS(Resultados!AV62),ABS(Resultados!BE62),ABS(Resultados!BN62),ABS(Resultados!BW62),ABS(Resultados!CF62))/SQRT(COUNT(Resultados!C62,Resultados!L62,Resultados!U62,Resultados!AD62,Resultados!AM62,Resultados!AV62,Resultados!BE62,Resultados!BN62,Resultados!BW62,Resultados!CF62)))</f>
        <v>0.54160256030906406</v>
      </c>
      <c r="D62">
        <f>IF(COUNT(Resultados!D62,Resultados!M62,Resultados!V62,Resultados!AE62,Resultados!AN62,Resultados!AW62,Resultados!BF62,Resultados!BO62,Resultados!BX62,Resultados!CG62)&lt;=1, "", _xlfn.STDEV.S(ABS(Resultados!D62),ABS(Resultados!M62),ABS(Resultados!V62),ABS(Resultados!AE62),ABS(Resultados!AN62),ABS(Resultados!AW62),ABS(Resultados!BF62),ABS(Resultados!BO62),ABS(Resultados!BX62),ABS(Resultados!CG62))/SQRT(COUNT(Resultados!D62,Resultados!M62,Resultados!V62,Resultados!AE62,Resultados!AN62,Resultados!AW62,Resultados!BF62,Resultados!BO62,Resultados!BX62,Resultados!CG62)))</f>
        <v>2.1898756940875742E-4</v>
      </c>
      <c r="E62">
        <f>IF(COUNT(Resultados!E62,Resultados!N62,Resultados!W62,Resultados!AF62,Resultados!AO62,Resultados!AX62,Resultados!BG62,Resultados!BP62,Resultados!BY62,Resultados!CH62)&lt;=1, "", _xlfn.STDEV.S(ABS(Resultados!E62),ABS(Resultados!N62),ABS(Resultados!W62),ABS(Resultados!AF62),ABS(Resultados!AO62),ABS(Resultados!AX62),ABS(Resultados!BG62),ABS(Resultados!BP62),ABS(Resultados!BY62),ABS(Resultados!CH62))/SQRT(COUNT(Resultados!E62,Resultados!N62,Resultados!W62,Resultados!AF62,Resultados!AO62,Resultados!AX62,Resultados!BG62,Resultados!BP62,Resultados!BY62,Resultados!CH62)))</f>
        <v>9.857255839501906E-3</v>
      </c>
      <c r="F62">
        <f>IF(COUNT(Resultados!F62,Resultados!O62,Resultados!X62,Resultados!AG62,Resultados!AP62,Resultados!AY62,Resultados!BH62,Resultados!BQ62,Resultados!BZ62,Resultados!CI62)&lt;=1, "", _xlfn.STDEV.S(ABS(Resultados!F62),ABS(Resultados!O62),ABS(Resultados!X62),ABS(Resultados!AG62),ABS(Resultados!AP62),ABS(Resultados!AY62),ABS(Resultados!BH62),ABS(Resultados!BQ62),ABS(Resultados!BZ62),ABS(Resultados!CI62))/SQRT(COUNT(Resultados!F62,Resultados!O62,Resultados!X62,Resultados!AG62,Resultados!AP62,Resultados!AY62,Resultados!BH62,Resultados!BQ62,Resultados!BZ62,Resultados!CI62)))</f>
        <v>11.827270018446715</v>
      </c>
      <c r="G62">
        <f>IF(COUNT(Resultados!G62,Resultados!P62,Resultados!Y62,Resultados!AH62,Resultados!AQ62,Resultados!AZ62,Resultados!BI62,Resultados!BR62,Resultados!CA62,Resultados!CJ62)&lt;=1, "", _xlfn.STDEV.S(ABS(Resultados!G62),ABS(Resultados!P62),ABS(Resultados!Y62),ABS(Resultados!AH62),ABS(Resultados!AQ62),ABS(Resultados!AZ62),ABS(Resultados!BI62),ABS(Resultados!BR62),ABS(Resultados!CA62),ABS(Resultados!CJ62))/SQRT(COUNT(Resultados!G62,Resultados!P62,Resultados!Y62,Resultados!AH62,Resultados!AQ62,Resultados!AZ62,Resultados!BI62,Resultados!BR62,Resultados!CA62,Resultados!CJ62)))</f>
        <v>1.8503717077085941E-17</v>
      </c>
      <c r="H62">
        <f>IF(COUNT(Resultados!H62,Resultados!Q62,Resultados!Z62,Resultados!AI62,Resultados!AR62,Resultados!BA62,Resultados!BJ62,Resultados!BS62,Resultados!CB62,Resultados!CK62)&lt;=1, "", _xlfn.STDEV.S(ABS(Resultados!H62),ABS(Resultados!Q62),ABS(Resultados!Z62),ABS(Resultados!AI62),ABS(Resultados!AR62),ABS(Resultados!BA62),ABS(Resultados!BJ62),ABS(Resultados!BS62),ABS(Resultados!CB62),ABS(Resultados!CK62))/SQRT(COUNT(Resultados!H62,Resultados!Q62,Resultados!Z62,Resultados!AI62,Resultados!AR62,Resultados!BA62,Resultados!BJ62,Resultados!BS62,Resultados!CB62,Resultados!CK62)))</f>
        <v>1.500000000000001E-4</v>
      </c>
      <c r="I62">
        <f>IF(COUNT(Resultados!I62,Resultados!R62,Resultados!AA62,Resultados!AJ62,Resultados!AS62,Resultados!BB62,Resultados!BK62,Resultados!BT62,Resultados!CC62,Resultados!CL62)&lt;=1, "", _xlfn.STDEV.S(ABS(Resultados!I62),ABS(Resultados!R62),ABS(Resultados!AA62),ABS(Resultados!AJ62),ABS(Resultados!AS62),ABS(Resultados!BB62),ABS(Resultados!BK62),ABS(Resultados!BT62),ABS(Resultados!CC62),ABS(Resultados!CL62))/SQRT(COUNT(Resultados!I62,Resultados!R62,Resultados!AA62,Resultados!AJ62,Resultados!AS62,Resultados!BB62,Resultados!BK62,Resultados!BT62,Resultados!CC62,Resultados!CL62)))</f>
        <v>4.0062383721450059E-2</v>
      </c>
    </row>
    <row r="63" spans="1:9" x14ac:dyDescent="0.3">
      <c r="A63">
        <f>IF(COUNT(Resultados!A63,Resultados!J63,Resultados!S63,Resultados!AB63,Resultados!AK63,Resultados!AT63,Resultados!BC63,Resultados!BL63,Resultados!BU63,Resultados!CD63)&lt;=1, "", _xlfn.STDEV.S(ABS(Resultados!A63),ABS(Resultados!J63),ABS(Resultados!S63),ABS(Resultados!AB63),ABS(Resultados!AK63),ABS(Resultados!AT63),ABS(Resultados!BC63),ABS(Resultados!BL63),ABS(Resultados!BU63),ABS(Resultados!CD63))/SQRT(COUNT(Resultados!A63,Resultados!J63,Resultados!S63,Resultados!AB63,Resultados!AK63,Resultados!AT63,Resultados!BC63,Resultados!BL63,Resultados!BU63,Resultados!CD63)))</f>
        <v>0</v>
      </c>
      <c r="B63" t="str">
        <f>IF(COUNT(Resultados!B63,Resultados!K63,Resultados!T63,Resultados!AC63,Resultados!AL63,Resultados!AU63,Resultados!BD63,Resultados!BM63,Resultados!BV63,Resultados!CE63)&lt;=1, "", _xlfn.STDEV.S(ABS(Resultados!B63),ABS(Resultados!K63),ABS(Resultados!T63),ABS(Resultados!AC63),ABS(Resultados!AL63),ABS(Resultados!AU63),ABS(Resultados!BD63),ABS(Resultados!BM63),ABS(Resultados!BV63),ABS(Resultados!CE63))/SQRT(COUNT(Resultados!B63,Resultados!K63,Resultados!T63,Resultados!AC63,Resultados!AL63,Resultados!AU63,Resultados!BD63,Resultados!BM63,Resultados!BV63,Resultados!CE63)))</f>
        <v/>
      </c>
      <c r="C63">
        <f>IF(COUNT(Resultados!C63,Resultados!L63,Resultados!U63,Resultados!AD63,Resultados!AM63,Resultados!AV63,Resultados!BE63,Resultados!BN63,Resultados!BW63,Resultados!CF63)&lt;=1, "", _xlfn.STDEV.S(ABS(Resultados!C63),ABS(Resultados!L63),ABS(Resultados!U63),ABS(Resultados!AD63),ABS(Resultados!AM63),ABS(Resultados!AV63),ABS(Resultados!BE63),ABS(Resultados!BN63),ABS(Resultados!BW63),ABS(Resultados!CF63))/SQRT(COUNT(Resultados!C63,Resultados!L63,Resultados!U63,Resultados!AD63,Resultados!AM63,Resultados!AV63,Resultados!BE63,Resultados!BN63,Resultados!BW63,Resultados!CF63)))</f>
        <v>0.54160256030906406</v>
      </c>
      <c r="D63">
        <f>IF(COUNT(Resultados!D63,Resultados!M63,Resultados!V63,Resultados!AE63,Resultados!AN63,Resultados!AW63,Resultados!BF63,Resultados!BO63,Resultados!BX63,Resultados!CG63)&lt;=1, "", _xlfn.STDEV.S(ABS(Resultados!D63),ABS(Resultados!M63),ABS(Resultados!V63),ABS(Resultados!AE63),ABS(Resultados!AN63),ABS(Resultados!AW63),ABS(Resultados!BF63),ABS(Resultados!BO63),ABS(Resultados!BX63),ABS(Resultados!CG63))/SQRT(COUNT(Resultados!D63,Resultados!M63,Resultados!V63,Resultados!AE63,Resultados!AN63,Resultados!AW63,Resultados!BF63,Resultados!BO63,Resultados!BX63,Resultados!CG63)))</f>
        <v>3.8186675977652486E-4</v>
      </c>
      <c r="E63">
        <f>IF(COUNT(Resultados!E63,Resultados!N63,Resultados!W63,Resultados!AF63,Resultados!AO63,Resultados!AX63,Resultados!BG63,Resultados!BP63,Resultados!BY63,Resultados!CH63)&lt;=1, "", _xlfn.STDEV.S(ABS(Resultados!E63),ABS(Resultados!N63),ABS(Resultados!W63),ABS(Resultados!AF63),ABS(Resultados!AO63),ABS(Resultados!AX63),ABS(Resultados!BG63),ABS(Resultados!BP63),ABS(Resultados!BY63),ABS(Resultados!CH63))/SQRT(COUNT(Resultados!E63,Resultados!N63,Resultados!W63,Resultados!AF63,Resultados!AO63,Resultados!AX63,Resultados!BG63,Resultados!BP63,Resultados!BY63,Resultados!CH63)))</f>
        <v>1.9595869919313291E-2</v>
      </c>
      <c r="F63">
        <f>IF(COUNT(Resultados!F63,Resultados!O63,Resultados!X63,Resultados!AG63,Resultados!AP63,Resultados!AY63,Resultados!BH63,Resultados!BQ63,Resultados!BZ63,Resultados!CI63)&lt;=1, "", _xlfn.STDEV.S(ABS(Resultados!F63),ABS(Resultados!O63),ABS(Resultados!X63),ABS(Resultados!AG63),ABS(Resultados!AP63),ABS(Resultados!AY63),ABS(Resultados!BH63),ABS(Resultados!BQ63),ABS(Resultados!BZ63),ABS(Resultados!CI63))/SQRT(COUNT(Resultados!F63,Resultados!O63,Resultados!X63,Resultados!AG63,Resultados!AP63,Resultados!AY63,Resultados!BH63,Resultados!BQ63,Resultados!BZ63,Resultados!CI63)))</f>
        <v>1.8263350764800057</v>
      </c>
      <c r="G63">
        <f>IF(COUNT(Resultados!G63,Resultados!P63,Resultados!Y63,Resultados!AH63,Resultados!AQ63,Resultados!AZ63,Resultados!BI63,Resultados!BR63,Resultados!CA63,Resultados!CJ63)&lt;=1, "", _xlfn.STDEV.S(ABS(Resultados!G63),ABS(Resultados!P63),ABS(Resultados!Y63),ABS(Resultados!AH63),ABS(Resultados!AQ63),ABS(Resultados!AZ63),ABS(Resultados!BI63),ABS(Resultados!BR63),ABS(Resultados!CA63),ABS(Resultados!CJ63))/SQRT(COUNT(Resultados!G63,Resultados!P63,Resultados!Y63,Resultados!AH63,Resultados!AQ63,Resultados!AZ63,Resultados!BI63,Resultados!BR63,Resultados!CA63,Resultados!CJ63)))</f>
        <v>1.8503717077085941E-17</v>
      </c>
      <c r="H63">
        <f>IF(COUNT(Resultados!H63,Resultados!Q63,Resultados!Z63,Resultados!AI63,Resultados!AR63,Resultados!BA63,Resultados!BJ63,Resultados!BS63,Resultados!CB63,Resultados!CK63)&lt;=1, "", _xlfn.STDEV.S(ABS(Resultados!H63),ABS(Resultados!Q63),ABS(Resultados!Z63),ABS(Resultados!AI63),ABS(Resultados!AR63),ABS(Resultados!BA63),ABS(Resultados!BJ63),ABS(Resultados!BS63),ABS(Resultados!CB63),ABS(Resultados!CK63))/SQRT(COUNT(Resultados!H63,Resultados!Q63,Resultados!Z63,Resultados!AI63,Resultados!AR63,Resultados!BA63,Resultados!BJ63,Resultados!BS63,Resultados!CB63,Resultados!CK63)))</f>
        <v>3.0000000000000024E-4</v>
      </c>
      <c r="I63">
        <f>IF(COUNT(Resultados!I63,Resultados!R63,Resultados!AA63,Resultados!AJ63,Resultados!AS63,Resultados!BB63,Resultados!BK63,Resultados!BT63,Resultados!CC63,Resultados!CL63)&lt;=1, "", _xlfn.STDEV.S(ABS(Resultados!I63),ABS(Resultados!R63),ABS(Resultados!AA63),ABS(Resultados!AJ63),ABS(Resultados!AS63),ABS(Resultados!BB63),ABS(Resultados!BK63),ABS(Resultados!BT63),ABS(Resultados!CC63),ABS(Resultados!CL63))/SQRT(COUNT(Resultados!I63,Resultados!R63,Resultados!AA63,Resultados!AJ63,Resultados!AS63,Resultados!BB63,Resultados!BK63,Resultados!BT63,Resultados!CC63,Resultados!CL63)))</f>
        <v>4.0245177821560979E-2</v>
      </c>
    </row>
    <row r="64" spans="1:9" x14ac:dyDescent="0.3">
      <c r="A64">
        <f>IF(COUNT(Resultados!A64,Resultados!J64,Resultados!S64,Resultados!AB64,Resultados!AK64,Resultados!AT64,Resultados!BC64,Resultados!BL64,Resultados!BU64,Resultados!CD64)&lt;=1, "", _xlfn.STDEV.S(ABS(Resultados!A64),ABS(Resultados!J64),ABS(Resultados!S64),ABS(Resultados!AB64),ABS(Resultados!AK64),ABS(Resultados!AT64),ABS(Resultados!BC64),ABS(Resultados!BL64),ABS(Resultados!BU64),ABS(Resultados!CD64))/SQRT(COUNT(Resultados!A64,Resultados!J64,Resultados!S64,Resultados!AB64,Resultados!AK64,Resultados!AT64,Resultados!BC64,Resultados!BL64,Resultados!BU64,Resultados!CD64)))</f>
        <v>0</v>
      </c>
      <c r="B64" t="str">
        <f>IF(COUNT(Resultados!B64,Resultados!K64,Resultados!T64,Resultados!AC64,Resultados!AL64,Resultados!AU64,Resultados!BD64,Resultados!BM64,Resultados!BV64,Resultados!CE64)&lt;=1, "", _xlfn.STDEV.S(ABS(Resultados!B64),ABS(Resultados!K64),ABS(Resultados!T64),ABS(Resultados!AC64),ABS(Resultados!AL64),ABS(Resultados!AU64),ABS(Resultados!BD64),ABS(Resultados!BM64),ABS(Resultados!BV64),ABS(Resultados!CE64))/SQRT(COUNT(Resultados!B64,Resultados!K64,Resultados!T64,Resultados!AC64,Resultados!AL64,Resultados!AU64,Resultados!BD64,Resultados!BM64,Resultados!BV64,Resultados!CE64)))</f>
        <v/>
      </c>
      <c r="C64">
        <f>IF(COUNT(Resultados!C64,Resultados!L64,Resultados!U64,Resultados!AD64,Resultados!AM64,Resultados!AV64,Resultados!BE64,Resultados!BN64,Resultados!BW64,Resultados!CF64)&lt;=1, "", _xlfn.STDEV.S(ABS(Resultados!C64),ABS(Resultados!L64),ABS(Resultados!U64),ABS(Resultados!AD64),ABS(Resultados!AM64),ABS(Resultados!AV64),ABS(Resultados!BE64),ABS(Resultados!BN64),ABS(Resultados!BW64),ABS(Resultados!CF64))/SQRT(COUNT(Resultados!C64,Resultados!L64,Resultados!U64,Resultados!AD64,Resultados!AM64,Resultados!AV64,Resultados!BE64,Resultados!BN64,Resultados!BW64,Resultados!CF64)))</f>
        <v>0.54160256030906406</v>
      </c>
      <c r="D64">
        <f>IF(COUNT(Resultados!D64,Resultados!M64,Resultados!V64,Resultados!AE64,Resultados!AN64,Resultados!AW64,Resultados!BF64,Resultados!BO64,Resultados!BX64,Resultados!CG64)&lt;=1, "", _xlfn.STDEV.S(ABS(Resultados!D64),ABS(Resultados!M64),ABS(Resultados!V64),ABS(Resultados!AE64),ABS(Resultados!AN64),ABS(Resultados!AW64),ABS(Resultados!BF64),ABS(Resultados!BO64),ABS(Resultados!BX64),ABS(Resultados!CG64))/SQRT(COUNT(Resultados!D64,Resultados!M64,Resultados!V64,Resultados!AE64,Resultados!AN64,Resultados!AW64,Resultados!BF64,Resultados!BO64,Resultados!BX64,Resultados!CG64)))</f>
        <v>3.5565276448930978E-4</v>
      </c>
      <c r="E64">
        <f>IF(COUNT(Resultados!E64,Resultados!N64,Resultados!W64,Resultados!AF64,Resultados!AO64,Resultados!AX64,Resultados!BG64,Resultados!BP64,Resultados!BY64,Resultados!CH64)&lt;=1, "", _xlfn.STDEV.S(ABS(Resultados!E64),ABS(Resultados!N64),ABS(Resultados!W64),ABS(Resultados!AF64),ABS(Resultados!AO64),ABS(Resultados!AX64),ABS(Resultados!BG64),ABS(Resultados!BP64),ABS(Resultados!BY64),ABS(Resultados!CH64))/SQRT(COUNT(Resultados!E64,Resultados!N64,Resultados!W64,Resultados!AF64,Resultados!AO64,Resultados!AX64,Resultados!BG64,Resultados!BP64,Resultados!BY64,Resultados!CH64)))</f>
        <v>2.8724796658734782E-2</v>
      </c>
      <c r="F64">
        <f>IF(COUNT(Resultados!F64,Resultados!O64,Resultados!X64,Resultados!AG64,Resultados!AP64,Resultados!AY64,Resultados!BH64,Resultados!BQ64,Resultados!BZ64,Resultados!CI64)&lt;=1, "", _xlfn.STDEV.S(ABS(Resultados!F64),ABS(Resultados!O64),ABS(Resultados!X64),ABS(Resultados!AG64),ABS(Resultados!AP64),ABS(Resultados!AY64),ABS(Resultados!BH64),ABS(Resultados!BQ64),ABS(Resultados!BZ64),ABS(Resultados!CI64))/SQRT(COUNT(Resultados!F64,Resultados!O64,Resultados!X64,Resultados!AG64,Resultados!AP64,Resultados!AY64,Resultados!BH64,Resultados!BQ64,Resultados!BZ64,Resultados!CI64)))</f>
        <v>2.6771510485940846</v>
      </c>
      <c r="G64">
        <f>IF(COUNT(Resultados!G64,Resultados!P64,Resultados!Y64,Resultados!AH64,Resultados!AQ64,Resultados!AZ64,Resultados!BI64,Resultados!BR64,Resultados!CA64,Resultados!CJ64)&lt;=1, "", _xlfn.STDEV.S(ABS(Resultados!G64),ABS(Resultados!P64),ABS(Resultados!Y64),ABS(Resultados!AH64),ABS(Resultados!AQ64),ABS(Resultados!AZ64),ABS(Resultados!BI64),ABS(Resultados!BR64),ABS(Resultados!CA64),ABS(Resultados!CJ64))/SQRT(COUNT(Resultados!G64,Resultados!P64,Resultados!Y64,Resultados!AH64,Resultados!AQ64,Resultados!AZ64,Resultados!BI64,Resultados!BR64,Resultados!CA64,Resultados!CJ64)))</f>
        <v>1.8503717077085941E-17</v>
      </c>
      <c r="H64">
        <f>IF(COUNT(Resultados!H64,Resultados!Q64,Resultados!Z64,Resultados!AI64,Resultados!AR64,Resultados!BA64,Resultados!BJ64,Resultados!BS64,Resultados!CB64,Resultados!CK64)&lt;=1, "", _xlfn.STDEV.S(ABS(Resultados!H64),ABS(Resultados!Q64),ABS(Resultados!Z64),ABS(Resultados!AI64),ABS(Resultados!AR64),ABS(Resultados!BA64),ABS(Resultados!BJ64),ABS(Resultados!BS64),ABS(Resultados!CB64),ABS(Resultados!CK64))/SQRT(COUNT(Resultados!H64,Resultados!Q64,Resultados!Z64,Resultados!AI64,Resultados!AR64,Resultados!BA64,Resultados!BJ64,Resultados!BS64,Resultados!CB64,Resultados!CK64)))</f>
        <v>4.458325545164536E-4</v>
      </c>
      <c r="I64">
        <f>IF(COUNT(Resultados!I64,Resultados!R64,Resultados!AA64,Resultados!AJ64,Resultados!AS64,Resultados!BB64,Resultados!BK64,Resultados!BT64,Resultados!CC64,Resultados!CL64)&lt;=1, "", _xlfn.STDEV.S(ABS(Resultados!I64),ABS(Resultados!R64),ABS(Resultados!AA64),ABS(Resultados!AJ64),ABS(Resultados!AS64),ABS(Resultados!BB64),ABS(Resultados!BK64),ABS(Resultados!BT64),ABS(Resultados!CC64),ABS(Resultados!CL64))/SQRT(COUNT(Resultados!I64,Resultados!R64,Resultados!AA64,Resultados!AJ64,Resultados!AS64,Resultados!BB64,Resultados!BK64,Resultados!BT64,Resultados!CC64,Resultados!CL64)))</f>
        <v>4.021405294587338E-2</v>
      </c>
    </row>
    <row r="65" spans="1:9" x14ac:dyDescent="0.3">
      <c r="A65">
        <f>IF(COUNT(Resultados!A65,Resultados!J65,Resultados!S65,Resultados!AB65,Resultados!AK65,Resultados!AT65,Resultados!BC65,Resultados!BL65,Resultados!BU65,Resultados!CD65)&lt;=1, "", _xlfn.STDEV.S(ABS(Resultados!A65),ABS(Resultados!J65),ABS(Resultados!S65),ABS(Resultados!AB65),ABS(Resultados!AK65),ABS(Resultados!AT65),ABS(Resultados!BC65),ABS(Resultados!BL65),ABS(Resultados!BU65),ABS(Resultados!CD65))/SQRT(COUNT(Resultados!A65,Resultados!J65,Resultados!S65,Resultados!AB65,Resultados!AK65,Resultados!AT65,Resultados!BC65,Resultados!BL65,Resultados!BU65,Resultados!CD65)))</f>
        <v>0</v>
      </c>
      <c r="B65" t="str">
        <f>IF(COUNT(Resultados!B65,Resultados!K65,Resultados!T65,Resultados!AC65,Resultados!AL65,Resultados!AU65,Resultados!BD65,Resultados!BM65,Resultados!BV65,Resultados!CE65)&lt;=1, "", _xlfn.STDEV.S(ABS(Resultados!B65),ABS(Resultados!K65),ABS(Resultados!T65),ABS(Resultados!AC65),ABS(Resultados!AL65),ABS(Resultados!AU65),ABS(Resultados!BD65),ABS(Resultados!BM65),ABS(Resultados!BV65),ABS(Resultados!CE65))/SQRT(COUNT(Resultados!B65,Resultados!K65,Resultados!T65,Resultados!AC65,Resultados!AL65,Resultados!AU65,Resultados!BD65,Resultados!BM65,Resultados!BV65,Resultados!CE65)))</f>
        <v/>
      </c>
      <c r="C65">
        <f>IF(COUNT(Resultados!C65,Resultados!L65,Resultados!U65,Resultados!AD65,Resultados!AM65,Resultados!AV65,Resultados!BE65,Resultados!BN65,Resultados!BW65,Resultados!CF65)&lt;=1, "", _xlfn.STDEV.S(ABS(Resultados!C65),ABS(Resultados!L65),ABS(Resultados!U65),ABS(Resultados!AD65),ABS(Resultados!AM65),ABS(Resultados!AV65),ABS(Resultados!BE65),ABS(Resultados!BN65),ABS(Resultados!BW65),ABS(Resultados!CF65))/SQRT(COUNT(Resultados!C65,Resultados!L65,Resultados!U65,Resultados!AD65,Resultados!AM65,Resultados!AV65,Resultados!BE65,Resultados!BN65,Resultados!BW65,Resultados!CF65)))</f>
        <v>0.54160256030906406</v>
      </c>
      <c r="D65">
        <f>IF(COUNT(Resultados!D65,Resultados!M65,Resultados!V65,Resultados!AE65,Resultados!AN65,Resultados!AW65,Resultados!BF65,Resultados!BO65,Resultados!BX65,Resultados!CG65)&lt;=1, "", _xlfn.STDEV.S(ABS(Resultados!D65),ABS(Resultados!M65),ABS(Resultados!V65),ABS(Resultados!AE65),ABS(Resultados!AN65),ABS(Resultados!AW65),ABS(Resultados!BF65),ABS(Resultados!BO65),ABS(Resultados!BX65),ABS(Resultados!CG65))/SQRT(COUNT(Resultados!D65,Resultados!M65,Resultados!V65,Resultados!AE65,Resultados!AN65,Resultados!AW65,Resultados!BF65,Resultados!BO65,Resultados!BX65,Resultados!CG65)))</f>
        <v>3.6223074291273362E-4</v>
      </c>
      <c r="E65">
        <f>IF(COUNT(Resultados!E65,Resultados!N65,Resultados!W65,Resultados!AF65,Resultados!AO65,Resultados!AX65,Resultados!BG65,Resultados!BP65,Resultados!BY65,Resultados!CH65)&lt;=1, "", _xlfn.STDEV.S(ABS(Resultados!E65),ABS(Resultados!N65),ABS(Resultados!W65),ABS(Resultados!AF65),ABS(Resultados!AO65),ABS(Resultados!AX65),ABS(Resultados!BG65),ABS(Resultados!BP65),ABS(Resultados!BY65),ABS(Resultados!CH65))/SQRT(COUNT(Resultados!E65,Resultados!N65,Resultados!W65,Resultados!AF65,Resultados!AO65,Resultados!AX65,Resultados!BG65,Resultados!BP65,Resultados!BY65,Resultados!CH65)))</f>
        <v>3.7073447497381132E-2</v>
      </c>
      <c r="F65">
        <f>IF(COUNT(Resultados!F65,Resultados!O65,Resultados!X65,Resultados!AG65,Resultados!AP65,Resultados!AY65,Resultados!BH65,Resultados!BQ65,Resultados!BZ65,Resultados!CI65)&lt;=1, "", _xlfn.STDEV.S(ABS(Resultados!F65),ABS(Resultados!O65),ABS(Resultados!X65),ABS(Resultados!AG65),ABS(Resultados!AP65),ABS(Resultados!AY65),ABS(Resultados!BH65),ABS(Resultados!BQ65),ABS(Resultados!BZ65),ABS(Resultados!CI65))/SQRT(COUNT(Resultados!F65,Resultados!O65,Resultados!X65,Resultados!AG65,Resultados!AP65,Resultados!AY65,Resultados!BH65,Resultados!BQ65,Resultados!BZ65,Resultados!CI65)))</f>
        <v>3.4552453067559181</v>
      </c>
      <c r="G65">
        <f>IF(COUNT(Resultados!G65,Resultados!P65,Resultados!Y65,Resultados!AH65,Resultados!AQ65,Resultados!AZ65,Resultados!BI65,Resultados!BR65,Resultados!CA65,Resultados!CJ65)&lt;=1, "", _xlfn.STDEV.S(ABS(Resultados!G65),ABS(Resultados!P65),ABS(Resultados!Y65),ABS(Resultados!AH65),ABS(Resultados!AQ65),ABS(Resultados!AZ65),ABS(Resultados!BI65),ABS(Resultados!BR65),ABS(Resultados!CA65),ABS(Resultados!CJ65))/SQRT(COUNT(Resultados!G65,Resultados!P65,Resultados!Y65,Resultados!AH65,Resultados!AQ65,Resultados!AZ65,Resultados!BI65,Resultados!BR65,Resultados!CA65,Resultados!CJ65)))</f>
        <v>1.8503717077085941E-17</v>
      </c>
      <c r="H65">
        <f>IF(COUNT(Resultados!H65,Resultados!Q65,Resultados!Z65,Resultados!AI65,Resultados!AR65,Resultados!BA65,Resultados!BJ65,Resultados!BS65,Resultados!CB65,Resultados!CK65)&lt;=1, "", _xlfn.STDEV.S(ABS(Resultados!H65),ABS(Resultados!Q65),ABS(Resultados!Z65),ABS(Resultados!AI65),ABS(Resultados!AR65),ABS(Resultados!BA65),ABS(Resultados!BJ65),ABS(Resultados!BS65),ABS(Resultados!CB65),ABS(Resultados!CK65))/SQRT(COUNT(Resultados!H65,Resultados!Q65,Resultados!Z65,Resultados!AI65,Resultados!AR65,Resultados!BA65,Resultados!BJ65,Resultados!BS65,Resultados!CB65,Resultados!CK65)))</f>
        <v>5.7685931271555851E-4</v>
      </c>
      <c r="I65">
        <f>IF(COUNT(Resultados!I65,Resultados!R65,Resultados!AA65,Resultados!AJ65,Resultados!AS65,Resultados!BB65,Resultados!BK65,Resultados!BT65,Resultados!CC65,Resultados!CL65)&lt;=1, "", _xlfn.STDEV.S(ABS(Resultados!I65),ABS(Resultados!R65),ABS(Resultados!AA65),ABS(Resultados!AJ65),ABS(Resultados!AS65),ABS(Resultados!BB65),ABS(Resultados!BK65),ABS(Resultados!BT65),ABS(Resultados!CC65),ABS(Resultados!CL65))/SQRT(COUNT(Resultados!I65,Resultados!R65,Resultados!AA65,Resultados!AJ65,Resultados!AS65,Resultados!BB65,Resultados!BK65,Resultados!BT65,Resultados!CC65,Resultados!CL65)))</f>
        <v>4.0127998771986584E-2</v>
      </c>
    </row>
    <row r="66" spans="1:9" x14ac:dyDescent="0.3">
      <c r="A66">
        <f>IF(COUNT(Resultados!A66,Resultados!J66,Resultados!S66,Resultados!AB66,Resultados!AK66,Resultados!AT66,Resultados!BC66,Resultados!BL66,Resultados!BU66,Resultados!CD66)&lt;=1, "", _xlfn.STDEV.S(ABS(Resultados!A66),ABS(Resultados!J66),ABS(Resultados!S66),ABS(Resultados!AB66),ABS(Resultados!AK66),ABS(Resultados!AT66),ABS(Resultados!BC66),ABS(Resultados!BL66),ABS(Resultados!BU66),ABS(Resultados!CD66))/SQRT(COUNT(Resultados!A66,Resultados!J66,Resultados!S66,Resultados!AB66,Resultados!AK66,Resultados!AT66,Resultados!BC66,Resultados!BL66,Resultados!BU66,Resultados!CD66)))</f>
        <v>0</v>
      </c>
      <c r="B66" t="str">
        <f>IF(COUNT(Resultados!B66,Resultados!K66,Resultados!T66,Resultados!AC66,Resultados!AL66,Resultados!AU66,Resultados!BD66,Resultados!BM66,Resultados!BV66,Resultados!CE66)&lt;=1, "", _xlfn.STDEV.S(ABS(Resultados!B66),ABS(Resultados!K66),ABS(Resultados!T66),ABS(Resultados!AC66),ABS(Resultados!AL66),ABS(Resultados!AU66),ABS(Resultados!BD66),ABS(Resultados!BM66),ABS(Resultados!BV66),ABS(Resultados!CE66))/SQRT(COUNT(Resultados!B66,Resultados!K66,Resultados!T66,Resultados!AC66,Resultados!AL66,Resultados!AU66,Resultados!BD66,Resultados!BM66,Resultados!BV66,Resultados!CE66)))</f>
        <v/>
      </c>
      <c r="C66">
        <f>IF(COUNT(Resultados!C66,Resultados!L66,Resultados!U66,Resultados!AD66,Resultados!AM66,Resultados!AV66,Resultados!BE66,Resultados!BN66,Resultados!BW66,Resultados!CF66)&lt;=1, "", _xlfn.STDEV.S(ABS(Resultados!C66),ABS(Resultados!L66),ABS(Resultados!U66),ABS(Resultados!AD66),ABS(Resultados!AM66),ABS(Resultados!AV66),ABS(Resultados!BE66),ABS(Resultados!BN66),ABS(Resultados!BW66),ABS(Resultados!CF66))/SQRT(COUNT(Resultados!C66,Resultados!L66,Resultados!U66,Resultados!AD66,Resultados!AM66,Resultados!AV66,Resultados!BE66,Resultados!BN66,Resultados!BW66,Resultados!CF66)))</f>
        <v>0.54160256030906406</v>
      </c>
      <c r="D66">
        <f>IF(COUNT(Resultados!D66,Resultados!M66,Resultados!V66,Resultados!AE66,Resultados!AN66,Resultados!AW66,Resultados!BF66,Resultados!BO66,Resultados!BX66,Resultados!CG66)&lt;=1, "", _xlfn.STDEV.S(ABS(Resultados!D66),ABS(Resultados!M66),ABS(Resultados!V66),ABS(Resultados!AE66),ABS(Resultados!AN66),ABS(Resultados!AW66),ABS(Resultados!BF66),ABS(Resultados!BO66),ABS(Resultados!BX66),ABS(Resultados!CG66))/SQRT(COUNT(Resultados!D66,Resultados!M66,Resultados!V66,Resultados!AE66,Resultados!AN66,Resultados!AW66,Resultados!BF66,Resultados!BO66,Resultados!BX66,Resultados!CG66)))</f>
        <v>4.9391857178643871E-4</v>
      </c>
      <c r="E66">
        <f>IF(COUNT(Resultados!E66,Resultados!N66,Resultados!W66,Resultados!AF66,Resultados!AO66,Resultados!AX66,Resultados!BG66,Resultados!BP66,Resultados!BY66,Resultados!CH66)&lt;=1, "", _xlfn.STDEV.S(ABS(Resultados!E66),ABS(Resultados!N66),ABS(Resultados!W66),ABS(Resultados!AF66),ABS(Resultados!AO66),ABS(Resultados!AX66),ABS(Resultados!BG66),ABS(Resultados!BP66),ABS(Resultados!BY66),ABS(Resultados!CH66))/SQRT(COUNT(Resultados!E66,Resultados!N66,Resultados!W66,Resultados!AF66,Resultados!AO66,Resultados!AX66,Resultados!BG66,Resultados!BP66,Resultados!BY66,Resultados!CH66)))</f>
        <v>4.473548754363E-2</v>
      </c>
      <c r="F66">
        <f>IF(COUNT(Resultados!F66,Resultados!O66,Resultados!X66,Resultados!AG66,Resultados!AP66,Resultados!AY66,Resultados!BH66,Resultados!BQ66,Resultados!BZ66,Resultados!CI66)&lt;=1, "", _xlfn.STDEV.S(ABS(Resultados!F66),ABS(Resultados!O66),ABS(Resultados!X66),ABS(Resultados!AG66),ABS(Resultados!AP66),ABS(Resultados!AY66),ABS(Resultados!BH66),ABS(Resultados!BQ66),ABS(Resultados!BZ66),ABS(Resultados!CI66))/SQRT(COUNT(Resultados!F66,Resultados!O66,Resultados!X66,Resultados!AG66,Resultados!AP66,Resultados!AY66,Resultados!BH66,Resultados!BQ66,Resultados!BZ66,Resultados!CI66)))</f>
        <v>4.1693474390663097</v>
      </c>
      <c r="G66">
        <f>IF(COUNT(Resultados!G66,Resultados!P66,Resultados!Y66,Resultados!AH66,Resultados!AQ66,Resultados!AZ66,Resultados!BI66,Resultados!BR66,Resultados!CA66,Resultados!CJ66)&lt;=1, "", _xlfn.STDEV.S(ABS(Resultados!G66),ABS(Resultados!P66),ABS(Resultados!Y66),ABS(Resultados!AH66),ABS(Resultados!AQ66),ABS(Resultados!AZ66),ABS(Resultados!BI66),ABS(Resultados!BR66),ABS(Resultados!CA66),ABS(Resultados!CJ66))/SQRT(COUNT(Resultados!G66,Resultados!P66,Resultados!Y66,Resultados!AH66,Resultados!AQ66,Resultados!AZ66,Resultados!BI66,Resultados!BR66,Resultados!CA66,Resultados!CJ66)))</f>
        <v>1.8503717077085941E-17</v>
      </c>
      <c r="H66">
        <f>IF(COUNT(Resultados!H66,Resultados!Q66,Resultados!Z66,Resultados!AI66,Resultados!AR66,Resultados!BA66,Resultados!BJ66,Resultados!BS66,Resultados!CB66,Resultados!CK66)&lt;=1, "", _xlfn.STDEV.S(ABS(Resultados!H66),ABS(Resultados!Q66),ABS(Resultados!Z66),ABS(Resultados!AI66),ABS(Resultados!AR66),ABS(Resultados!BA66),ABS(Resultados!BJ66),ABS(Resultados!BS66),ABS(Resultados!CB66),ABS(Resultados!CK66))/SQRT(COUNT(Resultados!H66,Resultados!Q66,Resultados!Z66,Resultados!AI66,Resultados!AR66,Resultados!BA66,Resultados!BJ66,Resultados!BS66,Resultados!CB66,Resultados!CK66)))</f>
        <v>6.9790161675315409E-4</v>
      </c>
      <c r="I66">
        <f>IF(COUNT(Resultados!I66,Resultados!R66,Resultados!AA66,Resultados!AJ66,Resultados!AS66,Resultados!BB66,Resultados!BK66,Resultados!BT66,Resultados!CC66,Resultados!CL66)&lt;=1, "", _xlfn.STDEV.S(ABS(Resultados!I66),ABS(Resultados!R66),ABS(Resultados!AA66),ABS(Resultados!AJ66),ABS(Resultados!AS66),ABS(Resultados!BB66),ABS(Resultados!BK66),ABS(Resultados!BT66),ABS(Resultados!CC66),ABS(Resultados!CL66))/SQRT(COUNT(Resultados!I66,Resultados!R66,Resultados!AA66,Resultados!AJ66,Resultados!AS66,Resultados!BB66,Resultados!BK66,Resultados!BT66,Resultados!CC66,Resultados!CL66)))</f>
        <v>4.024799397209685E-2</v>
      </c>
    </row>
    <row r="67" spans="1:9" x14ac:dyDescent="0.3">
      <c r="A67">
        <f>IF(COUNT(Resultados!A67,Resultados!J67,Resultados!S67,Resultados!AB67,Resultados!AK67,Resultados!AT67,Resultados!BC67,Resultados!BL67,Resultados!BU67,Resultados!CD67)&lt;=1, "", _xlfn.STDEV.S(ABS(Resultados!A67),ABS(Resultados!J67),ABS(Resultados!S67),ABS(Resultados!AB67),ABS(Resultados!AK67),ABS(Resultados!AT67),ABS(Resultados!BC67),ABS(Resultados!BL67),ABS(Resultados!BU67),ABS(Resultados!CD67))/SQRT(COUNT(Resultados!A67,Resultados!J67,Resultados!S67,Resultados!AB67,Resultados!AK67,Resultados!AT67,Resultados!BC67,Resultados!BL67,Resultados!BU67,Resultados!CD67)))</f>
        <v>0</v>
      </c>
      <c r="B67" t="str">
        <f>IF(COUNT(Resultados!B67,Resultados!K67,Resultados!T67,Resultados!AC67,Resultados!AL67,Resultados!AU67,Resultados!BD67,Resultados!BM67,Resultados!BV67,Resultados!CE67)&lt;=1, "", _xlfn.STDEV.S(ABS(Resultados!B67),ABS(Resultados!K67),ABS(Resultados!T67),ABS(Resultados!AC67),ABS(Resultados!AL67),ABS(Resultados!AU67),ABS(Resultados!BD67),ABS(Resultados!BM67),ABS(Resultados!BV67),ABS(Resultados!CE67))/SQRT(COUNT(Resultados!B67,Resultados!K67,Resultados!T67,Resultados!AC67,Resultados!AL67,Resultados!AU67,Resultados!BD67,Resultados!BM67,Resultados!BV67,Resultados!CE67)))</f>
        <v/>
      </c>
      <c r="C67">
        <f>IF(COUNT(Resultados!C67,Resultados!L67,Resultados!U67,Resultados!AD67,Resultados!AM67,Resultados!AV67,Resultados!BE67,Resultados!BN67,Resultados!BW67,Resultados!CF67)&lt;=1, "", _xlfn.STDEV.S(ABS(Resultados!C67),ABS(Resultados!L67),ABS(Resultados!U67),ABS(Resultados!AD67),ABS(Resultados!AM67),ABS(Resultados!AV67),ABS(Resultados!BE67),ABS(Resultados!BN67),ABS(Resultados!BW67),ABS(Resultados!CF67))/SQRT(COUNT(Resultados!C67,Resultados!L67,Resultados!U67,Resultados!AD67,Resultados!AM67,Resultados!AV67,Resultados!BE67,Resultados!BN67,Resultados!BW67,Resultados!CF67)))</f>
        <v>0.54160256030906406</v>
      </c>
      <c r="D67">
        <f>IF(COUNT(Resultados!D67,Resultados!M67,Resultados!V67,Resultados!AE67,Resultados!AN67,Resultados!AW67,Resultados!BF67,Resultados!BO67,Resultados!BX67,Resultados!CG67)&lt;=1, "", _xlfn.STDEV.S(ABS(Resultados!D67),ABS(Resultados!M67),ABS(Resultados!V67),ABS(Resultados!AE67),ABS(Resultados!AN67),ABS(Resultados!AW67),ABS(Resultados!BF67),ABS(Resultados!BO67),ABS(Resultados!BX67),ABS(Resultados!CG67))/SQRT(COUNT(Resultados!D67,Resultados!M67,Resultados!V67,Resultados!AE67,Resultados!AN67,Resultados!AW67,Resultados!BF67,Resultados!BO67,Resultados!BX67,Resultados!CG67)))</f>
        <v>7.5825091127175329E-4</v>
      </c>
      <c r="E67">
        <f>IF(COUNT(Resultados!E67,Resultados!N67,Resultados!W67,Resultados!AF67,Resultados!AO67,Resultados!AX67,Resultados!BG67,Resultados!BP67,Resultados!BY67,Resultados!CH67)&lt;=1, "", _xlfn.STDEV.S(ABS(Resultados!E67),ABS(Resultados!N67),ABS(Resultados!W67),ABS(Resultados!AF67),ABS(Resultados!AO67),ABS(Resultados!AX67),ABS(Resultados!BG67),ABS(Resultados!BP67),ABS(Resultados!BY67),ABS(Resultados!CH67))/SQRT(COUNT(Resultados!E67,Resultados!N67,Resultados!W67,Resultados!AF67,Resultados!AO67,Resultados!AX67,Resultados!BG67,Resultados!BP67,Resultados!BY67,Resultados!CH67)))</f>
        <v>5.1018136533771373E-2</v>
      </c>
      <c r="F67">
        <f>IF(COUNT(Resultados!F67,Resultados!O67,Resultados!X67,Resultados!AG67,Resultados!AP67,Resultados!AY67,Resultados!BH67,Resultados!BQ67,Resultados!BZ67,Resultados!CI67)&lt;=1, "", _xlfn.STDEV.S(ABS(Resultados!F67),ABS(Resultados!O67),ABS(Resultados!X67),ABS(Resultados!AG67),ABS(Resultados!AP67),ABS(Resultados!AY67),ABS(Resultados!BH67),ABS(Resultados!BQ67),ABS(Resultados!BZ67),ABS(Resultados!CI67))/SQRT(COUNT(Resultados!F67,Resultados!O67,Resultados!X67,Resultados!AG67,Resultados!AP67,Resultados!AY67,Resultados!BH67,Resultados!BQ67,Resultados!BZ67,Resultados!CI67)))</f>
        <v>4.754890324947489</v>
      </c>
      <c r="G67">
        <f>IF(COUNT(Resultados!G67,Resultados!P67,Resultados!Y67,Resultados!AH67,Resultados!AQ67,Resultados!AZ67,Resultados!BI67,Resultados!BR67,Resultados!CA67,Resultados!CJ67)&lt;=1, "", _xlfn.STDEV.S(ABS(Resultados!G67),ABS(Resultados!P67),ABS(Resultados!Y67),ABS(Resultados!AH67),ABS(Resultados!AQ67),ABS(Resultados!AZ67),ABS(Resultados!BI67),ABS(Resultados!BR67),ABS(Resultados!CA67),ABS(Resultados!CJ67))/SQRT(COUNT(Resultados!G67,Resultados!P67,Resultados!Y67,Resultados!AH67,Resultados!AQ67,Resultados!AZ67,Resultados!BI67,Resultados!BR67,Resultados!CA67,Resultados!CJ67)))</f>
        <v>1.8503717077085941E-17</v>
      </c>
      <c r="H67">
        <f>IF(COUNT(Resultados!H67,Resultados!Q67,Resultados!Z67,Resultados!AI67,Resultados!AR67,Resultados!BA67,Resultados!BJ67,Resultados!BS67,Resultados!CB67,Resultados!CK67)&lt;=1, "", _xlfn.STDEV.S(ABS(Resultados!H67),ABS(Resultados!Q67),ABS(Resultados!Z67),ABS(Resultados!AI67),ABS(Resultados!AR67),ABS(Resultados!BA67),ABS(Resultados!BJ67),ABS(Resultados!BS67),ABS(Resultados!CB67),ABS(Resultados!CK67))/SQRT(COUNT(Resultados!H67,Resultados!Q67,Resultados!Z67,Resultados!AI67,Resultados!AR67,Resultados!BA67,Resultados!BJ67,Resultados!BS67,Resultados!CB67,Resultados!CK67)))</f>
        <v>7.9571072353937483E-4</v>
      </c>
      <c r="I67">
        <f>IF(COUNT(Resultados!I67,Resultados!R67,Resultados!AA67,Resultados!AJ67,Resultados!AS67,Resultados!BB67,Resultados!BK67,Resultados!BT67,Resultados!CC67,Resultados!CL67)&lt;=1, "", _xlfn.STDEV.S(ABS(Resultados!I67),ABS(Resultados!R67),ABS(Resultados!AA67),ABS(Resultados!AJ67),ABS(Resultados!AS67),ABS(Resultados!BB67),ABS(Resultados!BK67),ABS(Resultados!BT67),ABS(Resultados!CC67),ABS(Resultados!CL67))/SQRT(COUNT(Resultados!I67,Resultados!R67,Resultados!AA67,Resultados!AJ67,Resultados!AS67,Resultados!BB67,Resultados!BK67,Resultados!BT67,Resultados!CC67,Resultados!CL67)))</f>
        <v>4.0122183225467421E-2</v>
      </c>
    </row>
    <row r="68" spans="1:9" x14ac:dyDescent="0.3">
      <c r="A68">
        <f>IF(COUNT(Resultados!A68,Resultados!J68,Resultados!S68,Resultados!AB68,Resultados!AK68,Resultados!AT68,Resultados!BC68,Resultados!BL68,Resultados!BU68,Resultados!CD68)&lt;=1, "", _xlfn.STDEV.S(ABS(Resultados!A68),ABS(Resultados!J68),ABS(Resultados!S68),ABS(Resultados!AB68),ABS(Resultados!AK68),ABS(Resultados!AT68),ABS(Resultados!BC68),ABS(Resultados!BL68),ABS(Resultados!BU68),ABS(Resultados!CD68))/SQRT(COUNT(Resultados!A68,Resultados!J68,Resultados!S68,Resultados!AB68,Resultados!AK68,Resultados!AT68,Resultados!BC68,Resultados!BL68,Resultados!BU68,Resultados!CD68)))</f>
        <v>0</v>
      </c>
      <c r="B68" t="str">
        <f>IF(COUNT(Resultados!B68,Resultados!K68,Resultados!T68,Resultados!AC68,Resultados!AL68,Resultados!AU68,Resultados!BD68,Resultados!BM68,Resultados!BV68,Resultados!CE68)&lt;=1, "", _xlfn.STDEV.S(ABS(Resultados!B68),ABS(Resultados!K68),ABS(Resultados!T68),ABS(Resultados!AC68),ABS(Resultados!AL68),ABS(Resultados!AU68),ABS(Resultados!BD68),ABS(Resultados!BM68),ABS(Resultados!BV68),ABS(Resultados!CE68))/SQRT(COUNT(Resultados!B68,Resultados!K68,Resultados!T68,Resultados!AC68,Resultados!AL68,Resultados!AU68,Resultados!BD68,Resultados!BM68,Resultados!BV68,Resultados!CE68)))</f>
        <v/>
      </c>
      <c r="C68">
        <f>IF(COUNT(Resultados!C68,Resultados!L68,Resultados!U68,Resultados!AD68,Resultados!AM68,Resultados!AV68,Resultados!BE68,Resultados!BN68,Resultados!BW68,Resultados!CF68)&lt;=1, "", _xlfn.STDEV.S(ABS(Resultados!C68),ABS(Resultados!L68),ABS(Resultados!U68),ABS(Resultados!AD68),ABS(Resultados!AM68),ABS(Resultados!AV68),ABS(Resultados!BE68),ABS(Resultados!BN68),ABS(Resultados!BW68),ABS(Resultados!CF68))/SQRT(COUNT(Resultados!C68,Resultados!L68,Resultados!U68,Resultados!AD68,Resultados!AM68,Resultados!AV68,Resultados!BE68,Resultados!BN68,Resultados!BW68,Resultados!CF68)))</f>
        <v>0.5587684871413402</v>
      </c>
      <c r="D68">
        <f>IF(COUNT(Resultados!D68,Resultados!M68,Resultados!V68,Resultados!AE68,Resultados!AN68,Resultados!AW68,Resultados!BF68,Resultados!BO68,Resultados!BX68,Resultados!CG68)&lt;=1, "", _xlfn.STDEV.S(ABS(Resultados!D68),ABS(Resultados!M68),ABS(Resultados!V68),ABS(Resultados!AE68),ABS(Resultados!AN68),ABS(Resultados!AW68),ABS(Resultados!BF68),ABS(Resultados!BO68),ABS(Resultados!BX68),ABS(Resultados!CG68))/SQRT(COUNT(Resultados!D68,Resultados!M68,Resultados!V68,Resultados!AE68,Resultados!AN68,Resultados!AW68,Resultados!BF68,Resultados!BO68,Resultados!BX68,Resultados!CG68)))</f>
        <v>8.4142735871850537E-4</v>
      </c>
      <c r="E68">
        <f>IF(COUNT(Resultados!E68,Resultados!N68,Resultados!W68,Resultados!AF68,Resultados!AO68,Resultados!AX68,Resultados!BG68,Resultados!BP68,Resultados!BY68,Resultados!CH68)&lt;=1, "", _xlfn.STDEV.S(ABS(Resultados!E68),ABS(Resultados!N68),ABS(Resultados!W68),ABS(Resultados!AF68),ABS(Resultados!AO68),ABS(Resultados!AX68),ABS(Resultados!BG68),ABS(Resultados!BP68),ABS(Resultados!BY68),ABS(Resultados!CH68))/SQRT(COUNT(Resultados!E68,Resultados!N68,Resultados!W68,Resultados!AF68,Resultados!AO68,Resultados!AX68,Resultados!BG68,Resultados!BP68,Resultados!BY68,Resultados!CH68)))</f>
        <v>5.6464687323228756E-2</v>
      </c>
      <c r="F68">
        <f>IF(COUNT(Resultados!F68,Resultados!O68,Resultados!X68,Resultados!AG68,Resultados!AP68,Resultados!AY68,Resultados!BH68,Resultados!BQ68,Resultados!BZ68,Resultados!CI68)&lt;=1, "", _xlfn.STDEV.S(ABS(Resultados!F68),ABS(Resultados!O68),ABS(Resultados!X68),ABS(Resultados!AG68),ABS(Resultados!AP68),ABS(Resultados!AY68),ABS(Resultados!BH68),ABS(Resultados!BQ68),ABS(Resultados!BZ68),ABS(Resultados!CI68))/SQRT(COUNT(Resultados!F68,Resultados!O68,Resultados!X68,Resultados!AG68,Resultados!AP68,Resultados!AY68,Resultados!BH68,Resultados!BQ68,Resultados!BZ68,Resultados!CI68)))</f>
        <v>5.2625088585249236</v>
      </c>
      <c r="G68">
        <f>IF(COUNT(Resultados!G68,Resultados!P68,Resultados!Y68,Resultados!AH68,Resultados!AQ68,Resultados!AZ68,Resultados!BI68,Resultados!BR68,Resultados!CA68,Resultados!CJ68)&lt;=1, "", _xlfn.STDEV.S(ABS(Resultados!G68),ABS(Resultados!P68),ABS(Resultados!Y68),ABS(Resultados!AH68),ABS(Resultados!AQ68),ABS(Resultados!AZ68),ABS(Resultados!BI68),ABS(Resultados!BR68),ABS(Resultados!CA68),ABS(Resultados!CJ68))/SQRT(COUNT(Resultados!G68,Resultados!P68,Resultados!Y68,Resultados!AH68,Resultados!AQ68,Resultados!AZ68,Resultados!BI68,Resultados!BR68,Resultados!CA68,Resultados!CJ68)))</f>
        <v>1.8503717077085941E-17</v>
      </c>
      <c r="H68">
        <f>IF(COUNT(Resultados!H68,Resultados!Q68,Resultados!Z68,Resultados!AI68,Resultados!AR68,Resultados!BA68,Resultados!BJ68,Resultados!BS68,Resultados!CB68,Resultados!CK68)&lt;=1, "", _xlfn.STDEV.S(ABS(Resultados!H68),ABS(Resultados!Q68),ABS(Resultados!Z68),ABS(Resultados!AI68),ABS(Resultados!AR68),ABS(Resultados!BA68),ABS(Resultados!BJ68),ABS(Resultados!BS68),ABS(Resultados!CB68),ABS(Resultados!CK68))/SQRT(COUNT(Resultados!H68,Resultados!Q68,Resultados!Z68,Resultados!AI68,Resultados!AR68,Resultados!BA68,Resultados!BJ68,Resultados!BS68,Resultados!CB68,Resultados!CK68)))</f>
        <v>8.7787622514034808E-4</v>
      </c>
      <c r="I68">
        <f>IF(COUNT(Resultados!I68,Resultados!R68,Resultados!AA68,Resultados!AJ68,Resultados!AS68,Resultados!BB68,Resultados!BK68,Resultados!BT68,Resultados!CC68,Resultados!CL68)&lt;=1, "", _xlfn.STDEV.S(ABS(Resultados!I68),ABS(Resultados!R68),ABS(Resultados!AA68),ABS(Resultados!AJ68),ABS(Resultados!AS68),ABS(Resultados!BB68),ABS(Resultados!BK68),ABS(Resultados!BT68),ABS(Resultados!CC68),ABS(Resultados!CL68))/SQRT(COUNT(Resultados!I68,Resultados!R68,Resultados!AA68,Resultados!AJ68,Resultados!AS68,Resultados!BB68,Resultados!BK68,Resultados!BT68,Resultados!CC68,Resultados!CL68)))</f>
        <v>4.0302226584479767E-2</v>
      </c>
    </row>
    <row r="69" spans="1:9" x14ac:dyDescent="0.3">
      <c r="A69">
        <f>IF(COUNT(Resultados!A69,Resultados!J69,Resultados!S69,Resultados!AB69,Resultados!AK69,Resultados!AT69,Resultados!BC69,Resultados!BL69,Resultados!BU69,Resultados!CD69)&lt;=1, "", _xlfn.STDEV.S(ABS(Resultados!A69),ABS(Resultados!J69),ABS(Resultados!S69),ABS(Resultados!AB69),ABS(Resultados!AK69),ABS(Resultados!AT69),ABS(Resultados!BC69),ABS(Resultados!BL69),ABS(Resultados!BU69),ABS(Resultados!CD69))/SQRT(COUNT(Resultados!A69,Resultados!J69,Resultados!S69,Resultados!AB69,Resultados!AK69,Resultados!AT69,Resultados!BC69,Resultados!BL69,Resultados!BU69,Resultados!CD69)))</f>
        <v>0</v>
      </c>
      <c r="B69" t="str">
        <f>IF(COUNT(Resultados!B69,Resultados!K69,Resultados!T69,Resultados!AC69,Resultados!AL69,Resultados!AU69,Resultados!BD69,Resultados!BM69,Resultados!BV69,Resultados!CE69)&lt;=1, "", _xlfn.STDEV.S(ABS(Resultados!B69),ABS(Resultados!K69),ABS(Resultados!T69),ABS(Resultados!AC69),ABS(Resultados!AL69),ABS(Resultados!AU69),ABS(Resultados!BD69),ABS(Resultados!BM69),ABS(Resultados!BV69),ABS(Resultados!CE69))/SQRT(COUNT(Resultados!B69,Resultados!K69,Resultados!T69,Resultados!AC69,Resultados!AL69,Resultados!AU69,Resultados!BD69,Resultados!BM69,Resultados!BV69,Resultados!CE69)))</f>
        <v/>
      </c>
      <c r="C69">
        <f>IF(COUNT(Resultados!C69,Resultados!L69,Resultados!U69,Resultados!AD69,Resultados!AM69,Resultados!AV69,Resultados!BE69,Resultados!BN69,Resultados!BW69,Resultados!CF69)&lt;=1, "", _xlfn.STDEV.S(ABS(Resultados!C69),ABS(Resultados!L69),ABS(Resultados!U69),ABS(Resultados!AD69),ABS(Resultados!AM69),ABS(Resultados!AV69),ABS(Resultados!BE69),ABS(Resultados!BN69),ABS(Resultados!BW69),ABS(Resultados!CF69))/SQRT(COUNT(Resultados!C69,Resultados!L69,Resultados!U69,Resultados!AD69,Resultados!AM69,Resultados!AV69,Resultados!BE69,Resultados!BN69,Resultados!BW69,Resultados!CF69)))</f>
        <v>0.5587684871413402</v>
      </c>
      <c r="D69">
        <f>IF(COUNT(Resultados!D69,Resultados!M69,Resultados!V69,Resultados!AE69,Resultados!AN69,Resultados!AW69,Resultados!BF69,Resultados!BO69,Resultados!BX69,Resultados!CG69)&lt;=1, "", _xlfn.STDEV.S(ABS(Resultados!D69),ABS(Resultados!M69),ABS(Resultados!V69),ABS(Resultados!AE69),ABS(Resultados!AN69),ABS(Resultados!AW69),ABS(Resultados!BF69),ABS(Resultados!BO69),ABS(Resultados!BX69),ABS(Resultados!CG69))/SQRT(COUNT(Resultados!D69,Resultados!M69,Resultados!V69,Resultados!AE69,Resultados!AN69,Resultados!AW69,Resultados!BF69,Resultados!BO69,Resultados!BX69,Resultados!CG69)))</f>
        <v>9.3476675640979489E-4</v>
      </c>
      <c r="E69">
        <f>IF(COUNT(Resultados!E69,Resultados!N69,Resultados!W69,Resultados!AF69,Resultados!AO69,Resultados!AX69,Resultados!BG69,Resultados!BP69,Resultados!BY69,Resultados!CH69)&lt;=1, "", _xlfn.STDEV.S(ABS(Resultados!E69),ABS(Resultados!N69),ABS(Resultados!W69),ABS(Resultados!AF69),ABS(Resultados!AO69),ABS(Resultados!AX69),ABS(Resultados!BG69),ABS(Resultados!BP69),ABS(Resultados!BY69),ABS(Resultados!CH69))/SQRT(COUNT(Resultados!E69,Resultados!N69,Resultados!W69,Resultados!AF69,Resultados!AO69,Resultados!AX69,Resultados!BG69,Resultados!BP69,Resultados!BY69,Resultados!CH69)))</f>
        <v>6.0060628481448823E-2</v>
      </c>
      <c r="F69">
        <f>IF(COUNT(Resultados!F69,Resultados!O69,Resultados!X69,Resultados!AG69,Resultados!AP69,Resultados!AY69,Resultados!BH69,Resultados!BQ69,Resultados!BZ69,Resultados!CI69)&lt;=1, "", _xlfn.STDEV.S(ABS(Resultados!F69),ABS(Resultados!O69),ABS(Resultados!X69),ABS(Resultados!AG69),ABS(Resultados!AP69),ABS(Resultados!AY69),ABS(Resultados!BH69),ABS(Resultados!BQ69),ABS(Resultados!BZ69),ABS(Resultados!CI69))/SQRT(COUNT(Resultados!F69,Resultados!O69,Resultados!X69,Resultados!AG69,Resultados!AP69,Resultados!AY69,Resultados!BH69,Resultados!BQ69,Resultados!BZ69,Resultados!CI69)))</f>
        <v>5.5976505744710305</v>
      </c>
      <c r="G69">
        <f>IF(COUNT(Resultados!G69,Resultados!P69,Resultados!Y69,Resultados!AH69,Resultados!AQ69,Resultados!AZ69,Resultados!BI69,Resultados!BR69,Resultados!CA69,Resultados!CJ69)&lt;=1, "", _xlfn.STDEV.S(ABS(Resultados!G69),ABS(Resultados!P69),ABS(Resultados!Y69),ABS(Resultados!AH69),ABS(Resultados!AQ69),ABS(Resultados!AZ69),ABS(Resultados!BI69),ABS(Resultados!BR69),ABS(Resultados!CA69),ABS(Resultados!CJ69))/SQRT(COUNT(Resultados!G69,Resultados!P69,Resultados!Y69,Resultados!AH69,Resultados!AQ69,Resultados!AZ69,Resultados!BI69,Resultados!BR69,Resultados!CA69,Resultados!CJ69)))</f>
        <v>1.8503717077085941E-17</v>
      </c>
      <c r="H69">
        <f>IF(COUNT(Resultados!H69,Resultados!Q69,Resultados!Z69,Resultados!AI69,Resultados!AR69,Resultados!BA69,Resultados!BJ69,Resultados!BS69,Resultados!CB69,Resultados!CK69)&lt;=1, "", _xlfn.STDEV.S(ABS(Resultados!H69),ABS(Resultados!Q69),ABS(Resultados!Z69),ABS(Resultados!AI69),ABS(Resultados!AR69),ABS(Resultados!BA69),ABS(Resultados!BJ69),ABS(Resultados!BS69),ABS(Resultados!CB69),ABS(Resultados!CK69))/SQRT(COUNT(Resultados!H69,Resultados!Q69,Resultados!Z69,Resultados!AI69,Resultados!AR69,Resultados!BA69,Resultados!BJ69,Resultados!BS69,Resultados!CB69,Resultados!CK69)))</f>
        <v>9.3690388455213943E-4</v>
      </c>
      <c r="I69">
        <f>IF(COUNT(Resultados!I69,Resultados!R69,Resultados!AA69,Resultados!AJ69,Resultados!AS69,Resultados!BB69,Resultados!BK69,Resultados!BT69,Resultados!CC69,Resultados!CL69)&lt;=1, "", _xlfn.STDEV.S(ABS(Resultados!I69),ABS(Resultados!R69),ABS(Resultados!AA69),ABS(Resultados!AJ69),ABS(Resultados!AS69),ABS(Resultados!BB69),ABS(Resultados!BK69),ABS(Resultados!BT69),ABS(Resultados!CC69),ABS(Resultados!CL69))/SQRT(COUNT(Resultados!I69,Resultados!R69,Resultados!AA69,Resultados!AJ69,Resultados!AS69,Resultados!BB69,Resultados!BK69,Resultados!BT69,Resultados!CC69,Resultados!CL69)))</f>
        <v>4.0181362158207438E-2</v>
      </c>
    </row>
    <row r="70" spans="1:9" x14ac:dyDescent="0.3">
      <c r="A70">
        <f>IF(COUNT(Resultados!A70,Resultados!J70,Resultados!S70,Resultados!AB70,Resultados!AK70,Resultados!AT70,Resultados!BC70,Resultados!BL70,Resultados!BU70,Resultados!CD70)&lt;=1, "", _xlfn.STDEV.S(ABS(Resultados!A70),ABS(Resultados!J70),ABS(Resultados!S70),ABS(Resultados!AB70),ABS(Resultados!AK70),ABS(Resultados!AT70),ABS(Resultados!BC70),ABS(Resultados!BL70),ABS(Resultados!BU70),ABS(Resultados!CD70))/SQRT(COUNT(Resultados!A70,Resultados!J70,Resultados!S70,Resultados!AB70,Resultados!AK70,Resultados!AT70,Resultados!BC70,Resultados!BL70,Resultados!BU70,Resultados!CD70)))</f>
        <v>0</v>
      </c>
      <c r="B70" t="str">
        <f>IF(COUNT(Resultados!B70,Resultados!K70,Resultados!T70,Resultados!AC70,Resultados!AL70,Resultados!AU70,Resultados!BD70,Resultados!BM70,Resultados!BV70,Resultados!CE70)&lt;=1, "", _xlfn.STDEV.S(ABS(Resultados!B70),ABS(Resultados!K70),ABS(Resultados!T70),ABS(Resultados!AC70),ABS(Resultados!AL70),ABS(Resultados!AU70),ABS(Resultados!BD70),ABS(Resultados!BM70),ABS(Resultados!BV70),ABS(Resultados!CE70))/SQRT(COUNT(Resultados!B70,Resultados!K70,Resultados!T70,Resultados!AC70,Resultados!AL70,Resultados!AU70,Resultados!BD70,Resultados!BM70,Resultados!BV70,Resultados!CE70)))</f>
        <v/>
      </c>
      <c r="C70">
        <f>IF(COUNT(Resultados!C70,Resultados!L70,Resultados!U70,Resultados!AD70,Resultados!AM70,Resultados!AV70,Resultados!BE70,Resultados!BN70,Resultados!BW70,Resultados!CF70)&lt;=1, "", _xlfn.STDEV.S(ABS(Resultados!C70),ABS(Resultados!L70),ABS(Resultados!U70),ABS(Resultados!AD70),ABS(Resultados!AM70),ABS(Resultados!AV70),ABS(Resultados!BE70),ABS(Resultados!BN70),ABS(Resultados!BW70),ABS(Resultados!CF70))/SQRT(COUNT(Resultados!C70,Resultados!L70,Resultados!U70,Resultados!AD70,Resultados!AM70,Resultados!AV70,Resultados!BE70,Resultados!BN70,Resultados!BW70,Resultados!CF70)))</f>
        <v>0.5587684871413402</v>
      </c>
      <c r="D70">
        <f>IF(COUNT(Resultados!D70,Resultados!M70,Resultados!V70,Resultados!AE70,Resultados!AN70,Resultados!AW70,Resultados!BF70,Resultados!BO70,Resultados!BX70,Resultados!CG70)&lt;=1, "", _xlfn.STDEV.S(ABS(Resultados!D70),ABS(Resultados!M70),ABS(Resultados!V70),ABS(Resultados!AE70),ABS(Resultados!AN70),ABS(Resultados!AW70),ABS(Resultados!BF70),ABS(Resultados!BO70),ABS(Resultados!BX70),ABS(Resultados!CG70))/SQRT(COUNT(Resultados!D70,Resultados!M70,Resultados!V70,Resultados!AE70,Resultados!AN70,Resultados!AW70,Resultados!BF70,Resultados!BO70,Resultados!BX70,Resultados!CG70)))</f>
        <v>9.1644845887686299E-4</v>
      </c>
      <c r="E70">
        <f>IF(COUNT(Resultados!E70,Resultados!N70,Resultados!W70,Resultados!AF70,Resultados!AO70,Resultados!AX70,Resultados!BG70,Resultados!BP70,Resultados!BY70,Resultados!CH70)&lt;=1, "", _xlfn.STDEV.S(ABS(Resultados!E70),ABS(Resultados!N70),ABS(Resultados!W70),ABS(Resultados!AF70),ABS(Resultados!AO70),ABS(Resultados!AX70),ABS(Resultados!BG70),ABS(Resultados!BP70),ABS(Resultados!BY70),ABS(Resultados!CH70))/SQRT(COUNT(Resultados!E70,Resultados!N70,Resultados!W70,Resultados!AF70,Resultados!AO70,Resultados!AX70,Resultados!BG70,Resultados!BP70,Resultados!BY70,Resultados!CH70)))</f>
        <v>6.3101936178253007E-2</v>
      </c>
      <c r="F70">
        <f>IF(COUNT(Resultados!F70,Resultados!O70,Resultados!X70,Resultados!AG70,Resultados!AP70,Resultados!AY70,Resultados!BH70,Resultados!BQ70,Resultados!BZ70,Resultados!CI70)&lt;=1, "", _xlfn.STDEV.S(ABS(Resultados!F70),ABS(Resultados!O70),ABS(Resultados!X70),ABS(Resultados!AG70),ABS(Resultados!AP70),ABS(Resultados!AY70),ABS(Resultados!BH70),ABS(Resultados!BQ70),ABS(Resultados!BZ70),ABS(Resultados!CI70))/SQRT(COUNT(Resultados!F70,Resultados!O70,Resultados!X70,Resultados!AG70,Resultados!AP70,Resultados!AY70,Resultados!BH70,Resultados!BQ70,Resultados!BZ70,Resultados!CI70)))</f>
        <v>5.8811004518131869</v>
      </c>
      <c r="G70">
        <f>IF(COUNT(Resultados!G70,Resultados!P70,Resultados!Y70,Resultados!AH70,Resultados!AQ70,Resultados!AZ70,Resultados!BI70,Resultados!BR70,Resultados!CA70,Resultados!CJ70)&lt;=1, "", _xlfn.STDEV.S(ABS(Resultados!G70),ABS(Resultados!P70),ABS(Resultados!Y70),ABS(Resultados!AH70),ABS(Resultados!AQ70),ABS(Resultados!AZ70),ABS(Resultados!BI70),ABS(Resultados!BR70),ABS(Resultados!CA70),ABS(Resultados!CJ70))/SQRT(COUNT(Resultados!G70,Resultados!P70,Resultados!Y70,Resultados!AH70,Resultados!AQ70,Resultados!AZ70,Resultados!BI70,Resultados!BR70,Resultados!CA70,Resultados!CJ70)))</f>
        <v>1.8503717077085941E-17</v>
      </c>
      <c r="H70">
        <f>IF(COUNT(Resultados!H70,Resultados!Q70,Resultados!Z70,Resultados!AI70,Resultados!AR70,Resultados!BA70,Resultados!BJ70,Resultados!BS70,Resultados!CB70,Resultados!CK70)&lt;=1, "", _xlfn.STDEV.S(ABS(Resultados!H70),ABS(Resultados!Q70),ABS(Resultados!Z70),ABS(Resultados!AI70),ABS(Resultados!AR70),ABS(Resultados!BA70),ABS(Resultados!BJ70),ABS(Resultados!BS70),ABS(Resultados!CB70),ABS(Resultados!CK70))/SQRT(COUNT(Resultados!H70,Resultados!Q70,Resultados!Z70,Resultados!AI70,Resultados!AR70,Resultados!BA70,Resultados!BJ70,Resultados!BS70,Resultados!CB70,Resultados!CK70)))</f>
        <v>9.8138790609127776E-4</v>
      </c>
      <c r="I70">
        <f>IF(COUNT(Resultados!I70,Resultados!R70,Resultados!AA70,Resultados!AJ70,Resultados!AS70,Resultados!BB70,Resultados!BK70,Resultados!BT70,Resultados!CC70,Resultados!CL70)&lt;=1, "", _xlfn.STDEV.S(ABS(Resultados!I70),ABS(Resultados!R70),ABS(Resultados!AA70),ABS(Resultados!AJ70),ABS(Resultados!AS70),ABS(Resultados!BB70),ABS(Resultados!BK70),ABS(Resultados!BT70),ABS(Resultados!CC70),ABS(Resultados!CL70))/SQRT(COUNT(Resultados!I70,Resultados!R70,Resultados!AA70,Resultados!AJ70,Resultados!AS70,Resultados!BB70,Resultados!BK70,Resultados!BT70,Resultados!CC70,Resultados!CL70)))</f>
        <v>4.0642131287073675E-2</v>
      </c>
    </row>
    <row r="71" spans="1:9" x14ac:dyDescent="0.3">
      <c r="A71">
        <f>IF(COUNT(Resultados!A71,Resultados!J71,Resultados!S71,Resultados!AB71,Resultados!AK71,Resultados!AT71,Resultados!BC71,Resultados!BL71,Resultados!BU71,Resultados!CD71)&lt;=1, "", _xlfn.STDEV.S(ABS(Resultados!A71),ABS(Resultados!J71),ABS(Resultados!S71),ABS(Resultados!AB71),ABS(Resultados!AK71),ABS(Resultados!AT71),ABS(Resultados!BC71),ABS(Resultados!BL71),ABS(Resultados!BU71),ABS(Resultados!CD71))/SQRT(COUNT(Resultados!A71,Resultados!J71,Resultados!S71,Resultados!AB71,Resultados!AK71,Resultados!AT71,Resultados!BC71,Resultados!BL71,Resultados!BU71,Resultados!CD71)))</f>
        <v>0</v>
      </c>
      <c r="B71" t="str">
        <f>IF(COUNT(Resultados!B71,Resultados!K71,Resultados!T71,Resultados!AC71,Resultados!AL71,Resultados!AU71,Resultados!BD71,Resultados!BM71,Resultados!BV71,Resultados!CE71)&lt;=1, "", _xlfn.STDEV.S(ABS(Resultados!B71),ABS(Resultados!K71),ABS(Resultados!T71),ABS(Resultados!AC71),ABS(Resultados!AL71),ABS(Resultados!AU71),ABS(Resultados!BD71),ABS(Resultados!BM71),ABS(Resultados!BV71),ABS(Resultados!CE71))/SQRT(COUNT(Resultados!B71,Resultados!K71,Resultados!T71,Resultados!AC71,Resultados!AL71,Resultados!AU71,Resultados!BD71,Resultados!BM71,Resultados!BV71,Resultados!CE71)))</f>
        <v/>
      </c>
      <c r="C71">
        <f>IF(COUNT(Resultados!C71,Resultados!L71,Resultados!U71,Resultados!AD71,Resultados!AM71,Resultados!AV71,Resultados!BE71,Resultados!BN71,Resultados!BW71,Resultados!CF71)&lt;=1, "", _xlfn.STDEV.S(ABS(Resultados!C71),ABS(Resultados!L71),ABS(Resultados!U71),ABS(Resultados!AD71),ABS(Resultados!AM71),ABS(Resultados!AV71),ABS(Resultados!BE71),ABS(Resultados!BN71),ABS(Resultados!BW71),ABS(Resultados!CF71))/SQRT(COUNT(Resultados!C71,Resultados!L71,Resultados!U71,Resultados!AD71,Resultados!AM71,Resultados!AV71,Resultados!BE71,Resultados!BN71,Resultados!BW71,Resultados!CF71)))</f>
        <v>0.5587684871413402</v>
      </c>
      <c r="D71">
        <f>IF(COUNT(Resultados!D71,Resultados!M71,Resultados!V71,Resultados!AE71,Resultados!AN71,Resultados!AW71,Resultados!BF71,Resultados!BO71,Resultados!BX71,Resultados!CG71)&lt;=1, "", _xlfn.STDEV.S(ABS(Resultados!D71),ABS(Resultados!M71),ABS(Resultados!V71),ABS(Resultados!AE71),ABS(Resultados!AN71),ABS(Resultados!AW71),ABS(Resultados!BF71),ABS(Resultados!BO71),ABS(Resultados!BX71),ABS(Resultados!CG71))/SQRT(COUNT(Resultados!D71,Resultados!M71,Resultados!V71,Resultados!AE71,Resultados!AN71,Resultados!AW71,Resultados!BF71,Resultados!BO71,Resultados!BX71,Resultados!CG71)))</f>
        <v>9.9997777753085869E-4</v>
      </c>
      <c r="E71">
        <f>IF(COUNT(Resultados!E71,Resultados!N71,Resultados!W71,Resultados!AF71,Resultados!AO71,Resultados!AX71,Resultados!BG71,Resultados!BP71,Resultados!BY71,Resultados!CH71)&lt;=1, "", _xlfn.STDEV.S(ABS(Resultados!E71),ABS(Resultados!N71),ABS(Resultados!W71),ABS(Resultados!AF71),ABS(Resultados!AO71),ABS(Resultados!AX71),ABS(Resultados!BG71),ABS(Resultados!BP71),ABS(Resultados!BY71),ABS(Resultados!CH71))/SQRT(COUNT(Resultados!E71,Resultados!N71,Resultados!W71,Resultados!AF71,Resultados!AO71,Resultados!AX71,Resultados!BG71,Resultados!BP71,Resultados!BY71,Resultados!CH71)))</f>
        <v>6.3336527270054538E-2</v>
      </c>
      <c r="F71">
        <f>IF(COUNT(Resultados!F71,Resultados!O71,Resultados!X71,Resultados!AG71,Resultados!AP71,Resultados!AY71,Resultados!BH71,Resultados!BQ71,Resultados!BZ71,Resultados!CI71)&lt;=1, "", _xlfn.STDEV.S(ABS(Resultados!F71),ABS(Resultados!O71),ABS(Resultados!X71),ABS(Resultados!AG71),ABS(Resultados!AP71),ABS(Resultados!AY71),ABS(Resultados!BH71),ABS(Resultados!BQ71),ABS(Resultados!BZ71),ABS(Resultados!CI71))/SQRT(COUNT(Resultados!F71,Resultados!O71,Resultados!X71,Resultados!AG71,Resultados!AP71,Resultados!AY71,Resultados!BH71,Resultados!BQ71,Resultados!BZ71,Resultados!CI71)))</f>
        <v>5.9029643415690884</v>
      </c>
      <c r="G71">
        <f>IF(COUNT(Resultados!G71,Resultados!P71,Resultados!Y71,Resultados!AH71,Resultados!AQ71,Resultados!AZ71,Resultados!BI71,Resultados!BR71,Resultados!CA71,Resultados!CJ71)&lt;=1, "", _xlfn.STDEV.S(ABS(Resultados!G71),ABS(Resultados!P71),ABS(Resultados!Y71),ABS(Resultados!AH71),ABS(Resultados!AQ71),ABS(Resultados!AZ71),ABS(Resultados!BI71),ABS(Resultados!BR71),ABS(Resultados!CA71),ABS(Resultados!CJ71))/SQRT(COUNT(Resultados!G71,Resultados!P71,Resultados!Y71,Resultados!AH71,Resultados!AQ71,Resultados!AZ71,Resultados!BI71,Resultados!BR71,Resultados!CA71,Resultados!CJ71)))</f>
        <v>1.8503717077085941E-17</v>
      </c>
      <c r="H71">
        <f>IF(COUNT(Resultados!H71,Resultados!Q71,Resultados!Z71,Resultados!AI71,Resultados!AR71,Resultados!BA71,Resultados!BJ71,Resultados!BS71,Resultados!CB71,Resultados!CK71)&lt;=1, "", _xlfn.STDEV.S(ABS(Resultados!H71),ABS(Resultados!Q71),ABS(Resultados!Z71),ABS(Resultados!AI71),ABS(Resultados!AR71),ABS(Resultados!BA71),ABS(Resultados!BJ71),ABS(Resultados!BS71),ABS(Resultados!CB71),ABS(Resultados!CK71))/SQRT(COUNT(Resultados!H71,Resultados!Q71,Resultados!Z71,Resultados!AI71,Resultados!AR71,Resultados!BA71,Resultados!BJ71,Resultados!BS71,Resultados!CB71,Resultados!CK71)))</f>
        <v>9.8045340985122246E-4</v>
      </c>
      <c r="I71">
        <f>IF(COUNT(Resultados!I71,Resultados!R71,Resultados!AA71,Resultados!AJ71,Resultados!AS71,Resultados!BB71,Resultados!BK71,Resultados!BT71,Resultados!CC71,Resultados!CL71)&lt;=1, "", _xlfn.STDEV.S(ABS(Resultados!I71),ABS(Resultados!R71),ABS(Resultados!AA71),ABS(Resultados!AJ71),ABS(Resultados!AS71),ABS(Resultados!BB71),ABS(Resultados!BK71),ABS(Resultados!BT71),ABS(Resultados!CC71),ABS(Resultados!CL71))/SQRT(COUNT(Resultados!I71,Resultados!R71,Resultados!AA71,Resultados!AJ71,Resultados!AS71,Resultados!BB71,Resultados!BK71,Resultados!BT71,Resultados!CC71,Resultados!CL71)))</f>
        <v>4.0305954365742247E-2</v>
      </c>
    </row>
    <row r="72" spans="1:9" x14ac:dyDescent="0.3">
      <c r="A72">
        <f>IF(COUNT(Resultados!A72,Resultados!J72,Resultados!S72,Resultados!AB72,Resultados!AK72,Resultados!AT72,Resultados!BC72,Resultados!BL72,Resultados!BU72,Resultados!CD72)&lt;=1, "", _xlfn.STDEV.S(ABS(Resultados!A72),ABS(Resultados!J72),ABS(Resultados!S72),ABS(Resultados!AB72),ABS(Resultados!AK72),ABS(Resultados!AT72),ABS(Resultados!BC72),ABS(Resultados!BL72),ABS(Resultados!BU72),ABS(Resultados!CD72))/SQRT(COUNT(Resultados!A72,Resultados!J72,Resultados!S72,Resultados!AB72,Resultados!AK72,Resultados!AT72,Resultados!BC72,Resultados!BL72,Resultados!BU72,Resultados!CD72)))</f>
        <v>0</v>
      </c>
      <c r="B72" t="str">
        <f>IF(COUNT(Resultados!B72,Resultados!K72,Resultados!T72,Resultados!AC72,Resultados!AL72,Resultados!AU72,Resultados!BD72,Resultados!BM72,Resultados!BV72,Resultados!CE72)&lt;=1, "", _xlfn.STDEV.S(ABS(Resultados!B72),ABS(Resultados!K72),ABS(Resultados!T72),ABS(Resultados!AC72),ABS(Resultados!AL72),ABS(Resultados!AU72),ABS(Resultados!BD72),ABS(Resultados!BM72),ABS(Resultados!BV72),ABS(Resultados!CE72))/SQRT(COUNT(Resultados!B72,Resultados!K72,Resultados!T72,Resultados!AC72,Resultados!AL72,Resultados!AU72,Resultados!BD72,Resultados!BM72,Resultados!BV72,Resultados!CE72)))</f>
        <v/>
      </c>
      <c r="C72">
        <f>IF(COUNT(Resultados!C72,Resultados!L72,Resultados!U72,Resultados!AD72,Resultados!AM72,Resultados!AV72,Resultados!BE72,Resultados!BN72,Resultados!BW72,Resultados!CF72)&lt;=1, "", _xlfn.STDEV.S(ABS(Resultados!C72),ABS(Resultados!L72),ABS(Resultados!U72),ABS(Resultados!AD72),ABS(Resultados!AM72),ABS(Resultados!AV72),ABS(Resultados!BE72),ABS(Resultados!BN72),ABS(Resultados!BW72),ABS(Resultados!CF72))/SQRT(COUNT(Resultados!C72,Resultados!L72,Resultados!U72,Resultados!AD72,Resultados!AM72,Resultados!AV72,Resultados!BE72,Resultados!BN72,Resultados!BW72,Resultados!CF72)))</f>
        <v>0.5587684871413402</v>
      </c>
      <c r="D72">
        <f>IF(COUNT(Resultados!D72,Resultados!M72,Resultados!V72,Resultados!AE72,Resultados!AN72,Resultados!AW72,Resultados!BF72,Resultados!BO72,Resultados!BX72,Resultados!CG72)&lt;=1, "", _xlfn.STDEV.S(ABS(Resultados!D72),ABS(Resultados!M72),ABS(Resultados!V72),ABS(Resultados!AE72),ABS(Resultados!AN72),ABS(Resultados!AW72),ABS(Resultados!BF72),ABS(Resultados!BO72),ABS(Resultados!BX72),ABS(Resultados!CG72))/SQRT(COUNT(Resultados!D72,Resultados!M72,Resultados!V72,Resultados!AE72,Resultados!AN72,Resultados!AW72,Resultados!BF72,Resultados!BO72,Resultados!BX72,Resultados!CG72)))</f>
        <v>1.0178190190576887E-3</v>
      </c>
      <c r="E72">
        <f>IF(COUNT(Resultados!E72,Resultados!N72,Resultados!W72,Resultados!AF72,Resultados!AO72,Resultados!AX72,Resultados!BG72,Resultados!BP72,Resultados!BY72,Resultados!CH72)&lt;=1, "", _xlfn.STDEV.S(ABS(Resultados!E72),ABS(Resultados!N72),ABS(Resultados!W72),ABS(Resultados!AF72),ABS(Resultados!AO72),ABS(Resultados!AX72),ABS(Resultados!BG72),ABS(Resultados!BP72),ABS(Resultados!BY72),ABS(Resultados!CH72))/SQRT(COUNT(Resultados!E72,Resultados!N72,Resultados!W72,Resultados!AF72,Resultados!AO72,Resultados!AX72,Resultados!BG72,Resultados!BP72,Resultados!BY72,Resultados!CH72)))</f>
        <v>6.2458127549209749E-2</v>
      </c>
      <c r="F72">
        <f>IF(COUNT(Resultados!F72,Resultados!O72,Resultados!X72,Resultados!AG72,Resultados!AP72,Resultados!AY72,Resultados!BH72,Resultados!BQ72,Resultados!BZ72,Resultados!CI72)&lt;=1, "", _xlfn.STDEV.S(ABS(Resultados!F72),ABS(Resultados!O72),ABS(Resultados!X72),ABS(Resultados!AG72),ABS(Resultados!AP72),ABS(Resultados!AY72),ABS(Resultados!BH72),ABS(Resultados!BQ72),ABS(Resultados!BZ72),ABS(Resultados!CI72))/SQRT(COUNT(Resultados!F72,Resultados!O72,Resultados!X72,Resultados!AG72,Resultados!AP72,Resultados!AY72,Resultados!BH72,Resultados!BQ72,Resultados!BZ72,Resultados!CI72)))</f>
        <v>5.8210974875863535</v>
      </c>
      <c r="G72">
        <f>IF(COUNT(Resultados!G72,Resultados!P72,Resultados!Y72,Resultados!AH72,Resultados!AQ72,Resultados!AZ72,Resultados!BI72,Resultados!BR72,Resultados!CA72,Resultados!CJ72)&lt;=1, "", _xlfn.STDEV.S(ABS(Resultados!G72),ABS(Resultados!P72),ABS(Resultados!Y72),ABS(Resultados!AH72),ABS(Resultados!AQ72),ABS(Resultados!AZ72),ABS(Resultados!BI72),ABS(Resultados!BR72),ABS(Resultados!CA72),ABS(Resultados!CJ72))/SQRT(COUNT(Resultados!G72,Resultados!P72,Resultados!Y72,Resultados!AH72,Resultados!AQ72,Resultados!AZ72,Resultados!BI72,Resultados!BR72,Resultados!CA72,Resultados!CJ72)))</f>
        <v>1.8503717077085941E-17</v>
      </c>
      <c r="H72">
        <f>IF(COUNT(Resultados!H72,Resultados!Q72,Resultados!Z72,Resultados!AI72,Resultados!AR72,Resultados!BA72,Resultados!BJ72,Resultados!BS72,Resultados!CB72,Resultados!CK72)&lt;=1, "", _xlfn.STDEV.S(ABS(Resultados!H72),ABS(Resultados!Q72),ABS(Resultados!Z72),ABS(Resultados!AI72),ABS(Resultados!AR72),ABS(Resultados!BA72),ABS(Resultados!BJ72),ABS(Resultados!BS72),ABS(Resultados!CB72),ABS(Resultados!CK72))/SQRT(COUNT(Resultados!H72,Resultados!Q72,Resultados!Z72,Resultados!AI72,Resultados!AR72,Resultados!BA72,Resultados!BJ72,Resultados!BS72,Resultados!CB72,Resultados!CK72)))</f>
        <v>9.6678160236253279E-4</v>
      </c>
      <c r="I72">
        <f>IF(COUNT(Resultados!I72,Resultados!R72,Resultados!AA72,Resultados!AJ72,Resultados!AS72,Resultados!BB72,Resultados!BK72,Resultados!BT72,Resultados!CC72,Resultados!CL72)&lt;=1, "", _xlfn.STDEV.S(ABS(Resultados!I72),ABS(Resultados!R72),ABS(Resultados!AA72),ABS(Resultados!AJ72),ABS(Resultados!AS72),ABS(Resultados!BB72),ABS(Resultados!BK72),ABS(Resultados!BT72),ABS(Resultados!CC72),ABS(Resultados!CL72))/SQRT(COUNT(Resultados!I72,Resultados!R72,Resultados!AA72,Resultados!AJ72,Resultados!AS72,Resultados!BB72,Resultados!BK72,Resultados!BT72,Resultados!CC72,Resultados!CL72)))</f>
        <v>4.0247862752093716E-2</v>
      </c>
    </row>
    <row r="73" spans="1:9" x14ac:dyDescent="0.3">
      <c r="A73">
        <f>IF(COUNT(Resultados!A73,Resultados!J73,Resultados!S73,Resultados!AB73,Resultados!AK73,Resultados!AT73,Resultados!BC73,Resultados!BL73,Resultados!BU73,Resultados!CD73)&lt;=1, "", _xlfn.STDEV.S(ABS(Resultados!A73),ABS(Resultados!J73),ABS(Resultados!S73),ABS(Resultados!AB73),ABS(Resultados!AK73),ABS(Resultados!AT73),ABS(Resultados!BC73),ABS(Resultados!BL73),ABS(Resultados!BU73),ABS(Resultados!CD73))/SQRT(COUNT(Resultados!A73,Resultados!J73,Resultados!S73,Resultados!AB73,Resultados!AK73,Resultados!AT73,Resultados!BC73,Resultados!BL73,Resultados!BU73,Resultados!CD73)))</f>
        <v>0</v>
      </c>
      <c r="B73" t="str">
        <f>IF(COUNT(Resultados!B73,Resultados!K73,Resultados!T73,Resultados!AC73,Resultados!AL73,Resultados!AU73,Resultados!BD73,Resultados!BM73,Resultados!BV73,Resultados!CE73)&lt;=1, "", _xlfn.STDEV.S(ABS(Resultados!B73),ABS(Resultados!K73),ABS(Resultados!T73),ABS(Resultados!AC73),ABS(Resultados!AL73),ABS(Resultados!AU73),ABS(Resultados!BD73),ABS(Resultados!BM73),ABS(Resultados!BV73),ABS(Resultados!CE73))/SQRT(COUNT(Resultados!B73,Resultados!K73,Resultados!T73,Resultados!AC73,Resultados!AL73,Resultados!AU73,Resultados!BD73,Resultados!BM73,Resultados!BV73,Resultados!CE73)))</f>
        <v/>
      </c>
      <c r="C73">
        <f>IF(COUNT(Resultados!C73,Resultados!L73,Resultados!U73,Resultados!AD73,Resultados!AM73,Resultados!AV73,Resultados!BE73,Resultados!BN73,Resultados!BW73,Resultados!CF73)&lt;=1, "", _xlfn.STDEV.S(ABS(Resultados!C73),ABS(Resultados!L73),ABS(Resultados!U73),ABS(Resultados!AD73),ABS(Resultados!AM73),ABS(Resultados!AV73),ABS(Resultados!BE73),ABS(Resultados!BN73),ABS(Resultados!BW73),ABS(Resultados!CF73))/SQRT(COUNT(Resultados!C73,Resultados!L73,Resultados!U73,Resultados!AD73,Resultados!AM73,Resultados!AV73,Resultados!BE73,Resultados!BN73,Resultados!BW73,Resultados!CF73)))</f>
        <v>0.5587684871413402</v>
      </c>
      <c r="D73">
        <f>IF(COUNT(Resultados!D73,Resultados!M73,Resultados!V73,Resultados!AE73,Resultados!AN73,Resultados!AW73,Resultados!BF73,Resultados!BO73,Resultados!BX73,Resultados!CG73)&lt;=1, "", _xlfn.STDEV.S(ABS(Resultados!D73),ABS(Resultados!M73),ABS(Resultados!V73),ABS(Resultados!AE73),ABS(Resultados!AN73),ABS(Resultados!AW73),ABS(Resultados!BF73),ABS(Resultados!BO73),ABS(Resultados!BX73),ABS(Resultados!CG73))/SQRT(COUNT(Resultados!D73,Resultados!M73,Resultados!V73,Resultados!AE73,Resultados!AN73,Resultados!AW73,Resultados!BF73,Resultados!BO73,Resultados!BX73,Resultados!CG73)))</f>
        <v>1.0357444987383071E-3</v>
      </c>
      <c r="E73">
        <f>IF(COUNT(Resultados!E73,Resultados!N73,Resultados!W73,Resultados!AF73,Resultados!AO73,Resultados!AX73,Resultados!BG73,Resultados!BP73,Resultados!BY73,Resultados!CH73)&lt;=1, "", _xlfn.STDEV.S(ABS(Resultados!E73),ABS(Resultados!N73),ABS(Resultados!W73),ABS(Resultados!AF73),ABS(Resultados!AO73),ABS(Resultados!AX73),ABS(Resultados!BG73),ABS(Resultados!BP73),ABS(Resultados!BY73),ABS(Resultados!CH73))/SQRT(COUNT(Resultados!E73,Resultados!N73,Resultados!W73,Resultados!AF73,Resultados!AO73,Resultados!AX73,Resultados!BG73,Resultados!BP73,Resultados!BY73,Resultados!CH73)))</f>
        <v>6.0121729368684533E-2</v>
      </c>
      <c r="F73">
        <f>IF(COUNT(Resultados!F73,Resultados!O73,Resultados!X73,Resultados!AG73,Resultados!AP73,Resultados!AY73,Resultados!BH73,Resultados!BQ73,Resultados!BZ73,Resultados!CI73)&lt;=1, "", _xlfn.STDEV.S(ABS(Resultados!F73),ABS(Resultados!O73),ABS(Resultados!X73),ABS(Resultados!AG73),ABS(Resultados!AP73),ABS(Resultados!AY73),ABS(Resultados!BH73),ABS(Resultados!BQ73),ABS(Resultados!BZ73),ABS(Resultados!CI73))/SQRT(COUNT(Resultados!F73,Resultados!O73,Resultados!X73,Resultados!AG73,Resultados!AP73,Resultados!AY73,Resultados!BH73,Resultados!BQ73,Resultados!BZ73,Resultados!CI73)))</f>
        <v>5.6033451771614011</v>
      </c>
      <c r="G73">
        <f>IF(COUNT(Resultados!G73,Resultados!P73,Resultados!Y73,Resultados!AH73,Resultados!AQ73,Resultados!AZ73,Resultados!BI73,Resultados!BR73,Resultados!CA73,Resultados!CJ73)&lt;=1, "", _xlfn.STDEV.S(ABS(Resultados!G73),ABS(Resultados!P73),ABS(Resultados!Y73),ABS(Resultados!AH73),ABS(Resultados!AQ73),ABS(Resultados!AZ73),ABS(Resultados!BI73),ABS(Resultados!BR73),ABS(Resultados!CA73),ABS(Resultados!CJ73))/SQRT(COUNT(Resultados!G73,Resultados!P73,Resultados!Y73,Resultados!AH73,Resultados!AQ73,Resultados!AZ73,Resultados!BI73,Resultados!BR73,Resultados!CA73,Resultados!CJ73)))</f>
        <v>1.8503717077085941E-17</v>
      </c>
      <c r="H73">
        <f>IF(COUNT(Resultados!H73,Resultados!Q73,Resultados!Z73,Resultados!AI73,Resultados!AR73,Resultados!BA73,Resultados!BJ73,Resultados!BS73,Resultados!CB73,Resultados!CK73)&lt;=1, "", _xlfn.STDEV.S(ABS(Resultados!H73),ABS(Resultados!Q73),ABS(Resultados!Z73),ABS(Resultados!AI73),ABS(Resultados!AR73),ABS(Resultados!BA73),ABS(Resultados!BJ73),ABS(Resultados!BS73),ABS(Resultados!CB73),ABS(Resultados!CK73))/SQRT(COUNT(Resultados!H73,Resultados!Q73,Resultados!Z73,Resultados!AI73,Resultados!AR73,Resultados!BA73,Resultados!BJ73,Resultados!BS73,Resultados!CB73,Resultados!CK73)))</f>
        <v>9.2823009599512076E-4</v>
      </c>
      <c r="I73">
        <f>IF(COUNT(Resultados!I73,Resultados!R73,Resultados!AA73,Resultados!AJ73,Resultados!AS73,Resultados!BB73,Resultados!BK73,Resultados!BT73,Resultados!CC73,Resultados!CL73)&lt;=1, "", _xlfn.STDEV.S(ABS(Resultados!I73),ABS(Resultados!R73),ABS(Resultados!AA73),ABS(Resultados!AJ73),ABS(Resultados!AS73),ABS(Resultados!BB73),ABS(Resultados!BK73),ABS(Resultados!BT73),ABS(Resultados!CC73),ABS(Resultados!CL73))/SQRT(COUNT(Resultados!I73,Resultados!R73,Resultados!AA73,Resultados!AJ73,Resultados!AS73,Resultados!BB73,Resultados!BK73,Resultados!BT73,Resultados!CC73,Resultados!CL73)))</f>
        <v>4.0249697253522274E-2</v>
      </c>
    </row>
    <row r="74" spans="1:9" x14ac:dyDescent="0.3">
      <c r="A74">
        <f>IF(COUNT(Resultados!A74,Resultados!J74,Resultados!S74,Resultados!AB74,Resultados!AK74,Resultados!AT74,Resultados!BC74,Resultados!BL74,Resultados!BU74,Resultados!CD74)&lt;=1, "", _xlfn.STDEV.S(ABS(Resultados!A74),ABS(Resultados!J74),ABS(Resultados!S74),ABS(Resultados!AB74),ABS(Resultados!AK74),ABS(Resultados!AT74),ABS(Resultados!BC74),ABS(Resultados!BL74),ABS(Resultados!BU74),ABS(Resultados!CD74))/SQRT(COUNT(Resultados!A74,Resultados!J74,Resultados!S74,Resultados!AB74,Resultados!AK74,Resultados!AT74,Resultados!BC74,Resultados!BL74,Resultados!BU74,Resultados!CD74)))</f>
        <v>0</v>
      </c>
      <c r="B74" t="str">
        <f>IF(COUNT(Resultados!B74,Resultados!K74,Resultados!T74,Resultados!AC74,Resultados!AL74,Resultados!AU74,Resultados!BD74,Resultados!BM74,Resultados!BV74,Resultados!CE74)&lt;=1, "", _xlfn.STDEV.S(ABS(Resultados!B74),ABS(Resultados!K74),ABS(Resultados!T74),ABS(Resultados!AC74),ABS(Resultados!AL74),ABS(Resultados!AU74),ABS(Resultados!BD74),ABS(Resultados!BM74),ABS(Resultados!BV74),ABS(Resultados!CE74))/SQRT(COUNT(Resultados!B74,Resultados!K74,Resultados!T74,Resultados!AC74,Resultados!AL74,Resultados!AU74,Resultados!BD74,Resultados!BM74,Resultados!BV74,Resultados!CE74)))</f>
        <v/>
      </c>
      <c r="C74">
        <f>IF(COUNT(Resultados!C74,Resultados!L74,Resultados!U74,Resultados!AD74,Resultados!AM74,Resultados!AV74,Resultados!BE74,Resultados!BN74,Resultados!BW74,Resultados!CF74)&lt;=1, "", _xlfn.STDEV.S(ABS(Resultados!C74),ABS(Resultados!L74),ABS(Resultados!U74),ABS(Resultados!AD74),ABS(Resultados!AM74),ABS(Resultados!AV74),ABS(Resultados!BE74),ABS(Resultados!BN74),ABS(Resultados!BW74),ABS(Resultados!CF74))/SQRT(COUNT(Resultados!C74,Resultados!L74,Resultados!U74,Resultados!AD74,Resultados!AM74,Resultados!AV74,Resultados!BE74,Resultados!BN74,Resultados!BW74,Resultados!CF74)))</f>
        <v>0.5587684871413402</v>
      </c>
      <c r="D74">
        <f>IF(COUNT(Resultados!D74,Resultados!M74,Resultados!V74,Resultados!AE74,Resultados!AN74,Resultados!AW74,Resultados!BF74,Resultados!BO74,Resultados!BX74,Resultados!CG74)&lt;=1, "", _xlfn.STDEV.S(ABS(Resultados!D74),ABS(Resultados!M74),ABS(Resultados!V74),ABS(Resultados!AE74),ABS(Resultados!AN74),ABS(Resultados!AW74),ABS(Resultados!BF74),ABS(Resultados!BO74),ABS(Resultados!BX74),ABS(Resultados!CG74))/SQRT(COUNT(Resultados!D74,Resultados!M74,Resultados!V74,Resultados!AE74,Resultados!AN74,Resultados!AW74,Resultados!BF74,Resultados!BO74,Resultados!BX74,Resultados!CG74)))</f>
        <v>9.9878259229257017E-4</v>
      </c>
      <c r="E74">
        <f>IF(COUNT(Resultados!E74,Resultados!N74,Resultados!W74,Resultados!AF74,Resultados!AO74,Resultados!AX74,Resultados!BG74,Resultados!BP74,Resultados!BY74,Resultados!CH74)&lt;=1, "", _xlfn.STDEV.S(ABS(Resultados!E74),ABS(Resultados!N74),ABS(Resultados!W74),ABS(Resultados!AF74),ABS(Resultados!AO74),ABS(Resultados!AX74),ABS(Resultados!BG74),ABS(Resultados!BP74),ABS(Resultados!BY74),ABS(Resultados!CH74))/SQRT(COUNT(Resultados!E74,Resultados!N74,Resultados!W74,Resultados!AF74,Resultados!AO74,Resultados!AX74,Resultados!BG74,Resultados!BP74,Resultados!BY74,Resultados!CH74)))</f>
        <v>5.6465175312803186E-2</v>
      </c>
      <c r="F74">
        <f>IF(COUNT(Resultados!F74,Resultados!O74,Resultados!X74,Resultados!AG74,Resultados!AP74,Resultados!AY74,Resultados!BH74,Resultados!BQ74,Resultados!BZ74,Resultados!CI74)&lt;=1, "", _xlfn.STDEV.S(ABS(Resultados!F74),ABS(Resultados!O74),ABS(Resultados!X74),ABS(Resultados!AG74),ABS(Resultados!AP74),ABS(Resultados!AY74),ABS(Resultados!BH74),ABS(Resultados!BQ74),ABS(Resultados!BZ74),ABS(Resultados!CI74))/SQRT(COUNT(Resultados!F74,Resultados!O74,Resultados!X74,Resultados!AG74,Resultados!AP74,Resultados!AY74,Resultados!BH74,Resultados!BQ74,Resultados!BZ74,Resultados!CI74)))</f>
        <v>5.2625543391532545</v>
      </c>
      <c r="G74">
        <f>IF(COUNT(Resultados!G74,Resultados!P74,Resultados!Y74,Resultados!AH74,Resultados!AQ74,Resultados!AZ74,Resultados!BI74,Resultados!BR74,Resultados!CA74,Resultados!CJ74)&lt;=1, "", _xlfn.STDEV.S(ABS(Resultados!G74),ABS(Resultados!P74),ABS(Resultados!Y74),ABS(Resultados!AH74),ABS(Resultados!AQ74),ABS(Resultados!AZ74),ABS(Resultados!BI74),ABS(Resultados!BR74),ABS(Resultados!CA74),ABS(Resultados!CJ74))/SQRT(COUNT(Resultados!G74,Resultados!P74,Resultados!Y74,Resultados!AH74,Resultados!AQ74,Resultados!AZ74,Resultados!BI74,Resultados!BR74,Resultados!CA74,Resultados!CJ74)))</f>
        <v>1.8503717077085941E-17</v>
      </c>
      <c r="H74">
        <f>IF(COUNT(Resultados!H74,Resultados!Q74,Resultados!Z74,Resultados!AI74,Resultados!AR74,Resultados!BA74,Resultados!BJ74,Resultados!BS74,Resultados!CB74,Resultados!CK74)&lt;=1, "", _xlfn.STDEV.S(ABS(Resultados!H74),ABS(Resultados!Q74),ABS(Resultados!Z74),ABS(Resultados!AI74),ABS(Resultados!AR74),ABS(Resultados!BA74),ABS(Resultados!BJ74),ABS(Resultados!BS74),ABS(Resultados!CB74),ABS(Resultados!CK74))/SQRT(COUNT(Resultados!H74,Resultados!Q74,Resultados!Z74,Resultados!AI74,Resultados!AR74,Resultados!BA74,Resultados!BJ74,Resultados!BS74,Resultados!CB74,Resultados!CK74)))</f>
        <v>8.805049056586163E-4</v>
      </c>
      <c r="I74">
        <f>IF(COUNT(Resultados!I74,Resultados!R74,Resultados!AA74,Resultados!AJ74,Resultados!AS74,Resultados!BB74,Resultados!BK74,Resultados!BT74,Resultados!CC74,Resultados!CL74)&lt;=1, "", _xlfn.STDEV.S(ABS(Resultados!I74),ABS(Resultados!R74),ABS(Resultados!AA74),ABS(Resultados!AJ74),ABS(Resultados!AS74),ABS(Resultados!BB74),ABS(Resultados!BK74),ABS(Resultados!BT74),ABS(Resultados!CC74),ABS(Resultados!CL74))/SQRT(COUNT(Resultados!I74,Resultados!R74,Resultados!AA74,Resultados!AJ74,Resultados!AS74,Resultados!BB74,Resultados!BK74,Resultados!BT74,Resultados!CC74,Resultados!CL74)))</f>
        <v>4.0369946693055624E-2</v>
      </c>
    </row>
    <row r="75" spans="1:9" x14ac:dyDescent="0.3">
      <c r="A75">
        <f>IF(COUNT(Resultados!A75,Resultados!J75,Resultados!S75,Resultados!AB75,Resultados!AK75,Resultados!AT75,Resultados!BC75,Resultados!BL75,Resultados!BU75,Resultados!CD75)&lt;=1, "", _xlfn.STDEV.S(ABS(Resultados!A75),ABS(Resultados!J75),ABS(Resultados!S75),ABS(Resultados!AB75),ABS(Resultados!AK75),ABS(Resultados!AT75),ABS(Resultados!BC75),ABS(Resultados!BL75),ABS(Resultados!BU75),ABS(Resultados!CD75))/SQRT(COUNT(Resultados!A75,Resultados!J75,Resultados!S75,Resultados!AB75,Resultados!AK75,Resultados!AT75,Resultados!BC75,Resultados!BL75,Resultados!BU75,Resultados!CD75)))</f>
        <v>0</v>
      </c>
      <c r="B75" t="str">
        <f>IF(COUNT(Resultados!B75,Resultados!K75,Resultados!T75,Resultados!AC75,Resultados!AL75,Resultados!AU75,Resultados!BD75,Resultados!BM75,Resultados!BV75,Resultados!CE75)&lt;=1, "", _xlfn.STDEV.S(ABS(Resultados!B75),ABS(Resultados!K75),ABS(Resultados!T75),ABS(Resultados!AC75),ABS(Resultados!AL75),ABS(Resultados!AU75),ABS(Resultados!BD75),ABS(Resultados!BM75),ABS(Resultados!BV75),ABS(Resultados!CE75))/SQRT(COUNT(Resultados!B75,Resultados!K75,Resultados!T75,Resultados!AC75,Resultados!AL75,Resultados!AU75,Resultados!BD75,Resultados!BM75,Resultados!BV75,Resultados!CE75)))</f>
        <v/>
      </c>
      <c r="C75">
        <f>IF(COUNT(Resultados!C75,Resultados!L75,Resultados!U75,Resultados!AD75,Resultados!AM75,Resultados!AV75,Resultados!BE75,Resultados!BN75,Resultados!BW75,Resultados!CF75)&lt;=1, "", _xlfn.STDEV.S(ABS(Resultados!C75),ABS(Resultados!L75),ABS(Resultados!U75),ABS(Resultados!AD75),ABS(Resultados!AM75),ABS(Resultados!AV75),ABS(Resultados!BE75),ABS(Resultados!BN75),ABS(Resultados!BW75),ABS(Resultados!CF75))/SQRT(COUNT(Resultados!C75,Resultados!L75,Resultados!U75,Resultados!AD75,Resultados!AM75,Resultados!AV75,Resultados!BE75,Resultados!BN75,Resultados!BW75,Resultados!CF75)))</f>
        <v>0.5587684871413402</v>
      </c>
      <c r="D75">
        <f>IF(COUNT(Resultados!D75,Resultados!M75,Resultados!V75,Resultados!AE75,Resultados!AN75,Resultados!AW75,Resultados!BF75,Resultados!BO75,Resultados!BX75,Resultados!CG75)&lt;=1, "", _xlfn.STDEV.S(ABS(Resultados!D75),ABS(Resultados!M75),ABS(Resultados!V75),ABS(Resultados!AE75),ABS(Resultados!AN75),ABS(Resultados!AW75),ABS(Resultados!BF75),ABS(Resultados!BO75),ABS(Resultados!BX75),ABS(Resultados!CG75))/SQRT(COUNT(Resultados!D75,Resultados!M75,Resultados!V75,Resultados!AE75,Resultados!AN75,Resultados!AW75,Resultados!BF75,Resultados!BO75,Resultados!BX75,Resultados!CG75)))</f>
        <v>9.9123379908296321E-4</v>
      </c>
      <c r="E75">
        <f>IF(COUNT(Resultados!E75,Resultados!N75,Resultados!W75,Resultados!AF75,Resultados!AO75,Resultados!AX75,Resultados!BG75,Resultados!BP75,Resultados!BY75,Resultados!CH75)&lt;=1, "", _xlfn.STDEV.S(ABS(Resultados!E75),ABS(Resultados!N75),ABS(Resultados!W75),ABS(Resultados!AF75),ABS(Resultados!AO75),ABS(Resultados!AX75),ABS(Resultados!BG75),ABS(Resultados!BP75),ABS(Resultados!BY75),ABS(Resultados!CH75))/SQRT(COUNT(Resultados!E75,Resultados!N75,Resultados!W75,Resultados!AF75,Resultados!AO75,Resultados!AX75,Resultados!BG75,Resultados!BP75,Resultados!BY75,Resultados!CH75)))</f>
        <v>5.1063831554363108E-2</v>
      </c>
      <c r="F75">
        <f>IF(COUNT(Resultados!F75,Resultados!O75,Resultados!X75,Resultados!AG75,Resultados!AP75,Resultados!AY75,Resultados!BH75,Resultados!BQ75,Resultados!BZ75,Resultados!CI75)&lt;=1, "", _xlfn.STDEV.S(ABS(Resultados!F75),ABS(Resultados!O75),ABS(Resultados!X75),ABS(Resultados!AG75),ABS(Resultados!AP75),ABS(Resultados!AY75),ABS(Resultados!BH75),ABS(Resultados!BQ75),ABS(Resultados!BZ75),ABS(Resultados!CI75))/SQRT(COUNT(Resultados!F75,Resultados!O75,Resultados!X75,Resultados!AG75,Resultados!AP75,Resultados!AY75,Resultados!BH75,Resultados!BQ75,Resultados!BZ75,Resultados!CI75)))</f>
        <v>4.7591491008666447</v>
      </c>
      <c r="G75">
        <f>IF(COUNT(Resultados!G75,Resultados!P75,Resultados!Y75,Resultados!AH75,Resultados!AQ75,Resultados!AZ75,Resultados!BI75,Resultados!BR75,Resultados!CA75,Resultados!CJ75)&lt;=1, "", _xlfn.STDEV.S(ABS(Resultados!G75),ABS(Resultados!P75),ABS(Resultados!Y75),ABS(Resultados!AH75),ABS(Resultados!AQ75),ABS(Resultados!AZ75),ABS(Resultados!BI75),ABS(Resultados!BR75),ABS(Resultados!CA75),ABS(Resultados!CJ75))/SQRT(COUNT(Resultados!G75,Resultados!P75,Resultados!Y75,Resultados!AH75,Resultados!AQ75,Resultados!AZ75,Resultados!BI75,Resultados!BR75,Resultados!CA75,Resultados!CJ75)))</f>
        <v>1.8503717077085941E-17</v>
      </c>
      <c r="H75">
        <f>IF(COUNT(Resultados!H75,Resultados!Q75,Resultados!Z75,Resultados!AI75,Resultados!AR75,Resultados!BA75,Resultados!BJ75,Resultados!BS75,Resultados!CB75,Resultados!CK75)&lt;=1, "", _xlfn.STDEV.S(ABS(Resultados!H75),ABS(Resultados!Q75),ABS(Resultados!Z75),ABS(Resultados!AI75),ABS(Resultados!AR75),ABS(Resultados!BA75),ABS(Resultados!BJ75),ABS(Resultados!BS75),ABS(Resultados!CB75),ABS(Resultados!CK75))/SQRT(COUNT(Resultados!H75,Resultados!Q75,Resultados!Z75,Resultados!AI75,Resultados!AR75,Resultados!BA75,Resultados!BJ75,Resultados!BS75,Resultados!CB75,Resultados!CK75)))</f>
        <v>7.9473964989241032E-4</v>
      </c>
      <c r="I75">
        <f>IF(COUNT(Resultados!I75,Resultados!R75,Resultados!AA75,Resultados!AJ75,Resultados!AS75,Resultados!BB75,Resultados!BK75,Resultados!BT75,Resultados!CC75,Resultados!CL75)&lt;=1, "", _xlfn.STDEV.S(ABS(Resultados!I75),ABS(Resultados!R75),ABS(Resultados!AA75),ABS(Resultados!AJ75),ABS(Resultados!AS75),ABS(Resultados!BB75),ABS(Resultados!BK75),ABS(Resultados!BT75),ABS(Resultados!CC75),ABS(Resultados!CL75))/SQRT(COUNT(Resultados!I75,Resultados!R75,Resultados!AA75,Resultados!AJ75,Resultados!AS75,Resultados!BB75,Resultados!BK75,Resultados!BT75,Resultados!CC75,Resultados!CL75)))</f>
        <v>4.017587007147666E-2</v>
      </c>
    </row>
    <row r="76" spans="1:9" x14ac:dyDescent="0.3">
      <c r="A76">
        <f>IF(COUNT(Resultados!A76,Resultados!J76,Resultados!S76,Resultados!AB76,Resultados!AK76,Resultados!AT76,Resultados!BC76,Resultados!BL76,Resultados!BU76,Resultados!CD76)&lt;=1, "", _xlfn.STDEV.S(ABS(Resultados!A76),ABS(Resultados!J76),ABS(Resultados!S76),ABS(Resultados!AB76),ABS(Resultados!AK76),ABS(Resultados!AT76),ABS(Resultados!BC76),ABS(Resultados!BL76),ABS(Resultados!BU76),ABS(Resultados!CD76))/SQRT(COUNT(Resultados!A76,Resultados!J76,Resultados!S76,Resultados!AB76,Resultados!AK76,Resultados!AT76,Resultados!BC76,Resultados!BL76,Resultados!BU76,Resultados!CD76)))</f>
        <v>0</v>
      </c>
      <c r="B76" t="str">
        <f>IF(COUNT(Resultados!B76,Resultados!K76,Resultados!T76,Resultados!AC76,Resultados!AL76,Resultados!AU76,Resultados!BD76,Resultados!BM76,Resultados!BV76,Resultados!CE76)&lt;=1, "", _xlfn.STDEV.S(ABS(Resultados!B76),ABS(Resultados!K76),ABS(Resultados!T76),ABS(Resultados!AC76),ABS(Resultados!AL76),ABS(Resultados!AU76),ABS(Resultados!BD76),ABS(Resultados!BM76),ABS(Resultados!BV76),ABS(Resultados!CE76))/SQRT(COUNT(Resultados!B76,Resultados!K76,Resultados!T76,Resultados!AC76,Resultados!AL76,Resultados!AU76,Resultados!BD76,Resultados!BM76,Resultados!BV76,Resultados!CE76)))</f>
        <v/>
      </c>
      <c r="C76">
        <f>IF(COUNT(Resultados!C76,Resultados!L76,Resultados!U76,Resultados!AD76,Resultados!AM76,Resultados!AV76,Resultados!BE76,Resultados!BN76,Resultados!BW76,Resultados!CF76)&lt;=1, "", _xlfn.STDEV.S(ABS(Resultados!C76),ABS(Resultados!L76),ABS(Resultados!U76),ABS(Resultados!AD76),ABS(Resultados!AM76),ABS(Resultados!AV76),ABS(Resultados!BE76),ABS(Resultados!BN76),ABS(Resultados!BW76),ABS(Resultados!CF76))/SQRT(COUNT(Resultados!C76,Resultados!L76,Resultados!U76,Resultados!AD76,Resultados!AM76,Resultados!AV76,Resultados!BE76,Resultados!BN76,Resultados!BW76,Resultados!CF76)))</f>
        <v>0.5587684871413402</v>
      </c>
      <c r="D76">
        <f>IF(COUNT(Resultados!D76,Resultados!M76,Resultados!V76,Resultados!AE76,Resultados!AN76,Resultados!AW76,Resultados!BF76,Resultados!BO76,Resultados!BX76,Resultados!CG76)&lt;=1, "", _xlfn.STDEV.S(ABS(Resultados!D76),ABS(Resultados!M76),ABS(Resultados!V76),ABS(Resultados!AE76),ABS(Resultados!AN76),ABS(Resultados!AW76),ABS(Resultados!BF76),ABS(Resultados!BO76),ABS(Resultados!BX76),ABS(Resultados!CG76))/SQRT(COUNT(Resultados!D76,Resultados!M76,Resultados!V76,Resultados!AE76,Resultados!AN76,Resultados!AW76,Resultados!BF76,Resultados!BO76,Resultados!BX76,Resultados!CG76)))</f>
        <v>8.7957691849863563E-4</v>
      </c>
      <c r="E76">
        <f>IF(COUNT(Resultados!E76,Resultados!N76,Resultados!W76,Resultados!AF76,Resultados!AO76,Resultados!AX76,Resultados!BG76,Resultados!BP76,Resultados!BY76,Resultados!CH76)&lt;=1, "", _xlfn.STDEV.S(ABS(Resultados!E76),ABS(Resultados!N76),ABS(Resultados!W76),ABS(Resultados!AF76),ABS(Resultados!AO76),ABS(Resultados!AX76),ABS(Resultados!BG76),ABS(Resultados!BP76),ABS(Resultados!BY76),ABS(Resultados!CH76))/SQRT(COUNT(Resultados!E76,Resultados!N76,Resultados!W76,Resultados!AF76,Resultados!AO76,Resultados!AX76,Resultados!BG76,Resultados!BP76,Resultados!BY76,Resultados!CH76)))</f>
        <v>4.4794093292594775E-2</v>
      </c>
      <c r="F76">
        <f>IF(COUNT(Resultados!F76,Resultados!O76,Resultados!X76,Resultados!AG76,Resultados!AP76,Resultados!AY76,Resultados!BH76,Resultados!BQ76,Resultados!BZ76,Resultados!CI76)&lt;=1, "", _xlfn.STDEV.S(ABS(Resultados!F76),ABS(Resultados!O76),ABS(Resultados!X76),ABS(Resultados!AG76),ABS(Resultados!AP76),ABS(Resultados!AY76),ABS(Resultados!BH76),ABS(Resultados!BQ76),ABS(Resultados!BZ76),ABS(Resultados!CI76))/SQRT(COUNT(Resultados!F76,Resultados!O76,Resultados!X76,Resultados!AG76,Resultados!AP76,Resultados!AY76,Resultados!BH76,Resultados!BQ76,Resultados!BZ76,Resultados!CI76)))</f>
        <v>4.174809494869832</v>
      </c>
      <c r="G76">
        <f>IF(COUNT(Resultados!G76,Resultados!P76,Resultados!Y76,Resultados!AH76,Resultados!AQ76,Resultados!AZ76,Resultados!BI76,Resultados!BR76,Resultados!CA76,Resultados!CJ76)&lt;=1, "", _xlfn.STDEV.S(ABS(Resultados!G76),ABS(Resultados!P76),ABS(Resultados!Y76),ABS(Resultados!AH76),ABS(Resultados!AQ76),ABS(Resultados!AZ76),ABS(Resultados!BI76),ABS(Resultados!BR76),ABS(Resultados!CA76),ABS(Resultados!CJ76))/SQRT(COUNT(Resultados!G76,Resultados!P76,Resultados!Y76,Resultados!AH76,Resultados!AQ76,Resultados!AZ76,Resultados!BI76,Resultados!BR76,Resultados!CA76,Resultados!CJ76)))</f>
        <v>1.8503717077085941E-17</v>
      </c>
      <c r="H76">
        <f>IF(COUNT(Resultados!H76,Resultados!Q76,Resultados!Z76,Resultados!AI76,Resultados!AR76,Resultados!BA76,Resultados!BJ76,Resultados!BS76,Resultados!CB76,Resultados!CK76)&lt;=1, "", _xlfn.STDEV.S(ABS(Resultados!H76),ABS(Resultados!Q76),ABS(Resultados!Z76),ABS(Resultados!AI76),ABS(Resultados!AR76),ABS(Resultados!BA76),ABS(Resultados!BJ76),ABS(Resultados!BS76),ABS(Resultados!CB76),ABS(Resultados!CK76))/SQRT(COUNT(Resultados!H76,Resultados!Q76,Resultados!Z76,Resultados!AI76,Resultados!AR76,Resultados!BA76,Resultados!BJ76,Resultados!BS76,Resultados!CB76,Resultados!CK76)))</f>
        <v>6.9462219947249027E-4</v>
      </c>
      <c r="I76">
        <f>IF(COUNT(Resultados!I76,Resultados!R76,Resultados!AA76,Resultados!AJ76,Resultados!AS76,Resultados!BB76,Resultados!BK76,Resultados!BT76,Resultados!CC76,Resultados!CL76)&lt;=1, "", _xlfn.STDEV.S(ABS(Resultados!I76),ABS(Resultados!R76),ABS(Resultados!AA76),ABS(Resultados!AJ76),ABS(Resultados!AS76),ABS(Resultados!BB76),ABS(Resultados!BK76),ABS(Resultados!BT76),ABS(Resultados!CC76),ABS(Resultados!CL76))/SQRT(COUNT(Resultados!I76,Resultados!R76,Resultados!AA76,Resultados!AJ76,Resultados!AS76,Resultados!BB76,Resultados!BK76,Resultados!BT76,Resultados!CC76,Resultados!CL76)))</f>
        <v>4.0358049012696733E-2</v>
      </c>
    </row>
    <row r="77" spans="1:9" x14ac:dyDescent="0.3">
      <c r="A77">
        <f>IF(COUNT(Resultados!A77,Resultados!J77,Resultados!S77,Resultados!AB77,Resultados!AK77,Resultados!AT77,Resultados!BC77,Resultados!BL77,Resultados!BU77,Resultados!CD77)&lt;=1, "", _xlfn.STDEV.S(ABS(Resultados!A77),ABS(Resultados!J77),ABS(Resultados!S77),ABS(Resultados!AB77),ABS(Resultados!AK77),ABS(Resultados!AT77),ABS(Resultados!BC77),ABS(Resultados!BL77),ABS(Resultados!BU77),ABS(Resultados!CD77))/SQRT(COUNT(Resultados!A77,Resultados!J77,Resultados!S77,Resultados!AB77,Resultados!AK77,Resultados!AT77,Resultados!BC77,Resultados!BL77,Resultados!BU77,Resultados!CD77)))</f>
        <v>0</v>
      </c>
      <c r="B77" t="str">
        <f>IF(COUNT(Resultados!B77,Resultados!K77,Resultados!T77,Resultados!AC77,Resultados!AL77,Resultados!AU77,Resultados!BD77,Resultados!BM77,Resultados!BV77,Resultados!CE77)&lt;=1, "", _xlfn.STDEV.S(ABS(Resultados!B77),ABS(Resultados!K77),ABS(Resultados!T77),ABS(Resultados!AC77),ABS(Resultados!AL77),ABS(Resultados!AU77),ABS(Resultados!BD77),ABS(Resultados!BM77),ABS(Resultados!BV77),ABS(Resultados!CE77))/SQRT(COUNT(Resultados!B77,Resultados!K77,Resultados!T77,Resultados!AC77,Resultados!AL77,Resultados!AU77,Resultados!BD77,Resultados!BM77,Resultados!BV77,Resultados!CE77)))</f>
        <v/>
      </c>
      <c r="C77">
        <f>IF(COUNT(Resultados!C77,Resultados!L77,Resultados!U77,Resultados!AD77,Resultados!AM77,Resultados!AV77,Resultados!BE77,Resultados!BN77,Resultados!BW77,Resultados!CF77)&lt;=1, "", _xlfn.STDEV.S(ABS(Resultados!C77),ABS(Resultados!L77),ABS(Resultados!U77),ABS(Resultados!AD77),ABS(Resultados!AM77),ABS(Resultados!AV77),ABS(Resultados!BE77),ABS(Resultados!BN77),ABS(Resultados!BW77),ABS(Resultados!CF77))/SQRT(COUNT(Resultados!C77,Resultados!L77,Resultados!U77,Resultados!AD77,Resultados!AM77,Resultados!AV77,Resultados!BE77,Resultados!BN77,Resultados!BW77,Resultados!CF77)))</f>
        <v>0.5587684871413402</v>
      </c>
      <c r="D77">
        <f>IF(COUNT(Resultados!D77,Resultados!M77,Resultados!V77,Resultados!AE77,Resultados!AN77,Resultados!AW77,Resultados!BF77,Resultados!BO77,Resultados!BX77,Resultados!CG77)&lt;=1, "", _xlfn.STDEV.S(ABS(Resultados!D77),ABS(Resultados!M77),ABS(Resultados!V77),ABS(Resultados!AE77),ABS(Resultados!AN77),ABS(Resultados!AW77),ABS(Resultados!BF77),ABS(Resultados!BO77),ABS(Resultados!BX77),ABS(Resultados!CG77))/SQRT(COUNT(Resultados!D77,Resultados!M77,Resultados!V77,Resultados!AE77,Resultados!AN77,Resultados!AW77,Resultados!BF77,Resultados!BO77,Resultados!BX77,Resultados!CG77)))</f>
        <v>7.9224715559953602E-4</v>
      </c>
      <c r="E77">
        <f>IF(COUNT(Resultados!E77,Resultados!N77,Resultados!W77,Resultados!AF77,Resultados!AO77,Resultados!AX77,Resultados!BG77,Resultados!BP77,Resultados!BY77,Resultados!CH77)&lt;=1, "", _xlfn.STDEV.S(ABS(Resultados!E77),ABS(Resultados!N77),ABS(Resultados!W77),ABS(Resultados!AF77),ABS(Resultados!AO77),ABS(Resultados!AX77),ABS(Resultados!BG77),ABS(Resultados!BP77),ABS(Resultados!BY77),ABS(Resultados!CH77))/SQRT(COUNT(Resultados!E77,Resultados!N77,Resultados!W77,Resultados!AF77,Resultados!AO77,Resultados!AX77,Resultados!BG77,Resultados!BP77,Resultados!BY77,Resultados!CH77)))</f>
        <v>3.7190670133554801E-2</v>
      </c>
      <c r="F77">
        <f>IF(COUNT(Resultados!F77,Resultados!O77,Resultados!X77,Resultados!AG77,Resultados!AP77,Resultados!AY77,Resultados!BH77,Resultados!BQ77,Resultados!BZ77,Resultados!CI77)&lt;=1, "", _xlfn.STDEV.S(ABS(Resultados!F77),ABS(Resultados!O77),ABS(Resultados!X77),ABS(Resultados!AG77),ABS(Resultados!AP77),ABS(Resultados!AY77),ABS(Resultados!BH77),ABS(Resultados!BQ77),ABS(Resultados!BZ77),ABS(Resultados!CI77))/SQRT(COUNT(Resultados!F77,Resultados!O77,Resultados!X77,Resultados!AG77,Resultados!AP77,Resultados!AY77,Resultados!BH77,Resultados!BQ77,Resultados!BZ77,Resultados!CI77)))</f>
        <v>3.4661704564473084</v>
      </c>
      <c r="G77">
        <f>IF(COUNT(Resultados!G77,Resultados!P77,Resultados!Y77,Resultados!AH77,Resultados!AQ77,Resultados!AZ77,Resultados!BI77,Resultados!BR77,Resultados!CA77,Resultados!CJ77)&lt;=1, "", _xlfn.STDEV.S(ABS(Resultados!G77),ABS(Resultados!P77),ABS(Resultados!Y77),ABS(Resultados!AH77),ABS(Resultados!AQ77),ABS(Resultados!AZ77),ABS(Resultados!BI77),ABS(Resultados!BR77),ABS(Resultados!CA77),ABS(Resultados!CJ77))/SQRT(COUNT(Resultados!G77,Resultados!P77,Resultados!Y77,Resultados!AH77,Resultados!AQ77,Resultados!AZ77,Resultados!BI77,Resultados!BR77,Resultados!CA77,Resultados!CJ77)))</f>
        <v>1.8503717077085941E-17</v>
      </c>
      <c r="H77">
        <f>IF(COUNT(Resultados!H77,Resultados!Q77,Resultados!Z77,Resultados!AI77,Resultados!AR77,Resultados!BA77,Resultados!BJ77,Resultados!BS77,Resultados!CB77,Resultados!CK77)&lt;=1, "", _xlfn.STDEV.S(ABS(Resultados!H77),ABS(Resultados!Q77),ABS(Resultados!Z77),ABS(Resultados!AI77),ABS(Resultados!AR77),ABS(Resultados!BA77),ABS(Resultados!BJ77),ABS(Resultados!BS77),ABS(Resultados!CB77),ABS(Resultados!CK77))/SQRT(COUNT(Resultados!H77,Resultados!Q77,Resultados!Z77,Resultados!AI77,Resultados!AR77,Resultados!BA77,Resultados!BJ77,Resultados!BS77,Resultados!CB77,Resultados!CK77)))</f>
        <v>5.7897418863979682E-4</v>
      </c>
      <c r="I77">
        <f>IF(COUNT(Resultados!I77,Resultados!R77,Resultados!AA77,Resultados!AJ77,Resultados!AS77,Resultados!BB77,Resultados!BK77,Resultados!BT77,Resultados!CC77,Resultados!CL77)&lt;=1, "", _xlfn.STDEV.S(ABS(Resultados!I77),ABS(Resultados!R77),ABS(Resultados!AA77),ABS(Resultados!AJ77),ABS(Resultados!AS77),ABS(Resultados!BB77),ABS(Resultados!BK77),ABS(Resultados!BT77),ABS(Resultados!CC77),ABS(Resultados!CL77))/SQRT(COUNT(Resultados!I77,Resultados!R77,Resultados!AA77,Resultados!AJ77,Resultados!AS77,Resultados!BB77,Resultados!BK77,Resultados!BT77,Resultados!CC77,Resultados!CL77)))</f>
        <v>4.0338495642088551E-2</v>
      </c>
    </row>
    <row r="78" spans="1:9" x14ac:dyDescent="0.3">
      <c r="A78">
        <f>IF(COUNT(Resultados!A78,Resultados!J78,Resultados!S78,Resultados!AB78,Resultados!AK78,Resultados!AT78,Resultados!BC78,Resultados!BL78,Resultados!BU78,Resultados!CD78)&lt;=1, "", _xlfn.STDEV.S(ABS(Resultados!A78),ABS(Resultados!J78),ABS(Resultados!S78),ABS(Resultados!AB78),ABS(Resultados!AK78),ABS(Resultados!AT78),ABS(Resultados!BC78),ABS(Resultados!BL78),ABS(Resultados!BU78),ABS(Resultados!CD78))/SQRT(COUNT(Resultados!A78,Resultados!J78,Resultados!S78,Resultados!AB78,Resultados!AK78,Resultados!AT78,Resultados!BC78,Resultados!BL78,Resultados!BU78,Resultados!CD78)))</f>
        <v>0</v>
      </c>
      <c r="B78" t="str">
        <f>IF(COUNT(Resultados!B78,Resultados!K78,Resultados!T78,Resultados!AC78,Resultados!AL78,Resultados!AU78,Resultados!BD78,Resultados!BM78,Resultados!BV78,Resultados!CE78)&lt;=1, "", _xlfn.STDEV.S(ABS(Resultados!B78),ABS(Resultados!K78),ABS(Resultados!T78),ABS(Resultados!AC78),ABS(Resultados!AL78),ABS(Resultados!AU78),ABS(Resultados!BD78),ABS(Resultados!BM78),ABS(Resultados!BV78),ABS(Resultados!CE78))/SQRT(COUNT(Resultados!B78,Resultados!K78,Resultados!T78,Resultados!AC78,Resultados!AL78,Resultados!AU78,Resultados!BD78,Resultados!BM78,Resultados!BV78,Resultados!CE78)))</f>
        <v/>
      </c>
      <c r="C78">
        <f>IF(COUNT(Resultados!C78,Resultados!L78,Resultados!U78,Resultados!AD78,Resultados!AM78,Resultados!AV78,Resultados!BE78,Resultados!BN78,Resultados!BW78,Resultados!CF78)&lt;=1, "", _xlfn.STDEV.S(ABS(Resultados!C78),ABS(Resultados!L78),ABS(Resultados!U78),ABS(Resultados!AD78),ABS(Resultados!AM78),ABS(Resultados!AV78),ABS(Resultados!BE78),ABS(Resultados!BN78),ABS(Resultados!BW78),ABS(Resultados!CF78))/SQRT(COUNT(Resultados!C78,Resultados!L78,Resultados!U78,Resultados!AD78,Resultados!AM78,Resultados!AV78,Resultados!BE78,Resultados!BN78,Resultados!BW78,Resultados!CF78)))</f>
        <v>0.5587684871413402</v>
      </c>
      <c r="D78">
        <f>IF(COUNT(Resultados!D78,Resultados!M78,Resultados!V78,Resultados!AE78,Resultados!AN78,Resultados!AW78,Resultados!BF78,Resultados!BO78,Resultados!BX78,Resultados!CG78)&lt;=1, "", _xlfn.STDEV.S(ABS(Resultados!D78),ABS(Resultados!M78),ABS(Resultados!V78),ABS(Resultados!AE78),ABS(Resultados!AN78),ABS(Resultados!AW78),ABS(Resultados!BF78),ABS(Resultados!BO78),ABS(Resultados!BX78),ABS(Resultados!CG78))/SQRT(COUNT(Resultados!D78,Resultados!M78,Resultados!V78,Resultados!AE78,Resultados!AN78,Resultados!AW78,Resultados!BF78,Resultados!BO78,Resultados!BX78,Resultados!CG78)))</f>
        <v>6.5828902804501027E-4</v>
      </c>
      <c r="E78">
        <f>IF(COUNT(Resultados!E78,Resultados!N78,Resultados!W78,Resultados!AF78,Resultados!AO78,Resultados!AX78,Resultados!BG78,Resultados!BP78,Resultados!BY78,Resultados!CH78)&lt;=1, "", _xlfn.STDEV.S(ABS(Resultados!E78),ABS(Resultados!N78),ABS(Resultados!W78),ABS(Resultados!AF78),ABS(Resultados!AO78),ABS(Resultados!AX78),ABS(Resultados!BG78),ABS(Resultados!BP78),ABS(Resultados!BY78),ABS(Resultados!CH78))/SQRT(COUNT(Resultados!E78,Resultados!N78,Resultados!W78,Resultados!AF78,Resultados!AO78,Resultados!AX78,Resultados!BG78,Resultados!BP78,Resultados!BY78,Resultados!CH78)))</f>
        <v>2.859839581556415E-2</v>
      </c>
      <c r="F78">
        <f>IF(COUNT(Resultados!F78,Resultados!O78,Resultados!X78,Resultados!AG78,Resultados!AP78,Resultados!AY78,Resultados!BH78,Resultados!BQ78,Resultados!BZ78,Resultados!CI78)&lt;=1, "", _xlfn.STDEV.S(ABS(Resultados!F78),ABS(Resultados!O78),ABS(Resultados!X78),ABS(Resultados!AG78),ABS(Resultados!AP78),ABS(Resultados!AY78),ABS(Resultados!BH78),ABS(Resultados!BQ78),ABS(Resultados!BZ78),ABS(Resultados!CI78))/SQRT(COUNT(Resultados!F78,Resultados!O78,Resultados!X78,Resultados!AG78,Resultados!AP78,Resultados!AY78,Resultados!BH78,Resultados!BQ78,Resultados!BZ78,Resultados!CI78)))</f>
        <v>2.6653704900105795</v>
      </c>
      <c r="G78">
        <f>IF(COUNT(Resultados!G78,Resultados!P78,Resultados!Y78,Resultados!AH78,Resultados!AQ78,Resultados!AZ78,Resultados!BI78,Resultados!BR78,Resultados!CA78,Resultados!CJ78)&lt;=1, "", _xlfn.STDEV.S(ABS(Resultados!G78),ABS(Resultados!P78),ABS(Resultados!Y78),ABS(Resultados!AH78),ABS(Resultados!AQ78),ABS(Resultados!AZ78),ABS(Resultados!BI78),ABS(Resultados!BR78),ABS(Resultados!CA78),ABS(Resultados!CJ78))/SQRT(COUNT(Resultados!G78,Resultados!P78,Resultados!Y78,Resultados!AH78,Resultados!AQ78,Resultados!AZ78,Resultados!BI78,Resultados!BR78,Resultados!CA78,Resultados!CJ78)))</f>
        <v>1.8503717077085941E-17</v>
      </c>
      <c r="H78">
        <f>IF(COUNT(Resultados!H78,Resultados!Q78,Resultados!Z78,Resultados!AI78,Resultados!AR78,Resultados!BA78,Resultados!BJ78,Resultados!BS78,Resultados!CB78,Resultados!CK78)&lt;=1, "", _xlfn.STDEV.S(ABS(Resultados!H78),ABS(Resultados!Q78),ABS(Resultados!Z78),ABS(Resultados!AI78),ABS(Resultados!AR78),ABS(Resultados!BA78),ABS(Resultados!BJ78),ABS(Resultados!BS78),ABS(Resultados!CB78),ABS(Resultados!CK78))/SQRT(COUNT(Resultados!H78,Resultados!Q78,Resultados!Z78,Resultados!AI78,Resultados!AR78,Resultados!BA78,Resultados!BJ78,Resultados!BS78,Resultados!CB78,Resultados!CK78)))</f>
        <v>4.4899888641287299E-4</v>
      </c>
      <c r="I78">
        <f>IF(COUNT(Resultados!I78,Resultados!R78,Resultados!AA78,Resultados!AJ78,Resultados!AS78,Resultados!BB78,Resultados!BK78,Resultados!BT78,Resultados!CC78,Resultados!CL78)&lt;=1, "", _xlfn.STDEV.S(ABS(Resultados!I78),ABS(Resultados!R78),ABS(Resultados!AA78),ABS(Resultados!AJ78),ABS(Resultados!AS78),ABS(Resultados!BB78),ABS(Resultados!BK78),ABS(Resultados!BT78),ABS(Resultados!CC78),ABS(Resultados!CL78))/SQRT(COUNT(Resultados!I78,Resultados!R78,Resultados!AA78,Resultados!AJ78,Resultados!AS78,Resultados!BB78,Resultados!BK78,Resultados!BT78,Resultados!CC78,Resultados!CL78)))</f>
        <v>4.0112012559280368E-2</v>
      </c>
    </row>
    <row r="79" spans="1:9" x14ac:dyDescent="0.3">
      <c r="A79">
        <f>IF(COUNT(Resultados!A79,Resultados!J79,Resultados!S79,Resultados!AB79,Resultados!AK79,Resultados!AT79,Resultados!BC79,Resultados!BL79,Resultados!BU79,Resultados!CD79)&lt;=1, "", _xlfn.STDEV.S(ABS(Resultados!A79),ABS(Resultados!J79),ABS(Resultados!S79),ABS(Resultados!AB79),ABS(Resultados!AK79),ABS(Resultados!AT79),ABS(Resultados!BC79),ABS(Resultados!BL79),ABS(Resultados!BU79),ABS(Resultados!CD79))/SQRT(COUNT(Resultados!A79,Resultados!J79,Resultados!S79,Resultados!AB79,Resultados!AK79,Resultados!AT79,Resultados!BC79,Resultados!BL79,Resultados!BU79,Resultados!CD79)))</f>
        <v>0</v>
      </c>
      <c r="B79" t="str">
        <f>IF(COUNT(Resultados!B79,Resultados!K79,Resultados!T79,Resultados!AC79,Resultados!AL79,Resultados!AU79,Resultados!BD79,Resultados!BM79,Resultados!BV79,Resultados!CE79)&lt;=1, "", _xlfn.STDEV.S(ABS(Resultados!B79),ABS(Resultados!K79),ABS(Resultados!T79),ABS(Resultados!AC79),ABS(Resultados!AL79),ABS(Resultados!AU79),ABS(Resultados!BD79),ABS(Resultados!BM79),ABS(Resultados!BV79),ABS(Resultados!CE79))/SQRT(COUNT(Resultados!B79,Resultados!K79,Resultados!T79,Resultados!AC79,Resultados!AL79,Resultados!AU79,Resultados!BD79,Resultados!BM79,Resultados!BV79,Resultados!CE79)))</f>
        <v/>
      </c>
      <c r="C79">
        <f>IF(COUNT(Resultados!C79,Resultados!L79,Resultados!U79,Resultados!AD79,Resultados!AM79,Resultados!AV79,Resultados!BE79,Resultados!BN79,Resultados!BW79,Resultados!CF79)&lt;=1, "", _xlfn.STDEV.S(ABS(Resultados!C79),ABS(Resultados!L79),ABS(Resultados!U79),ABS(Resultados!AD79),ABS(Resultados!AM79),ABS(Resultados!AV79),ABS(Resultados!BE79),ABS(Resultados!BN79),ABS(Resultados!BW79),ABS(Resultados!CF79))/SQRT(COUNT(Resultados!C79,Resultados!L79,Resultados!U79,Resultados!AD79,Resultados!AM79,Resultados!AV79,Resultados!BE79,Resultados!BN79,Resultados!BW79,Resultados!CF79)))</f>
        <v>0.5587684871413402</v>
      </c>
      <c r="D79">
        <f>IF(COUNT(Resultados!D79,Resultados!M79,Resultados!V79,Resultados!AE79,Resultados!AN79,Resultados!AW79,Resultados!BF79,Resultados!BO79,Resultados!BX79,Resultados!CG79)&lt;=1, "", _xlfn.STDEV.S(ABS(Resultados!D79),ABS(Resultados!M79),ABS(Resultados!V79),ABS(Resultados!AE79),ABS(Resultados!AN79),ABS(Resultados!AW79),ABS(Resultados!BF79),ABS(Resultados!BO79),ABS(Resultados!BX79),ABS(Resultados!CG79))/SQRT(COUNT(Resultados!D79,Resultados!M79,Resultados!V79,Resultados!AE79,Resultados!AN79,Resultados!AW79,Resultados!BF79,Resultados!BO79,Resultados!BX79,Resultados!CG79)))</f>
        <v>2.2659312532476449E-4</v>
      </c>
      <c r="E79">
        <f>IF(COUNT(Resultados!E79,Resultados!N79,Resultados!W79,Resultados!AF79,Resultados!AO79,Resultados!AX79,Resultados!BG79,Resultados!BP79,Resultados!BY79,Resultados!CH79)&lt;=1, "", _xlfn.STDEV.S(ABS(Resultados!E79),ABS(Resultados!N79),ABS(Resultados!W79),ABS(Resultados!AF79),ABS(Resultados!AO79),ABS(Resultados!AX79),ABS(Resultados!BG79),ABS(Resultados!BP79),ABS(Resultados!BY79),ABS(Resultados!CH79))/SQRT(COUNT(Resultados!E79,Resultados!N79,Resultados!W79,Resultados!AF79,Resultados!AO79,Resultados!AX79,Resultados!BG79,Resultados!BP79,Resultados!BY79,Resultados!CH79)))</f>
        <v>1.957280525380015E-2</v>
      </c>
      <c r="F79">
        <f>IF(COUNT(Resultados!F79,Resultados!O79,Resultados!X79,Resultados!AG79,Resultados!AP79,Resultados!AY79,Resultados!BH79,Resultados!BQ79,Resultados!BZ79,Resultados!CI79)&lt;=1, "", _xlfn.STDEV.S(ABS(Resultados!F79),ABS(Resultados!O79),ABS(Resultados!X79),ABS(Resultados!AG79),ABS(Resultados!AP79),ABS(Resultados!AY79),ABS(Resultados!BH79),ABS(Resultados!BQ79),ABS(Resultados!BZ79),ABS(Resultados!CI79))/SQRT(COUNT(Resultados!F79,Resultados!O79,Resultados!X79,Resultados!AG79,Resultados!AP79,Resultados!AY79,Resultados!BH79,Resultados!BQ79,Resultados!BZ79,Resultados!CI79)))</f>
        <v>1.8241854496541718</v>
      </c>
      <c r="G79">
        <f>IF(COUNT(Resultados!G79,Resultados!P79,Resultados!Y79,Resultados!AH79,Resultados!AQ79,Resultados!AZ79,Resultados!BI79,Resultados!BR79,Resultados!CA79,Resultados!CJ79)&lt;=1, "", _xlfn.STDEV.S(ABS(Resultados!G79),ABS(Resultados!P79),ABS(Resultados!Y79),ABS(Resultados!AH79),ABS(Resultados!AQ79),ABS(Resultados!AZ79),ABS(Resultados!BI79),ABS(Resultados!BR79),ABS(Resultados!CA79),ABS(Resultados!CJ79))/SQRT(COUNT(Resultados!G79,Resultados!P79,Resultados!Y79,Resultados!AH79,Resultados!AQ79,Resultados!AZ79,Resultados!BI79,Resultados!BR79,Resultados!CA79,Resultados!CJ79)))</f>
        <v>1.8503717077085941E-17</v>
      </c>
      <c r="H79">
        <f>IF(COUNT(Resultados!H79,Resultados!Q79,Resultados!Z79,Resultados!AI79,Resultados!AR79,Resultados!BA79,Resultados!BJ79,Resultados!BS79,Resultados!CB79,Resultados!CK79)&lt;=1, "", _xlfn.STDEV.S(ABS(Resultados!H79),ABS(Resultados!Q79),ABS(Resultados!Z79),ABS(Resultados!AI79),ABS(Resultados!AR79),ABS(Resultados!BA79),ABS(Resultados!BJ79),ABS(Resultados!BS79),ABS(Resultados!CB79),ABS(Resultados!CK79))/SQRT(COUNT(Resultados!H79,Resultados!Q79,Resultados!Z79,Resultados!AI79,Resultados!AR79,Resultados!BA79,Resultados!BJ79,Resultados!BS79,Resultados!CB79,Resultados!CK79)))</f>
        <v>2.9999999999999987E-4</v>
      </c>
      <c r="I79">
        <f>IF(COUNT(Resultados!I79,Resultados!R79,Resultados!AA79,Resultados!AJ79,Resultados!AS79,Resultados!BB79,Resultados!BK79,Resultados!BT79,Resultados!CC79,Resultados!CL79)&lt;=1, "", _xlfn.STDEV.S(ABS(Resultados!I79),ABS(Resultados!R79),ABS(Resultados!AA79),ABS(Resultados!AJ79),ABS(Resultados!AS79),ABS(Resultados!BB79),ABS(Resultados!BK79),ABS(Resultados!BT79),ABS(Resultados!CC79),ABS(Resultados!CL79))/SQRT(COUNT(Resultados!I79,Resultados!R79,Resultados!AA79,Resultados!AJ79,Resultados!AS79,Resultados!BB79,Resultados!BK79,Resultados!BT79,Resultados!CC79,Resultados!CL79)))</f>
        <v>4.0481780978882005E-2</v>
      </c>
    </row>
    <row r="80" spans="1:9" x14ac:dyDescent="0.3">
      <c r="A80">
        <f>IF(COUNT(Resultados!A80,Resultados!J80,Resultados!S80,Resultados!AB80,Resultados!AK80,Resultados!AT80,Resultados!BC80,Resultados!BL80,Resultados!BU80,Resultados!CD80)&lt;=1, "", _xlfn.STDEV.S(ABS(Resultados!A80),ABS(Resultados!J80),ABS(Resultados!S80),ABS(Resultados!AB80),ABS(Resultados!AK80),ABS(Resultados!AT80),ABS(Resultados!BC80),ABS(Resultados!BL80),ABS(Resultados!BU80),ABS(Resultados!CD80))/SQRT(COUNT(Resultados!A80,Resultados!J80,Resultados!S80,Resultados!AB80,Resultados!AK80,Resultados!AT80,Resultados!BC80,Resultados!BL80,Resultados!BU80,Resultados!CD80)))</f>
        <v>0</v>
      </c>
      <c r="B80" t="str">
        <f>IF(COUNT(Resultados!B80,Resultados!K80,Resultados!T80,Resultados!AC80,Resultados!AL80,Resultados!AU80,Resultados!BD80,Resultados!BM80,Resultados!BV80,Resultados!CE80)&lt;=1, "", _xlfn.STDEV.S(ABS(Resultados!B80),ABS(Resultados!K80),ABS(Resultados!T80),ABS(Resultados!AC80),ABS(Resultados!AL80),ABS(Resultados!AU80),ABS(Resultados!BD80),ABS(Resultados!BM80),ABS(Resultados!BV80),ABS(Resultados!CE80))/SQRT(COUNT(Resultados!B80,Resultados!K80,Resultados!T80,Resultados!AC80,Resultados!AL80,Resultados!AU80,Resultados!BD80,Resultados!BM80,Resultados!BV80,Resultados!CE80)))</f>
        <v/>
      </c>
      <c r="C80">
        <f>IF(COUNT(Resultados!C80,Resultados!L80,Resultados!U80,Resultados!AD80,Resultados!AM80,Resultados!AV80,Resultados!BE80,Resultados!BN80,Resultados!BW80,Resultados!CF80)&lt;=1, "", _xlfn.STDEV.S(ABS(Resultados!C80),ABS(Resultados!L80),ABS(Resultados!U80),ABS(Resultados!AD80),ABS(Resultados!AM80),ABS(Resultados!AV80),ABS(Resultados!BE80),ABS(Resultados!BN80),ABS(Resultados!BW80),ABS(Resultados!CF80))/SQRT(COUNT(Resultados!C80,Resultados!L80,Resultados!U80,Resultados!AD80,Resultados!AM80,Resultados!AV80,Resultados!BE80,Resultados!BN80,Resultados!BW80,Resultados!CF80)))</f>
        <v>0.5587684871413402</v>
      </c>
      <c r="D80">
        <f>IF(COUNT(Resultados!D80,Resultados!M80,Resultados!V80,Resultados!AE80,Resultados!AN80,Resultados!AW80,Resultados!BF80,Resultados!BO80,Resultados!BX80,Resultados!CG80)&lt;=1, "", _xlfn.STDEV.S(ABS(Resultados!D80),ABS(Resultados!M80),ABS(Resultados!V80),ABS(Resultados!AE80),ABS(Resultados!AN80),ABS(Resultados!AW80),ABS(Resultados!BF80),ABS(Resultados!BO80),ABS(Resultados!BX80),ABS(Resultados!CG80))/SQRT(COUNT(Resultados!D80,Resultados!M80,Resultados!V80,Resultados!AE80,Resultados!AN80,Resultados!AW80,Resultados!BF80,Resultados!BO80,Resultados!BX80,Resultados!CG80)))</f>
        <v>1.9035055380358981E-4</v>
      </c>
      <c r="E80">
        <f>IF(COUNT(Resultados!E80,Resultados!N80,Resultados!W80,Resultados!AF80,Resultados!AO80,Resultados!AX80,Resultados!BG80,Resultados!BP80,Resultados!BY80,Resultados!CH80)&lt;=1, "", _xlfn.STDEV.S(ABS(Resultados!E80),ABS(Resultados!N80),ABS(Resultados!W80),ABS(Resultados!AF80),ABS(Resultados!AO80),ABS(Resultados!AX80),ABS(Resultados!BG80),ABS(Resultados!BP80),ABS(Resultados!BY80),ABS(Resultados!CH80))/SQRT(COUNT(Resultados!E80,Resultados!N80,Resultados!W80,Resultados!AF80,Resultados!AO80,Resultados!AX80,Resultados!BG80,Resultados!BP80,Resultados!BY80,Resultados!CH80)))</f>
        <v>9.852596615416407E-3</v>
      </c>
      <c r="F80">
        <f>IF(COUNT(Resultados!F80,Resultados!O80,Resultados!X80,Resultados!AG80,Resultados!AP80,Resultados!AY80,Resultados!BH80,Resultados!BQ80,Resultados!BZ80,Resultados!CI80)&lt;=1, "", _xlfn.STDEV.S(ABS(Resultados!F80),ABS(Resultados!O80),ABS(Resultados!X80),ABS(Resultados!AG80),ABS(Resultados!AP80),ABS(Resultados!AY80),ABS(Resultados!BH80),ABS(Resultados!BQ80),ABS(Resultados!BZ80),ABS(Resultados!CI80))/SQRT(COUNT(Resultados!F80,Resultados!O80,Resultados!X80,Resultados!AG80,Resultados!AP80,Resultados!AY80,Resultados!BH80,Resultados!BQ80,Resultados!BZ80,Resultados!CI80)))</f>
        <v>0.9182620045568104</v>
      </c>
      <c r="G80">
        <f>IF(COUNT(Resultados!G80,Resultados!P80,Resultados!Y80,Resultados!AH80,Resultados!AQ80,Resultados!AZ80,Resultados!BI80,Resultados!BR80,Resultados!CA80,Resultados!CJ80)&lt;=1, "", _xlfn.STDEV.S(ABS(Resultados!G80),ABS(Resultados!P80),ABS(Resultados!Y80),ABS(Resultados!AH80),ABS(Resultados!AQ80),ABS(Resultados!AZ80),ABS(Resultados!BI80),ABS(Resultados!BR80),ABS(Resultados!CA80),ABS(Resultados!CJ80))/SQRT(COUNT(Resultados!G80,Resultados!P80,Resultados!Y80,Resultados!AH80,Resultados!AQ80,Resultados!AZ80,Resultados!BI80,Resultados!BR80,Resultados!CA80,Resultados!CJ80)))</f>
        <v>1.8503717077085941E-17</v>
      </c>
      <c r="H80">
        <f>IF(COUNT(Resultados!H80,Resultados!Q80,Resultados!Z80,Resultados!AI80,Resultados!AR80,Resultados!BA80,Resultados!BJ80,Resultados!BS80,Resultados!CB80,Resultados!CK80)&lt;=1, "", _xlfn.STDEV.S(ABS(Resultados!H80),ABS(Resultados!Q80),ABS(Resultados!Z80),ABS(Resultados!AI80),ABS(Resultados!AR80),ABS(Resultados!BA80),ABS(Resultados!BJ80),ABS(Resultados!BS80),ABS(Resultados!CB80),ABS(Resultados!CK80))/SQRT(COUNT(Resultados!H80,Resultados!Q80,Resultados!Z80,Resultados!AI80,Resultados!AR80,Resultados!BA80,Resultados!BJ80,Resultados!BS80,Resultados!CB80,Resultados!CK80)))</f>
        <v>1.5278888848487785E-4</v>
      </c>
      <c r="I80">
        <f>IF(COUNT(Resultados!I80,Resultados!R80,Resultados!AA80,Resultados!AJ80,Resultados!AS80,Resultados!BB80,Resultados!BK80,Resultados!BT80,Resultados!CC80,Resultados!CL80)&lt;=1, "", _xlfn.STDEV.S(ABS(Resultados!I80),ABS(Resultados!R80),ABS(Resultados!AA80),ABS(Resultados!AJ80),ABS(Resultados!AS80),ABS(Resultados!BB80),ABS(Resultados!BK80),ABS(Resultados!BT80),ABS(Resultados!CC80),ABS(Resultados!CL80))/SQRT(COUNT(Resultados!I80,Resultados!R80,Resultados!AA80,Resultados!AJ80,Resultados!AS80,Resultados!BB80,Resultados!BK80,Resultados!BT80,Resultados!CC80,Resultados!CL80)))</f>
        <v>4.0231910469180301E-2</v>
      </c>
    </row>
    <row r="81" spans="1:9" x14ac:dyDescent="0.3">
      <c r="A81">
        <f>IF(COUNT(Resultados!A81,Resultados!J81,Resultados!S81,Resultados!AB81,Resultados!AK81,Resultados!AT81,Resultados!BC81,Resultados!BL81,Resultados!BU81,Resultados!CD81)&lt;=1, "", _xlfn.STDEV.S(ABS(Resultados!A81),ABS(Resultados!J81),ABS(Resultados!S81),ABS(Resultados!AB81),ABS(Resultados!AK81),ABS(Resultados!AT81),ABS(Resultados!BC81),ABS(Resultados!BL81),ABS(Resultados!BU81),ABS(Resultados!CD81))/SQRT(COUNT(Resultados!A81,Resultados!J81,Resultados!S81,Resultados!AB81,Resultados!AK81,Resultados!AT81,Resultados!BC81,Resultados!BL81,Resultados!BU81,Resultados!CD81)))</f>
        <v>0</v>
      </c>
      <c r="B81" t="str">
        <f>IF(COUNT(Resultados!B81,Resultados!K81,Resultados!T81,Resultados!AC81,Resultados!AL81,Resultados!AU81,Resultados!BD81,Resultados!BM81,Resultados!BV81,Resultados!CE81)&lt;=1, "", _xlfn.STDEV.S(ABS(Resultados!B81),ABS(Resultados!K81),ABS(Resultados!T81),ABS(Resultados!AC81),ABS(Resultados!AL81),ABS(Resultados!AU81),ABS(Resultados!BD81),ABS(Resultados!BM81),ABS(Resultados!BV81),ABS(Resultados!CE81))/SQRT(COUNT(Resultados!B81,Resultados!K81,Resultados!T81,Resultados!AC81,Resultados!AL81,Resultados!AU81,Resultados!BD81,Resultados!BM81,Resultados!BV81,Resultados!CE81)))</f>
        <v/>
      </c>
      <c r="C81">
        <f>IF(COUNT(Resultados!C81,Resultados!L81,Resultados!U81,Resultados!AD81,Resultados!AM81,Resultados!AV81,Resultados!BE81,Resultados!BN81,Resultados!BW81,Resultados!CF81)&lt;=1, "", _xlfn.STDEV.S(ABS(Resultados!C81),ABS(Resultados!L81),ABS(Resultados!U81),ABS(Resultados!AD81),ABS(Resultados!AM81),ABS(Resultados!AV81),ABS(Resultados!BE81),ABS(Resultados!BN81),ABS(Resultados!BW81),ABS(Resultados!CF81))/SQRT(COUNT(Resultados!C81,Resultados!L81,Resultados!U81,Resultados!AD81,Resultados!AM81,Resultados!AV81,Resultados!BE81,Resultados!BN81,Resultados!BW81,Resultados!CF81)))</f>
        <v>0.5587684871413402</v>
      </c>
      <c r="D81">
        <f>IF(COUNT(Resultados!D81,Resultados!M81,Resultados!V81,Resultados!AE81,Resultados!AN81,Resultados!AW81,Resultados!BF81,Resultados!BO81,Resultados!BX81,Resultados!CG81)&lt;=1, "", _xlfn.STDEV.S(ABS(Resultados!D81),ABS(Resultados!M81),ABS(Resultados!V81),ABS(Resultados!AE81),ABS(Resultados!AN81),ABS(Resultados!AW81),ABS(Resultados!BF81),ABS(Resultados!BO81),ABS(Resultados!BX81),ABS(Resultados!CG81))/SQRT(COUNT(Resultados!D81,Resultados!M81,Resultados!V81,Resultados!AE81,Resultados!AN81,Resultados!AW81,Resultados!BF81,Resultados!BO81,Resultados!BX81,Resultados!CG81)))</f>
        <v>2.0319667538837559E-4</v>
      </c>
      <c r="E81">
        <f>IF(COUNT(Resultados!E81,Resultados!N81,Resultados!W81,Resultados!AF81,Resultados!AO81,Resultados!AX81,Resultados!BG81,Resultados!BP81,Resultados!BY81,Resultados!CH81)&lt;=1, "", _xlfn.STDEV.S(ABS(Resultados!E81),ABS(Resultados!N81),ABS(Resultados!W81),ABS(Resultados!AF81),ABS(Resultados!AO81),ABS(Resultados!AX81),ABS(Resultados!BG81),ABS(Resultados!BP81),ABS(Resultados!BY81),ABS(Resultados!CH81))/SQRT(COUNT(Resultados!E81,Resultados!N81,Resultados!W81,Resultados!AF81,Resultados!AO81,Resultados!AX81,Resultados!BG81,Resultados!BP81,Resultados!BY81,Resultados!CH81)))</f>
        <v>2.3600959014417834E-4</v>
      </c>
      <c r="F81">
        <f>IF(COUNT(Resultados!F81,Resultados!O81,Resultados!X81,Resultados!AG81,Resultados!AP81,Resultados!AY81,Resultados!BH81,Resultados!BQ81,Resultados!BZ81,Resultados!CI81)&lt;=1, "", _xlfn.STDEV.S(ABS(Resultados!F81),ABS(Resultados!O81),ABS(Resultados!X81),ABS(Resultados!AG81),ABS(Resultados!AP81),ABS(Resultados!AY81),ABS(Resultados!BH81),ABS(Resultados!BQ81),ABS(Resultados!BZ81),ABS(Resultados!CI81))/SQRT(COUNT(Resultados!F81,Resultados!O81,Resultados!X81,Resultados!AG81,Resultados!AP81,Resultados!AY81,Resultados!BH81,Resultados!BQ81,Resultados!BZ81,Resultados!CI81)))</f>
        <v>10.23126243320694</v>
      </c>
      <c r="G81">
        <f>IF(COUNT(Resultados!G81,Resultados!P81,Resultados!Y81,Resultados!AH81,Resultados!AQ81,Resultados!AZ81,Resultados!BI81,Resultados!BR81,Resultados!CA81,Resultados!CJ81)&lt;=1, "", _xlfn.STDEV.S(ABS(Resultados!G81),ABS(Resultados!P81),ABS(Resultados!Y81),ABS(Resultados!AH81),ABS(Resultados!AQ81),ABS(Resultados!AZ81),ABS(Resultados!BI81),ABS(Resultados!BR81),ABS(Resultados!CA81),ABS(Resultados!CJ81))/SQRT(COUNT(Resultados!G81,Resultados!P81,Resultados!Y81,Resultados!AH81,Resultados!AQ81,Resultados!AZ81,Resultados!BI81,Resultados!BR81,Resultados!CA81,Resultados!CJ81)))</f>
        <v>1.8503717077085941E-17</v>
      </c>
      <c r="H81">
        <f>IF(COUNT(Resultados!H81,Resultados!Q81,Resultados!Z81,Resultados!AI81,Resultados!AR81,Resultados!BA81,Resultados!BJ81,Resultados!BS81,Resultados!CB81,Resultados!CK81)&lt;=1, "", _xlfn.STDEV.S(ABS(Resultados!H81),ABS(Resultados!Q81),ABS(Resultados!Z81),ABS(Resultados!AI81),ABS(Resultados!AR81),ABS(Resultados!BA81),ABS(Resultados!BJ81),ABS(Resultados!BS81),ABS(Resultados!CB81),ABS(Resultados!CK81))/SQRT(COUNT(Resultados!H81,Resultados!Q81,Resultados!Z81,Resultados!AI81,Resultados!AR81,Resultados!BA81,Resultados!BJ81,Resultados!BS81,Resultados!CB81,Resultados!CK81)))</f>
        <v>1.807003620809174E-20</v>
      </c>
      <c r="I81">
        <f>IF(COUNT(Resultados!I81,Resultados!R81,Resultados!AA81,Resultados!AJ81,Resultados!AS81,Resultados!BB81,Resultados!BK81,Resultados!BT81,Resultados!CC81,Resultados!CL81)&lt;=1, "", _xlfn.STDEV.S(ABS(Resultados!I81),ABS(Resultados!R81),ABS(Resultados!AA81),ABS(Resultados!AJ81),ABS(Resultados!AS81),ABS(Resultados!BB81),ABS(Resultados!BK81),ABS(Resultados!BT81),ABS(Resultados!CC81),ABS(Resultados!CL81))/SQRT(COUNT(Resultados!I81,Resultados!R81,Resultados!AA81,Resultados!AJ81,Resultados!AS81,Resultados!BB81,Resultados!BK81,Resultados!BT81,Resultados!CC81,Resultados!CL81)))</f>
        <v>4.0339672361366812E-2</v>
      </c>
    </row>
    <row r="82" spans="1:9" x14ac:dyDescent="0.3">
      <c r="A82">
        <f>IF(COUNT(Resultados!A82,Resultados!J82,Resultados!S82,Resultados!AB82,Resultados!AK82,Resultados!AT82,Resultados!BC82,Resultados!BL82,Resultados!BU82,Resultados!CD82)&lt;=1, "", _xlfn.STDEV.S(ABS(Resultados!A82),ABS(Resultados!J82),ABS(Resultados!S82),ABS(Resultados!AB82),ABS(Resultados!AK82),ABS(Resultados!AT82),ABS(Resultados!BC82),ABS(Resultados!BL82),ABS(Resultados!BU82),ABS(Resultados!CD82))/SQRT(COUNT(Resultados!A82,Resultados!J82,Resultados!S82,Resultados!AB82,Resultados!AK82,Resultados!AT82,Resultados!BC82,Resultados!BL82,Resultados!BU82,Resultados!CD82)))</f>
        <v>0</v>
      </c>
      <c r="B82" t="str">
        <f>IF(COUNT(Resultados!B82,Resultados!K82,Resultados!T82,Resultados!AC82,Resultados!AL82,Resultados!AU82,Resultados!BD82,Resultados!BM82,Resultados!BV82,Resultados!CE82)&lt;=1, "", _xlfn.STDEV.S(ABS(Resultados!B82),ABS(Resultados!K82),ABS(Resultados!T82),ABS(Resultados!AC82),ABS(Resultados!AL82),ABS(Resultados!AU82),ABS(Resultados!BD82),ABS(Resultados!BM82),ABS(Resultados!BV82),ABS(Resultados!CE82))/SQRT(COUNT(Resultados!B82,Resultados!K82,Resultados!T82,Resultados!AC82,Resultados!AL82,Resultados!AU82,Resultados!BD82,Resultados!BM82,Resultados!BV82,Resultados!CE82)))</f>
        <v/>
      </c>
      <c r="C82">
        <f>IF(COUNT(Resultados!C82,Resultados!L82,Resultados!U82,Resultados!AD82,Resultados!AM82,Resultados!AV82,Resultados!BE82,Resultados!BN82,Resultados!BW82,Resultados!CF82)&lt;=1, "", _xlfn.STDEV.S(ABS(Resultados!C82),ABS(Resultados!L82),ABS(Resultados!U82),ABS(Resultados!AD82),ABS(Resultados!AM82),ABS(Resultados!AV82),ABS(Resultados!BE82),ABS(Resultados!BN82),ABS(Resultados!BW82),ABS(Resultados!CF82))/SQRT(COUNT(Resultados!C82,Resultados!L82,Resultados!U82,Resultados!AD82,Resultados!AM82,Resultados!AV82,Resultados!BE82,Resultados!BN82,Resultados!BW82,Resultados!CF82)))</f>
        <v>0.5587684871413402</v>
      </c>
      <c r="D82">
        <f>IF(COUNT(Resultados!D82,Resultados!M82,Resultados!V82,Resultados!AE82,Resultados!AN82,Resultados!AW82,Resultados!BF82,Resultados!BO82,Resultados!BX82,Resultados!CG82)&lt;=1, "", _xlfn.STDEV.S(ABS(Resultados!D82),ABS(Resultados!M82),ABS(Resultados!V82),ABS(Resultados!AE82),ABS(Resultados!AN82),ABS(Resultados!AW82),ABS(Resultados!BF82),ABS(Resultados!BO82),ABS(Resultados!BX82),ABS(Resultados!CG82))/SQRT(COUNT(Resultados!D82,Resultados!M82,Resultados!V82,Resultados!AE82,Resultados!AN82,Resultados!AW82,Resultados!BF82,Resultados!BO82,Resultados!BX82,Resultados!CG82)))</f>
        <v>1.9078784028338914E-4</v>
      </c>
      <c r="E82">
        <f>IF(COUNT(Resultados!E82,Resultados!N82,Resultados!W82,Resultados!AF82,Resultados!AO82,Resultados!AX82,Resultados!BG82,Resultados!BP82,Resultados!BY82,Resultados!CH82)&lt;=1, "", _xlfn.STDEV.S(ABS(Resultados!E82),ABS(Resultados!N82),ABS(Resultados!W82),ABS(Resultados!AF82),ABS(Resultados!AO82),ABS(Resultados!AX82),ABS(Resultados!BG82),ABS(Resultados!BP82),ABS(Resultados!BY82),ABS(Resultados!CH82))/SQRT(COUNT(Resultados!E82,Resultados!N82,Resultados!W82,Resultados!AF82,Resultados!AO82,Resultados!AX82,Resultados!BG82,Resultados!BP82,Resultados!BY82,Resultados!CH82)))</f>
        <v>9.9811147110747053E-3</v>
      </c>
      <c r="F82">
        <f>IF(COUNT(Resultados!F82,Resultados!O82,Resultados!X82,Resultados!AG82,Resultados!AP82,Resultados!AY82,Resultados!BH82,Resultados!BQ82,Resultados!BZ82,Resultados!CI82)&lt;=1, "", _xlfn.STDEV.S(ABS(Resultados!F82),ABS(Resultados!O82),ABS(Resultados!X82),ABS(Resultados!AG82),ABS(Resultados!AP82),ABS(Resultados!AY82),ABS(Resultados!BH82),ABS(Resultados!BQ82),ABS(Resultados!BZ82),ABS(Resultados!CI82))/SQRT(COUNT(Resultados!F82,Resultados!O82,Resultados!X82,Resultados!AG82,Resultados!AP82,Resultados!AY82,Resultados!BH82,Resultados!BQ82,Resultados!BZ82,Resultados!CI82)))</f>
        <v>11.166483549913917</v>
      </c>
      <c r="G82">
        <f>IF(COUNT(Resultados!G82,Resultados!P82,Resultados!Y82,Resultados!AH82,Resultados!AQ82,Resultados!AZ82,Resultados!BI82,Resultados!BR82,Resultados!CA82,Resultados!CJ82)&lt;=1, "", _xlfn.STDEV.S(ABS(Resultados!G82),ABS(Resultados!P82),ABS(Resultados!Y82),ABS(Resultados!AH82),ABS(Resultados!AQ82),ABS(Resultados!AZ82),ABS(Resultados!BI82),ABS(Resultados!BR82),ABS(Resultados!CA82),ABS(Resultados!CJ82))/SQRT(COUNT(Resultados!G82,Resultados!P82,Resultados!Y82,Resultados!AH82,Resultados!AQ82,Resultados!AZ82,Resultados!BI82,Resultados!BR82,Resultados!CA82,Resultados!CJ82)))</f>
        <v>1.8503717077085941E-17</v>
      </c>
      <c r="H82">
        <f>IF(COUNT(Resultados!H82,Resultados!Q82,Resultados!Z82,Resultados!AI82,Resultados!AR82,Resultados!BA82,Resultados!BJ82,Resultados!BS82,Resultados!CB82,Resultados!CK82)&lt;=1, "", _xlfn.STDEV.S(ABS(Resultados!H82),ABS(Resultados!Q82),ABS(Resultados!Z82),ABS(Resultados!AI82),ABS(Resultados!AR82),ABS(Resultados!BA82),ABS(Resultados!BJ82),ABS(Resultados!BS82),ABS(Resultados!CB82),ABS(Resultados!CK82))/SQRT(COUNT(Resultados!H82,Resultados!Q82,Resultados!Z82,Resultados!AI82,Resultados!AR82,Resultados!BA82,Resultados!BJ82,Resultados!BS82,Resultados!CB82,Resultados!CK82)))</f>
        <v>1.5999999999999996E-4</v>
      </c>
      <c r="I82">
        <f>IF(COUNT(Resultados!I82,Resultados!R82,Resultados!AA82,Resultados!AJ82,Resultados!AS82,Resultados!BB82,Resultados!BK82,Resultados!BT82,Resultados!CC82,Resultados!CL82)&lt;=1, "", _xlfn.STDEV.S(ABS(Resultados!I82),ABS(Resultados!R82),ABS(Resultados!AA82),ABS(Resultados!AJ82),ABS(Resultados!AS82),ABS(Resultados!BB82),ABS(Resultados!BK82),ABS(Resultados!BT82),ABS(Resultados!CC82),ABS(Resultados!CL82))/SQRT(COUNT(Resultados!I82,Resultados!R82,Resultados!AA82,Resultados!AJ82,Resultados!AS82,Resultados!BB82,Resultados!BK82,Resultados!BT82,Resultados!CC82,Resultados!CL82)))</f>
        <v>4.0274996270090735E-2</v>
      </c>
    </row>
    <row r="83" spans="1:9" x14ac:dyDescent="0.3">
      <c r="A83">
        <f>IF(COUNT(Resultados!A83,Resultados!J83,Resultados!S83,Resultados!AB83,Resultados!AK83,Resultados!AT83,Resultados!BC83,Resultados!BL83,Resultados!BU83,Resultados!CD83)&lt;=1, "", _xlfn.STDEV.S(ABS(Resultados!A83),ABS(Resultados!J83),ABS(Resultados!S83),ABS(Resultados!AB83),ABS(Resultados!AK83),ABS(Resultados!AT83),ABS(Resultados!BC83),ABS(Resultados!BL83),ABS(Resultados!BU83),ABS(Resultados!CD83))/SQRT(COUNT(Resultados!A83,Resultados!J83,Resultados!S83,Resultados!AB83,Resultados!AK83,Resultados!AT83,Resultados!BC83,Resultados!BL83,Resultados!BU83,Resultados!CD83)))</f>
        <v>0</v>
      </c>
      <c r="B83" t="str">
        <f>IF(COUNT(Resultados!B83,Resultados!K83,Resultados!T83,Resultados!AC83,Resultados!AL83,Resultados!AU83,Resultados!BD83,Resultados!BM83,Resultados!BV83,Resultados!CE83)&lt;=1, "", _xlfn.STDEV.S(ABS(Resultados!B83),ABS(Resultados!K83),ABS(Resultados!T83),ABS(Resultados!AC83),ABS(Resultados!AL83),ABS(Resultados!AU83),ABS(Resultados!BD83),ABS(Resultados!BM83),ABS(Resultados!BV83),ABS(Resultados!CE83))/SQRT(COUNT(Resultados!B83,Resultados!K83,Resultados!T83,Resultados!AC83,Resultados!AL83,Resultados!AU83,Resultados!BD83,Resultados!BM83,Resultados!BV83,Resultados!CE83)))</f>
        <v/>
      </c>
      <c r="C83">
        <f>IF(COUNT(Resultados!C83,Resultados!L83,Resultados!U83,Resultados!AD83,Resultados!AM83,Resultados!AV83,Resultados!BE83,Resultados!BN83,Resultados!BW83,Resultados!CF83)&lt;=1, "", _xlfn.STDEV.S(ABS(Resultados!C83),ABS(Resultados!L83),ABS(Resultados!U83),ABS(Resultados!AD83),ABS(Resultados!AM83),ABS(Resultados!AV83),ABS(Resultados!BE83),ABS(Resultados!BN83),ABS(Resultados!BW83),ABS(Resultados!CF83))/SQRT(COUNT(Resultados!C83,Resultados!L83,Resultados!U83,Resultados!AD83,Resultados!AM83,Resultados!AV83,Resultados!BE83,Resultados!BN83,Resultados!BW83,Resultados!CF83)))</f>
        <v>0.5587684871413402</v>
      </c>
      <c r="D83">
        <f>IF(COUNT(Resultados!D83,Resultados!M83,Resultados!V83,Resultados!AE83,Resultados!AN83,Resultados!AW83,Resultados!BF83,Resultados!BO83,Resultados!BX83,Resultados!CG83)&lt;=1, "", _xlfn.STDEV.S(ABS(Resultados!D83),ABS(Resultados!M83),ABS(Resultados!V83),ABS(Resultados!AE83),ABS(Resultados!AN83),ABS(Resultados!AW83),ABS(Resultados!BF83),ABS(Resultados!BO83),ABS(Resultados!BX83),ABS(Resultados!CG83))/SQRT(COUNT(Resultados!D83,Resultados!M83,Resultados!V83,Resultados!AE83,Resultados!AN83,Resultados!AW83,Resultados!BF83,Resultados!BO83,Resultados!BX83,Resultados!CG83)))</f>
        <v>8.9193921068397644E-5</v>
      </c>
      <c r="E83">
        <f>IF(COUNT(Resultados!E83,Resultados!N83,Resultados!W83,Resultados!AF83,Resultados!AO83,Resultados!AX83,Resultados!BG83,Resultados!BP83,Resultados!BY83,Resultados!CH83)&lt;=1, "", _xlfn.STDEV.S(ABS(Resultados!E83),ABS(Resultados!N83),ABS(Resultados!W83),ABS(Resultados!AF83),ABS(Resultados!AO83),ABS(Resultados!AX83),ABS(Resultados!BG83),ABS(Resultados!BP83),ABS(Resultados!BY83),ABS(Resultados!CH83))/SQRT(COUNT(Resultados!E83,Resultados!N83,Resultados!W83,Resultados!AF83,Resultados!AO83,Resultados!AX83,Resultados!BG83,Resultados!BP83,Resultados!BY83,Resultados!CH83)))</f>
        <v>1.962889914887362E-2</v>
      </c>
      <c r="F83">
        <f>IF(COUNT(Resultados!F83,Resultados!O83,Resultados!X83,Resultados!AG83,Resultados!AP83,Resultados!AY83,Resultados!BH83,Resultados!BQ83,Resultados!BZ83,Resultados!CI83)&lt;=1, "", _xlfn.STDEV.S(ABS(Resultados!F83),ABS(Resultados!O83),ABS(Resultados!X83),ABS(Resultados!AG83),ABS(Resultados!AP83),ABS(Resultados!AY83),ABS(Resultados!BH83),ABS(Resultados!BQ83),ABS(Resultados!BZ83),ABS(Resultados!CI83))/SQRT(COUNT(Resultados!F83,Resultados!O83,Resultados!X83,Resultados!AG83,Resultados!AP83,Resultados!AY83,Resultados!BH83,Resultados!BQ83,Resultados!BZ83,Resultados!CI83)))</f>
        <v>1.8627825292281048</v>
      </c>
      <c r="G83">
        <f>IF(COUNT(Resultados!G83,Resultados!P83,Resultados!Y83,Resultados!AH83,Resultados!AQ83,Resultados!AZ83,Resultados!BI83,Resultados!BR83,Resultados!CA83,Resultados!CJ83)&lt;=1, "", _xlfn.STDEV.S(ABS(Resultados!G83),ABS(Resultados!P83),ABS(Resultados!Y83),ABS(Resultados!AH83),ABS(Resultados!AQ83),ABS(Resultados!AZ83),ABS(Resultados!BI83),ABS(Resultados!BR83),ABS(Resultados!CA83),ABS(Resultados!CJ83))/SQRT(COUNT(Resultados!G83,Resultados!P83,Resultados!Y83,Resultados!AH83,Resultados!AQ83,Resultados!AZ83,Resultados!BI83,Resultados!BR83,Resultados!CA83,Resultados!CJ83)))</f>
        <v>1.8503717077085941E-17</v>
      </c>
      <c r="H83">
        <f>IF(COUNT(Resultados!H83,Resultados!Q83,Resultados!Z83,Resultados!AI83,Resultados!AR83,Resultados!BA83,Resultados!BJ83,Resultados!BS83,Resultados!CB83,Resultados!CK83)&lt;=1, "", _xlfn.STDEV.S(ABS(Resultados!H83),ABS(Resultados!Q83),ABS(Resultados!Z83),ABS(Resultados!AI83),ABS(Resultados!AR83),ABS(Resultados!BA83),ABS(Resultados!BJ83),ABS(Resultados!BS83),ABS(Resultados!CB83),ABS(Resultados!CK83))/SQRT(COUNT(Resultados!H83,Resultados!Q83,Resultados!Z83,Resultados!AI83,Resultados!AR83,Resultados!BA83,Resultados!BJ83,Resultados!BS83,Resultados!CB83,Resultados!CK83)))</f>
        <v>2.9999999999999997E-4</v>
      </c>
      <c r="I83">
        <f>IF(COUNT(Resultados!I83,Resultados!R83,Resultados!AA83,Resultados!AJ83,Resultados!AS83,Resultados!BB83,Resultados!BK83,Resultados!BT83,Resultados!CC83,Resultados!CL83)&lt;=1, "", _xlfn.STDEV.S(ABS(Resultados!I83),ABS(Resultados!R83),ABS(Resultados!AA83),ABS(Resultados!AJ83),ABS(Resultados!AS83),ABS(Resultados!BB83),ABS(Resultados!BK83),ABS(Resultados!BT83),ABS(Resultados!CC83),ABS(Resultados!CL83))/SQRT(COUNT(Resultados!I83,Resultados!R83,Resultados!AA83,Resultados!AJ83,Resultados!AS83,Resultados!BB83,Resultados!BK83,Resultados!BT83,Resultados!CC83,Resultados!CL83)))</f>
        <v>4.0306460062600816E-2</v>
      </c>
    </row>
    <row r="84" spans="1:9" x14ac:dyDescent="0.3">
      <c r="A84">
        <f>IF(COUNT(Resultados!A84,Resultados!J84,Resultados!S84,Resultados!AB84,Resultados!AK84,Resultados!AT84,Resultados!BC84,Resultados!BL84,Resultados!BU84,Resultados!CD84)&lt;=1, "", _xlfn.STDEV.S(ABS(Resultados!A84),ABS(Resultados!J84),ABS(Resultados!S84),ABS(Resultados!AB84),ABS(Resultados!AK84),ABS(Resultados!AT84),ABS(Resultados!BC84),ABS(Resultados!BL84),ABS(Resultados!BU84),ABS(Resultados!CD84))/SQRT(COUNT(Resultados!A84,Resultados!J84,Resultados!S84,Resultados!AB84,Resultados!AK84,Resultados!AT84,Resultados!BC84,Resultados!BL84,Resultados!BU84,Resultados!CD84)))</f>
        <v>0</v>
      </c>
      <c r="B84" t="str">
        <f>IF(COUNT(Resultados!B84,Resultados!K84,Resultados!T84,Resultados!AC84,Resultados!AL84,Resultados!AU84,Resultados!BD84,Resultados!BM84,Resultados!BV84,Resultados!CE84)&lt;=1, "", _xlfn.STDEV.S(ABS(Resultados!B84),ABS(Resultados!K84),ABS(Resultados!T84),ABS(Resultados!AC84),ABS(Resultados!AL84),ABS(Resultados!AU84),ABS(Resultados!BD84),ABS(Resultados!BM84),ABS(Resultados!BV84),ABS(Resultados!CE84))/SQRT(COUNT(Resultados!B84,Resultados!K84,Resultados!T84,Resultados!AC84,Resultados!AL84,Resultados!AU84,Resultados!BD84,Resultados!BM84,Resultados!BV84,Resultados!CE84)))</f>
        <v/>
      </c>
      <c r="C84">
        <f>IF(COUNT(Resultados!C84,Resultados!L84,Resultados!U84,Resultados!AD84,Resultados!AM84,Resultados!AV84,Resultados!BE84,Resultados!BN84,Resultados!BW84,Resultados!CF84)&lt;=1, "", _xlfn.STDEV.S(ABS(Resultados!C84),ABS(Resultados!L84),ABS(Resultados!U84),ABS(Resultados!AD84),ABS(Resultados!AM84),ABS(Resultados!AV84),ABS(Resultados!BE84),ABS(Resultados!BN84),ABS(Resultados!BW84),ABS(Resultados!CF84))/SQRT(COUNT(Resultados!C84,Resultados!L84,Resultados!U84,Resultados!AD84,Resultados!AM84,Resultados!AV84,Resultados!BE84,Resultados!BN84,Resultados!BW84,Resultados!CF84)))</f>
        <v>0.5587684871413402</v>
      </c>
      <c r="D84">
        <f>IF(COUNT(Resultados!D84,Resultados!M84,Resultados!V84,Resultados!AE84,Resultados!AN84,Resultados!AW84,Resultados!BF84,Resultados!BO84,Resultados!BX84,Resultados!CG84)&lt;=1, "", _xlfn.STDEV.S(ABS(Resultados!D84),ABS(Resultados!M84),ABS(Resultados!V84),ABS(Resultados!AE84),ABS(Resultados!AN84),ABS(Resultados!AW84),ABS(Resultados!BF84),ABS(Resultados!BO84),ABS(Resultados!BX84),ABS(Resultados!CG84))/SQRT(COUNT(Resultados!D84,Resultados!M84,Resultados!V84,Resultados!AE84,Resultados!AN84,Resultados!AW84,Resultados!BF84,Resultados!BO84,Resultados!BX84,Resultados!CG84)))</f>
        <v>3.7983914724232638E-4</v>
      </c>
      <c r="E84">
        <f>IF(COUNT(Resultados!E84,Resultados!N84,Resultados!W84,Resultados!AF84,Resultados!AO84,Resultados!AX84,Resultados!BG84,Resultados!BP84,Resultados!BY84,Resultados!CH84)&lt;=1, "", _xlfn.STDEV.S(ABS(Resultados!E84),ABS(Resultados!N84),ABS(Resultados!W84),ABS(Resultados!AF84),ABS(Resultados!AO84),ABS(Resultados!AX84),ABS(Resultados!BG84),ABS(Resultados!BP84),ABS(Resultados!BY84),ABS(Resultados!CH84))/SQRT(COUNT(Resultados!E84,Resultados!N84,Resultados!W84,Resultados!AF84,Resultados!AO84,Resultados!AX84,Resultados!BG84,Resultados!BP84,Resultados!BY84,Resultados!CH84)))</f>
        <v>2.8666682550979053E-2</v>
      </c>
      <c r="F84">
        <f>IF(COUNT(Resultados!F84,Resultados!O84,Resultados!X84,Resultados!AG84,Resultados!AP84,Resultados!AY84,Resultados!BH84,Resultados!BQ84,Resultados!BZ84,Resultados!CI84)&lt;=1, "", _xlfn.STDEV.S(ABS(Resultados!F84),ABS(Resultados!O84),ABS(Resultados!X84),ABS(Resultados!AG84),ABS(Resultados!AP84),ABS(Resultados!AY84),ABS(Resultados!BH84),ABS(Resultados!BQ84),ABS(Resultados!BZ84),ABS(Resultados!CI84))/SQRT(COUNT(Resultados!F84,Resultados!O84,Resultados!X84,Resultados!AG84,Resultados!AP84,Resultados!AY84,Resultados!BH84,Resultados!BQ84,Resultados!BZ84,Resultados!CI84)))</f>
        <v>2.7204681740879191</v>
      </c>
      <c r="G84">
        <f>IF(COUNT(Resultados!G84,Resultados!P84,Resultados!Y84,Resultados!AH84,Resultados!AQ84,Resultados!AZ84,Resultados!BI84,Resultados!BR84,Resultados!CA84,Resultados!CJ84)&lt;=1, "", _xlfn.STDEV.S(ABS(Resultados!G84),ABS(Resultados!P84),ABS(Resultados!Y84),ABS(Resultados!AH84),ABS(Resultados!AQ84),ABS(Resultados!AZ84),ABS(Resultados!BI84),ABS(Resultados!BR84),ABS(Resultados!CA84),ABS(Resultados!CJ84))/SQRT(COUNT(Resultados!G84,Resultados!P84,Resultados!Y84,Resultados!AH84,Resultados!AQ84,Resultados!AZ84,Resultados!BI84,Resultados!BR84,Resultados!CA84,Resultados!CJ84)))</f>
        <v>1.8503717077085941E-17</v>
      </c>
      <c r="H84">
        <f>IF(COUNT(Resultados!H84,Resultados!Q84,Resultados!Z84,Resultados!AI84,Resultados!AR84,Resultados!BA84,Resultados!BJ84,Resultados!BS84,Resultados!CB84,Resultados!CK84)&lt;=1, "", _xlfn.STDEV.S(ABS(Resultados!H84),ABS(Resultados!Q84),ABS(Resultados!Z84),ABS(Resultados!AI84),ABS(Resultados!AR84),ABS(Resultados!BA84),ABS(Resultados!BJ84),ABS(Resultados!BS84),ABS(Resultados!CB84),ABS(Resultados!CK84))/SQRT(COUNT(Resultados!H84,Resultados!Q84,Resultados!Z84,Resultados!AI84,Resultados!AR84,Resultados!BA84,Resultados!BJ84,Resultados!BS84,Resultados!CB84,Resultados!CK84)))</f>
        <v>4.4583255451645376E-4</v>
      </c>
      <c r="I84">
        <f>IF(COUNT(Resultados!I84,Resultados!R84,Resultados!AA84,Resultados!AJ84,Resultados!AS84,Resultados!BB84,Resultados!BK84,Resultados!BT84,Resultados!CC84,Resultados!CL84)&lt;=1, "", _xlfn.STDEV.S(ABS(Resultados!I84),ABS(Resultados!R84),ABS(Resultados!AA84),ABS(Resultados!AJ84),ABS(Resultados!AS84),ABS(Resultados!BB84),ABS(Resultados!BK84),ABS(Resultados!BT84),ABS(Resultados!CC84),ABS(Resultados!CL84))/SQRT(COUNT(Resultados!I84,Resultados!R84,Resultados!AA84,Resultados!AJ84,Resultados!AS84,Resultados!BB84,Resultados!BK84,Resultados!BT84,Resultados!CC84,Resultados!CL84)))</f>
        <v>4.017444434933401E-2</v>
      </c>
    </row>
    <row r="85" spans="1:9" x14ac:dyDescent="0.3">
      <c r="A85">
        <f>IF(COUNT(Resultados!A85,Resultados!J85,Resultados!S85,Resultados!AB85,Resultados!AK85,Resultados!AT85,Resultados!BC85,Resultados!BL85,Resultados!BU85,Resultados!CD85)&lt;=1, "", _xlfn.STDEV.S(ABS(Resultados!A85),ABS(Resultados!J85),ABS(Resultados!S85),ABS(Resultados!AB85),ABS(Resultados!AK85),ABS(Resultados!AT85),ABS(Resultados!BC85),ABS(Resultados!BL85),ABS(Resultados!BU85),ABS(Resultados!CD85))/SQRT(COUNT(Resultados!A85,Resultados!J85,Resultados!S85,Resultados!AB85,Resultados!AK85,Resultados!AT85,Resultados!BC85,Resultados!BL85,Resultados!BU85,Resultados!CD85)))</f>
        <v>0</v>
      </c>
      <c r="B85" t="str">
        <f>IF(COUNT(Resultados!B85,Resultados!K85,Resultados!T85,Resultados!AC85,Resultados!AL85,Resultados!AU85,Resultados!BD85,Resultados!BM85,Resultados!BV85,Resultados!CE85)&lt;=1, "", _xlfn.STDEV.S(ABS(Resultados!B85),ABS(Resultados!K85),ABS(Resultados!T85),ABS(Resultados!AC85),ABS(Resultados!AL85),ABS(Resultados!AU85),ABS(Resultados!BD85),ABS(Resultados!BM85),ABS(Resultados!BV85),ABS(Resultados!CE85))/SQRT(COUNT(Resultados!B85,Resultados!K85,Resultados!T85,Resultados!AC85,Resultados!AL85,Resultados!AU85,Resultados!BD85,Resultados!BM85,Resultados!BV85,Resultados!CE85)))</f>
        <v/>
      </c>
      <c r="C85">
        <f>IF(COUNT(Resultados!C85,Resultados!L85,Resultados!U85,Resultados!AD85,Resultados!AM85,Resultados!AV85,Resultados!BE85,Resultados!BN85,Resultados!BW85,Resultados!CF85)&lt;=1, "", _xlfn.STDEV.S(ABS(Resultados!C85),ABS(Resultados!L85),ABS(Resultados!U85),ABS(Resultados!AD85),ABS(Resultados!AM85),ABS(Resultados!AV85),ABS(Resultados!BE85),ABS(Resultados!BN85),ABS(Resultados!BW85),ABS(Resultados!CF85))/SQRT(COUNT(Resultados!C85,Resultados!L85,Resultados!U85,Resultados!AD85,Resultados!AM85,Resultados!AV85,Resultados!BE85,Resultados!BN85,Resultados!BW85,Resultados!CF85)))</f>
        <v>0.5587684871413402</v>
      </c>
      <c r="D85">
        <f>IF(COUNT(Resultados!D85,Resultados!M85,Resultados!V85,Resultados!AE85,Resultados!AN85,Resultados!AW85,Resultados!BF85,Resultados!BO85,Resultados!BX85,Resultados!CG85)&lt;=1, "", _xlfn.STDEV.S(ABS(Resultados!D85),ABS(Resultados!M85),ABS(Resultados!V85),ABS(Resultados!AE85),ABS(Resultados!AN85),ABS(Resultados!AW85),ABS(Resultados!BF85),ABS(Resultados!BO85),ABS(Resultados!BX85),ABS(Resultados!CG85))/SQRT(COUNT(Resultados!D85,Resultados!M85,Resultados!V85,Resultados!AE85,Resultados!AN85,Resultados!AW85,Resultados!BF85,Resultados!BO85,Resultados!BX85,Resultados!CG85)))</f>
        <v>4.8962570738609441E-4</v>
      </c>
      <c r="E85">
        <f>IF(COUNT(Resultados!E85,Resultados!N85,Resultados!W85,Resultados!AF85,Resultados!AO85,Resultados!AX85,Resultados!BG85,Resultados!BP85,Resultados!BY85,Resultados!CH85)&lt;=1, "", _xlfn.STDEV.S(ABS(Resultados!E85),ABS(Resultados!N85),ABS(Resultados!W85),ABS(Resultados!AF85),ABS(Resultados!AO85),ABS(Resultados!AX85),ABS(Resultados!BG85),ABS(Resultados!BP85),ABS(Resultados!BY85),ABS(Resultados!CH85))/SQRT(COUNT(Resultados!E85,Resultados!N85,Resultados!W85,Resultados!AF85,Resultados!AO85,Resultados!AX85,Resultados!BG85,Resultados!BP85,Resultados!BY85,Resultados!CH85)))</f>
        <v>3.7233733852028564E-2</v>
      </c>
      <c r="F85">
        <f>IF(COUNT(Resultados!F85,Resultados!O85,Resultados!X85,Resultados!AG85,Resultados!AP85,Resultados!AY85,Resultados!BH85,Resultados!BQ85,Resultados!BZ85,Resultados!CI85)&lt;=1, "", _xlfn.STDEV.S(ABS(Resultados!F85),ABS(Resultados!O85),ABS(Resultados!X85),ABS(Resultados!AG85),ABS(Resultados!AP85),ABS(Resultados!AY85),ABS(Resultados!BH85),ABS(Resultados!BQ85),ABS(Resultados!BZ85),ABS(Resultados!CI85))/SQRT(COUNT(Resultados!F85,Resultados!O85,Resultados!X85,Resultados!AG85,Resultados!AP85,Resultados!AY85,Resultados!BH85,Resultados!BQ85,Resultados!BZ85,Resultados!CI85)))</f>
        <v>3.5334813425575091</v>
      </c>
      <c r="G85">
        <f>IF(COUNT(Resultados!G85,Resultados!P85,Resultados!Y85,Resultados!AH85,Resultados!AQ85,Resultados!AZ85,Resultados!BI85,Resultados!BR85,Resultados!CA85,Resultados!CJ85)&lt;=1, "", _xlfn.STDEV.S(ABS(Resultados!G85),ABS(Resultados!P85),ABS(Resultados!Y85),ABS(Resultados!AH85),ABS(Resultados!AQ85),ABS(Resultados!AZ85),ABS(Resultados!BI85),ABS(Resultados!BR85),ABS(Resultados!CA85),ABS(Resultados!CJ85))/SQRT(COUNT(Resultados!G85,Resultados!P85,Resultados!Y85,Resultados!AH85,Resultados!AQ85,Resultados!AZ85,Resultados!BI85,Resultados!BR85,Resultados!CA85,Resultados!CJ85)))</f>
        <v>1.8503717077085941E-17</v>
      </c>
      <c r="H85">
        <f>IF(COUNT(Resultados!H85,Resultados!Q85,Resultados!Z85,Resultados!AI85,Resultados!AR85,Resultados!BA85,Resultados!BJ85,Resultados!BS85,Resultados!CB85,Resultados!CK85)&lt;=1, "", _xlfn.STDEV.S(ABS(Resultados!H85),ABS(Resultados!Q85),ABS(Resultados!Z85),ABS(Resultados!AI85),ABS(Resultados!AR85),ABS(Resultados!BA85),ABS(Resultados!BJ85),ABS(Resultados!BS85),ABS(Resultados!CB85),ABS(Resultados!CK85))/SQRT(COUNT(Resultados!H85,Resultados!Q85,Resultados!Z85,Resultados!AI85,Resultados!AR85,Resultados!BA85,Resultados!BJ85,Resultados!BS85,Resultados!CB85,Resultados!CK85)))</f>
        <v>5.7792733107199555E-4</v>
      </c>
      <c r="I85">
        <f>IF(COUNT(Resultados!I85,Resultados!R85,Resultados!AA85,Resultados!AJ85,Resultados!AS85,Resultados!BB85,Resultados!BK85,Resultados!BT85,Resultados!CC85,Resultados!CL85)&lt;=1, "", _xlfn.STDEV.S(ABS(Resultados!I85),ABS(Resultados!R85),ABS(Resultados!AA85),ABS(Resultados!AJ85),ABS(Resultados!AS85),ABS(Resultados!BB85),ABS(Resultados!BK85),ABS(Resultados!BT85),ABS(Resultados!CC85),ABS(Resultados!CL85))/SQRT(COUNT(Resultados!I85,Resultados!R85,Resultados!AA85,Resultados!AJ85,Resultados!AS85,Resultados!BB85,Resultados!BK85,Resultados!BT85,Resultados!CC85,Resultados!CL85)))</f>
        <v>4.0271682502172133E-2</v>
      </c>
    </row>
    <row r="86" spans="1:9" x14ac:dyDescent="0.3">
      <c r="A86">
        <f>IF(COUNT(Resultados!A86,Resultados!J86,Resultados!S86,Resultados!AB86,Resultados!AK86,Resultados!AT86,Resultados!BC86,Resultados!BL86,Resultados!BU86,Resultados!CD86)&lt;=1, "", _xlfn.STDEV.S(ABS(Resultados!A86),ABS(Resultados!J86),ABS(Resultados!S86),ABS(Resultados!AB86),ABS(Resultados!AK86),ABS(Resultados!AT86),ABS(Resultados!BC86),ABS(Resultados!BL86),ABS(Resultados!BU86),ABS(Resultados!CD86))/SQRT(COUNT(Resultados!A86,Resultados!J86,Resultados!S86,Resultados!AB86,Resultados!AK86,Resultados!AT86,Resultados!BC86,Resultados!BL86,Resultados!BU86,Resultados!CD86)))</f>
        <v>0</v>
      </c>
      <c r="B86" t="str">
        <f>IF(COUNT(Resultados!B86,Resultados!K86,Resultados!T86,Resultados!AC86,Resultados!AL86,Resultados!AU86,Resultados!BD86,Resultados!BM86,Resultados!BV86,Resultados!CE86)&lt;=1, "", _xlfn.STDEV.S(ABS(Resultados!B86),ABS(Resultados!K86),ABS(Resultados!T86),ABS(Resultados!AC86),ABS(Resultados!AL86),ABS(Resultados!AU86),ABS(Resultados!BD86),ABS(Resultados!BM86),ABS(Resultados!BV86),ABS(Resultados!CE86))/SQRT(COUNT(Resultados!B86,Resultados!K86,Resultados!T86,Resultados!AC86,Resultados!AL86,Resultados!AU86,Resultados!BD86,Resultados!BM86,Resultados!BV86,Resultados!CE86)))</f>
        <v/>
      </c>
      <c r="C86">
        <f>IF(COUNT(Resultados!C86,Resultados!L86,Resultados!U86,Resultados!AD86,Resultados!AM86,Resultados!AV86,Resultados!BE86,Resultados!BN86,Resultados!BW86,Resultados!CF86)&lt;=1, "", _xlfn.STDEV.S(ABS(Resultados!C86),ABS(Resultados!L86),ABS(Resultados!U86),ABS(Resultados!AD86),ABS(Resultados!AM86),ABS(Resultados!AV86),ABS(Resultados!BE86),ABS(Resultados!BN86),ABS(Resultados!BW86),ABS(Resultados!CF86))/SQRT(COUNT(Resultados!C86,Resultados!L86,Resultados!U86,Resultados!AD86,Resultados!AM86,Resultados!AV86,Resultados!BE86,Resultados!BN86,Resultados!BW86,Resultados!CF86)))</f>
        <v>0.5587684871413402</v>
      </c>
      <c r="D86">
        <f>IF(COUNT(Resultados!D86,Resultados!M86,Resultados!V86,Resultados!AE86,Resultados!AN86,Resultados!AW86,Resultados!BF86,Resultados!BO86,Resultados!BX86,Resultados!CG86)&lt;=1, "", _xlfn.STDEV.S(ABS(Resultados!D86),ABS(Resultados!M86),ABS(Resultados!V86),ABS(Resultados!AE86),ABS(Resultados!AN86),ABS(Resultados!AW86),ABS(Resultados!BF86),ABS(Resultados!BO86),ABS(Resultados!BX86),ABS(Resultados!CG86))/SQRT(COUNT(Resultados!D86,Resultados!M86,Resultados!V86,Resultados!AE86,Resultados!AN86,Resultados!AW86,Resultados!BF86,Resultados!BO86,Resultados!BX86,Resultados!CG86)))</f>
        <v>6.173509716702664E-4</v>
      </c>
      <c r="E86">
        <f>IF(COUNT(Resultados!E86,Resultados!N86,Resultados!W86,Resultados!AF86,Resultados!AO86,Resultados!AX86,Resultados!BG86,Resultados!BP86,Resultados!BY86,Resultados!CH86)&lt;=1, "", _xlfn.STDEV.S(ABS(Resultados!E86),ABS(Resultados!N86),ABS(Resultados!W86),ABS(Resultados!AF86),ABS(Resultados!AO86),ABS(Resultados!AX86),ABS(Resultados!BG86),ABS(Resultados!BP86),ABS(Resultados!BY86),ABS(Resultados!CH86))/SQRT(COUNT(Resultados!E86,Resultados!N86,Resultados!W86,Resultados!AF86,Resultados!AO86,Resultados!AX86,Resultados!BG86,Resultados!BP86,Resultados!BY86,Resultados!CH86)))</f>
        <v>4.4967105354131294E-2</v>
      </c>
      <c r="F86">
        <f>IF(COUNT(Resultados!F86,Resultados!O86,Resultados!X86,Resultados!AG86,Resultados!AP86,Resultados!AY86,Resultados!BH86,Resultados!BQ86,Resultados!BZ86,Resultados!CI86)&lt;=1, "", _xlfn.STDEV.S(ABS(Resultados!F86),ABS(Resultados!O86),ABS(Resultados!X86),ABS(Resultados!AG86),ABS(Resultados!AP86),ABS(Resultados!AY86),ABS(Resultados!BH86),ABS(Resultados!BQ86),ABS(Resultados!BZ86),ABS(Resultados!CI86))/SQRT(COUNT(Resultados!F86,Resultados!O86,Resultados!X86,Resultados!AG86,Resultados!AP86,Resultados!AY86,Resultados!BH86,Resultados!BQ86,Resultados!BZ86,Resultados!CI86)))</f>
        <v>4.2673782981070554</v>
      </c>
      <c r="G86">
        <f>IF(COUNT(Resultados!G86,Resultados!P86,Resultados!Y86,Resultados!AH86,Resultados!AQ86,Resultados!AZ86,Resultados!BI86,Resultados!BR86,Resultados!CA86,Resultados!CJ86)&lt;=1, "", _xlfn.STDEV.S(ABS(Resultados!G86),ABS(Resultados!P86),ABS(Resultados!Y86),ABS(Resultados!AH86),ABS(Resultados!AQ86),ABS(Resultados!AZ86),ABS(Resultados!BI86),ABS(Resultados!BR86),ABS(Resultados!CA86),ABS(Resultados!CJ86))/SQRT(COUNT(Resultados!G86,Resultados!P86,Resultados!Y86,Resultados!AH86,Resultados!AQ86,Resultados!AZ86,Resultados!BI86,Resultados!BR86,Resultados!CA86,Resultados!CJ86)))</f>
        <v>1.8503717077085941E-17</v>
      </c>
      <c r="H86">
        <f>IF(COUNT(Resultados!H86,Resultados!Q86,Resultados!Z86,Resultados!AI86,Resultados!AR86,Resultados!BA86,Resultados!BJ86,Resultados!BS86,Resultados!CB86,Resultados!CK86)&lt;=1, "", _xlfn.STDEV.S(ABS(Resultados!H86),ABS(Resultados!Q86),ABS(Resultados!Z86),ABS(Resultados!AI86),ABS(Resultados!AR86),ABS(Resultados!BA86),ABS(Resultados!BJ86),ABS(Resultados!BS86),ABS(Resultados!CB86),ABS(Resultados!CK86))/SQRT(COUNT(Resultados!H86,Resultados!Q86,Resultados!Z86,Resultados!AI86,Resultados!AR86,Resultados!BA86,Resultados!BJ86,Resultados!BS86,Resultados!CB86,Resultados!CK86)))</f>
        <v>6.9682613804783933E-4</v>
      </c>
      <c r="I86">
        <f>IF(COUNT(Resultados!I86,Resultados!R86,Resultados!AA86,Resultados!AJ86,Resultados!AS86,Resultados!BB86,Resultados!BK86,Resultados!BT86,Resultados!CC86,Resultados!CL86)&lt;=1, "", _xlfn.STDEV.S(ABS(Resultados!I86),ABS(Resultados!R86),ABS(Resultados!AA86),ABS(Resultados!AJ86),ABS(Resultados!AS86),ABS(Resultados!BB86),ABS(Resultados!BK86),ABS(Resultados!BT86),ABS(Resultados!CC86),ABS(Resultados!CL86))/SQRT(COUNT(Resultados!I86,Resultados!R86,Resultados!AA86,Resultados!AJ86,Resultados!AS86,Resultados!BB86,Resultados!BK86,Resultados!BT86,Resultados!CC86,Resultados!CL86)))</f>
        <v>4.041569178755415E-2</v>
      </c>
    </row>
    <row r="87" spans="1:9" x14ac:dyDescent="0.3">
      <c r="A87">
        <f>IF(COUNT(Resultados!A87,Resultados!J87,Resultados!S87,Resultados!AB87,Resultados!AK87,Resultados!AT87,Resultados!BC87,Resultados!BL87,Resultados!BU87,Resultados!CD87)&lt;=1, "", _xlfn.STDEV.S(ABS(Resultados!A87),ABS(Resultados!J87),ABS(Resultados!S87),ABS(Resultados!AB87),ABS(Resultados!AK87),ABS(Resultados!AT87),ABS(Resultados!BC87),ABS(Resultados!BL87),ABS(Resultados!BU87),ABS(Resultados!CD87))/SQRT(COUNT(Resultados!A87,Resultados!J87,Resultados!S87,Resultados!AB87,Resultados!AK87,Resultados!AT87,Resultados!BC87,Resultados!BL87,Resultados!BU87,Resultados!CD87)))</f>
        <v>0</v>
      </c>
      <c r="B87" t="str">
        <f>IF(COUNT(Resultados!B87,Resultados!K87,Resultados!T87,Resultados!AC87,Resultados!AL87,Resultados!AU87,Resultados!BD87,Resultados!BM87,Resultados!BV87,Resultados!CE87)&lt;=1, "", _xlfn.STDEV.S(ABS(Resultados!B87),ABS(Resultados!K87),ABS(Resultados!T87),ABS(Resultados!AC87),ABS(Resultados!AL87),ABS(Resultados!AU87),ABS(Resultados!BD87),ABS(Resultados!BM87),ABS(Resultados!BV87),ABS(Resultados!CE87))/SQRT(COUNT(Resultados!B87,Resultados!K87,Resultados!T87,Resultados!AC87,Resultados!AL87,Resultados!AU87,Resultados!BD87,Resultados!BM87,Resultados!BV87,Resultados!CE87)))</f>
        <v/>
      </c>
      <c r="C87">
        <f>IF(COUNT(Resultados!C87,Resultados!L87,Resultados!U87,Resultados!AD87,Resultados!AM87,Resultados!AV87,Resultados!BE87,Resultados!BN87,Resultados!BW87,Resultados!CF87)&lt;=1, "", _xlfn.STDEV.S(ABS(Resultados!C87),ABS(Resultados!L87),ABS(Resultados!U87),ABS(Resultados!AD87),ABS(Resultados!AM87),ABS(Resultados!AV87),ABS(Resultados!BE87),ABS(Resultados!BN87),ABS(Resultados!BW87),ABS(Resultados!CF87))/SQRT(COUNT(Resultados!C87,Resultados!L87,Resultados!U87,Resultados!AD87,Resultados!AM87,Resultados!AV87,Resultados!BE87,Resultados!BN87,Resultados!BW87,Resultados!CF87)))</f>
        <v>0.5587684871413402</v>
      </c>
      <c r="D87">
        <f>IF(COUNT(Resultados!D87,Resultados!M87,Resultados!V87,Resultados!AE87,Resultados!AN87,Resultados!AW87,Resultados!BF87,Resultados!BO87,Resultados!BX87,Resultados!CG87)&lt;=1, "", _xlfn.STDEV.S(ABS(Resultados!D87),ABS(Resultados!M87),ABS(Resultados!V87),ABS(Resultados!AE87),ABS(Resultados!AN87),ABS(Resultados!AW87),ABS(Resultados!BF87),ABS(Resultados!BO87),ABS(Resultados!BX87),ABS(Resultados!CG87))/SQRT(COUNT(Resultados!D87,Resultados!M87,Resultados!V87,Resultados!AE87,Resultados!AN87,Resultados!AW87,Resultados!BF87,Resultados!BO87,Resultados!BX87,Resultados!CG87)))</f>
        <v>7.1510682962602008E-4</v>
      </c>
      <c r="E87">
        <f>IF(COUNT(Resultados!E87,Resultados!N87,Resultados!W87,Resultados!AF87,Resultados!AO87,Resultados!AX87,Resultados!BG87,Resultados!BP87,Resultados!BY87,Resultados!CH87)&lt;=1, "", _xlfn.STDEV.S(ABS(Resultados!E87),ABS(Resultados!N87),ABS(Resultados!W87),ABS(Resultados!AF87),ABS(Resultados!AO87),ABS(Resultados!AX87),ABS(Resultados!BG87),ABS(Resultados!BP87),ABS(Resultados!BY87),ABS(Resultados!CH87))/SQRT(COUNT(Resultados!E87,Resultados!N87,Resultados!W87,Resultados!AF87,Resultados!AO87,Resultados!AX87,Resultados!BG87,Resultados!BP87,Resultados!BY87,Resultados!CH87)))</f>
        <v>5.096359405833896E-2</v>
      </c>
      <c r="F87">
        <f>IF(COUNT(Resultados!F87,Resultados!O87,Resultados!X87,Resultados!AG87,Resultados!AP87,Resultados!AY87,Resultados!BH87,Resultados!BQ87,Resultados!BZ87,Resultados!CI87)&lt;=1, "", _xlfn.STDEV.S(ABS(Resultados!F87),ABS(Resultados!O87),ABS(Resultados!X87),ABS(Resultados!AG87),ABS(Resultados!AP87),ABS(Resultados!AY87),ABS(Resultados!BH87),ABS(Resultados!BQ87),ABS(Resultados!BZ87),ABS(Resultados!CI87))/SQRT(COUNT(Resultados!F87,Resultados!O87,Resultados!X87,Resultados!AG87,Resultados!AP87,Resultados!AY87,Resultados!BH87,Resultados!BQ87,Resultados!BZ87,Resultados!CI87)))</f>
        <v>4.8364450761363713</v>
      </c>
      <c r="G87">
        <f>IF(COUNT(Resultados!G87,Resultados!P87,Resultados!Y87,Resultados!AH87,Resultados!AQ87,Resultados!AZ87,Resultados!BI87,Resultados!BR87,Resultados!CA87,Resultados!CJ87)&lt;=1, "", _xlfn.STDEV.S(ABS(Resultados!G87),ABS(Resultados!P87),ABS(Resultados!Y87),ABS(Resultados!AH87),ABS(Resultados!AQ87),ABS(Resultados!AZ87),ABS(Resultados!BI87),ABS(Resultados!BR87),ABS(Resultados!CA87),ABS(Resultados!CJ87))/SQRT(COUNT(Resultados!G87,Resultados!P87,Resultados!Y87,Resultados!AH87,Resultados!AQ87,Resultados!AZ87,Resultados!BI87,Resultados!BR87,Resultados!CA87,Resultados!CJ87)))</f>
        <v>1.8503717077085941E-17</v>
      </c>
      <c r="H87">
        <f>IF(COUNT(Resultados!H87,Resultados!Q87,Resultados!Z87,Resultados!AI87,Resultados!AR87,Resultados!BA87,Resultados!BJ87,Resultados!BS87,Resultados!CB87,Resultados!CK87)&lt;=1, "", _xlfn.STDEV.S(ABS(Resultados!H87),ABS(Resultados!Q87),ABS(Resultados!Z87),ABS(Resultados!AI87),ABS(Resultados!AR87),ABS(Resultados!BA87),ABS(Resultados!BJ87),ABS(Resultados!BS87),ABS(Resultados!CB87),ABS(Resultados!CK87))/SQRT(COUNT(Resultados!H87,Resultados!Q87,Resultados!Z87,Resultados!AI87,Resultados!AR87,Resultados!BA87,Resultados!BJ87,Resultados!BS87,Resultados!CB87,Resultados!CK87)))</f>
        <v>7.9361339594428613E-4</v>
      </c>
      <c r="I87">
        <f>IF(COUNT(Resultados!I87,Resultados!R87,Resultados!AA87,Resultados!AJ87,Resultados!AS87,Resultados!BB87,Resultados!BK87,Resultados!BT87,Resultados!CC87,Resultados!CL87)&lt;=1, "", _xlfn.STDEV.S(ABS(Resultados!I87),ABS(Resultados!R87),ABS(Resultados!AA87),ABS(Resultados!AJ87),ABS(Resultados!AS87),ABS(Resultados!BB87),ABS(Resultados!BK87),ABS(Resultados!BT87),ABS(Resultados!CC87),ABS(Resultados!CL87))/SQRT(COUNT(Resultados!I87,Resultados!R87,Resultados!AA87,Resultados!AJ87,Resultados!AS87,Resultados!BB87,Resultados!BK87,Resultados!BT87,Resultados!CC87,Resultados!CL87)))</f>
        <v>4.0077839878585424E-2</v>
      </c>
    </row>
    <row r="88" spans="1:9" x14ac:dyDescent="0.3">
      <c r="A88">
        <f>IF(COUNT(Resultados!A88,Resultados!J88,Resultados!S88,Resultados!AB88,Resultados!AK88,Resultados!AT88,Resultados!BC88,Resultados!BL88,Resultados!BU88,Resultados!CD88)&lt;=1, "", _xlfn.STDEV.S(ABS(Resultados!A88),ABS(Resultados!J88),ABS(Resultados!S88),ABS(Resultados!AB88),ABS(Resultados!AK88),ABS(Resultados!AT88),ABS(Resultados!BC88),ABS(Resultados!BL88),ABS(Resultados!BU88),ABS(Resultados!CD88))/SQRT(COUNT(Resultados!A88,Resultados!J88,Resultados!S88,Resultados!AB88,Resultados!AK88,Resultados!AT88,Resultados!BC88,Resultados!BL88,Resultados!BU88,Resultados!CD88)))</f>
        <v>0</v>
      </c>
      <c r="B88" t="str">
        <f>IF(COUNT(Resultados!B88,Resultados!K88,Resultados!T88,Resultados!AC88,Resultados!AL88,Resultados!AU88,Resultados!BD88,Resultados!BM88,Resultados!BV88,Resultados!CE88)&lt;=1, "", _xlfn.STDEV.S(ABS(Resultados!B88),ABS(Resultados!K88),ABS(Resultados!T88),ABS(Resultados!AC88),ABS(Resultados!AL88),ABS(Resultados!AU88),ABS(Resultados!BD88),ABS(Resultados!BM88),ABS(Resultados!BV88),ABS(Resultados!CE88))/SQRT(COUNT(Resultados!B88,Resultados!K88,Resultados!T88,Resultados!AC88,Resultados!AL88,Resultados!AU88,Resultados!BD88,Resultados!BM88,Resultados!BV88,Resultados!CE88)))</f>
        <v/>
      </c>
      <c r="C88">
        <f>IF(COUNT(Resultados!C88,Resultados!L88,Resultados!U88,Resultados!AD88,Resultados!AM88,Resultados!AV88,Resultados!BE88,Resultados!BN88,Resultados!BW88,Resultados!CF88)&lt;=1, "", _xlfn.STDEV.S(ABS(Resultados!C88),ABS(Resultados!L88),ABS(Resultados!U88),ABS(Resultados!AD88),ABS(Resultados!AM88),ABS(Resultados!AV88),ABS(Resultados!BE88),ABS(Resultados!BN88),ABS(Resultados!BW88),ABS(Resultados!CF88))/SQRT(COUNT(Resultados!C88,Resultados!L88,Resultados!U88,Resultados!AD88,Resultados!AM88,Resultados!AV88,Resultados!BE88,Resultados!BN88,Resultados!BW88,Resultados!CF88)))</f>
        <v>0.5587684871413402</v>
      </c>
      <c r="D88">
        <f>IF(COUNT(Resultados!D88,Resultados!M88,Resultados!V88,Resultados!AE88,Resultados!AN88,Resultados!AW88,Resultados!BF88,Resultados!BO88,Resultados!BX88,Resultados!CG88)&lt;=1, "", _xlfn.STDEV.S(ABS(Resultados!D88),ABS(Resultados!M88),ABS(Resultados!V88),ABS(Resultados!AE88),ABS(Resultados!AN88),ABS(Resultados!AW88),ABS(Resultados!BF88),ABS(Resultados!BO88),ABS(Resultados!BX88),ABS(Resultados!CG88))/SQRT(COUNT(Resultados!D88,Resultados!M88,Resultados!V88,Resultados!AE88,Resultados!AN88,Resultados!AW88,Resultados!BF88,Resultados!BO88,Resultados!BX88,Resultados!CG88)))</f>
        <v>8.074995700033254E-4</v>
      </c>
      <c r="E88">
        <f>IF(COUNT(Resultados!E88,Resultados!N88,Resultados!W88,Resultados!AF88,Resultados!AO88,Resultados!AX88,Resultados!BG88,Resultados!BP88,Resultados!BY88,Resultados!CH88)&lt;=1, "", _xlfn.STDEV.S(ABS(Resultados!E88),ABS(Resultados!N88),ABS(Resultados!W88),ABS(Resultados!AF88),ABS(Resultados!AO88),ABS(Resultados!AX88),ABS(Resultados!BG88),ABS(Resultados!BP88),ABS(Resultados!BY88),ABS(Resultados!CH88))/SQRT(COUNT(Resultados!E88,Resultados!N88,Resultados!W88,Resultados!AF88,Resultados!AO88,Resultados!AX88,Resultados!BG88,Resultados!BP88,Resultados!BY88,Resultados!CH88)))</f>
        <v>5.6588507675347545E-2</v>
      </c>
      <c r="F88">
        <f>IF(COUNT(Resultados!F88,Resultados!O88,Resultados!X88,Resultados!AG88,Resultados!AP88,Resultados!AY88,Resultados!BH88,Resultados!BQ88,Resultados!BZ88,Resultados!CI88)&lt;=1, "", _xlfn.STDEV.S(ABS(Resultados!F88),ABS(Resultados!O88),ABS(Resultados!X88),ABS(Resultados!AG88),ABS(Resultados!AP88),ABS(Resultados!AY88),ABS(Resultados!BH88),ABS(Resultados!BQ88),ABS(Resultados!BZ88),ABS(Resultados!CI88))/SQRT(COUNT(Resultados!F88,Resultados!O88,Resultados!X88,Resultados!AG88,Resultados!AP88,Resultados!AY88,Resultados!BH88,Resultados!BQ88,Resultados!BZ88,Resultados!CI88)))</f>
        <v>5.3702493783904801</v>
      </c>
      <c r="G88">
        <f>IF(COUNT(Resultados!G88,Resultados!P88,Resultados!Y88,Resultados!AH88,Resultados!AQ88,Resultados!AZ88,Resultados!BI88,Resultados!BR88,Resultados!CA88,Resultados!CJ88)&lt;=1, "", _xlfn.STDEV.S(ABS(Resultados!G88),ABS(Resultados!P88),ABS(Resultados!Y88),ABS(Resultados!AH88),ABS(Resultados!AQ88),ABS(Resultados!AZ88),ABS(Resultados!BI88),ABS(Resultados!BR88),ABS(Resultados!CA88),ABS(Resultados!CJ88))/SQRT(COUNT(Resultados!G88,Resultados!P88,Resultados!Y88,Resultados!AH88,Resultados!AQ88,Resultados!AZ88,Resultados!BI88,Resultados!BR88,Resultados!CA88,Resultados!CJ88)))</f>
        <v>1.8503717077085941E-17</v>
      </c>
      <c r="H88">
        <f>IF(COUNT(Resultados!H88,Resultados!Q88,Resultados!Z88,Resultados!AI88,Resultados!AR88,Resultados!BA88,Resultados!BJ88,Resultados!BS88,Resultados!CB88,Resultados!CK88)&lt;=1, "", _xlfn.STDEV.S(ABS(Resultados!H88),ABS(Resultados!Q88),ABS(Resultados!Z88),ABS(Resultados!AI88),ABS(Resultados!AR88),ABS(Resultados!BA88),ABS(Resultados!BJ88),ABS(Resultados!BS88),ABS(Resultados!CB88),ABS(Resultados!CK88))/SQRT(COUNT(Resultados!H88,Resultados!Q88,Resultados!Z88,Resultados!AI88,Resultados!AR88,Resultados!BA88,Resultados!BJ88,Resultados!BS88,Resultados!CB88,Resultados!CK88)))</f>
        <v>8.767934002184703E-4</v>
      </c>
      <c r="I88">
        <f>IF(COUNT(Resultados!I88,Resultados!R88,Resultados!AA88,Resultados!AJ88,Resultados!AS88,Resultados!BB88,Resultados!BK88,Resultados!BT88,Resultados!CC88,Resultados!CL88)&lt;=1, "", _xlfn.STDEV.S(ABS(Resultados!I88),ABS(Resultados!R88),ABS(Resultados!AA88),ABS(Resultados!AJ88),ABS(Resultados!AS88),ABS(Resultados!BB88),ABS(Resultados!BK88),ABS(Resultados!BT88),ABS(Resultados!CC88),ABS(Resultados!CL88))/SQRT(COUNT(Resultados!I88,Resultados!R88,Resultados!AA88,Resultados!AJ88,Resultados!AS88,Resultados!BB88,Resultados!BK88,Resultados!BT88,Resultados!CC88,Resultados!CL88)))</f>
        <v>4.0393967541921642E-2</v>
      </c>
    </row>
    <row r="89" spans="1:9" x14ac:dyDescent="0.3">
      <c r="A89">
        <f>IF(COUNT(Resultados!A89,Resultados!J89,Resultados!S89,Resultados!AB89,Resultados!AK89,Resultados!AT89,Resultados!BC89,Resultados!BL89,Resultados!BU89,Resultados!CD89)&lt;=1, "", _xlfn.STDEV.S(ABS(Resultados!A89),ABS(Resultados!J89),ABS(Resultados!S89),ABS(Resultados!AB89),ABS(Resultados!AK89),ABS(Resultados!AT89),ABS(Resultados!BC89),ABS(Resultados!BL89),ABS(Resultados!BU89),ABS(Resultados!CD89))/SQRT(COUNT(Resultados!A89,Resultados!J89,Resultados!S89,Resultados!AB89,Resultados!AK89,Resultados!AT89,Resultados!BC89,Resultados!BL89,Resultados!BU89,Resultados!CD89)))</f>
        <v>0</v>
      </c>
      <c r="B89" t="str">
        <f>IF(COUNT(Resultados!B89,Resultados!K89,Resultados!T89,Resultados!AC89,Resultados!AL89,Resultados!AU89,Resultados!BD89,Resultados!BM89,Resultados!BV89,Resultados!CE89)&lt;=1, "", _xlfn.STDEV.S(ABS(Resultados!B89),ABS(Resultados!K89),ABS(Resultados!T89),ABS(Resultados!AC89),ABS(Resultados!AL89),ABS(Resultados!AU89),ABS(Resultados!BD89),ABS(Resultados!BM89),ABS(Resultados!BV89),ABS(Resultados!CE89))/SQRT(COUNT(Resultados!B89,Resultados!K89,Resultados!T89,Resultados!AC89,Resultados!AL89,Resultados!AU89,Resultados!BD89,Resultados!BM89,Resultados!BV89,Resultados!CE89)))</f>
        <v/>
      </c>
      <c r="C89">
        <f>IF(COUNT(Resultados!C89,Resultados!L89,Resultados!U89,Resultados!AD89,Resultados!AM89,Resultados!AV89,Resultados!BE89,Resultados!BN89,Resultados!BW89,Resultados!CF89)&lt;=1, "", _xlfn.STDEV.S(ABS(Resultados!C89),ABS(Resultados!L89),ABS(Resultados!U89),ABS(Resultados!AD89),ABS(Resultados!AM89),ABS(Resultados!AV89),ABS(Resultados!BE89),ABS(Resultados!BN89),ABS(Resultados!BW89),ABS(Resultados!CF89))/SQRT(COUNT(Resultados!C89,Resultados!L89,Resultados!U89,Resultados!AD89,Resultados!AM89,Resultados!AV89,Resultados!BE89,Resultados!BN89,Resultados!BW89,Resultados!CF89)))</f>
        <v>0.5587684871413402</v>
      </c>
      <c r="D89">
        <f>IF(COUNT(Resultados!D89,Resultados!M89,Resultados!V89,Resultados!AE89,Resultados!AN89,Resultados!AW89,Resultados!BF89,Resultados!BO89,Resultados!BX89,Resultados!CG89)&lt;=1, "", _xlfn.STDEV.S(ABS(Resultados!D89),ABS(Resultados!M89),ABS(Resultados!V89),ABS(Resultados!AE89),ABS(Resultados!AN89),ABS(Resultados!AW89),ABS(Resultados!BF89),ABS(Resultados!BO89),ABS(Resultados!BX89),ABS(Resultados!CG89))/SQRT(COUNT(Resultados!D89,Resultados!M89,Resultados!V89,Resultados!AE89,Resultados!AN89,Resultados!AW89,Resultados!BF89,Resultados!BO89,Resultados!BX89,Resultados!CG89)))</f>
        <v>8.7600101471275603E-4</v>
      </c>
      <c r="E89">
        <f>IF(COUNT(Resultados!E89,Resultados!N89,Resultados!W89,Resultados!AF89,Resultados!AO89,Resultados!AX89,Resultados!BG89,Resultados!BP89,Resultados!BY89,Resultados!CH89)&lt;=1, "", _xlfn.STDEV.S(ABS(Resultados!E89),ABS(Resultados!N89),ABS(Resultados!W89),ABS(Resultados!AF89),ABS(Resultados!AO89),ABS(Resultados!AX89),ABS(Resultados!BG89),ABS(Resultados!BP89),ABS(Resultados!BY89),ABS(Resultados!CH89))/SQRT(COUNT(Resultados!E89,Resultados!N89,Resultados!W89,Resultados!AF89,Resultados!AO89,Resultados!AX89,Resultados!BG89,Resultados!BP89,Resultados!BY89,Resultados!CH89)))</f>
        <v>6.0324895081656053E-2</v>
      </c>
      <c r="F89">
        <f>IF(COUNT(Resultados!F89,Resultados!O89,Resultados!X89,Resultados!AG89,Resultados!AP89,Resultados!AY89,Resultados!BH89,Resultados!BQ89,Resultados!BZ89,Resultados!CI89)&lt;=1, "", _xlfn.STDEV.S(ABS(Resultados!F89),ABS(Resultados!O89),ABS(Resultados!X89),ABS(Resultados!AG89),ABS(Resultados!AP89),ABS(Resultados!AY89),ABS(Resultados!BH89),ABS(Resultados!BQ89),ABS(Resultados!BZ89),ABS(Resultados!CI89))/SQRT(COUNT(Resultados!F89,Resultados!O89,Resultados!X89,Resultados!AG89,Resultados!AP89,Resultados!AY89,Resultados!BH89,Resultados!BQ89,Resultados!BZ89,Resultados!CI89)))</f>
        <v>5.724832543249156</v>
      </c>
      <c r="G89">
        <f>IF(COUNT(Resultados!G89,Resultados!P89,Resultados!Y89,Resultados!AH89,Resultados!AQ89,Resultados!AZ89,Resultados!BI89,Resultados!BR89,Resultados!CA89,Resultados!CJ89)&lt;=1, "", _xlfn.STDEV.S(ABS(Resultados!G89),ABS(Resultados!P89),ABS(Resultados!Y89),ABS(Resultados!AH89),ABS(Resultados!AQ89),ABS(Resultados!AZ89),ABS(Resultados!BI89),ABS(Resultados!BR89),ABS(Resultados!CA89),ABS(Resultados!CJ89))/SQRT(COUNT(Resultados!G89,Resultados!P89,Resultados!Y89,Resultados!AH89,Resultados!AQ89,Resultados!AZ89,Resultados!BI89,Resultados!BR89,Resultados!CA89,Resultados!CJ89)))</f>
        <v>1.8503717077085941E-17</v>
      </c>
      <c r="H89">
        <f>IF(COUNT(Resultados!H89,Resultados!Q89,Resultados!Z89,Resultados!AI89,Resultados!AR89,Resultados!BA89,Resultados!BJ89,Resultados!BS89,Resultados!CB89,Resultados!CK89)&lt;=1, "", _xlfn.STDEV.S(ABS(Resultados!H89),ABS(Resultados!Q89),ABS(Resultados!Z89),ABS(Resultados!AI89),ABS(Resultados!AR89),ABS(Resultados!BA89),ABS(Resultados!BJ89),ABS(Resultados!BS89),ABS(Resultados!CB89),ABS(Resultados!CK89))/SQRT(COUNT(Resultados!H89,Resultados!Q89,Resultados!Z89,Resultados!AI89,Resultados!AR89,Resultados!BA89,Resultados!BJ89,Resultados!BS89,Resultados!CB89,Resultados!CK89)))</f>
        <v>9.3786992701546811E-4</v>
      </c>
      <c r="I89">
        <f>IF(COUNT(Resultados!I89,Resultados!R89,Resultados!AA89,Resultados!AJ89,Resultados!AS89,Resultados!BB89,Resultados!BK89,Resultados!BT89,Resultados!CC89,Resultados!CL89)&lt;=1, "", _xlfn.STDEV.S(ABS(Resultados!I89),ABS(Resultados!R89),ABS(Resultados!AA89),ABS(Resultados!AJ89),ABS(Resultados!AS89),ABS(Resultados!BB89),ABS(Resultados!BK89),ABS(Resultados!BT89),ABS(Resultados!CC89),ABS(Resultados!CL89))/SQRT(COUNT(Resultados!I89,Resultados!R89,Resultados!AA89,Resultados!AJ89,Resultados!AS89,Resultados!BB89,Resultados!BK89,Resultados!BT89,Resultados!CC89,Resultados!CL89)))</f>
        <v>4.0352834712487802E-2</v>
      </c>
    </row>
    <row r="90" spans="1:9" x14ac:dyDescent="0.3">
      <c r="A90">
        <f>IF(COUNT(Resultados!A90,Resultados!J90,Resultados!S90,Resultados!AB90,Resultados!AK90,Resultados!AT90,Resultados!BC90,Resultados!BL90,Resultados!BU90,Resultados!CD90)&lt;=1, "", _xlfn.STDEV.S(ABS(Resultados!A90),ABS(Resultados!J90),ABS(Resultados!S90),ABS(Resultados!AB90),ABS(Resultados!AK90),ABS(Resultados!AT90),ABS(Resultados!BC90),ABS(Resultados!BL90),ABS(Resultados!BU90),ABS(Resultados!CD90))/SQRT(COUNT(Resultados!A90,Resultados!J90,Resultados!S90,Resultados!AB90,Resultados!AK90,Resultados!AT90,Resultados!BC90,Resultados!BL90,Resultados!BU90,Resultados!CD90)))</f>
        <v>0</v>
      </c>
      <c r="B90" t="str">
        <f>IF(COUNT(Resultados!B90,Resultados!K90,Resultados!T90,Resultados!AC90,Resultados!AL90,Resultados!AU90,Resultados!BD90,Resultados!BM90,Resultados!BV90,Resultados!CE90)&lt;=1, "", _xlfn.STDEV.S(ABS(Resultados!B90),ABS(Resultados!K90),ABS(Resultados!T90),ABS(Resultados!AC90),ABS(Resultados!AL90),ABS(Resultados!AU90),ABS(Resultados!BD90),ABS(Resultados!BM90),ABS(Resultados!BV90),ABS(Resultados!CE90))/SQRT(COUNT(Resultados!B90,Resultados!K90,Resultados!T90,Resultados!AC90,Resultados!AL90,Resultados!AU90,Resultados!BD90,Resultados!BM90,Resultados!BV90,Resultados!CE90)))</f>
        <v/>
      </c>
      <c r="C90">
        <f>IF(COUNT(Resultados!C90,Resultados!L90,Resultados!U90,Resultados!AD90,Resultados!AM90,Resultados!AV90,Resultados!BE90,Resultados!BN90,Resultados!BW90,Resultados!CF90)&lt;=1, "", _xlfn.STDEV.S(ABS(Resultados!C90),ABS(Resultados!L90),ABS(Resultados!U90),ABS(Resultados!AD90),ABS(Resultados!AM90),ABS(Resultados!AV90),ABS(Resultados!BE90),ABS(Resultados!BN90),ABS(Resultados!BW90),ABS(Resultados!CF90))/SQRT(COUNT(Resultados!C90,Resultados!L90,Resultados!U90,Resultados!AD90,Resultados!AM90,Resultados!AV90,Resultados!BE90,Resultados!BN90,Resultados!BW90,Resultados!CF90)))</f>
        <v>0.5587684871413402</v>
      </c>
      <c r="D90">
        <f>IF(COUNT(Resultados!D90,Resultados!M90,Resultados!V90,Resultados!AE90,Resultados!AN90,Resultados!AW90,Resultados!BF90,Resultados!BO90,Resultados!BX90,Resultados!CG90)&lt;=1, "", _xlfn.STDEV.S(ABS(Resultados!D90),ABS(Resultados!M90),ABS(Resultados!V90),ABS(Resultados!AE90),ABS(Resultados!AN90),ABS(Resultados!AW90),ABS(Resultados!BF90),ABS(Resultados!BO90),ABS(Resultados!BX90),ABS(Resultados!CG90))/SQRT(COUNT(Resultados!D90,Resultados!M90,Resultados!V90,Resultados!AE90,Resultados!AN90,Resultados!AW90,Resultados!BF90,Resultados!BO90,Resultados!BX90,Resultados!CG90)))</f>
        <v>9.6752260955493957E-4</v>
      </c>
      <c r="E90">
        <f>IF(COUNT(Resultados!E90,Resultados!N90,Resultados!W90,Resultados!AF90,Resultados!AO90,Resultados!AX90,Resultados!BG90,Resultados!BP90,Resultados!BY90,Resultados!CH90)&lt;=1, "", _xlfn.STDEV.S(ABS(Resultados!E90),ABS(Resultados!N90),ABS(Resultados!W90),ABS(Resultados!AF90),ABS(Resultados!AO90),ABS(Resultados!AX90),ABS(Resultados!BG90),ABS(Resultados!BP90),ABS(Resultados!BY90),ABS(Resultados!CH90))/SQRT(COUNT(Resultados!E90,Resultados!N90,Resultados!W90,Resultados!AF90,Resultados!AO90,Resultados!AX90,Resultados!BG90,Resultados!BP90,Resultados!BY90,Resultados!CH90)))</f>
        <v>6.2430745727843857E-2</v>
      </c>
      <c r="F90">
        <f>IF(COUNT(Resultados!F90,Resultados!O90,Resultados!X90,Resultados!AG90,Resultados!AP90,Resultados!AY90,Resultados!BH90,Resultados!BQ90,Resultados!BZ90,Resultados!CI90)&lt;=1, "", _xlfn.STDEV.S(ABS(Resultados!F90),ABS(Resultados!O90),ABS(Resultados!X90),ABS(Resultados!AG90),ABS(Resultados!AP90),ABS(Resultados!AY90),ABS(Resultados!BH90),ABS(Resultados!BQ90),ABS(Resultados!BZ90),ABS(Resultados!CI90))/SQRT(COUNT(Resultados!F90,Resultados!O90,Resultados!X90,Resultados!AG90,Resultados!AP90,Resultados!AY90,Resultados!BH90,Resultados!BQ90,Resultados!BZ90,Resultados!CI90)))</f>
        <v>5.9246777695723836</v>
      </c>
      <c r="G90">
        <f>IF(COUNT(Resultados!G90,Resultados!P90,Resultados!Y90,Resultados!AH90,Resultados!AQ90,Resultados!AZ90,Resultados!BI90,Resultados!BR90,Resultados!CA90,Resultados!CJ90)&lt;=1, "", _xlfn.STDEV.S(ABS(Resultados!G90),ABS(Resultados!P90),ABS(Resultados!Y90),ABS(Resultados!AH90),ABS(Resultados!AQ90),ABS(Resultados!AZ90),ABS(Resultados!BI90),ABS(Resultados!BR90),ABS(Resultados!CA90),ABS(Resultados!CJ90))/SQRT(COUNT(Resultados!G90,Resultados!P90,Resultados!Y90,Resultados!AH90,Resultados!AQ90,Resultados!AZ90,Resultados!BI90,Resultados!BR90,Resultados!CA90,Resultados!CJ90)))</f>
        <v>1.8503717077085941E-17</v>
      </c>
      <c r="H90">
        <f>IF(COUNT(Resultados!H90,Resultados!Q90,Resultados!Z90,Resultados!AI90,Resultados!AR90,Resultados!BA90,Resultados!BJ90,Resultados!BS90,Resultados!CB90,Resultados!CK90)&lt;=1, "", _xlfn.STDEV.S(ABS(Resultados!H90),ABS(Resultados!Q90),ABS(Resultados!Z90),ABS(Resultados!AI90),ABS(Resultados!AR90),ABS(Resultados!BA90),ABS(Resultados!BJ90),ABS(Resultados!BS90),ABS(Resultados!CB90),ABS(Resultados!CK90))/SQRT(COUNT(Resultados!H90,Resultados!Q90,Resultados!Z90,Resultados!AI90,Resultados!AR90,Resultados!BA90,Resultados!BJ90,Resultados!BS90,Resultados!CB90,Resultados!CK90)))</f>
        <v>9.713907555664713E-4</v>
      </c>
      <c r="I90">
        <f>IF(COUNT(Resultados!I90,Resultados!R90,Resultados!AA90,Resultados!AJ90,Resultados!AS90,Resultados!BB90,Resultados!BK90,Resultados!BT90,Resultados!CC90,Resultados!CL90)&lt;=1, "", _xlfn.STDEV.S(ABS(Resultados!I90),ABS(Resultados!R90),ABS(Resultados!AA90),ABS(Resultados!AJ90),ABS(Resultados!AS90),ABS(Resultados!BB90),ABS(Resultados!BK90),ABS(Resultados!BT90),ABS(Resultados!CC90),ABS(Resultados!CL90))/SQRT(COUNT(Resultados!I90,Resultados!R90,Resultados!AA90,Resultados!AJ90,Resultados!AS90,Resultados!BB90,Resultados!BK90,Resultados!BT90,Resultados!CC90,Resultados!CL90)))</f>
        <v>4.0223004523395299E-2</v>
      </c>
    </row>
    <row r="91" spans="1:9" x14ac:dyDescent="0.3">
      <c r="A91">
        <f>IF(COUNT(Resultados!A91,Resultados!J91,Resultados!S91,Resultados!AB91,Resultados!AK91,Resultados!AT91,Resultados!BC91,Resultados!BL91,Resultados!BU91,Resultados!CD91)&lt;=1, "", _xlfn.STDEV.S(ABS(Resultados!A91),ABS(Resultados!J91),ABS(Resultados!S91),ABS(Resultados!AB91),ABS(Resultados!AK91),ABS(Resultados!AT91),ABS(Resultados!BC91),ABS(Resultados!BL91),ABS(Resultados!BU91),ABS(Resultados!CD91))/SQRT(COUNT(Resultados!A91,Resultados!J91,Resultados!S91,Resultados!AB91,Resultados!AK91,Resultados!AT91,Resultados!BC91,Resultados!BL91,Resultados!BU91,Resultados!CD91)))</f>
        <v>0</v>
      </c>
      <c r="B91" t="str">
        <f>IF(COUNT(Resultados!B91,Resultados!K91,Resultados!T91,Resultados!AC91,Resultados!AL91,Resultados!AU91,Resultados!BD91,Resultados!BM91,Resultados!BV91,Resultados!CE91)&lt;=1, "", _xlfn.STDEV.S(ABS(Resultados!B91),ABS(Resultados!K91),ABS(Resultados!T91),ABS(Resultados!AC91),ABS(Resultados!AL91),ABS(Resultados!AU91),ABS(Resultados!BD91),ABS(Resultados!BM91),ABS(Resultados!BV91),ABS(Resultados!CE91))/SQRT(COUNT(Resultados!B91,Resultados!K91,Resultados!T91,Resultados!AC91,Resultados!AL91,Resultados!AU91,Resultados!BD91,Resultados!BM91,Resultados!BV91,Resultados!CE91)))</f>
        <v/>
      </c>
      <c r="C91">
        <f>IF(COUNT(Resultados!C91,Resultados!L91,Resultados!U91,Resultados!AD91,Resultados!AM91,Resultados!AV91,Resultados!BE91,Resultados!BN91,Resultados!BW91,Resultados!CF91)&lt;=1, "", _xlfn.STDEV.S(ABS(Resultados!C91),ABS(Resultados!L91),ABS(Resultados!U91),ABS(Resultados!AD91),ABS(Resultados!AM91),ABS(Resultados!AV91),ABS(Resultados!BE91),ABS(Resultados!BN91),ABS(Resultados!BW91),ABS(Resultados!CF91))/SQRT(COUNT(Resultados!C91,Resultados!L91,Resultados!U91,Resultados!AD91,Resultados!AM91,Resultados!AV91,Resultados!BE91,Resultados!BN91,Resultados!BW91,Resultados!CF91)))</f>
        <v>0.5587684871413402</v>
      </c>
      <c r="D91">
        <f>IF(COUNT(Resultados!D91,Resultados!M91,Resultados!V91,Resultados!AE91,Resultados!AN91,Resultados!AW91,Resultados!BF91,Resultados!BO91,Resultados!BX91,Resultados!CG91)&lt;=1, "", _xlfn.STDEV.S(ABS(Resultados!D91),ABS(Resultados!M91),ABS(Resultados!V91),ABS(Resultados!AE91),ABS(Resultados!AN91),ABS(Resultados!AW91),ABS(Resultados!BF91),ABS(Resultados!BO91),ABS(Resultados!BX91),ABS(Resultados!CG91))/SQRT(COUNT(Resultados!D91,Resultados!M91,Resultados!V91,Resultados!AE91,Resultados!AN91,Resultados!AW91,Resultados!BF91,Resultados!BO91,Resultados!BX91,Resultados!CG91)))</f>
        <v>9.9924415879648208E-4</v>
      </c>
      <c r="E91">
        <f>IF(COUNT(Resultados!E91,Resultados!N91,Resultados!W91,Resultados!AF91,Resultados!AO91,Resultados!AX91,Resultados!BG91,Resultados!BP91,Resultados!BY91,Resultados!CH91)&lt;=1, "", _xlfn.STDEV.S(ABS(Resultados!E91),ABS(Resultados!N91),ABS(Resultados!W91),ABS(Resultados!AF91),ABS(Resultados!AO91),ABS(Resultados!AX91),ABS(Resultados!BG91),ABS(Resultados!BP91),ABS(Resultados!BY91),ABS(Resultados!CH91))/SQRT(COUNT(Resultados!E91,Resultados!N91,Resultados!W91,Resultados!AF91,Resultados!AO91,Resultados!AX91,Resultados!BG91,Resultados!BP91,Resultados!BY91,Resultados!CH91)))</f>
        <v>6.3335797879289252E-2</v>
      </c>
      <c r="F91">
        <f>IF(COUNT(Resultados!F91,Resultados!O91,Resultados!X91,Resultados!AG91,Resultados!AP91,Resultados!AY91,Resultados!BH91,Resultados!BQ91,Resultados!BZ91,Resultados!CI91)&lt;=1, "", _xlfn.STDEV.S(ABS(Resultados!F91),ABS(Resultados!O91),ABS(Resultados!X91),ABS(Resultados!AG91),ABS(Resultados!AP91),ABS(Resultados!AY91),ABS(Resultados!BH91),ABS(Resultados!BQ91),ABS(Resultados!BZ91),ABS(Resultados!CI91))/SQRT(COUNT(Resultados!F91,Resultados!O91,Resultados!X91,Resultados!AG91,Resultados!AP91,Resultados!AY91,Resultados!BH91,Resultados!BQ91,Resultados!BZ91,Resultados!CI91)))</f>
        <v>6.010567218744554</v>
      </c>
      <c r="G91">
        <f>IF(COUNT(Resultados!G91,Resultados!P91,Resultados!Y91,Resultados!AH91,Resultados!AQ91,Resultados!AZ91,Resultados!BI91,Resultados!BR91,Resultados!CA91,Resultados!CJ91)&lt;=1, "", _xlfn.STDEV.S(ABS(Resultados!G91),ABS(Resultados!P91),ABS(Resultados!Y91),ABS(Resultados!AH91),ABS(Resultados!AQ91),ABS(Resultados!AZ91),ABS(Resultados!BI91),ABS(Resultados!BR91),ABS(Resultados!CA91),ABS(Resultados!CJ91))/SQRT(COUNT(Resultados!G91,Resultados!P91,Resultados!Y91,Resultados!AH91,Resultados!AQ91,Resultados!AZ91,Resultados!BI91,Resultados!BR91,Resultados!CA91,Resultados!CJ91)))</f>
        <v>1.8503717077085941E-17</v>
      </c>
      <c r="H91">
        <f>IF(COUNT(Resultados!H91,Resultados!Q91,Resultados!Z91,Resultados!AI91,Resultados!AR91,Resultados!BA91,Resultados!BJ91,Resultados!BS91,Resultados!CB91,Resultados!CK91)&lt;=1, "", _xlfn.STDEV.S(ABS(Resultados!H91),ABS(Resultados!Q91),ABS(Resultados!Z91),ABS(Resultados!AI91),ABS(Resultados!AR91),ABS(Resultados!BA91),ABS(Resultados!BJ91),ABS(Resultados!BS91),ABS(Resultados!CB91),ABS(Resultados!CK91))/SQRT(COUNT(Resultados!H91,Resultados!Q91,Resultados!Z91,Resultados!AI91,Resultados!AR91,Resultados!BA91,Resultados!BJ91,Resultados!BS91,Resultados!CB91,Resultados!CK91)))</f>
        <v>9.7905283026221055E-4</v>
      </c>
      <c r="I91">
        <f>IF(COUNT(Resultados!I91,Resultados!R91,Resultados!AA91,Resultados!AJ91,Resultados!AS91,Resultados!BB91,Resultados!BK91,Resultados!BT91,Resultados!CC91,Resultados!CL91)&lt;=1, "", _xlfn.STDEV.S(ABS(Resultados!I91),ABS(Resultados!R91),ABS(Resultados!AA91),ABS(Resultados!AJ91),ABS(Resultados!AS91),ABS(Resultados!BB91),ABS(Resultados!BK91),ABS(Resultados!BT91),ABS(Resultados!CC91),ABS(Resultados!CL91))/SQRT(COUNT(Resultados!I91,Resultados!R91,Resultados!AA91,Resultados!AJ91,Resultados!AS91,Resultados!BB91,Resultados!BK91,Resultados!BT91,Resultados!CC91,Resultados!CL91)))</f>
        <v>4.0309668324665066E-2</v>
      </c>
    </row>
    <row r="92" spans="1:9" x14ac:dyDescent="0.3">
      <c r="A92">
        <f>IF(COUNT(Resultados!A92,Resultados!J92,Resultados!S92,Resultados!AB92,Resultados!AK92,Resultados!AT92,Resultados!BC92,Resultados!BL92,Resultados!BU92,Resultados!CD92)&lt;=1, "", _xlfn.STDEV.S(ABS(Resultados!A92),ABS(Resultados!J92),ABS(Resultados!S92),ABS(Resultados!AB92),ABS(Resultados!AK92),ABS(Resultados!AT92),ABS(Resultados!BC92),ABS(Resultados!BL92),ABS(Resultados!BU92),ABS(Resultados!CD92))/SQRT(COUNT(Resultados!A92,Resultados!J92,Resultados!S92,Resultados!AB92,Resultados!AK92,Resultados!AT92,Resultados!BC92,Resultados!BL92,Resultados!BU92,Resultados!CD92)))</f>
        <v>0</v>
      </c>
      <c r="B92" t="str">
        <f>IF(COUNT(Resultados!B92,Resultados!K92,Resultados!T92,Resultados!AC92,Resultados!AL92,Resultados!AU92,Resultados!BD92,Resultados!BM92,Resultados!BV92,Resultados!CE92)&lt;=1, "", _xlfn.STDEV.S(ABS(Resultados!B92),ABS(Resultados!K92),ABS(Resultados!T92),ABS(Resultados!AC92),ABS(Resultados!AL92),ABS(Resultados!AU92),ABS(Resultados!BD92),ABS(Resultados!BM92),ABS(Resultados!BV92),ABS(Resultados!CE92))/SQRT(COUNT(Resultados!B92,Resultados!K92,Resultados!T92,Resultados!AC92,Resultados!AL92,Resultados!AU92,Resultados!BD92,Resultados!BM92,Resultados!BV92,Resultados!CE92)))</f>
        <v/>
      </c>
      <c r="C92">
        <f>IF(COUNT(Resultados!C92,Resultados!L92,Resultados!U92,Resultados!AD92,Resultados!AM92,Resultados!AV92,Resultados!BE92,Resultados!BN92,Resultados!BW92,Resultados!CF92)&lt;=1, "", _xlfn.STDEV.S(ABS(Resultados!C92),ABS(Resultados!L92),ABS(Resultados!U92),ABS(Resultados!AD92),ABS(Resultados!AM92),ABS(Resultados!AV92),ABS(Resultados!BE92),ABS(Resultados!BN92),ABS(Resultados!BW92),ABS(Resultados!CF92))/SQRT(COUNT(Resultados!C92,Resultados!L92,Resultados!U92,Resultados!AD92,Resultados!AM92,Resultados!AV92,Resultados!BE92,Resultados!BN92,Resultados!BW92,Resultados!CF92)))</f>
        <v>0.5587684871413402</v>
      </c>
      <c r="D92">
        <f>IF(COUNT(Resultados!D92,Resultados!M92,Resultados!V92,Resultados!AE92,Resultados!AN92,Resultados!AW92,Resultados!BF92,Resultados!BO92,Resultados!BX92,Resultados!CG92)&lt;=1, "", _xlfn.STDEV.S(ABS(Resultados!D92),ABS(Resultados!M92),ABS(Resultados!V92),ABS(Resultados!AE92),ABS(Resultados!AN92),ABS(Resultados!AW92),ABS(Resultados!BF92),ABS(Resultados!BO92),ABS(Resultados!BX92),ABS(Resultados!CG92))/SQRT(COUNT(Resultados!D92,Resultados!M92,Resultados!V92,Resultados!AE92,Resultados!AN92,Resultados!AW92,Resultados!BF92,Resultados!BO92,Resultados!BX92,Resultados!CG92)))</f>
        <v>9.8075367844213429E-4</v>
      </c>
      <c r="E92">
        <f>IF(COUNT(Resultados!E92,Resultados!N92,Resultados!W92,Resultados!AF92,Resultados!AO92,Resultados!AX92,Resultados!BG92,Resultados!BP92,Resultados!BY92,Resultados!CH92)&lt;=1, "", _xlfn.STDEV.S(ABS(Resultados!E92),ABS(Resultados!N92),ABS(Resultados!W92),ABS(Resultados!AF92),ABS(Resultados!AO92),ABS(Resultados!AX92),ABS(Resultados!BG92),ABS(Resultados!BP92),ABS(Resultados!BY92),ABS(Resultados!CH92))/SQRT(COUNT(Resultados!E92,Resultados!N92,Resultados!W92,Resultados!AF92,Resultados!AO92,Resultados!AX92,Resultados!BG92,Resultados!BP92,Resultados!BY92,Resultados!CH92)))</f>
        <v>6.2402598817563416E-2</v>
      </c>
      <c r="F92">
        <f>IF(COUNT(Resultados!F92,Resultados!O92,Resultados!X92,Resultados!AG92,Resultados!AP92,Resultados!AY92,Resultados!BH92,Resultados!BQ92,Resultados!BZ92,Resultados!CI92)&lt;=1, "", _xlfn.STDEV.S(ABS(Resultados!F92),ABS(Resultados!O92),ABS(Resultados!X92),ABS(Resultados!AG92),ABS(Resultados!AP92),ABS(Resultados!AY92),ABS(Resultados!BH92),ABS(Resultados!BQ92),ABS(Resultados!BZ92),ABS(Resultados!CI92))/SQRT(COUNT(Resultados!F92,Resultados!O92,Resultados!X92,Resultados!AG92,Resultados!AP92,Resultados!AY92,Resultados!BH92,Resultados!BQ92,Resultados!BZ92,Resultados!CI92)))</f>
        <v>5.9220066277867653</v>
      </c>
      <c r="G92">
        <f>IF(COUNT(Resultados!G92,Resultados!P92,Resultados!Y92,Resultados!AH92,Resultados!AQ92,Resultados!AZ92,Resultados!BI92,Resultados!BR92,Resultados!CA92,Resultados!CJ92)&lt;=1, "", _xlfn.STDEV.S(ABS(Resultados!G92),ABS(Resultados!P92),ABS(Resultados!Y92),ABS(Resultados!AH92),ABS(Resultados!AQ92),ABS(Resultados!AZ92),ABS(Resultados!BI92),ABS(Resultados!BR92),ABS(Resultados!CA92),ABS(Resultados!CJ92))/SQRT(COUNT(Resultados!G92,Resultados!P92,Resultados!Y92,Resultados!AH92,Resultados!AQ92,Resultados!AZ92,Resultados!BI92,Resultados!BR92,Resultados!CA92,Resultados!CJ92)))</f>
        <v>1.8503717077085941E-17</v>
      </c>
      <c r="H92">
        <f>IF(COUNT(Resultados!H92,Resultados!Q92,Resultados!Z92,Resultados!AI92,Resultados!AR92,Resultados!BA92,Resultados!BJ92,Resultados!BS92,Resultados!CB92,Resultados!CK92)&lt;=1, "", _xlfn.STDEV.S(ABS(Resultados!H92),ABS(Resultados!Q92),ABS(Resultados!Z92),ABS(Resultados!AI92),ABS(Resultados!AR92),ABS(Resultados!BA92),ABS(Resultados!BJ92),ABS(Resultados!BS92),ABS(Resultados!CB92),ABS(Resultados!CK92))/SQRT(COUNT(Resultados!H92,Resultados!Q92,Resultados!Z92,Resultados!AI92,Resultados!AR92,Resultados!BA92,Resultados!BJ92,Resultados!BS92,Resultados!CB92,Resultados!CK92)))</f>
        <v>9.7579597138837285E-4</v>
      </c>
      <c r="I92">
        <f>IF(COUNT(Resultados!I92,Resultados!R92,Resultados!AA92,Resultados!AJ92,Resultados!AS92,Resultados!BB92,Resultados!BK92,Resultados!BT92,Resultados!CC92,Resultados!CL92)&lt;=1, "", _xlfn.STDEV.S(ABS(Resultados!I92),ABS(Resultados!R92),ABS(Resultados!AA92),ABS(Resultados!AJ92),ABS(Resultados!AS92),ABS(Resultados!BB92),ABS(Resultados!BK92),ABS(Resultados!BT92),ABS(Resultados!CC92),ABS(Resultados!CL92))/SQRT(COUNT(Resultados!I92,Resultados!R92,Resultados!AA92,Resultados!AJ92,Resultados!AS92,Resultados!BB92,Resultados!BK92,Resultados!BT92,Resultados!CC92,Resultados!CL92)))</f>
        <v>4.02167913466802E-2</v>
      </c>
    </row>
    <row r="93" spans="1:9" x14ac:dyDescent="0.3">
      <c r="A93">
        <f>IF(COUNT(Resultados!A93,Resultados!J93,Resultados!S93,Resultados!AB93,Resultados!AK93,Resultados!AT93,Resultados!BC93,Resultados!BL93,Resultados!BU93,Resultados!CD93)&lt;=1, "", _xlfn.STDEV.S(ABS(Resultados!A93),ABS(Resultados!J93),ABS(Resultados!S93),ABS(Resultados!AB93),ABS(Resultados!AK93),ABS(Resultados!AT93),ABS(Resultados!BC93),ABS(Resultados!BL93),ABS(Resultados!BU93),ABS(Resultados!CD93))/SQRT(COUNT(Resultados!A93,Resultados!J93,Resultados!S93,Resultados!AB93,Resultados!AK93,Resultados!AT93,Resultados!BC93,Resultados!BL93,Resultados!BU93,Resultados!CD93)))</f>
        <v>0</v>
      </c>
      <c r="B93" t="str">
        <f>IF(COUNT(Resultados!B93,Resultados!K93,Resultados!T93,Resultados!AC93,Resultados!AL93,Resultados!AU93,Resultados!BD93,Resultados!BM93,Resultados!BV93,Resultados!CE93)&lt;=1, "", _xlfn.STDEV.S(ABS(Resultados!B93),ABS(Resultados!K93),ABS(Resultados!T93),ABS(Resultados!AC93),ABS(Resultados!AL93),ABS(Resultados!AU93),ABS(Resultados!BD93),ABS(Resultados!BM93),ABS(Resultados!BV93),ABS(Resultados!CE93))/SQRT(COUNT(Resultados!B93,Resultados!K93,Resultados!T93,Resultados!AC93,Resultados!AL93,Resultados!AU93,Resultados!BD93,Resultados!BM93,Resultados!BV93,Resultados!CE93)))</f>
        <v/>
      </c>
      <c r="C93">
        <f>IF(COUNT(Resultados!C93,Resultados!L93,Resultados!U93,Resultados!AD93,Resultados!AM93,Resultados!AV93,Resultados!BE93,Resultados!BN93,Resultados!BW93,Resultados!CF93)&lt;=1, "", _xlfn.STDEV.S(ABS(Resultados!C93),ABS(Resultados!L93),ABS(Resultados!U93),ABS(Resultados!AD93),ABS(Resultados!AM93),ABS(Resultados!AV93),ABS(Resultados!BE93),ABS(Resultados!BN93),ABS(Resultados!BW93),ABS(Resultados!CF93))/SQRT(COUNT(Resultados!C93,Resultados!L93,Resultados!U93,Resultados!AD93,Resultados!AM93,Resultados!AV93,Resultados!BE93,Resultados!BN93,Resultados!BW93,Resultados!CF93)))</f>
        <v>0.5587684871413402</v>
      </c>
      <c r="D93">
        <f>IF(COUNT(Resultados!D93,Resultados!M93,Resultados!V93,Resultados!AE93,Resultados!AN93,Resultados!AW93,Resultados!BF93,Resultados!BO93,Resultados!BX93,Resultados!CG93)&lt;=1, "", _xlfn.STDEV.S(ABS(Resultados!D93),ABS(Resultados!M93),ABS(Resultados!V93),ABS(Resultados!AE93),ABS(Resultados!AN93),ABS(Resultados!AW93),ABS(Resultados!BF93),ABS(Resultados!BO93),ABS(Resultados!BX93),ABS(Resultados!CG93))/SQRT(COUNT(Resultados!D93,Resultados!M93,Resultados!V93,Resultados!AE93,Resultados!AN93,Resultados!AW93,Resultados!BF93,Resultados!BO93,Resultados!BX93,Resultados!CG93)))</f>
        <v>1.0103079838456302E-3</v>
      </c>
      <c r="E93">
        <f>IF(COUNT(Resultados!E93,Resultados!N93,Resultados!W93,Resultados!AF93,Resultados!AO93,Resultados!AX93,Resultados!BG93,Resultados!BP93,Resultados!BY93,Resultados!CH93)&lt;=1, "", _xlfn.STDEV.S(ABS(Resultados!E93),ABS(Resultados!N93),ABS(Resultados!W93),ABS(Resultados!AF93),ABS(Resultados!AO93),ABS(Resultados!AX93),ABS(Resultados!BG93),ABS(Resultados!BP93),ABS(Resultados!BY93),ABS(Resultados!CH93))/SQRT(COUNT(Resultados!E93,Resultados!N93,Resultados!W93,Resultados!AF93,Resultados!AO93,Resultados!AX93,Resultados!BG93,Resultados!BP93,Resultados!BY93,Resultados!CH93)))</f>
        <v>5.9978060721941846E-2</v>
      </c>
      <c r="F93">
        <f>IF(COUNT(Resultados!F93,Resultados!O93,Resultados!X93,Resultados!AG93,Resultados!AP93,Resultados!AY93,Resultados!BH93,Resultados!BQ93,Resultados!BZ93,Resultados!CI93)&lt;=1, "", _xlfn.STDEV.S(ABS(Resultados!F93),ABS(Resultados!O93),ABS(Resultados!X93),ABS(Resultados!AG93),ABS(Resultados!AP93),ABS(Resultados!AY93),ABS(Resultados!BH93),ABS(Resultados!BQ93),ABS(Resultados!BZ93),ABS(Resultados!CI93))/SQRT(COUNT(Resultados!F93,Resultados!O93,Resultados!X93,Resultados!AG93,Resultados!AP93,Resultados!AY93,Resultados!BH93,Resultados!BQ93,Resultados!BZ93,Resultados!CI93)))</f>
        <v>5.6919179625122833</v>
      </c>
      <c r="G93">
        <f>IF(COUNT(Resultados!G93,Resultados!P93,Resultados!Y93,Resultados!AH93,Resultados!AQ93,Resultados!AZ93,Resultados!BI93,Resultados!BR93,Resultados!CA93,Resultados!CJ93)&lt;=1, "", _xlfn.STDEV.S(ABS(Resultados!G93),ABS(Resultados!P93),ABS(Resultados!Y93),ABS(Resultados!AH93),ABS(Resultados!AQ93),ABS(Resultados!AZ93),ABS(Resultados!BI93),ABS(Resultados!BR93),ABS(Resultados!CA93),ABS(Resultados!CJ93))/SQRT(COUNT(Resultados!G93,Resultados!P93,Resultados!Y93,Resultados!AH93,Resultados!AQ93,Resultados!AZ93,Resultados!BI93,Resultados!BR93,Resultados!CA93,Resultados!CJ93)))</f>
        <v>1.8503717077085941E-17</v>
      </c>
      <c r="H93">
        <f>IF(COUNT(Resultados!H93,Resultados!Q93,Resultados!Z93,Resultados!AI93,Resultados!AR93,Resultados!BA93,Resultados!BJ93,Resultados!BS93,Resultados!CB93,Resultados!CK93)&lt;=1, "", _xlfn.STDEV.S(ABS(Resultados!H93),ABS(Resultados!Q93),ABS(Resultados!Z93),ABS(Resultados!AI93),ABS(Resultados!AR93),ABS(Resultados!BA93),ABS(Resultados!BJ93),ABS(Resultados!BS93),ABS(Resultados!CB93),ABS(Resultados!CK93))/SQRT(COUNT(Resultados!H93,Resultados!Q93,Resultados!Z93,Resultados!AI93,Resultados!AR93,Resultados!BA93,Resultados!BJ93,Resultados!BS93,Resultados!CB93,Resultados!CK93)))</f>
        <v>9.3357139820988294E-4</v>
      </c>
      <c r="I93">
        <f>IF(COUNT(Resultados!I93,Resultados!R93,Resultados!AA93,Resultados!AJ93,Resultados!AS93,Resultados!BB93,Resultados!BK93,Resultados!BT93,Resultados!CC93,Resultados!CL93)&lt;=1, "", _xlfn.STDEV.S(ABS(Resultados!I93),ABS(Resultados!R93),ABS(Resultados!AA93),ABS(Resultados!AJ93),ABS(Resultados!AS93),ABS(Resultados!BB93),ABS(Resultados!BK93),ABS(Resultados!BT93),ABS(Resultados!CC93),ABS(Resultados!CL93))/SQRT(COUNT(Resultados!I93,Resultados!R93,Resultados!AA93,Resultados!AJ93,Resultados!AS93,Resultados!BB93,Resultados!BK93,Resultados!BT93,Resultados!CC93,Resultados!CL93)))</f>
        <v>4.0128631972697074E-2</v>
      </c>
    </row>
    <row r="94" spans="1:9" x14ac:dyDescent="0.3">
      <c r="A94">
        <f>IF(COUNT(Resultados!A94,Resultados!J94,Resultados!S94,Resultados!AB94,Resultados!AK94,Resultados!AT94,Resultados!BC94,Resultados!BL94,Resultados!BU94,Resultados!CD94)&lt;=1, "", _xlfn.STDEV.S(ABS(Resultados!A94),ABS(Resultados!J94),ABS(Resultados!S94),ABS(Resultados!AB94),ABS(Resultados!AK94),ABS(Resultados!AT94),ABS(Resultados!BC94),ABS(Resultados!BL94),ABS(Resultados!BU94),ABS(Resultados!CD94))/SQRT(COUNT(Resultados!A94,Resultados!J94,Resultados!S94,Resultados!AB94,Resultados!AK94,Resultados!AT94,Resultados!BC94,Resultados!BL94,Resultados!BU94,Resultados!CD94)))</f>
        <v>0</v>
      </c>
      <c r="B94" t="str">
        <f>IF(COUNT(Resultados!B94,Resultados!K94,Resultados!T94,Resultados!AC94,Resultados!AL94,Resultados!AU94,Resultados!BD94,Resultados!BM94,Resultados!BV94,Resultados!CE94)&lt;=1, "", _xlfn.STDEV.S(ABS(Resultados!B94),ABS(Resultados!K94),ABS(Resultados!T94),ABS(Resultados!AC94),ABS(Resultados!AL94),ABS(Resultados!AU94),ABS(Resultados!BD94),ABS(Resultados!BM94),ABS(Resultados!BV94),ABS(Resultados!CE94))/SQRT(COUNT(Resultados!B94,Resultados!K94,Resultados!T94,Resultados!AC94,Resultados!AL94,Resultados!AU94,Resultados!BD94,Resultados!BM94,Resultados!BV94,Resultados!CE94)))</f>
        <v/>
      </c>
      <c r="C94">
        <f>IF(COUNT(Resultados!C94,Resultados!L94,Resultados!U94,Resultados!AD94,Resultados!AM94,Resultados!AV94,Resultados!BE94,Resultados!BN94,Resultados!BW94,Resultados!CF94)&lt;=1, "", _xlfn.STDEV.S(ABS(Resultados!C94),ABS(Resultados!L94),ABS(Resultados!U94),ABS(Resultados!AD94),ABS(Resultados!AM94),ABS(Resultados!AV94),ABS(Resultados!BE94),ABS(Resultados!BN94),ABS(Resultados!BW94),ABS(Resultados!CF94))/SQRT(COUNT(Resultados!C94,Resultados!L94,Resultados!U94,Resultados!AD94,Resultados!AM94,Resultados!AV94,Resultados!BE94,Resultados!BN94,Resultados!BW94,Resultados!CF94)))</f>
        <v>0.5587684871413402</v>
      </c>
      <c r="D94">
        <f>IF(COUNT(Resultados!D94,Resultados!M94,Resultados!V94,Resultados!AE94,Resultados!AN94,Resultados!AW94,Resultados!BF94,Resultados!BO94,Resultados!BX94,Resultados!CG94)&lt;=1, "", _xlfn.STDEV.S(ABS(Resultados!D94),ABS(Resultados!M94),ABS(Resultados!V94),ABS(Resultados!AE94),ABS(Resultados!AN94),ABS(Resultados!AW94),ABS(Resultados!BF94),ABS(Resultados!BO94),ABS(Resultados!BX94),ABS(Resultados!CG94))/SQRT(COUNT(Resultados!D94,Resultados!M94,Resultados!V94,Resultados!AE94,Resultados!AN94,Resultados!AW94,Resultados!BF94,Resultados!BO94,Resultados!BX94,Resultados!CG94)))</f>
        <v>9.9830968252452731E-4</v>
      </c>
      <c r="E94">
        <f>IF(COUNT(Resultados!E94,Resultados!N94,Resultados!W94,Resultados!AF94,Resultados!AO94,Resultados!AX94,Resultados!BG94,Resultados!BP94,Resultados!BY94,Resultados!CH94)&lt;=1, "", _xlfn.STDEV.S(ABS(Resultados!E94),ABS(Resultados!N94),ABS(Resultados!W94),ABS(Resultados!AF94),ABS(Resultados!AO94),ABS(Resultados!AX94),ABS(Resultados!BG94),ABS(Resultados!BP94),ABS(Resultados!BY94),ABS(Resultados!CH94))/SQRT(COUNT(Resultados!E94,Resultados!N94,Resultados!W94,Resultados!AF94,Resultados!AO94,Resultados!AX94,Resultados!BG94,Resultados!BP94,Resultados!BY94,Resultados!CH94)))</f>
        <v>5.627628502509989E-2</v>
      </c>
      <c r="F94">
        <f>IF(COUNT(Resultados!F94,Resultados!O94,Resultados!X94,Resultados!AG94,Resultados!AP94,Resultados!AY94,Resultados!BH94,Resultados!BQ94,Resultados!BZ94,Resultados!CI94)&lt;=1, "", _xlfn.STDEV.S(ABS(Resultados!F94),ABS(Resultados!O94),ABS(Resultados!X94),ABS(Resultados!AG94),ABS(Resultados!AP94),ABS(Resultados!AY94),ABS(Resultados!BH94),ABS(Resultados!BQ94),ABS(Resultados!BZ94),ABS(Resultados!CI94))/SQRT(COUNT(Resultados!F94,Resultados!O94,Resultados!X94,Resultados!AG94,Resultados!AP94,Resultados!AY94,Resultados!BH94,Resultados!BQ94,Resultados!BZ94,Resultados!CI94)))</f>
        <v>5.3406194488819905</v>
      </c>
      <c r="G94">
        <f>IF(COUNT(Resultados!G94,Resultados!P94,Resultados!Y94,Resultados!AH94,Resultados!AQ94,Resultados!AZ94,Resultados!BI94,Resultados!BR94,Resultados!CA94,Resultados!CJ94)&lt;=1, "", _xlfn.STDEV.S(ABS(Resultados!G94),ABS(Resultados!P94),ABS(Resultados!Y94),ABS(Resultados!AH94),ABS(Resultados!AQ94),ABS(Resultados!AZ94),ABS(Resultados!BI94),ABS(Resultados!BR94),ABS(Resultados!CA94),ABS(Resultados!CJ94))/SQRT(COUNT(Resultados!G94,Resultados!P94,Resultados!Y94,Resultados!AH94,Resultados!AQ94,Resultados!AZ94,Resultados!BI94,Resultados!BR94,Resultados!CA94,Resultados!CJ94)))</f>
        <v>1.8503717077085941E-17</v>
      </c>
      <c r="H94">
        <f>IF(COUNT(Resultados!H94,Resultados!Q94,Resultados!Z94,Resultados!AI94,Resultados!AR94,Resultados!BA94,Resultados!BJ94,Resultados!BS94,Resultados!CB94,Resultados!CK94)&lt;=1, "", _xlfn.STDEV.S(ABS(Resultados!H94),ABS(Resultados!Q94),ABS(Resultados!Z94),ABS(Resultados!AI94),ABS(Resultados!AR94),ABS(Resultados!BA94),ABS(Resultados!BJ94),ABS(Resultados!BS94),ABS(Resultados!CB94),ABS(Resultados!CK94))/SQRT(COUNT(Resultados!H94,Resultados!Q94,Resultados!Z94,Resultados!AI94,Resultados!AR94,Resultados!BA94,Resultados!BJ94,Resultados!BS94,Resultados!CB94,Resultados!CK94)))</f>
        <v>8.7358774920185073E-4</v>
      </c>
      <c r="I94">
        <f>IF(COUNT(Resultados!I94,Resultados!R94,Resultados!AA94,Resultados!AJ94,Resultados!AS94,Resultados!BB94,Resultados!BK94,Resultados!BT94,Resultados!CC94,Resultados!CL94)&lt;=1, "", _xlfn.STDEV.S(ABS(Resultados!I94),ABS(Resultados!R94),ABS(Resultados!AA94),ABS(Resultados!AJ94),ABS(Resultados!AS94),ABS(Resultados!BB94),ABS(Resultados!BK94),ABS(Resultados!BT94),ABS(Resultados!CC94),ABS(Resultados!CL94))/SQRT(COUNT(Resultados!I94,Resultados!R94,Resultados!AA94,Resultados!AJ94,Resultados!AS94,Resultados!BB94,Resultados!BK94,Resultados!BT94,Resultados!CC94,Resultados!CL94)))</f>
        <v>4.0200459158517166E-2</v>
      </c>
    </row>
    <row r="95" spans="1:9" x14ac:dyDescent="0.3">
      <c r="A95">
        <f>IF(COUNT(Resultados!A95,Resultados!J95,Resultados!S95,Resultados!AB95,Resultados!AK95,Resultados!AT95,Resultados!BC95,Resultados!BL95,Resultados!BU95,Resultados!CD95)&lt;=1, "", _xlfn.STDEV.S(ABS(Resultados!A95),ABS(Resultados!J95),ABS(Resultados!S95),ABS(Resultados!AB95),ABS(Resultados!AK95),ABS(Resultados!AT95),ABS(Resultados!BC95),ABS(Resultados!BL95),ABS(Resultados!BU95),ABS(Resultados!CD95))/SQRT(COUNT(Resultados!A95,Resultados!J95,Resultados!S95,Resultados!AB95,Resultados!AK95,Resultados!AT95,Resultados!BC95,Resultados!BL95,Resultados!BU95,Resultados!CD95)))</f>
        <v>0</v>
      </c>
      <c r="B95" t="str">
        <f>IF(COUNT(Resultados!B95,Resultados!K95,Resultados!T95,Resultados!AC95,Resultados!AL95,Resultados!AU95,Resultados!BD95,Resultados!BM95,Resultados!BV95,Resultados!CE95)&lt;=1, "", _xlfn.STDEV.S(ABS(Resultados!B95),ABS(Resultados!K95),ABS(Resultados!T95),ABS(Resultados!AC95),ABS(Resultados!AL95),ABS(Resultados!AU95),ABS(Resultados!BD95),ABS(Resultados!BM95),ABS(Resultados!BV95),ABS(Resultados!CE95))/SQRT(COUNT(Resultados!B95,Resultados!K95,Resultados!T95,Resultados!AC95,Resultados!AL95,Resultados!AU95,Resultados!BD95,Resultados!BM95,Resultados!BV95,Resultados!CE95)))</f>
        <v/>
      </c>
      <c r="C95">
        <f>IF(COUNT(Resultados!C95,Resultados!L95,Resultados!U95,Resultados!AD95,Resultados!AM95,Resultados!AV95,Resultados!BE95,Resultados!BN95,Resultados!BW95,Resultados!CF95)&lt;=1, "", _xlfn.STDEV.S(ABS(Resultados!C95),ABS(Resultados!L95),ABS(Resultados!U95),ABS(Resultados!AD95),ABS(Resultados!AM95),ABS(Resultados!AV95),ABS(Resultados!BE95),ABS(Resultados!BN95),ABS(Resultados!BW95),ABS(Resultados!CF95))/SQRT(COUNT(Resultados!C95,Resultados!L95,Resultados!U95,Resultados!AD95,Resultados!AM95,Resultados!AV95,Resultados!BE95,Resultados!BN95,Resultados!BW95,Resultados!CF95)))</f>
        <v>0.5587684871413402</v>
      </c>
      <c r="D95">
        <f>IF(COUNT(Resultados!D95,Resultados!M95,Resultados!V95,Resultados!AE95,Resultados!AN95,Resultados!AW95,Resultados!BF95,Resultados!BO95,Resultados!BX95,Resultados!CG95)&lt;=1, "", _xlfn.STDEV.S(ABS(Resultados!D95),ABS(Resultados!M95),ABS(Resultados!V95),ABS(Resultados!AE95),ABS(Resultados!AN95),ABS(Resultados!AW95),ABS(Resultados!BF95),ABS(Resultados!BO95),ABS(Resultados!BX95),ABS(Resultados!CG95))/SQRT(COUNT(Resultados!D95,Resultados!M95,Resultados!V95,Resultados!AE95,Resultados!AN95,Resultados!AW95,Resultados!BF95,Resultados!BO95,Resultados!BX95,Resultados!CG95)))</f>
        <v>9.4681336891467476E-4</v>
      </c>
      <c r="E95">
        <f>IF(COUNT(Resultados!E95,Resultados!N95,Resultados!W95,Resultados!AF95,Resultados!AO95,Resultados!AX95,Resultados!BG95,Resultados!BP95,Resultados!BY95,Resultados!CH95)&lt;=1, "", _xlfn.STDEV.S(ABS(Resultados!E95),ABS(Resultados!N95),ABS(Resultados!W95),ABS(Resultados!AF95),ABS(Resultados!AO95),ABS(Resultados!AX95),ABS(Resultados!BG95),ABS(Resultados!BP95),ABS(Resultados!BY95),ABS(Resultados!CH95))/SQRT(COUNT(Resultados!E95,Resultados!N95,Resultados!W95,Resultados!AF95,Resultados!AO95,Resultados!AX95,Resultados!BG95,Resultados!BP95,Resultados!BY95,Resultados!CH95)))</f>
        <v>5.1420682064093469E-2</v>
      </c>
      <c r="F95">
        <f>IF(COUNT(Resultados!F95,Resultados!O95,Resultados!X95,Resultados!AG95,Resultados!AP95,Resultados!AY95,Resultados!BH95,Resultados!BQ95,Resultados!BZ95,Resultados!CI95)&lt;=1, "", _xlfn.STDEV.S(ABS(Resultados!F95),ABS(Resultados!O95),ABS(Resultados!X95),ABS(Resultados!AG95),ABS(Resultados!AP95),ABS(Resultados!AY95),ABS(Resultados!BH95),ABS(Resultados!BQ95),ABS(Resultados!BZ95),ABS(Resultados!CI95))/SQRT(COUNT(Resultados!F95,Resultados!O95,Resultados!X95,Resultados!AG95,Resultados!AP95,Resultados!AY95,Resultados!BH95,Resultados!BQ95,Resultados!BZ95,Resultados!CI95)))</f>
        <v>4.8798227278825017</v>
      </c>
      <c r="G95">
        <f>IF(COUNT(Resultados!G95,Resultados!P95,Resultados!Y95,Resultados!AH95,Resultados!AQ95,Resultados!AZ95,Resultados!BI95,Resultados!BR95,Resultados!CA95,Resultados!CJ95)&lt;=1, "", _xlfn.STDEV.S(ABS(Resultados!G95),ABS(Resultados!P95),ABS(Resultados!Y95),ABS(Resultados!AH95),ABS(Resultados!AQ95),ABS(Resultados!AZ95),ABS(Resultados!BI95),ABS(Resultados!BR95),ABS(Resultados!CA95),ABS(Resultados!CJ95))/SQRT(COUNT(Resultados!G95,Resultados!P95,Resultados!Y95,Resultados!AH95,Resultados!AQ95,Resultados!AZ95,Resultados!BI95,Resultados!BR95,Resultados!CA95,Resultados!CJ95)))</f>
        <v>1.8503717077085941E-17</v>
      </c>
      <c r="H95">
        <f>IF(COUNT(Resultados!H95,Resultados!Q95,Resultados!Z95,Resultados!AI95,Resultados!AR95,Resultados!BA95,Resultados!BJ95,Resultados!BS95,Resultados!CB95,Resultados!CK95)&lt;=1, "", _xlfn.STDEV.S(ABS(Resultados!H95),ABS(Resultados!Q95),ABS(Resultados!Z95),ABS(Resultados!AI95),ABS(Resultados!AR95),ABS(Resultados!BA95),ABS(Resultados!BJ95),ABS(Resultados!BS95),ABS(Resultados!CB95),ABS(Resultados!CK95))/SQRT(COUNT(Resultados!H95,Resultados!Q95,Resultados!Z95,Resultados!AI95,Resultados!AR95,Resultados!BA95,Resultados!BJ95,Resultados!BS95,Resultados!CB95,Resultados!CK95)))</f>
        <v>7.9680612447445456E-4</v>
      </c>
      <c r="I95">
        <f>IF(COUNT(Resultados!I95,Resultados!R95,Resultados!AA95,Resultados!AJ95,Resultados!AS95,Resultados!BB95,Resultados!BK95,Resultados!BT95,Resultados!CC95,Resultados!CL95)&lt;=1, "", _xlfn.STDEV.S(ABS(Resultados!I95),ABS(Resultados!R95),ABS(Resultados!AA95),ABS(Resultados!AJ95),ABS(Resultados!AS95),ABS(Resultados!BB95),ABS(Resultados!BK95),ABS(Resultados!BT95),ABS(Resultados!CC95),ABS(Resultados!CL95))/SQRT(COUNT(Resultados!I95,Resultados!R95,Resultados!AA95,Resultados!AJ95,Resultados!AS95,Resultados!BB95,Resultados!BK95,Resultados!BT95,Resultados!CC95,Resultados!CL95)))</f>
        <v>4.0497894902769539E-2</v>
      </c>
    </row>
    <row r="96" spans="1:9" x14ac:dyDescent="0.3">
      <c r="A96">
        <f>IF(COUNT(Resultados!A96,Resultados!J96,Resultados!S96,Resultados!AB96,Resultados!AK96,Resultados!AT96,Resultados!BC96,Resultados!BL96,Resultados!BU96,Resultados!CD96)&lt;=1, "", _xlfn.STDEV.S(ABS(Resultados!A96),ABS(Resultados!J96),ABS(Resultados!S96),ABS(Resultados!AB96),ABS(Resultados!AK96),ABS(Resultados!AT96),ABS(Resultados!BC96),ABS(Resultados!BL96),ABS(Resultados!BU96),ABS(Resultados!CD96))/SQRT(COUNT(Resultados!A96,Resultados!J96,Resultados!S96,Resultados!AB96,Resultados!AK96,Resultados!AT96,Resultados!BC96,Resultados!BL96,Resultados!BU96,Resultados!CD96)))</f>
        <v>0</v>
      </c>
      <c r="B96" t="str">
        <f>IF(COUNT(Resultados!B96,Resultados!K96,Resultados!T96,Resultados!AC96,Resultados!AL96,Resultados!AU96,Resultados!BD96,Resultados!BM96,Resultados!BV96,Resultados!CE96)&lt;=1, "", _xlfn.STDEV.S(ABS(Resultados!B96),ABS(Resultados!K96),ABS(Resultados!T96),ABS(Resultados!AC96),ABS(Resultados!AL96),ABS(Resultados!AU96),ABS(Resultados!BD96),ABS(Resultados!BM96),ABS(Resultados!BV96),ABS(Resultados!CE96))/SQRT(COUNT(Resultados!B96,Resultados!K96,Resultados!T96,Resultados!AC96,Resultados!AL96,Resultados!AU96,Resultados!BD96,Resultados!BM96,Resultados!BV96,Resultados!CE96)))</f>
        <v/>
      </c>
      <c r="C96">
        <f>IF(COUNT(Resultados!C96,Resultados!L96,Resultados!U96,Resultados!AD96,Resultados!AM96,Resultados!AV96,Resultados!BE96,Resultados!BN96,Resultados!BW96,Resultados!CF96)&lt;=1, "", _xlfn.STDEV.S(ABS(Resultados!C96),ABS(Resultados!L96),ABS(Resultados!U96),ABS(Resultados!AD96),ABS(Resultados!AM96),ABS(Resultados!AV96),ABS(Resultados!BE96),ABS(Resultados!BN96),ABS(Resultados!BW96),ABS(Resultados!CF96))/SQRT(COUNT(Resultados!C96,Resultados!L96,Resultados!U96,Resultados!AD96,Resultados!AM96,Resultados!AV96,Resultados!BE96,Resultados!BN96,Resultados!BW96,Resultados!CF96)))</f>
        <v>0.5587684871413402</v>
      </c>
      <c r="D96">
        <f>IF(COUNT(Resultados!D96,Resultados!M96,Resultados!V96,Resultados!AE96,Resultados!AN96,Resultados!AW96,Resultados!BF96,Resultados!BO96,Resultados!BX96,Resultados!CG96)&lt;=1, "", _xlfn.STDEV.S(ABS(Resultados!D96),ABS(Resultados!M96),ABS(Resultados!V96),ABS(Resultados!AE96),ABS(Resultados!AN96),ABS(Resultados!AW96),ABS(Resultados!BF96),ABS(Resultados!BO96),ABS(Resultados!BX96),ABS(Resultados!CG96))/SQRT(COUNT(Resultados!D96,Resultados!M96,Resultados!V96,Resultados!AE96,Resultados!AN96,Resultados!AW96,Resultados!BF96,Resultados!BO96,Resultados!BX96,Resultados!CG96)))</f>
        <v>8.4277320001686494E-4</v>
      </c>
      <c r="E96">
        <f>IF(COUNT(Resultados!E96,Resultados!N96,Resultados!W96,Resultados!AF96,Resultados!AO96,Resultados!AX96,Resultados!BG96,Resultados!BP96,Resultados!BY96,Resultados!CH96)&lt;=1, "", _xlfn.STDEV.S(ABS(Resultados!E96),ABS(Resultados!N96),ABS(Resultados!W96),ABS(Resultados!AF96),ABS(Resultados!AO96),ABS(Resultados!AX96),ABS(Resultados!BG96),ABS(Resultados!BP96),ABS(Resultados!BY96),ABS(Resultados!CH96))/SQRT(COUNT(Resultados!E96,Resultados!N96,Resultados!W96,Resultados!AF96,Resultados!AO96,Resultados!AX96,Resultados!BG96,Resultados!BP96,Resultados!BY96,Resultados!CH96)))</f>
        <v>4.4768632373512342E-2</v>
      </c>
      <c r="F96">
        <f>IF(COUNT(Resultados!F96,Resultados!O96,Resultados!X96,Resultados!AG96,Resultados!AP96,Resultados!AY96,Resultados!BH96,Resultados!BQ96,Resultados!BZ96,Resultados!CI96)&lt;=1, "", _xlfn.STDEV.S(ABS(Resultados!F96),ABS(Resultados!O96),ABS(Resultados!X96),ABS(Resultados!AG96),ABS(Resultados!AP96),ABS(Resultados!AY96),ABS(Resultados!BH96),ABS(Resultados!BQ96),ABS(Resultados!BZ96),ABS(Resultados!CI96))/SQRT(COUNT(Resultados!F96,Resultados!O96,Resultados!X96,Resultados!AG96,Resultados!AP96,Resultados!AY96,Resultados!BH96,Resultados!BQ96,Resultados!BZ96,Resultados!CI96)))</f>
        <v>4.2485432122462816</v>
      </c>
      <c r="G96">
        <f>IF(COUNT(Resultados!G96,Resultados!P96,Resultados!Y96,Resultados!AH96,Resultados!AQ96,Resultados!AZ96,Resultados!BI96,Resultados!BR96,Resultados!CA96,Resultados!CJ96)&lt;=1, "", _xlfn.STDEV.S(ABS(Resultados!G96),ABS(Resultados!P96),ABS(Resultados!Y96),ABS(Resultados!AH96),ABS(Resultados!AQ96),ABS(Resultados!AZ96),ABS(Resultados!BI96),ABS(Resultados!BR96),ABS(Resultados!CA96),ABS(Resultados!CJ96))/SQRT(COUNT(Resultados!G96,Resultados!P96,Resultados!Y96,Resultados!AH96,Resultados!AQ96,Resultados!AZ96,Resultados!BI96,Resultados!BR96,Resultados!CA96,Resultados!CJ96)))</f>
        <v>1.8503717077085941E-17</v>
      </c>
      <c r="H96">
        <f>IF(COUNT(Resultados!H96,Resultados!Q96,Resultados!Z96,Resultados!AI96,Resultados!AR96,Resultados!BA96,Resultados!BJ96,Resultados!BS96,Resultados!CB96,Resultados!CK96)&lt;=1, "", _xlfn.STDEV.S(ABS(Resultados!H96),ABS(Resultados!Q96),ABS(Resultados!Z96),ABS(Resultados!AI96),ABS(Resultados!AR96),ABS(Resultados!BA96),ABS(Resultados!BJ96),ABS(Resultados!BS96),ABS(Resultados!CB96),ABS(Resultados!CK96))/SQRT(COUNT(Resultados!H96,Resultados!Q96,Resultados!Z96,Resultados!AI96,Resultados!AR96,Resultados!BA96,Resultados!BJ96,Resultados!BS96,Resultados!CB96,Resultados!CK96)))</f>
        <v>6.9589271203732725E-4</v>
      </c>
      <c r="I96">
        <f>IF(COUNT(Resultados!I96,Resultados!R96,Resultados!AA96,Resultados!AJ96,Resultados!AS96,Resultados!BB96,Resultados!BK96,Resultados!BT96,Resultados!CC96,Resultados!CL96)&lt;=1, "", _xlfn.STDEV.S(ABS(Resultados!I96),ABS(Resultados!R96),ABS(Resultados!AA96),ABS(Resultados!AJ96),ABS(Resultados!AS96),ABS(Resultados!BB96),ABS(Resultados!BK96),ABS(Resultados!BT96),ABS(Resultados!CC96),ABS(Resultados!CL96))/SQRT(COUNT(Resultados!I96,Resultados!R96,Resultados!AA96,Resultados!AJ96,Resultados!AS96,Resultados!BB96,Resultados!BK96,Resultados!BT96,Resultados!CC96,Resultados!CL96)))</f>
        <v>4.0345619959161902E-2</v>
      </c>
    </row>
    <row r="97" spans="1:9" x14ac:dyDescent="0.3">
      <c r="A97">
        <f>IF(COUNT(Resultados!A97,Resultados!J97,Resultados!S97,Resultados!AB97,Resultados!AK97,Resultados!AT97,Resultados!BC97,Resultados!BL97,Resultados!BU97,Resultados!CD97)&lt;=1, "", _xlfn.STDEV.S(ABS(Resultados!A97),ABS(Resultados!J97),ABS(Resultados!S97),ABS(Resultados!AB97),ABS(Resultados!AK97),ABS(Resultados!AT97),ABS(Resultados!BC97),ABS(Resultados!BL97),ABS(Resultados!BU97),ABS(Resultados!CD97))/SQRT(COUNT(Resultados!A97,Resultados!J97,Resultados!S97,Resultados!AB97,Resultados!AK97,Resultados!AT97,Resultados!BC97,Resultados!BL97,Resultados!BU97,Resultados!CD97)))</f>
        <v>0</v>
      </c>
      <c r="B97" t="str">
        <f>IF(COUNT(Resultados!B97,Resultados!K97,Resultados!T97,Resultados!AC97,Resultados!AL97,Resultados!AU97,Resultados!BD97,Resultados!BM97,Resultados!BV97,Resultados!CE97)&lt;=1, "", _xlfn.STDEV.S(ABS(Resultados!B97),ABS(Resultados!K97),ABS(Resultados!T97),ABS(Resultados!AC97),ABS(Resultados!AL97),ABS(Resultados!AU97),ABS(Resultados!BD97),ABS(Resultados!BM97),ABS(Resultados!BV97),ABS(Resultados!CE97))/SQRT(COUNT(Resultados!B97,Resultados!K97,Resultados!T97,Resultados!AC97,Resultados!AL97,Resultados!AU97,Resultados!BD97,Resultados!BM97,Resultados!BV97,Resultados!CE97)))</f>
        <v/>
      </c>
      <c r="C97">
        <f>IF(COUNT(Resultados!C97,Resultados!L97,Resultados!U97,Resultados!AD97,Resultados!AM97,Resultados!AV97,Resultados!BE97,Resultados!BN97,Resultados!BW97,Resultados!CF97)&lt;=1, "", _xlfn.STDEV.S(ABS(Resultados!C97),ABS(Resultados!L97),ABS(Resultados!U97),ABS(Resultados!AD97),ABS(Resultados!AM97),ABS(Resultados!AV97),ABS(Resultados!BE97),ABS(Resultados!BN97),ABS(Resultados!BW97),ABS(Resultados!CF97))/SQRT(COUNT(Resultados!C97,Resultados!L97,Resultados!U97,Resultados!AD97,Resultados!AM97,Resultados!AV97,Resultados!BE97,Resultados!BN97,Resultados!BW97,Resultados!CF97)))</f>
        <v>0.5587684871413402</v>
      </c>
      <c r="D97">
        <f>IF(COUNT(Resultados!D97,Resultados!M97,Resultados!V97,Resultados!AE97,Resultados!AN97,Resultados!AW97,Resultados!BF97,Resultados!BO97,Resultados!BX97,Resultados!CG97)&lt;=1, "", _xlfn.STDEV.S(ABS(Resultados!D97),ABS(Resultados!M97),ABS(Resultados!V97),ABS(Resultados!AE97),ABS(Resultados!AN97),ABS(Resultados!AW97),ABS(Resultados!BF97),ABS(Resultados!BO97),ABS(Resultados!BX97),ABS(Resultados!CG97))/SQRT(COUNT(Resultados!D97,Resultados!M97,Resultados!V97,Resultados!AE97,Resultados!AN97,Resultados!AW97,Resultados!BF97,Resultados!BO97,Resultados!BX97,Resultados!CG97)))</f>
        <v>6.3836596957475014E-4</v>
      </c>
      <c r="E97">
        <f>IF(COUNT(Resultados!E97,Resultados!N97,Resultados!W97,Resultados!AF97,Resultados!AO97,Resultados!AX97,Resultados!BG97,Resultados!BP97,Resultados!BY97,Resultados!CH97)&lt;=1, "", _xlfn.STDEV.S(ABS(Resultados!E97),ABS(Resultados!N97),ABS(Resultados!W97),ABS(Resultados!AF97),ABS(Resultados!AO97),ABS(Resultados!AX97),ABS(Resultados!BG97),ABS(Resultados!BP97),ABS(Resultados!BY97),ABS(Resultados!CH97))/SQRT(COUNT(Resultados!E97,Resultados!N97,Resultados!W97,Resultados!AF97,Resultados!AO97,Resultados!AX97,Resultados!BG97,Resultados!BP97,Resultados!BY97,Resultados!CH97)))</f>
        <v>3.7200359286823192E-2</v>
      </c>
      <c r="F97">
        <f>IF(COUNT(Resultados!F97,Resultados!O97,Resultados!X97,Resultados!AG97,Resultados!AP97,Resultados!AY97,Resultados!BH97,Resultados!BQ97,Resultados!BZ97,Resultados!CI97)&lt;=1, "", _xlfn.STDEV.S(ABS(Resultados!F97),ABS(Resultados!O97),ABS(Resultados!X97),ABS(Resultados!AG97),ABS(Resultados!AP97),ABS(Resultados!AY97),ABS(Resultados!BH97),ABS(Resultados!BQ97),ABS(Resultados!BZ97),ABS(Resultados!CI97))/SQRT(COUNT(Resultados!F97,Resultados!O97,Resultados!X97,Resultados!AG97,Resultados!AP97,Resultados!AY97,Resultados!BH97,Resultados!BQ97,Resultados!BZ97,Resultados!CI97)))</f>
        <v>3.5303140963195334</v>
      </c>
      <c r="G97">
        <f>IF(COUNT(Resultados!G97,Resultados!P97,Resultados!Y97,Resultados!AH97,Resultados!AQ97,Resultados!AZ97,Resultados!BI97,Resultados!BR97,Resultados!CA97,Resultados!CJ97)&lt;=1, "", _xlfn.STDEV.S(ABS(Resultados!G97),ABS(Resultados!P97),ABS(Resultados!Y97),ABS(Resultados!AH97),ABS(Resultados!AQ97),ABS(Resultados!AZ97),ABS(Resultados!BI97),ABS(Resultados!BR97),ABS(Resultados!CA97),ABS(Resultados!CJ97))/SQRT(COUNT(Resultados!G97,Resultados!P97,Resultados!Y97,Resultados!AH97,Resultados!AQ97,Resultados!AZ97,Resultados!BI97,Resultados!BR97,Resultados!CA97,Resultados!CJ97)))</f>
        <v>1.8503717077085941E-17</v>
      </c>
      <c r="H97">
        <f>IF(COUNT(Resultados!H97,Resultados!Q97,Resultados!Z97,Resultados!AI97,Resultados!AR97,Resultados!BA97,Resultados!BJ97,Resultados!BS97,Resultados!CB97,Resultados!CK97)&lt;=1, "", _xlfn.STDEV.S(ABS(Resultados!H97),ABS(Resultados!Q97),ABS(Resultados!Z97),ABS(Resultados!AI97),ABS(Resultados!AR97),ABS(Resultados!BA97),ABS(Resultados!BJ97),ABS(Resultados!BS97),ABS(Resultados!CB97),ABS(Resultados!CK97))/SQRT(COUNT(Resultados!H97,Resultados!Q97,Resultados!Z97,Resultados!AI97,Resultados!AR97,Resultados!BA97,Resultados!BJ97,Resultados!BS97,Resultados!CB97,Resultados!CK97)))</f>
        <v>5.7916606714597258E-4</v>
      </c>
      <c r="I97">
        <f>IF(COUNT(Resultados!I97,Resultados!R97,Resultados!AA97,Resultados!AJ97,Resultados!AS97,Resultados!BB97,Resultados!BK97,Resultados!BT97,Resultados!CC97,Resultados!CL97)&lt;=1, "", _xlfn.STDEV.S(ABS(Resultados!I97),ABS(Resultados!R97),ABS(Resultados!AA97),ABS(Resultados!AJ97),ABS(Resultados!AS97),ABS(Resultados!BB97),ABS(Resultados!BK97),ABS(Resultados!BT97),ABS(Resultados!CC97),ABS(Resultados!CL97))/SQRT(COUNT(Resultados!I97,Resultados!R97,Resultados!AA97,Resultados!AJ97,Resultados!AS97,Resultados!BB97,Resultados!BK97,Resultados!BT97,Resultados!CC97,Resultados!CL97)))</f>
        <v>4.033070861432151E-2</v>
      </c>
    </row>
    <row r="98" spans="1:9" x14ac:dyDescent="0.3">
      <c r="A98">
        <f>IF(COUNT(Resultados!A98,Resultados!J98,Resultados!S98,Resultados!AB98,Resultados!AK98,Resultados!AT98,Resultados!BC98,Resultados!BL98,Resultados!BU98,Resultados!CD98)&lt;=1, "", _xlfn.STDEV.S(ABS(Resultados!A98),ABS(Resultados!J98),ABS(Resultados!S98),ABS(Resultados!AB98),ABS(Resultados!AK98),ABS(Resultados!AT98),ABS(Resultados!BC98),ABS(Resultados!BL98),ABS(Resultados!BU98),ABS(Resultados!CD98))/SQRT(COUNT(Resultados!A98,Resultados!J98,Resultados!S98,Resultados!AB98,Resultados!AK98,Resultados!AT98,Resultados!BC98,Resultados!BL98,Resultados!BU98,Resultados!CD98)))</f>
        <v>0</v>
      </c>
      <c r="B98" t="str">
        <f>IF(COUNT(Resultados!B98,Resultados!K98,Resultados!T98,Resultados!AC98,Resultados!AL98,Resultados!AU98,Resultados!BD98,Resultados!BM98,Resultados!BV98,Resultados!CE98)&lt;=1, "", _xlfn.STDEV.S(ABS(Resultados!B98),ABS(Resultados!K98),ABS(Resultados!T98),ABS(Resultados!AC98),ABS(Resultados!AL98),ABS(Resultados!AU98),ABS(Resultados!BD98),ABS(Resultados!BM98),ABS(Resultados!BV98),ABS(Resultados!CE98))/SQRT(COUNT(Resultados!B98,Resultados!K98,Resultados!T98,Resultados!AC98,Resultados!AL98,Resultados!AU98,Resultados!BD98,Resultados!BM98,Resultados!BV98,Resultados!CE98)))</f>
        <v/>
      </c>
      <c r="C98">
        <f>IF(COUNT(Resultados!C98,Resultados!L98,Resultados!U98,Resultados!AD98,Resultados!AM98,Resultados!AV98,Resultados!BE98,Resultados!BN98,Resultados!BW98,Resultados!CF98)&lt;=1, "", _xlfn.STDEV.S(ABS(Resultados!C98),ABS(Resultados!L98),ABS(Resultados!U98),ABS(Resultados!AD98),ABS(Resultados!AM98),ABS(Resultados!AV98),ABS(Resultados!BE98),ABS(Resultados!BN98),ABS(Resultados!BW98),ABS(Resultados!CF98))/SQRT(COUNT(Resultados!C98,Resultados!L98,Resultados!U98,Resultados!AD98,Resultados!AM98,Resultados!AV98,Resultados!BE98,Resultados!BN98,Resultados!BW98,Resultados!CF98)))</f>
        <v>0.5587684871413402</v>
      </c>
      <c r="D98">
        <f>IF(COUNT(Resultados!D98,Resultados!M98,Resultados!V98,Resultados!AE98,Resultados!AN98,Resultados!AW98,Resultados!BF98,Resultados!BO98,Resultados!BX98,Resultados!CG98)&lt;=1, "", _xlfn.STDEV.S(ABS(Resultados!D98),ABS(Resultados!M98),ABS(Resultados!V98),ABS(Resultados!AE98),ABS(Resultados!AN98),ABS(Resultados!AW98),ABS(Resultados!BF98),ABS(Resultados!BO98),ABS(Resultados!BX98),ABS(Resultados!CG98))/SQRT(COUNT(Resultados!D98,Resultados!M98,Resultados!V98,Resultados!AE98,Resultados!AN98,Resultados!AW98,Resultados!BF98,Resultados!BO98,Resultados!BX98,Resultados!CG98)))</f>
        <v>5.7383698808014146E-4</v>
      </c>
      <c r="E98">
        <f>IF(COUNT(Resultados!E98,Resultados!N98,Resultados!W98,Resultados!AF98,Resultados!AO98,Resultados!AX98,Resultados!BG98,Resultados!BP98,Resultados!BY98,Resultados!CH98)&lt;=1, "", _xlfn.STDEV.S(ABS(Resultados!E98),ABS(Resultados!N98),ABS(Resultados!W98),ABS(Resultados!AF98),ABS(Resultados!AO98),ABS(Resultados!AX98),ABS(Resultados!BG98),ABS(Resultados!BP98),ABS(Resultados!BY98),ABS(Resultados!CH98))/SQRT(COUNT(Resultados!E98,Resultados!N98,Resultados!W98,Resultados!AF98,Resultados!AO98,Resultados!AX98,Resultados!BG98,Resultados!BP98,Resultados!BY98,Resultados!CH98)))</f>
        <v>2.8619025007916205E-2</v>
      </c>
      <c r="F98">
        <f>IF(COUNT(Resultados!F98,Resultados!O98,Resultados!X98,Resultados!AG98,Resultados!AP98,Resultados!AY98,Resultados!BH98,Resultados!BQ98,Resultados!BZ98,Resultados!CI98)&lt;=1, "", _xlfn.STDEV.S(ABS(Resultados!F98),ABS(Resultados!O98),ABS(Resultados!X98),ABS(Resultados!AG98),ABS(Resultados!AP98),ABS(Resultados!AY98),ABS(Resultados!BH98),ABS(Resultados!BQ98),ABS(Resultados!BZ98),ABS(Resultados!CI98))/SQRT(COUNT(Resultados!F98,Resultados!O98,Resultados!X98,Resultados!AG98,Resultados!AP98,Resultados!AY98,Resultados!BH98,Resultados!BQ98,Resultados!BZ98,Resultados!CI98)))</f>
        <v>2.7159454732512733</v>
      </c>
      <c r="G98">
        <f>IF(COUNT(Resultados!G98,Resultados!P98,Resultados!Y98,Resultados!AH98,Resultados!AQ98,Resultados!AZ98,Resultados!BI98,Resultados!BR98,Resultados!CA98,Resultados!CJ98)&lt;=1, "", _xlfn.STDEV.S(ABS(Resultados!G98),ABS(Resultados!P98),ABS(Resultados!Y98),ABS(Resultados!AH98),ABS(Resultados!AQ98),ABS(Resultados!AZ98),ABS(Resultados!BI98),ABS(Resultados!BR98),ABS(Resultados!CA98),ABS(Resultados!CJ98))/SQRT(COUNT(Resultados!G98,Resultados!P98,Resultados!Y98,Resultados!AH98,Resultados!AQ98,Resultados!AZ98,Resultados!BI98,Resultados!BR98,Resultados!CA98,Resultados!CJ98)))</f>
        <v>1.8503717077085941E-17</v>
      </c>
      <c r="H98">
        <f>IF(COUNT(Resultados!H98,Resultados!Q98,Resultados!Z98,Resultados!AI98,Resultados!AR98,Resultados!BA98,Resultados!BJ98,Resultados!BS98,Resultados!CB98,Resultados!CK98)&lt;=1, "", _xlfn.STDEV.S(ABS(Resultados!H98),ABS(Resultados!Q98),ABS(Resultados!Z98),ABS(Resultados!AI98),ABS(Resultados!AR98),ABS(Resultados!BA98),ABS(Resultados!BJ98),ABS(Resultados!BS98),ABS(Resultados!CB98),ABS(Resultados!CK98))/SQRT(COUNT(Resultados!H98,Resultados!Q98,Resultados!Z98,Resultados!AI98,Resultados!AR98,Resultados!BA98,Resultados!BJ98,Resultados!BS98,Resultados!CB98,Resultados!CK98)))</f>
        <v>4.4797073317101593E-4</v>
      </c>
      <c r="I98">
        <f>IF(COUNT(Resultados!I98,Resultados!R98,Resultados!AA98,Resultados!AJ98,Resultados!AS98,Resultados!BB98,Resultados!BK98,Resultados!BT98,Resultados!CC98,Resultados!CL98)&lt;=1, "", _xlfn.STDEV.S(ABS(Resultados!I98),ABS(Resultados!R98),ABS(Resultados!AA98),ABS(Resultados!AJ98),ABS(Resultados!AS98),ABS(Resultados!BB98),ABS(Resultados!BK98),ABS(Resultados!BT98),ABS(Resultados!CC98),ABS(Resultados!CL98))/SQRT(COUNT(Resultados!I98,Resultados!R98,Resultados!AA98,Resultados!AJ98,Resultados!AS98,Resultados!BB98,Resultados!BK98,Resultados!BT98,Resultados!CC98,Resultados!CL98)))</f>
        <v>4.0149902830934642E-2</v>
      </c>
    </row>
    <row r="99" spans="1:9" x14ac:dyDescent="0.3">
      <c r="A99">
        <f>IF(COUNT(Resultados!A99,Resultados!J99,Resultados!S99,Resultados!AB99,Resultados!AK99,Resultados!AT99,Resultados!BC99,Resultados!BL99,Resultados!BU99,Resultados!CD99)&lt;=1, "", _xlfn.STDEV.S(ABS(Resultados!A99),ABS(Resultados!J99),ABS(Resultados!S99),ABS(Resultados!AB99),ABS(Resultados!AK99),ABS(Resultados!AT99),ABS(Resultados!BC99),ABS(Resultados!BL99),ABS(Resultados!BU99),ABS(Resultados!CD99))/SQRT(COUNT(Resultados!A99,Resultados!J99,Resultados!S99,Resultados!AB99,Resultados!AK99,Resultados!AT99,Resultados!BC99,Resultados!BL99,Resultados!BU99,Resultados!CD99)))</f>
        <v>0</v>
      </c>
      <c r="B99" t="str">
        <f>IF(COUNT(Resultados!B99,Resultados!K99,Resultados!T99,Resultados!AC99,Resultados!AL99,Resultados!AU99,Resultados!BD99,Resultados!BM99,Resultados!BV99,Resultados!CE99)&lt;=1, "", _xlfn.STDEV.S(ABS(Resultados!B99),ABS(Resultados!K99),ABS(Resultados!T99),ABS(Resultados!AC99),ABS(Resultados!AL99),ABS(Resultados!AU99),ABS(Resultados!BD99),ABS(Resultados!BM99),ABS(Resultados!BV99),ABS(Resultados!CE99))/SQRT(COUNT(Resultados!B99,Resultados!K99,Resultados!T99,Resultados!AC99,Resultados!AL99,Resultados!AU99,Resultados!BD99,Resultados!BM99,Resultados!BV99,Resultados!CE99)))</f>
        <v/>
      </c>
      <c r="C99">
        <f>IF(COUNT(Resultados!C99,Resultados!L99,Resultados!U99,Resultados!AD99,Resultados!AM99,Resultados!AV99,Resultados!BE99,Resultados!BN99,Resultados!BW99,Resultados!CF99)&lt;=1, "", _xlfn.STDEV.S(ABS(Resultados!C99),ABS(Resultados!L99),ABS(Resultados!U99),ABS(Resultados!AD99),ABS(Resultados!AM99),ABS(Resultados!AV99),ABS(Resultados!BE99),ABS(Resultados!BN99),ABS(Resultados!BW99),ABS(Resultados!CF99))/SQRT(COUNT(Resultados!C99,Resultados!L99,Resultados!U99,Resultados!AD99,Resultados!AM99,Resultados!AV99,Resultados!BE99,Resultados!BN99,Resultados!BW99,Resultados!CF99)))</f>
        <v>0.5587684871413402</v>
      </c>
      <c r="D99">
        <f>IF(COUNT(Resultados!D99,Resultados!M99,Resultados!V99,Resultados!AE99,Resultados!AN99,Resultados!AW99,Resultados!BF99,Resultados!BO99,Resultados!BX99,Resultados!CG99)&lt;=1, "", _xlfn.STDEV.S(ABS(Resultados!D99),ABS(Resultados!M99),ABS(Resultados!V99),ABS(Resultados!AE99),ABS(Resultados!AN99),ABS(Resultados!AW99),ABS(Resultados!BF99),ABS(Resultados!BO99),ABS(Resultados!BX99),ABS(Resultados!CG99))/SQRT(COUNT(Resultados!D99,Resultados!M99,Resultados!V99,Resultados!AE99,Resultados!AN99,Resultados!AW99,Resultados!BF99,Resultados!BO99,Resultados!BX99,Resultados!CG99)))</f>
        <v>5.4934304198540462E-4</v>
      </c>
      <c r="E99">
        <f>IF(COUNT(Resultados!E99,Resultados!N99,Resultados!W99,Resultados!AF99,Resultados!AO99,Resultados!AX99,Resultados!BG99,Resultados!BP99,Resultados!BY99,Resultados!CH99)&lt;=1, "", _xlfn.STDEV.S(ABS(Resultados!E99),ABS(Resultados!N99),ABS(Resultados!W99),ABS(Resultados!AF99),ABS(Resultados!AO99),ABS(Resultados!AX99),ABS(Resultados!BG99),ABS(Resultados!BP99),ABS(Resultados!BY99),ABS(Resultados!CH99))/SQRT(COUNT(Resultados!E99,Resultados!N99,Resultados!W99,Resultados!AF99,Resultados!AO99,Resultados!AX99,Resultados!BG99,Resultados!BP99,Resultados!BY99,Resultados!CH99)))</f>
        <v>1.9526737805566591E-2</v>
      </c>
      <c r="F99">
        <f>IF(COUNT(Resultados!F99,Resultados!O99,Resultados!X99,Resultados!AG99,Resultados!AP99,Resultados!AY99,Resultados!BH99,Resultados!BQ99,Resultados!BZ99,Resultados!CI99)&lt;=1, "", _xlfn.STDEV.S(ABS(Resultados!F99),ABS(Resultados!O99),ABS(Resultados!X99),ABS(Resultados!AG99),ABS(Resultados!AP99),ABS(Resultados!AY99),ABS(Resultados!BH99),ABS(Resultados!BQ99),ABS(Resultados!BZ99),ABS(Resultados!CI99))/SQRT(COUNT(Resultados!F99,Resultados!O99,Resultados!X99,Resultados!AG99,Resultados!AP99,Resultados!AY99,Resultados!BH99,Resultados!BQ99,Resultados!BZ99,Resultados!CI99)))</f>
        <v>1.8530874177482213</v>
      </c>
      <c r="G99">
        <f>IF(COUNT(Resultados!G99,Resultados!P99,Resultados!Y99,Resultados!AH99,Resultados!AQ99,Resultados!AZ99,Resultados!BI99,Resultados!BR99,Resultados!CA99,Resultados!CJ99)&lt;=1, "", _xlfn.STDEV.S(ABS(Resultados!G99),ABS(Resultados!P99),ABS(Resultados!Y99),ABS(Resultados!AH99),ABS(Resultados!AQ99),ABS(Resultados!AZ99),ABS(Resultados!BI99),ABS(Resultados!BR99),ABS(Resultados!CA99),ABS(Resultados!CJ99))/SQRT(COUNT(Resultados!G99,Resultados!P99,Resultados!Y99,Resultados!AH99,Resultados!AQ99,Resultados!AZ99,Resultados!BI99,Resultados!BR99,Resultados!CA99,Resultados!CJ99)))</f>
        <v>1.8503717077085941E-17</v>
      </c>
      <c r="H99">
        <f>IF(COUNT(Resultados!H99,Resultados!Q99,Resultados!Z99,Resultados!AI99,Resultados!AR99,Resultados!BA99,Resultados!BJ99,Resultados!BS99,Resultados!CB99,Resultados!CK99)&lt;=1, "", _xlfn.STDEV.S(ABS(Resultados!H99),ABS(Resultados!Q99),ABS(Resultados!Z99),ABS(Resultados!AI99),ABS(Resultados!AR99),ABS(Resultados!BA99),ABS(Resultados!BJ99),ABS(Resultados!BS99),ABS(Resultados!CB99),ABS(Resultados!CK99))/SQRT(COUNT(Resultados!H99,Resultados!Q99,Resultados!Z99,Resultados!AI99,Resultados!AR99,Resultados!BA99,Resultados!BJ99,Resultados!BS99,Resultados!CB99,Resultados!CK99)))</f>
        <v>3.0250803478769171E-4</v>
      </c>
      <c r="I99">
        <f>IF(COUNT(Resultados!I99,Resultados!R99,Resultados!AA99,Resultados!AJ99,Resultados!AS99,Resultados!BB99,Resultados!BK99,Resultados!BT99,Resultados!CC99,Resultados!CL99)&lt;=1, "", _xlfn.STDEV.S(ABS(Resultados!I99),ABS(Resultados!R99),ABS(Resultados!AA99),ABS(Resultados!AJ99),ABS(Resultados!AS99),ABS(Resultados!BB99),ABS(Resultados!BK99),ABS(Resultados!BT99),ABS(Resultados!CC99),ABS(Resultados!CL99))/SQRT(COUNT(Resultados!I99,Resultados!R99,Resultados!AA99,Resultados!AJ99,Resultados!AS99,Resultados!BB99,Resultados!BK99,Resultados!BT99,Resultados!CC99,Resultados!CL99)))</f>
        <v>4.0331890829576916E-2</v>
      </c>
    </row>
    <row r="100" spans="1:9" x14ac:dyDescent="0.3">
      <c r="A100">
        <f>IF(COUNT(Resultados!A100,Resultados!J100,Resultados!S100,Resultados!AB100,Resultados!AK100,Resultados!AT100,Resultados!BC100,Resultados!BL100,Resultados!BU100,Resultados!CD100)&lt;=1, "", _xlfn.STDEV.S(ABS(Resultados!A100),ABS(Resultados!J100),ABS(Resultados!S100),ABS(Resultados!AB100),ABS(Resultados!AK100),ABS(Resultados!AT100),ABS(Resultados!BC100),ABS(Resultados!BL100),ABS(Resultados!BU100),ABS(Resultados!CD100))/SQRT(COUNT(Resultados!A100,Resultados!J100,Resultados!S100,Resultados!AB100,Resultados!AK100,Resultados!AT100,Resultados!BC100,Resultados!BL100,Resultados!BU100,Resultados!CD100)))</f>
        <v>0</v>
      </c>
      <c r="B100" t="str">
        <f>IF(COUNT(Resultados!B100,Resultados!K100,Resultados!T100,Resultados!AC100,Resultados!AL100,Resultados!AU100,Resultados!BD100,Resultados!BM100,Resultados!BV100,Resultados!CE100)&lt;=1, "", _xlfn.STDEV.S(ABS(Resultados!B100),ABS(Resultados!K100),ABS(Resultados!T100),ABS(Resultados!AC100),ABS(Resultados!AL100),ABS(Resultados!AU100),ABS(Resultados!BD100),ABS(Resultados!BM100),ABS(Resultados!BV100),ABS(Resultados!CE100))/SQRT(COUNT(Resultados!B100,Resultados!K100,Resultados!T100,Resultados!AC100,Resultados!AL100,Resultados!AU100,Resultados!BD100,Resultados!BM100,Resultados!BV100,Resultados!CE100)))</f>
        <v/>
      </c>
      <c r="C100">
        <f>IF(COUNT(Resultados!C100,Resultados!L100,Resultados!U100,Resultados!AD100,Resultados!AM100,Resultados!AV100,Resultados!BE100,Resultados!BN100,Resultados!BW100,Resultados!CF100)&lt;=1, "", _xlfn.STDEV.S(ABS(Resultados!C100),ABS(Resultados!L100),ABS(Resultados!U100),ABS(Resultados!AD100),ABS(Resultados!AM100),ABS(Resultados!AV100),ABS(Resultados!BE100),ABS(Resultados!BN100),ABS(Resultados!BW100),ABS(Resultados!CF100))/SQRT(COUNT(Resultados!C100,Resultados!L100,Resultados!U100,Resultados!AD100,Resultados!AM100,Resultados!AV100,Resultados!BE100,Resultados!BN100,Resultados!BW100,Resultados!CF100)))</f>
        <v>0.5587684871413402</v>
      </c>
      <c r="D100">
        <f>IF(COUNT(Resultados!D100,Resultados!M100,Resultados!V100,Resultados!AE100,Resultados!AN100,Resultados!AW100,Resultados!BF100,Resultados!BO100,Resultados!BX100,Resultados!CG100)&lt;=1, "", _xlfn.STDEV.S(ABS(Resultados!D100),ABS(Resultados!M100),ABS(Resultados!V100),ABS(Resultados!AE100),ABS(Resultados!AN100),ABS(Resultados!AW100),ABS(Resultados!BF100),ABS(Resultados!BO100),ABS(Resultados!BX100),ABS(Resultados!CG100))/SQRT(COUNT(Resultados!D100,Resultados!M100,Resultados!V100,Resultados!AE100,Resultados!AN100,Resultados!AW100,Resultados!BF100,Resultados!BO100,Resultados!BX100,Resultados!CG100)))</f>
        <v>4.4553338819890875E-4</v>
      </c>
      <c r="E100">
        <f>IF(COUNT(Resultados!E100,Resultados!N100,Resultados!W100,Resultados!AF100,Resultados!AO100,Resultados!AX100,Resultados!BG100,Resultados!BP100,Resultados!BY100,Resultados!CH100)&lt;=1, "", _xlfn.STDEV.S(ABS(Resultados!E100),ABS(Resultados!N100),ABS(Resultados!W100),ABS(Resultados!AF100),ABS(Resultados!AO100),ABS(Resultados!AX100),ABS(Resultados!BG100),ABS(Resultados!BP100),ABS(Resultados!BY100),ABS(Resultados!CH100))/SQRT(COUNT(Resultados!E100,Resultados!N100,Resultados!W100,Resultados!AF100,Resultados!AO100,Resultados!AX100,Resultados!BG100,Resultados!BP100,Resultados!BY100,Resultados!CH100)))</f>
        <v>9.8515319818522906E-3</v>
      </c>
      <c r="F100">
        <f>IF(COUNT(Resultados!F100,Resultados!O100,Resultados!X100,Resultados!AG100,Resultados!AP100,Resultados!AY100,Resultados!BH100,Resultados!BQ100,Resultados!BZ100,Resultados!CI100)&lt;=1, "", _xlfn.STDEV.S(ABS(Resultados!F100),ABS(Resultados!O100),ABS(Resultados!X100),ABS(Resultados!AG100),ABS(Resultados!AP100),ABS(Resultados!AY100),ABS(Resultados!BH100),ABS(Resultados!BQ100),ABS(Resultados!BZ100),ABS(Resultados!CI100))/SQRT(COUNT(Resultados!F100,Resultados!O100,Resultados!X100,Resultados!AG100,Resultados!AP100,Resultados!AY100,Resultados!BH100,Resultados!BQ100,Resultados!BZ100,Resultados!CI100)))</f>
        <v>0.93491038507773827</v>
      </c>
      <c r="G100">
        <f>IF(COUNT(Resultados!G100,Resultados!P100,Resultados!Y100,Resultados!AH100,Resultados!AQ100,Resultados!AZ100,Resultados!BI100,Resultados!BR100,Resultados!CA100,Resultados!CJ100)&lt;=1, "", _xlfn.STDEV.S(ABS(Resultados!G100),ABS(Resultados!P100),ABS(Resultados!Y100),ABS(Resultados!AH100),ABS(Resultados!AQ100),ABS(Resultados!AZ100),ABS(Resultados!BI100),ABS(Resultados!BR100),ABS(Resultados!CA100),ABS(Resultados!CJ100))/SQRT(COUNT(Resultados!G100,Resultados!P100,Resultados!Y100,Resultados!AH100,Resultados!AQ100,Resultados!AZ100,Resultados!BI100,Resultados!BR100,Resultados!CA100,Resultados!CJ100)))</f>
        <v>1.8503717077085941E-17</v>
      </c>
      <c r="H100">
        <f>IF(COUNT(Resultados!H100,Resultados!Q100,Resultados!Z100,Resultados!AI100,Resultados!AR100,Resultados!BA100,Resultados!BJ100,Resultados!BS100,Resultados!CB100,Resultados!CK100)&lt;=1, "", _xlfn.STDEV.S(ABS(Resultados!H100),ABS(Resultados!Q100),ABS(Resultados!Z100),ABS(Resultados!AI100),ABS(Resultados!AR100),ABS(Resultados!BA100),ABS(Resultados!BJ100),ABS(Resultados!BS100),ABS(Resultados!CB100),ABS(Resultados!CK100))/SQRT(COUNT(Resultados!H100,Resultados!Q100,Resultados!Z100,Resultados!AI100,Resultados!AR100,Resultados!BA100,Resultados!BJ100,Resultados!BS100,Resultados!CB100,Resultados!CK100)))</f>
        <v>1.5143755588800734E-4</v>
      </c>
      <c r="I100">
        <f>IF(COUNT(Resultados!I100,Resultados!R100,Resultados!AA100,Resultados!AJ100,Resultados!AS100,Resultados!BB100,Resultados!BK100,Resultados!BT100,Resultados!CC100,Resultados!CL100)&lt;=1, "", _xlfn.STDEV.S(ABS(Resultados!I100),ABS(Resultados!R100),ABS(Resultados!AA100),ABS(Resultados!AJ100),ABS(Resultados!AS100),ABS(Resultados!BB100),ABS(Resultados!BK100),ABS(Resultados!BT100),ABS(Resultados!CC100),ABS(Resultados!CL100))/SQRT(COUNT(Resultados!I100,Resultados!R100,Resultados!AA100,Resultados!AJ100,Resultados!AS100,Resultados!BB100,Resultados!BK100,Resultados!BT100,Resultados!CC100,Resultados!CL100)))</f>
        <v>4.012434528507134E-2</v>
      </c>
    </row>
    <row r="101" spans="1:9" x14ac:dyDescent="0.3">
      <c r="A101">
        <f>IF(COUNT(Resultados!A101,Resultados!J101,Resultados!S101,Resultados!AB101,Resultados!AK101,Resultados!AT101,Resultados!BC101,Resultados!BL101,Resultados!BU101,Resultados!CD101)&lt;=1, "", _xlfn.STDEV.S(ABS(Resultados!A101),ABS(Resultados!J101),ABS(Resultados!S101),ABS(Resultados!AB101),ABS(Resultados!AK101),ABS(Resultados!AT101),ABS(Resultados!BC101),ABS(Resultados!BL101),ABS(Resultados!BU101),ABS(Resultados!CD101))/SQRT(COUNT(Resultados!A101,Resultados!J101,Resultados!S101,Resultados!AB101,Resultados!AK101,Resultados!AT101,Resultados!BC101,Resultados!BL101,Resultados!BU101,Resultados!CD101)))</f>
        <v>0</v>
      </c>
      <c r="B101" t="str">
        <f>IF(COUNT(Resultados!B101,Resultados!K101,Resultados!T101,Resultados!AC101,Resultados!AL101,Resultados!AU101,Resultados!BD101,Resultados!BM101,Resultados!BV101,Resultados!CE101)&lt;=1, "", _xlfn.STDEV.S(ABS(Resultados!B101),ABS(Resultados!K101),ABS(Resultados!T101),ABS(Resultados!AC101),ABS(Resultados!AL101),ABS(Resultados!AU101),ABS(Resultados!BD101),ABS(Resultados!BM101),ABS(Resultados!BV101),ABS(Resultados!CE101))/SQRT(COUNT(Resultados!B101,Resultados!K101,Resultados!T101,Resultados!AC101,Resultados!AL101,Resultados!AU101,Resultados!BD101,Resultados!BM101,Resultados!BV101,Resultados!CE101)))</f>
        <v/>
      </c>
      <c r="C101">
        <f>IF(COUNT(Resultados!C101,Resultados!L101,Resultados!U101,Resultados!AD101,Resultados!AM101,Resultados!AV101,Resultados!BE101,Resultados!BN101,Resultados!BW101,Resultados!CF101)&lt;=1, "", _xlfn.STDEV.S(ABS(Resultados!C101),ABS(Resultados!L101),ABS(Resultados!U101),ABS(Resultados!AD101),ABS(Resultados!AM101),ABS(Resultados!AV101),ABS(Resultados!BE101),ABS(Resultados!BN101),ABS(Resultados!BW101),ABS(Resultados!CF101))/SQRT(COUNT(Resultados!C101,Resultados!L101,Resultados!U101,Resultados!AD101,Resultados!AM101,Resultados!AV101,Resultados!BE101,Resultados!BN101,Resultados!BW101,Resultados!CF101)))</f>
        <v>0.5587684871413402</v>
      </c>
      <c r="D101">
        <f>IF(COUNT(Resultados!D101,Resultados!M101,Resultados!V101,Resultados!AE101,Resultados!AN101,Resultados!AW101,Resultados!BF101,Resultados!BO101,Resultados!BX101,Resultados!CG101)&lt;=1, "", _xlfn.STDEV.S(ABS(Resultados!D101),ABS(Resultados!M101),ABS(Resultados!V101),ABS(Resultados!AE101),ABS(Resultados!AN101),ABS(Resultados!AW101),ABS(Resultados!BF101),ABS(Resultados!BO101),ABS(Resultados!BX101),ABS(Resultados!CG101))/SQRT(COUNT(Resultados!D101,Resultados!M101,Resultados!V101,Resultados!AE101,Resultados!AN101,Resultados!AW101,Resultados!BF101,Resultados!BO101,Resultados!BX101,Resultados!CG101)))</f>
        <v>1.6110727964792687E-4</v>
      </c>
      <c r="E101">
        <f>IF(COUNT(Resultados!E101,Resultados!N101,Resultados!W101,Resultados!AF101,Resultados!AO101,Resultados!AX101,Resultados!BG101,Resultados!BP101,Resultados!BY101,Resultados!CH101)&lt;=1, "", _xlfn.STDEV.S(ABS(Resultados!E101),ABS(Resultados!N101),ABS(Resultados!W101),ABS(Resultados!AF101),ABS(Resultados!AO101),ABS(Resultados!AX101),ABS(Resultados!BG101),ABS(Resultados!BP101),ABS(Resultados!BY101),ABS(Resultados!CH101))/SQRT(COUNT(Resultados!E101,Resultados!N101,Resultados!W101,Resultados!AF101,Resultados!AO101,Resultados!AX101,Resultados!BG101,Resultados!BP101,Resultados!BY101,Resultados!CH101)))</f>
        <v>1.9796137927236839E-4</v>
      </c>
      <c r="F101">
        <f>IF(COUNT(Resultados!F101,Resultados!O101,Resultados!X101,Resultados!AG101,Resultados!AP101,Resultados!AY101,Resultados!BH101,Resultados!BQ101,Resultados!BZ101,Resultados!CI101)&lt;=1, "", _xlfn.STDEV.S(ABS(Resultados!F101),ABS(Resultados!O101),ABS(Resultados!X101),ABS(Resultados!AG101),ABS(Resultados!AP101),ABS(Resultados!AY101),ABS(Resultados!BH101),ABS(Resultados!BQ101),ABS(Resultados!BZ101),ABS(Resultados!CI101))/SQRT(COUNT(Resultados!F101,Resultados!O101,Resultados!X101,Resultados!AG101,Resultados!AP101,Resultados!AY101,Resultados!BH101,Resultados!BQ101,Resultados!BZ101,Resultados!CI101)))</f>
        <v>10.908045418751589</v>
      </c>
      <c r="G101">
        <f>IF(COUNT(Resultados!G101,Resultados!P101,Resultados!Y101,Resultados!AH101,Resultados!AQ101,Resultados!AZ101,Resultados!BI101,Resultados!BR101,Resultados!CA101,Resultados!CJ101)&lt;=1, "", _xlfn.STDEV.S(ABS(Resultados!G101),ABS(Resultados!P101),ABS(Resultados!Y101),ABS(Resultados!AH101),ABS(Resultados!AQ101),ABS(Resultados!AZ101),ABS(Resultados!BI101),ABS(Resultados!BR101),ABS(Resultados!CA101),ABS(Resultados!CJ101))/SQRT(COUNT(Resultados!G101,Resultados!P101,Resultados!Y101,Resultados!AH101,Resultados!AQ101,Resultados!AZ101,Resultados!BI101,Resultados!BR101,Resultados!CA101,Resultados!CJ101)))</f>
        <v>1.8503717077085941E-17</v>
      </c>
      <c r="H101">
        <f>IF(COUNT(Resultados!H101,Resultados!Q101,Resultados!Z101,Resultados!AI101,Resultados!AR101,Resultados!BA101,Resultados!BJ101,Resultados!BS101,Resultados!CB101,Resultados!CK101)&lt;=1, "", _xlfn.STDEV.S(ABS(Resultados!H101),ABS(Resultados!Q101),ABS(Resultados!Z101),ABS(Resultados!AI101),ABS(Resultados!AR101),ABS(Resultados!BA101),ABS(Resultados!BJ101),ABS(Resultados!BS101),ABS(Resultados!CB101),ABS(Resultados!CK101))/SQRT(COUNT(Resultados!H101,Resultados!Q101,Resultados!Z101,Resultados!AI101,Resultados!AR101,Resultados!BA101,Resultados!BJ101,Resultados!BS101,Resultados!CB101,Resultados!CK101)))</f>
        <v>0</v>
      </c>
      <c r="I101">
        <f>IF(COUNT(Resultados!I101,Resultados!R101,Resultados!AA101,Resultados!AJ101,Resultados!AS101,Resultados!BB101,Resultados!BK101,Resultados!BT101,Resultados!CC101,Resultados!CL101)&lt;=1, "", _xlfn.STDEV.S(ABS(Resultados!I101),ABS(Resultados!R101),ABS(Resultados!AA101),ABS(Resultados!AJ101),ABS(Resultados!AS101),ABS(Resultados!BB101),ABS(Resultados!BK101),ABS(Resultados!BT101),ABS(Resultados!CC101),ABS(Resultados!CL101))/SQRT(COUNT(Resultados!I101,Resultados!R101,Resultados!AA101,Resultados!AJ101,Resultados!AS101,Resultados!BB101,Resultados!BK101,Resultados!BT101,Resultados!CC101,Resultados!CL101)))</f>
        <v>4.0132669995900816E-2</v>
      </c>
    </row>
    <row r="102" spans="1:9" x14ac:dyDescent="0.3">
      <c r="A102">
        <f>IF(COUNT(Resultados!A102,Resultados!J102,Resultados!S102,Resultados!AB102,Resultados!AK102,Resultados!AT102,Resultados!BC102,Resultados!BL102,Resultados!BU102,Resultados!CD102)&lt;=1, "", _xlfn.STDEV.S(ABS(Resultados!A102),ABS(Resultados!J102),ABS(Resultados!S102),ABS(Resultados!AB102),ABS(Resultados!AK102),ABS(Resultados!AT102),ABS(Resultados!BC102),ABS(Resultados!BL102),ABS(Resultados!BU102),ABS(Resultados!CD102))/SQRT(COUNT(Resultados!A102,Resultados!J102,Resultados!S102,Resultados!AB102,Resultados!AK102,Resultados!AT102,Resultados!BC102,Resultados!BL102,Resultados!BU102,Resultados!CD102)))</f>
        <v>0</v>
      </c>
      <c r="B102" t="str">
        <f>IF(COUNT(Resultados!B102,Resultados!K102,Resultados!T102,Resultados!AC102,Resultados!AL102,Resultados!AU102,Resultados!BD102,Resultados!BM102,Resultados!BV102,Resultados!CE102)&lt;=1, "", _xlfn.STDEV.S(ABS(Resultados!B102),ABS(Resultados!K102),ABS(Resultados!T102),ABS(Resultados!AC102),ABS(Resultados!AL102),ABS(Resultados!AU102),ABS(Resultados!BD102),ABS(Resultados!BM102),ABS(Resultados!BV102),ABS(Resultados!CE102))/SQRT(COUNT(Resultados!B102,Resultados!K102,Resultados!T102,Resultados!AC102,Resultados!AL102,Resultados!AU102,Resultados!BD102,Resultados!BM102,Resultados!BV102,Resultados!CE102)))</f>
        <v/>
      </c>
      <c r="C102">
        <f>IF(COUNT(Resultados!C102,Resultados!L102,Resultados!U102,Resultados!AD102,Resultados!AM102,Resultados!AV102,Resultados!BE102,Resultados!BN102,Resultados!BW102,Resultados!CF102)&lt;=1, "", _xlfn.STDEV.S(ABS(Resultados!C102),ABS(Resultados!L102),ABS(Resultados!U102),ABS(Resultados!AD102),ABS(Resultados!AM102),ABS(Resultados!AV102),ABS(Resultados!BE102),ABS(Resultados!BN102),ABS(Resultados!BW102),ABS(Resultados!CF102))/SQRT(COUNT(Resultados!C102,Resultados!L102,Resultados!U102,Resultados!AD102,Resultados!AM102,Resultados!AV102,Resultados!BE102,Resultados!BN102,Resultados!BW102,Resultados!CF102)))</f>
        <v>0.5587684871413402</v>
      </c>
      <c r="D102">
        <f>IF(COUNT(Resultados!D102,Resultados!M102,Resultados!V102,Resultados!AE102,Resultados!AN102,Resultados!AW102,Resultados!BF102,Resultados!BO102,Resultados!BX102,Resultados!CG102)&lt;=1, "", _xlfn.STDEV.S(ABS(Resultados!D102),ABS(Resultados!M102),ABS(Resultados!V102),ABS(Resultados!AE102),ABS(Resultados!AN102),ABS(Resultados!AW102),ABS(Resultados!BF102),ABS(Resultados!BO102),ABS(Resultados!BX102),ABS(Resultados!CG102))/SQRT(COUNT(Resultados!D102,Resultados!M102,Resultados!V102,Resultados!AE102,Resultados!AN102,Resultados!AW102,Resultados!BF102,Resultados!BO102,Resultados!BX102,Resultados!CG102)))</f>
        <v>2.0518284528683195E-4</v>
      </c>
      <c r="E102">
        <f>IF(COUNT(Resultados!E102,Resultados!N102,Resultados!W102,Resultados!AF102,Resultados!AO102,Resultados!AX102,Resultados!BG102,Resultados!BP102,Resultados!BY102,Resultados!CH102)&lt;=1, "", _xlfn.STDEV.S(ABS(Resultados!E102),ABS(Resultados!N102),ABS(Resultados!W102),ABS(Resultados!AF102),ABS(Resultados!AO102),ABS(Resultados!AX102),ABS(Resultados!BG102),ABS(Resultados!BP102),ABS(Resultados!BY102),ABS(Resultados!CH102))/SQRT(COUNT(Resultados!E102,Resultados!N102,Resultados!W102,Resultados!AF102,Resultados!AO102,Resultados!AX102,Resultados!BG102,Resultados!BP102,Resultados!BY102,Resultados!CH102)))</f>
        <v>9.9962104200931566E-3</v>
      </c>
      <c r="F102">
        <f>IF(COUNT(Resultados!F102,Resultados!O102,Resultados!X102,Resultados!AG102,Resultados!AP102,Resultados!AY102,Resultados!BH102,Resultados!BQ102,Resultados!BZ102,Resultados!CI102)&lt;=1, "", _xlfn.STDEV.S(ABS(Resultados!F102),ABS(Resultados!O102),ABS(Resultados!X102),ABS(Resultados!AG102),ABS(Resultados!AP102),ABS(Resultados!AY102),ABS(Resultados!BH102),ABS(Resultados!BQ102),ABS(Resultados!BZ102),ABS(Resultados!CI102))/SQRT(COUNT(Resultados!F102,Resultados!O102,Resultados!X102,Resultados!AG102,Resultados!AP102,Resultados!AY102,Resultados!BH102,Resultados!BQ102,Resultados!BZ102,Resultados!CI102)))</f>
        <v>11.840220882144097</v>
      </c>
      <c r="G102">
        <f>IF(COUNT(Resultados!G102,Resultados!P102,Resultados!Y102,Resultados!AH102,Resultados!AQ102,Resultados!AZ102,Resultados!BI102,Resultados!BR102,Resultados!CA102,Resultados!CJ102)&lt;=1, "", _xlfn.STDEV.S(ABS(Resultados!G102),ABS(Resultados!P102),ABS(Resultados!Y102),ABS(Resultados!AH102),ABS(Resultados!AQ102),ABS(Resultados!AZ102),ABS(Resultados!BI102),ABS(Resultados!BR102),ABS(Resultados!CA102),ABS(Resultados!CJ102))/SQRT(COUNT(Resultados!G102,Resultados!P102,Resultados!Y102,Resultados!AH102,Resultados!AQ102,Resultados!AZ102,Resultados!BI102,Resultados!BR102,Resultados!CA102,Resultados!CJ102)))</f>
        <v>1.8503717077085941E-17</v>
      </c>
      <c r="H102">
        <f>IF(COUNT(Resultados!H102,Resultados!Q102,Resultados!Z102,Resultados!AI102,Resultados!AR102,Resultados!BA102,Resultados!BJ102,Resultados!BS102,Resultados!CB102,Resultados!CK102)&lt;=1, "", _xlfn.STDEV.S(ABS(Resultados!H102),ABS(Resultados!Q102),ABS(Resultados!Z102),ABS(Resultados!AI102),ABS(Resultados!AR102),ABS(Resultados!BA102),ABS(Resultados!BJ102),ABS(Resultados!BS102),ABS(Resultados!CB102),ABS(Resultados!CK102))/SQRT(COUNT(Resultados!H102,Resultados!Q102,Resultados!Z102,Resultados!AI102,Resultados!AR102,Resultados!BA102,Resultados!BJ102,Resultados!BS102,Resultados!CB102,Resultados!CK102)))</f>
        <v>1.5999999999999971E-4</v>
      </c>
      <c r="I102">
        <f>IF(COUNT(Resultados!I102,Resultados!R102,Resultados!AA102,Resultados!AJ102,Resultados!AS102,Resultados!BB102,Resultados!BK102,Resultados!BT102,Resultados!CC102,Resultados!CL102)&lt;=1, "", _xlfn.STDEV.S(ABS(Resultados!I102),ABS(Resultados!R102),ABS(Resultados!AA102),ABS(Resultados!AJ102),ABS(Resultados!AS102),ABS(Resultados!BB102),ABS(Resultados!BK102),ABS(Resultados!BT102),ABS(Resultados!CC102),ABS(Resultados!CL102))/SQRT(COUNT(Resultados!I102,Resultados!R102,Resultados!AA102,Resultados!AJ102,Resultados!AS102,Resultados!BB102,Resultados!BK102,Resultados!BT102,Resultados!CC102,Resultados!CL102)))</f>
        <v>4.0375006164431244E-2</v>
      </c>
    </row>
    <row r="103" spans="1:9" x14ac:dyDescent="0.3">
      <c r="A103">
        <f>IF(COUNT(Resultados!A103,Resultados!J103,Resultados!S103,Resultados!AB103,Resultados!AK103,Resultados!AT103,Resultados!BC103,Resultados!BL103,Resultados!BU103,Resultados!CD103)&lt;=1, "", _xlfn.STDEV.S(ABS(Resultados!A103),ABS(Resultados!J103),ABS(Resultados!S103),ABS(Resultados!AB103),ABS(Resultados!AK103),ABS(Resultados!AT103),ABS(Resultados!BC103),ABS(Resultados!BL103),ABS(Resultados!BU103),ABS(Resultados!CD103))/SQRT(COUNT(Resultados!A103,Resultados!J103,Resultados!S103,Resultados!AB103,Resultados!AK103,Resultados!AT103,Resultados!BC103,Resultados!BL103,Resultados!BU103,Resultados!CD103)))</f>
        <v>0</v>
      </c>
      <c r="B103" t="str">
        <f>IF(COUNT(Resultados!B103,Resultados!K103,Resultados!T103,Resultados!AC103,Resultados!AL103,Resultados!AU103,Resultados!BD103,Resultados!BM103,Resultados!BV103,Resultados!CE103)&lt;=1, "", _xlfn.STDEV.S(ABS(Resultados!B103),ABS(Resultados!K103),ABS(Resultados!T103),ABS(Resultados!AC103),ABS(Resultados!AL103),ABS(Resultados!AU103),ABS(Resultados!BD103),ABS(Resultados!BM103),ABS(Resultados!BV103),ABS(Resultados!CE103))/SQRT(COUNT(Resultados!B103,Resultados!K103,Resultados!T103,Resultados!AC103,Resultados!AL103,Resultados!AU103,Resultados!BD103,Resultados!BM103,Resultados!BV103,Resultados!CE103)))</f>
        <v/>
      </c>
      <c r="C103">
        <f>IF(COUNT(Resultados!C103,Resultados!L103,Resultados!U103,Resultados!AD103,Resultados!AM103,Resultados!AV103,Resultados!BE103,Resultados!BN103,Resultados!BW103,Resultados!CF103)&lt;=1, "", _xlfn.STDEV.S(ABS(Resultados!C103),ABS(Resultados!L103),ABS(Resultados!U103),ABS(Resultados!AD103),ABS(Resultados!AM103),ABS(Resultados!AV103),ABS(Resultados!BE103),ABS(Resultados!BN103),ABS(Resultados!BW103),ABS(Resultados!CF103))/SQRT(COUNT(Resultados!C103,Resultados!L103,Resultados!U103,Resultados!AD103,Resultados!AM103,Resultados!AV103,Resultados!BE103,Resultados!BN103,Resultados!BW103,Resultados!CF103)))</f>
        <v>0.5587684871413402</v>
      </c>
      <c r="D103">
        <f>IF(COUNT(Resultados!D103,Resultados!M103,Resultados!V103,Resultados!AE103,Resultados!AN103,Resultados!AW103,Resultados!BF103,Resultados!BO103,Resultados!BX103,Resultados!CG103)&lt;=1, "", _xlfn.STDEV.S(ABS(Resultados!D103),ABS(Resultados!M103),ABS(Resultados!V103),ABS(Resultados!AE103),ABS(Resultados!AN103),ABS(Resultados!AW103),ABS(Resultados!BF103),ABS(Resultados!BO103),ABS(Resultados!BX103),ABS(Resultados!CG103))/SQRT(COUNT(Resultados!D103,Resultados!M103,Resultados!V103,Resultados!AE103,Resultados!AN103,Resultados!AW103,Resultados!BF103,Resultados!BO103,Resultados!BX103,Resultados!CG103)))</f>
        <v>3.6130934729736001E-4</v>
      </c>
      <c r="E103">
        <f>IF(COUNT(Resultados!E103,Resultados!N103,Resultados!W103,Resultados!AF103,Resultados!AO103,Resultados!AX103,Resultados!BG103,Resultados!BP103,Resultados!BY103,Resultados!CH103)&lt;=1, "", _xlfn.STDEV.S(ABS(Resultados!E103),ABS(Resultados!N103),ABS(Resultados!W103),ABS(Resultados!AF103),ABS(Resultados!AO103),ABS(Resultados!AX103),ABS(Resultados!BG103),ABS(Resultados!BP103),ABS(Resultados!BY103),ABS(Resultados!CH103))/SQRT(COUNT(Resultados!E103,Resultados!N103,Resultados!W103,Resultados!AF103,Resultados!AO103,Resultados!AX103,Resultados!BG103,Resultados!BP103,Resultados!BY103,Resultados!CH103)))</f>
        <v>1.9630311538174006E-2</v>
      </c>
      <c r="F103">
        <f>IF(COUNT(Resultados!F103,Resultados!O103,Resultados!X103,Resultados!AG103,Resultados!AP103,Resultados!AY103,Resultados!BH103,Resultados!BQ103,Resultados!BZ103,Resultados!CI103)&lt;=1, "", _xlfn.STDEV.S(ABS(Resultados!F103),ABS(Resultados!O103),ABS(Resultados!X103),ABS(Resultados!AG103),ABS(Resultados!AP103),ABS(Resultados!AY103),ABS(Resultados!BH103),ABS(Resultados!BQ103),ABS(Resultados!BZ103),ABS(Resultados!CI103))/SQRT(COUNT(Resultados!F103,Resultados!O103,Resultados!X103,Resultados!AG103,Resultados!AP103,Resultados!AY103,Resultados!BH103,Resultados!BQ103,Resultados!BZ103,Resultados!CI103)))</f>
        <v>1.8295450353578224</v>
      </c>
      <c r="G103">
        <f>IF(COUNT(Resultados!G103,Resultados!P103,Resultados!Y103,Resultados!AH103,Resultados!AQ103,Resultados!AZ103,Resultados!BI103,Resultados!BR103,Resultados!CA103,Resultados!CJ103)&lt;=1, "", _xlfn.STDEV.S(ABS(Resultados!G103),ABS(Resultados!P103),ABS(Resultados!Y103),ABS(Resultados!AH103),ABS(Resultados!AQ103),ABS(Resultados!AZ103),ABS(Resultados!BI103),ABS(Resultados!BR103),ABS(Resultados!CA103),ABS(Resultados!CJ103))/SQRT(COUNT(Resultados!G103,Resultados!P103,Resultados!Y103,Resultados!AH103,Resultados!AQ103,Resultados!AZ103,Resultados!BI103,Resultados!BR103,Resultados!CA103,Resultados!CJ103)))</f>
        <v>1.8503717077085941E-17</v>
      </c>
      <c r="H103">
        <f>IF(COUNT(Resultados!H103,Resultados!Q103,Resultados!Z103,Resultados!AI103,Resultados!AR103,Resultados!BA103,Resultados!BJ103,Resultados!BS103,Resultados!CB103,Resultados!CK103)&lt;=1, "", _xlfn.STDEV.S(ABS(Resultados!H103),ABS(Resultados!Q103),ABS(Resultados!Z103),ABS(Resultados!AI103),ABS(Resultados!AR103),ABS(Resultados!BA103),ABS(Resultados!BJ103),ABS(Resultados!BS103),ABS(Resultados!CB103),ABS(Resultados!CK103))/SQRT(COUNT(Resultados!H103,Resultados!Q103,Resultados!Z103,Resultados!AI103,Resultados!AR103,Resultados!BA103,Resultados!BJ103,Resultados!BS103,Resultados!CB103,Resultados!CK103)))</f>
        <v>3.0000000000000024E-4</v>
      </c>
      <c r="I103">
        <f>IF(COUNT(Resultados!I103,Resultados!R103,Resultados!AA103,Resultados!AJ103,Resultados!AS103,Resultados!BB103,Resultados!BK103,Resultados!BT103,Resultados!CC103,Resultados!CL103)&lt;=1, "", _xlfn.STDEV.S(ABS(Resultados!I103),ABS(Resultados!R103),ABS(Resultados!AA103),ABS(Resultados!AJ103),ABS(Resultados!AS103),ABS(Resultados!BB103),ABS(Resultados!BK103),ABS(Resultados!BT103),ABS(Resultados!CC103),ABS(Resultados!CL103))/SQRT(COUNT(Resultados!I103,Resultados!R103,Resultados!AA103,Resultados!AJ103,Resultados!AS103,Resultados!BB103,Resultados!BK103,Resultados!BT103,Resultados!CC103,Resultados!CL103)))</f>
        <v>4.0344506035175358E-2</v>
      </c>
    </row>
    <row r="104" spans="1:9" x14ac:dyDescent="0.3">
      <c r="A104">
        <f>IF(COUNT(Resultados!A104,Resultados!J104,Resultados!S104,Resultados!AB104,Resultados!AK104,Resultados!AT104,Resultados!BC104,Resultados!BL104,Resultados!BU104,Resultados!CD104)&lt;=1, "", _xlfn.STDEV.S(ABS(Resultados!A104),ABS(Resultados!J104),ABS(Resultados!S104),ABS(Resultados!AB104),ABS(Resultados!AK104),ABS(Resultados!AT104),ABS(Resultados!BC104),ABS(Resultados!BL104),ABS(Resultados!BU104),ABS(Resultados!CD104))/SQRT(COUNT(Resultados!A104,Resultados!J104,Resultados!S104,Resultados!AB104,Resultados!AK104,Resultados!AT104,Resultados!BC104,Resultados!BL104,Resultados!BU104,Resultados!CD104)))</f>
        <v>0</v>
      </c>
      <c r="B104" t="str">
        <f>IF(COUNT(Resultados!B104,Resultados!K104,Resultados!T104,Resultados!AC104,Resultados!AL104,Resultados!AU104,Resultados!BD104,Resultados!BM104,Resultados!BV104,Resultados!CE104)&lt;=1, "", _xlfn.STDEV.S(ABS(Resultados!B104),ABS(Resultados!K104),ABS(Resultados!T104),ABS(Resultados!AC104),ABS(Resultados!AL104),ABS(Resultados!AU104),ABS(Resultados!BD104),ABS(Resultados!BM104),ABS(Resultados!BV104),ABS(Resultados!CE104))/SQRT(COUNT(Resultados!B104,Resultados!K104,Resultados!T104,Resultados!AC104,Resultados!AL104,Resultados!AU104,Resultados!BD104,Resultados!BM104,Resultados!BV104,Resultados!CE104)))</f>
        <v/>
      </c>
      <c r="C104">
        <f>IF(COUNT(Resultados!C104,Resultados!L104,Resultados!U104,Resultados!AD104,Resultados!AM104,Resultados!AV104,Resultados!BE104,Resultados!BN104,Resultados!BW104,Resultados!CF104)&lt;=1, "", _xlfn.STDEV.S(ABS(Resultados!C104),ABS(Resultados!L104),ABS(Resultados!U104),ABS(Resultados!AD104),ABS(Resultados!AM104),ABS(Resultados!AV104),ABS(Resultados!BE104),ABS(Resultados!BN104),ABS(Resultados!BW104),ABS(Resultados!CF104))/SQRT(COUNT(Resultados!C104,Resultados!L104,Resultados!U104,Resultados!AD104,Resultados!AM104,Resultados!AV104,Resultados!BE104,Resultados!BN104,Resultados!BW104,Resultados!CF104)))</f>
        <v>0.5587684871413402</v>
      </c>
      <c r="D104">
        <f>IF(COUNT(Resultados!D104,Resultados!M104,Resultados!V104,Resultados!AE104,Resultados!AN104,Resultados!AW104,Resultados!BF104,Resultados!BO104,Resultados!BX104,Resultados!CG104)&lt;=1, "", _xlfn.STDEV.S(ABS(Resultados!D104),ABS(Resultados!M104),ABS(Resultados!V104),ABS(Resultados!AE104),ABS(Resultados!AN104),ABS(Resultados!AW104),ABS(Resultados!BF104),ABS(Resultados!BO104),ABS(Resultados!BX104),ABS(Resultados!CG104))/SQRT(COUNT(Resultados!D104,Resultados!M104,Resultados!V104,Resultados!AE104,Resultados!AN104,Resultados!AW104,Resultados!BF104,Resultados!BO104,Resultados!BX104,Resultados!CG104)))</f>
        <v>3.4236108293892142E-4</v>
      </c>
      <c r="E104">
        <f>IF(COUNT(Resultados!E104,Resultados!N104,Resultados!W104,Resultados!AF104,Resultados!AO104,Resultados!AX104,Resultados!BG104,Resultados!BP104,Resultados!BY104,Resultados!CH104)&lt;=1, "", _xlfn.STDEV.S(ABS(Resultados!E104),ABS(Resultados!N104),ABS(Resultados!W104),ABS(Resultados!AF104),ABS(Resultados!AO104),ABS(Resultados!AX104),ABS(Resultados!BG104),ABS(Resultados!BP104),ABS(Resultados!BY104),ABS(Resultados!CH104))/SQRT(COUNT(Resultados!E104,Resultados!N104,Resultados!W104,Resultados!AF104,Resultados!AO104,Resultados!AX104,Resultados!BG104,Resultados!BP104,Resultados!BY104,Resultados!CH104)))</f>
        <v>3.8299364845137393E-2</v>
      </c>
      <c r="F104">
        <f>IF(COUNT(Resultados!F104,Resultados!O104,Resultados!X104,Resultados!AG104,Resultados!AP104,Resultados!AY104,Resultados!BH104,Resultados!BQ104,Resultados!BZ104,Resultados!CI104)&lt;=1, "", _xlfn.STDEV.S(ABS(Resultados!F104),ABS(Resultados!O104),ABS(Resultados!X104),ABS(Resultados!AG104),ABS(Resultados!AP104),ABS(Resultados!AY104),ABS(Resultados!BH104),ABS(Resultados!BQ104),ABS(Resultados!BZ104),ABS(Resultados!CI104))/SQRT(COUNT(Resultados!F104,Resultados!O104,Resultados!X104,Resultados!AG104,Resultados!AP104,Resultados!AY104,Resultados!BH104,Resultados!BQ104,Resultados!BZ104,Resultados!CI104)))</f>
        <v>3.5695008035668039</v>
      </c>
      <c r="G104">
        <f>IF(COUNT(Resultados!G104,Resultados!P104,Resultados!Y104,Resultados!AH104,Resultados!AQ104,Resultados!AZ104,Resultados!BI104,Resultados!BR104,Resultados!CA104,Resultados!CJ104)&lt;=1, "", _xlfn.STDEV.S(ABS(Resultados!G104),ABS(Resultados!P104),ABS(Resultados!Y104),ABS(Resultados!AH104),ABS(Resultados!AQ104),ABS(Resultados!AZ104),ABS(Resultados!BI104),ABS(Resultados!BR104),ABS(Resultados!CA104),ABS(Resultados!CJ104))/SQRT(COUNT(Resultados!G104,Resultados!P104,Resultados!Y104,Resultados!AH104,Resultados!AQ104,Resultados!AZ104,Resultados!BI104,Resultados!BR104,Resultados!CA104,Resultados!CJ104)))</f>
        <v>1.8503717077085941E-17</v>
      </c>
      <c r="H104">
        <f>IF(COUNT(Resultados!H104,Resultados!Q104,Resultados!Z104,Resultados!AI104,Resultados!AR104,Resultados!BA104,Resultados!BJ104,Resultados!BS104,Resultados!CB104,Resultados!CK104)&lt;=1, "", _xlfn.STDEV.S(ABS(Resultados!H104),ABS(Resultados!Q104),ABS(Resultados!Z104),ABS(Resultados!AI104),ABS(Resultados!AR104),ABS(Resultados!BA104),ABS(Resultados!BJ104),ABS(Resultados!BS104),ABS(Resultados!CB104),ABS(Resultados!CK104))/SQRT(COUNT(Resultados!H104,Resultados!Q104,Resultados!Z104,Resultados!AI104,Resultados!AR104,Resultados!BA104,Resultados!BJ104,Resultados!BS104,Resultados!CB104,Resultados!CK104)))</f>
        <v>5.9184269681882332E-4</v>
      </c>
      <c r="I104">
        <f>IF(COUNT(Resultados!I104,Resultados!R104,Resultados!AA104,Resultados!AJ104,Resultados!AS104,Resultados!BB104,Resultados!BK104,Resultados!BT104,Resultados!CC104,Resultados!CL104)&lt;=1, "", _xlfn.STDEV.S(ABS(Resultados!I104),ABS(Resultados!R104),ABS(Resultados!AA104),ABS(Resultados!AJ104),ABS(Resultados!AS104),ABS(Resultados!BB104),ABS(Resultados!BK104),ABS(Resultados!BT104),ABS(Resultados!CC104),ABS(Resultados!CL104))/SQRT(COUNT(Resultados!I104,Resultados!R104,Resultados!AA104,Resultados!AJ104,Resultados!AS104,Resultados!BB104,Resultados!BK104,Resultados!BT104,Resultados!CC104,Resultados!CL104)))</f>
        <v>5.3519291102474595E-2</v>
      </c>
    </row>
    <row r="105" spans="1:9" x14ac:dyDescent="0.3">
      <c r="A105">
        <f>IF(COUNT(Resultados!A105,Resultados!J105,Resultados!S105,Resultados!AB105,Resultados!AK105,Resultados!AT105,Resultados!BC105,Resultados!BL105,Resultados!BU105,Resultados!CD105)&lt;=1, "", _xlfn.STDEV.S(ABS(Resultados!A105),ABS(Resultados!J105),ABS(Resultados!S105),ABS(Resultados!AB105),ABS(Resultados!AK105),ABS(Resultados!AT105),ABS(Resultados!BC105),ABS(Resultados!BL105),ABS(Resultados!BU105),ABS(Resultados!CD105))/SQRT(COUNT(Resultados!A105,Resultados!J105,Resultados!S105,Resultados!AB105,Resultados!AK105,Resultados!AT105,Resultados!BC105,Resultados!BL105,Resultados!BU105,Resultados!CD105)))</f>
        <v>0</v>
      </c>
      <c r="B105" t="str">
        <f>IF(COUNT(Resultados!B105,Resultados!K105,Resultados!T105,Resultados!AC105,Resultados!AL105,Resultados!AU105,Resultados!BD105,Resultados!BM105,Resultados!BV105,Resultados!CE105)&lt;=1, "", _xlfn.STDEV.S(ABS(Resultados!B105),ABS(Resultados!K105),ABS(Resultados!T105),ABS(Resultados!AC105),ABS(Resultados!AL105),ABS(Resultados!AU105),ABS(Resultados!BD105),ABS(Resultados!BM105),ABS(Resultados!BV105),ABS(Resultados!CE105))/SQRT(COUNT(Resultados!B105,Resultados!K105,Resultados!T105,Resultados!AC105,Resultados!AL105,Resultados!AU105,Resultados!BD105,Resultados!BM105,Resultados!BV105,Resultados!CE105)))</f>
        <v/>
      </c>
      <c r="C105">
        <f>IF(COUNT(Resultados!C105,Resultados!L105,Resultados!U105,Resultados!AD105,Resultados!AM105,Resultados!AV105,Resultados!BE105,Resultados!BN105,Resultados!BW105,Resultados!CF105)&lt;=1, "", _xlfn.STDEV.S(ABS(Resultados!C105),ABS(Resultados!L105),ABS(Resultados!U105),ABS(Resultados!AD105),ABS(Resultados!AM105),ABS(Resultados!AV105),ABS(Resultados!BE105),ABS(Resultados!BN105),ABS(Resultados!BW105),ABS(Resultados!CF105))/SQRT(COUNT(Resultados!C105,Resultados!L105,Resultados!U105,Resultados!AD105,Resultados!AM105,Resultados!AV105,Resultados!BE105,Resultados!BN105,Resultados!BW105,Resultados!CF105)))</f>
        <v>0.5587684871413402</v>
      </c>
      <c r="D105">
        <f>IF(COUNT(Resultados!D105,Resultados!M105,Resultados!V105,Resultados!AE105,Resultados!AN105,Resultados!AW105,Resultados!BF105,Resultados!BO105,Resultados!BX105,Resultados!CG105)&lt;=1, "", _xlfn.STDEV.S(ABS(Resultados!D105),ABS(Resultados!M105),ABS(Resultados!V105),ABS(Resultados!AE105),ABS(Resultados!AN105),ABS(Resultados!AW105),ABS(Resultados!BF105),ABS(Resultados!BO105),ABS(Resultados!BX105),ABS(Resultados!CG105))/SQRT(COUNT(Resultados!D105,Resultados!M105,Resultados!V105,Resultados!AE105,Resultados!AN105,Resultados!AW105,Resultados!BF105,Resultados!BO105,Resultados!BX105,Resultados!CG105)))</f>
        <v>4.0749914792003654E-4</v>
      </c>
      <c r="E105">
        <f>IF(COUNT(Resultados!E105,Resultados!N105,Resultados!W105,Resultados!AF105,Resultados!AO105,Resultados!AX105,Resultados!BG105,Resultados!BP105,Resultados!BY105,Resultados!CH105)&lt;=1, "", _xlfn.STDEV.S(ABS(Resultados!E105),ABS(Resultados!N105),ABS(Resultados!W105),ABS(Resultados!AF105),ABS(Resultados!AO105),ABS(Resultados!AX105),ABS(Resultados!BG105),ABS(Resultados!BP105),ABS(Resultados!BY105),ABS(Resultados!CH105))/SQRT(COUNT(Resultados!E105,Resultados!N105,Resultados!W105,Resultados!AF105,Resultados!AO105,Resultados!AX105,Resultados!BG105,Resultados!BP105,Resultados!BY105,Resultados!CH105)))</f>
        <v>4.9521114883360119E-2</v>
      </c>
      <c r="F105">
        <f>IF(COUNT(Resultados!F105,Resultados!O105,Resultados!X105,Resultados!AG105,Resultados!AP105,Resultados!AY105,Resultados!BH105,Resultados!BQ105,Resultados!BZ105,Resultados!CI105)&lt;=1, "", _xlfn.STDEV.S(ABS(Resultados!F105),ABS(Resultados!O105),ABS(Resultados!X105),ABS(Resultados!AG105),ABS(Resultados!AP105),ABS(Resultados!AY105),ABS(Resultados!BH105),ABS(Resultados!BQ105),ABS(Resultados!BZ105),ABS(Resultados!CI105))/SQRT(COUNT(Resultados!F105,Resultados!O105,Resultados!X105,Resultados!AG105,Resultados!AP105,Resultados!AY105,Resultados!BH105,Resultados!BQ105,Resultados!BZ105,Resultados!CI105)))</f>
        <v>4.6153679071291682</v>
      </c>
      <c r="G105">
        <f>IF(COUNT(Resultados!G105,Resultados!P105,Resultados!Y105,Resultados!AH105,Resultados!AQ105,Resultados!AZ105,Resultados!BI105,Resultados!BR105,Resultados!CA105,Resultados!CJ105)&lt;=1, "", _xlfn.STDEV.S(ABS(Resultados!G105),ABS(Resultados!P105),ABS(Resultados!Y105),ABS(Resultados!AH105),ABS(Resultados!AQ105),ABS(Resultados!AZ105),ABS(Resultados!BI105),ABS(Resultados!BR105),ABS(Resultados!CA105),ABS(Resultados!CJ105))/SQRT(COUNT(Resultados!G105,Resultados!P105,Resultados!Y105,Resultados!AH105,Resultados!AQ105,Resultados!AZ105,Resultados!BI105,Resultados!BR105,Resultados!CA105,Resultados!CJ105)))</f>
        <v>1.8503717077085941E-17</v>
      </c>
      <c r="H105">
        <f>IF(COUNT(Resultados!H105,Resultados!Q105,Resultados!Z105,Resultados!AI105,Resultados!AR105,Resultados!BA105,Resultados!BJ105,Resultados!BS105,Resultados!CB105,Resultados!CK105)&lt;=1, "", _xlfn.STDEV.S(ABS(Resultados!H105),ABS(Resultados!Q105),ABS(Resultados!Z105),ABS(Resultados!AI105),ABS(Resultados!AR105),ABS(Resultados!BA105),ABS(Resultados!BJ105),ABS(Resultados!BS105),ABS(Resultados!CB105),ABS(Resultados!CK105))/SQRT(COUNT(Resultados!H105,Resultados!Q105,Resultados!Z105,Resultados!AI105,Resultados!AR105,Resultados!BA105,Resultados!BJ105,Resultados!BS105,Resultados!CB105,Resultados!CK105)))</f>
        <v>7.6681158050723229E-4</v>
      </c>
      <c r="I105">
        <f>IF(COUNT(Resultados!I105,Resultados!R105,Resultados!AA105,Resultados!AJ105,Resultados!AS105,Resultados!BB105,Resultados!BK105,Resultados!BT105,Resultados!CC105,Resultados!CL105)&lt;=1, "", _xlfn.STDEV.S(ABS(Resultados!I105),ABS(Resultados!R105),ABS(Resultados!AA105),ABS(Resultados!AJ105),ABS(Resultados!AS105),ABS(Resultados!BB105),ABS(Resultados!BK105),ABS(Resultados!BT105),ABS(Resultados!CC105),ABS(Resultados!CL105))/SQRT(COUNT(Resultados!I105,Resultados!R105,Resultados!AA105,Resultados!AJ105,Resultados!AS105,Resultados!BB105,Resultados!BK105,Resultados!BT105,Resultados!CC105,Resultados!CL105)))</f>
        <v>5.3470752762611012E-2</v>
      </c>
    </row>
    <row r="106" spans="1:9" x14ac:dyDescent="0.3">
      <c r="A106">
        <f>IF(COUNT(Resultados!A106,Resultados!J106,Resultados!S106,Resultados!AB106,Resultados!AK106,Resultados!AT106,Resultados!BC106,Resultados!BL106,Resultados!BU106,Resultados!CD106)&lt;=1, "", _xlfn.STDEV.S(ABS(Resultados!A106),ABS(Resultados!J106),ABS(Resultados!S106),ABS(Resultados!AB106),ABS(Resultados!AK106),ABS(Resultados!AT106),ABS(Resultados!BC106),ABS(Resultados!BL106),ABS(Resultados!BU106),ABS(Resultados!CD106))/SQRT(COUNT(Resultados!A106,Resultados!J106,Resultados!S106,Resultados!AB106,Resultados!AK106,Resultados!AT106,Resultados!BC106,Resultados!BL106,Resultados!BU106,Resultados!CD106)))</f>
        <v>0</v>
      </c>
      <c r="B106" t="str">
        <f>IF(COUNT(Resultados!B106,Resultados!K106,Resultados!T106,Resultados!AC106,Resultados!AL106,Resultados!AU106,Resultados!BD106,Resultados!BM106,Resultados!BV106,Resultados!CE106)&lt;=1, "", _xlfn.STDEV.S(ABS(Resultados!B106),ABS(Resultados!K106),ABS(Resultados!T106),ABS(Resultados!AC106),ABS(Resultados!AL106),ABS(Resultados!AU106),ABS(Resultados!BD106),ABS(Resultados!BM106),ABS(Resultados!BV106),ABS(Resultados!CE106))/SQRT(COUNT(Resultados!B106,Resultados!K106,Resultados!T106,Resultados!AC106,Resultados!AL106,Resultados!AU106,Resultados!BD106,Resultados!BM106,Resultados!BV106,Resultados!CE106)))</f>
        <v/>
      </c>
      <c r="C106">
        <f>IF(COUNT(Resultados!C106,Resultados!L106,Resultados!U106,Resultados!AD106,Resultados!AM106,Resultados!AV106,Resultados!BE106,Resultados!BN106,Resultados!BW106,Resultados!CF106)&lt;=1, "", _xlfn.STDEV.S(ABS(Resultados!C106),ABS(Resultados!L106),ABS(Resultados!U106),ABS(Resultados!AD106),ABS(Resultados!AM106),ABS(Resultados!AV106),ABS(Resultados!BE106),ABS(Resultados!BN106),ABS(Resultados!BW106),ABS(Resultados!CF106))/SQRT(COUNT(Resultados!C106,Resultados!L106,Resultados!U106,Resultados!AD106,Resultados!AM106,Resultados!AV106,Resultados!BE106,Resultados!BN106,Resultados!BW106,Resultados!CF106)))</f>
        <v>0.5587684871413402</v>
      </c>
      <c r="D106">
        <f>IF(COUNT(Resultados!D106,Resultados!M106,Resultados!V106,Resultados!AE106,Resultados!AN106,Resultados!AW106,Resultados!BF106,Resultados!BO106,Resultados!BX106,Resultados!CG106)&lt;=1, "", _xlfn.STDEV.S(ABS(Resultados!D106),ABS(Resultados!M106),ABS(Resultados!V106),ABS(Resultados!AE106),ABS(Resultados!AN106),ABS(Resultados!AW106),ABS(Resultados!BF106),ABS(Resultados!BO106),ABS(Resultados!BX106),ABS(Resultados!CG106))/SQRT(COUNT(Resultados!D106,Resultados!M106,Resultados!V106,Resultados!AE106,Resultados!AN106,Resultados!AW106,Resultados!BF106,Resultados!BO106,Resultados!BX106,Resultados!CG106)))</f>
        <v>6.8154236845554932E-4</v>
      </c>
      <c r="E106">
        <f>IF(COUNT(Resultados!E106,Resultados!N106,Resultados!W106,Resultados!AF106,Resultados!AO106,Resultados!AX106,Resultados!BG106,Resultados!BP106,Resultados!BY106,Resultados!CH106)&lt;=1, "", _xlfn.STDEV.S(ABS(Resultados!E106),ABS(Resultados!N106),ABS(Resultados!W106),ABS(Resultados!AF106),ABS(Resultados!AO106),ABS(Resultados!AX106),ABS(Resultados!BG106),ABS(Resultados!BP106),ABS(Resultados!BY106),ABS(Resultados!CH106))/SQRT(COUNT(Resultados!E106,Resultados!N106,Resultados!W106,Resultados!AF106,Resultados!AO106,Resultados!AX106,Resultados!BG106,Resultados!BP106,Resultados!BY106,Resultados!CH106)))</f>
        <v>5.9691527727720607E-2</v>
      </c>
      <c r="F106">
        <f>IF(COUNT(Resultados!F106,Resultados!O106,Resultados!X106,Resultados!AG106,Resultados!AP106,Resultados!AY106,Resultados!BH106,Resultados!BQ106,Resultados!BZ106,Resultados!CI106)&lt;=1, "", _xlfn.STDEV.S(ABS(Resultados!F106),ABS(Resultados!O106),ABS(Resultados!X106),ABS(Resultados!AG106),ABS(Resultados!AP106),ABS(Resultados!AY106),ABS(Resultados!BH106),ABS(Resultados!BQ106),ABS(Resultados!BZ106),ABS(Resultados!CI106))/SQRT(COUNT(Resultados!F106,Resultados!O106,Resultados!X106,Resultados!AG106,Resultados!AP106,Resultados!AY106,Resultados!BH106,Resultados!BQ106,Resultados!BZ106,Resultados!CI106)))</f>
        <v>5.5632503842235632</v>
      </c>
      <c r="G106">
        <f>IF(COUNT(Resultados!G106,Resultados!P106,Resultados!Y106,Resultados!AH106,Resultados!AQ106,Resultados!AZ106,Resultados!BI106,Resultados!BR106,Resultados!CA106,Resultados!CJ106)&lt;=1, "", _xlfn.STDEV.S(ABS(Resultados!G106),ABS(Resultados!P106),ABS(Resultados!Y106),ABS(Resultados!AH106),ABS(Resultados!AQ106),ABS(Resultados!AZ106),ABS(Resultados!BI106),ABS(Resultados!BR106),ABS(Resultados!CA106),ABS(Resultados!CJ106))/SQRT(COUNT(Resultados!G106,Resultados!P106,Resultados!Y106,Resultados!AH106,Resultados!AQ106,Resultados!AZ106,Resultados!BI106,Resultados!BR106,Resultados!CA106,Resultados!CJ106)))</f>
        <v>1.8503717077085941E-17</v>
      </c>
      <c r="H106">
        <f>IF(COUNT(Resultados!H106,Resultados!Q106,Resultados!Z106,Resultados!AI106,Resultados!AR106,Resultados!BA106,Resultados!BJ106,Resultados!BS106,Resultados!CB106,Resultados!CK106)&lt;=1, "", _xlfn.STDEV.S(ABS(Resultados!H106),ABS(Resultados!Q106),ABS(Resultados!Z106),ABS(Resultados!AI106),ABS(Resultados!AR106),ABS(Resultados!BA106),ABS(Resultados!BJ106),ABS(Resultados!BS106),ABS(Resultados!CB106),ABS(Resultados!CK106))/SQRT(COUNT(Resultados!H106,Resultados!Q106,Resultados!Z106,Resultados!AI106,Resultados!AR106,Resultados!BA106,Resultados!BJ106,Resultados!BS106,Resultados!CB106,Resultados!CK106)))</f>
        <v>9.2844553481133743E-4</v>
      </c>
      <c r="I106">
        <f>IF(COUNT(Resultados!I106,Resultados!R106,Resultados!AA106,Resultados!AJ106,Resultados!AS106,Resultados!BB106,Resultados!BK106,Resultados!BT106,Resultados!CC106,Resultados!CL106)&lt;=1, "", _xlfn.STDEV.S(ABS(Resultados!I106),ABS(Resultados!R106),ABS(Resultados!AA106),ABS(Resultados!AJ106),ABS(Resultados!AS106),ABS(Resultados!BB106),ABS(Resultados!BK106),ABS(Resultados!BT106),ABS(Resultados!CC106),ABS(Resultados!CL106))/SQRT(COUNT(Resultados!I106,Resultados!R106,Resultados!AA106,Resultados!AJ106,Resultados!AS106,Resultados!BB106,Resultados!BK106,Resultados!BT106,Resultados!CC106,Resultados!CL106)))</f>
        <v>5.3610243772375769E-2</v>
      </c>
    </row>
    <row r="107" spans="1:9" x14ac:dyDescent="0.3">
      <c r="A107">
        <f>IF(COUNT(Resultados!A107,Resultados!J107,Resultados!S107,Resultados!AB107,Resultados!AK107,Resultados!AT107,Resultados!BC107,Resultados!BL107,Resultados!BU107,Resultados!CD107)&lt;=1, "", _xlfn.STDEV.S(ABS(Resultados!A107),ABS(Resultados!J107),ABS(Resultados!S107),ABS(Resultados!AB107),ABS(Resultados!AK107),ABS(Resultados!AT107),ABS(Resultados!BC107),ABS(Resultados!BL107),ABS(Resultados!BU107),ABS(Resultados!CD107))/SQRT(COUNT(Resultados!A107,Resultados!J107,Resultados!S107,Resultados!AB107,Resultados!AK107,Resultados!AT107,Resultados!BC107,Resultados!BL107,Resultados!BU107,Resultados!CD107)))</f>
        <v>0</v>
      </c>
      <c r="B107" t="str">
        <f>IF(COUNT(Resultados!B107,Resultados!K107,Resultados!T107,Resultados!AC107,Resultados!AL107,Resultados!AU107,Resultados!BD107,Resultados!BM107,Resultados!BV107,Resultados!CE107)&lt;=1, "", _xlfn.STDEV.S(ABS(Resultados!B107),ABS(Resultados!K107),ABS(Resultados!T107),ABS(Resultados!AC107),ABS(Resultados!AL107),ABS(Resultados!AU107),ABS(Resultados!BD107),ABS(Resultados!BM107),ABS(Resultados!BV107),ABS(Resultados!CE107))/SQRT(COUNT(Resultados!B107,Resultados!K107,Resultados!T107,Resultados!AC107,Resultados!AL107,Resultados!AU107,Resultados!BD107,Resultados!BM107,Resultados!BV107,Resultados!CE107)))</f>
        <v/>
      </c>
      <c r="C107">
        <f>IF(COUNT(Resultados!C107,Resultados!L107,Resultados!U107,Resultados!AD107,Resultados!AM107,Resultados!AV107,Resultados!BE107,Resultados!BN107,Resultados!BW107,Resultados!CF107)&lt;=1, "", _xlfn.STDEV.S(ABS(Resultados!C107),ABS(Resultados!L107),ABS(Resultados!U107),ABS(Resultados!AD107),ABS(Resultados!AM107),ABS(Resultados!AV107),ABS(Resultados!BE107),ABS(Resultados!BN107),ABS(Resultados!BW107),ABS(Resultados!CF107))/SQRT(COUNT(Resultados!C107,Resultados!L107,Resultados!U107,Resultados!AD107,Resultados!AM107,Resultados!AV107,Resultados!BE107,Resultados!BN107,Resultados!BW107,Resultados!CF107)))</f>
        <v>0.5587684871413402</v>
      </c>
      <c r="D107">
        <f>IF(COUNT(Resultados!D107,Resultados!M107,Resultados!V107,Resultados!AE107,Resultados!AN107,Resultados!AW107,Resultados!BF107,Resultados!BO107,Resultados!BX107,Resultados!CG107)&lt;=1, "", _xlfn.STDEV.S(ABS(Resultados!D107),ABS(Resultados!M107),ABS(Resultados!V107),ABS(Resultados!AE107),ABS(Resultados!AN107),ABS(Resultados!AW107),ABS(Resultados!BF107),ABS(Resultados!BO107),ABS(Resultados!BX107),ABS(Resultados!CG107))/SQRT(COUNT(Resultados!D107,Resultados!M107,Resultados!V107,Resultados!AE107,Resultados!AN107,Resultados!AW107,Resultados!BF107,Resultados!BO107,Resultados!BX107,Resultados!CG107)))</f>
        <v>1.0014489502715553E-3</v>
      </c>
      <c r="E107">
        <f>IF(COUNT(Resultados!E107,Resultados!N107,Resultados!W107,Resultados!AF107,Resultados!AO107,Resultados!AX107,Resultados!BG107,Resultados!BP107,Resultados!BY107,Resultados!CH107)&lt;=1, "", _xlfn.STDEV.S(ABS(Resultados!E107),ABS(Resultados!N107),ABS(Resultados!W107),ABS(Resultados!AF107),ABS(Resultados!AO107),ABS(Resultados!AX107),ABS(Resultados!BG107),ABS(Resultados!BP107),ABS(Resultados!BY107),ABS(Resultados!CH107))/SQRT(COUNT(Resultados!E107,Resultados!N107,Resultados!W107,Resultados!AF107,Resultados!AO107,Resultados!AX107,Resultados!BG107,Resultados!BP107,Resultados!BY107,Resultados!CH107)))</f>
        <v>6.7881638959154236E-2</v>
      </c>
      <c r="F107">
        <f>IF(COUNT(Resultados!F107,Resultados!O107,Resultados!X107,Resultados!AG107,Resultados!AP107,Resultados!AY107,Resultados!BH107,Resultados!BQ107,Resultados!BZ107,Resultados!CI107)&lt;=1, "", _xlfn.STDEV.S(ABS(Resultados!F107),ABS(Resultados!O107),ABS(Resultados!X107),ABS(Resultados!AG107),ABS(Resultados!AP107),ABS(Resultados!AY107),ABS(Resultados!BH107),ABS(Resultados!BQ107),ABS(Resultados!BZ107),ABS(Resultados!CI107))/SQRT(COUNT(Resultados!F107,Resultados!O107,Resultados!X107,Resultados!AG107,Resultados!AP107,Resultados!AY107,Resultados!BH107,Resultados!BQ107,Resultados!BZ107,Resultados!CI107)))</f>
        <v>6.3265687509931787</v>
      </c>
      <c r="G107">
        <f>IF(COUNT(Resultados!G107,Resultados!P107,Resultados!Y107,Resultados!AH107,Resultados!AQ107,Resultados!AZ107,Resultados!BI107,Resultados!BR107,Resultados!CA107,Resultados!CJ107)&lt;=1, "", _xlfn.STDEV.S(ABS(Resultados!G107),ABS(Resultados!P107),ABS(Resultados!Y107),ABS(Resultados!AH107),ABS(Resultados!AQ107),ABS(Resultados!AZ107),ABS(Resultados!BI107),ABS(Resultados!BR107),ABS(Resultados!CA107),ABS(Resultados!CJ107))/SQRT(COUNT(Resultados!G107,Resultados!P107,Resultados!Y107,Resultados!AH107,Resultados!AQ107,Resultados!AZ107,Resultados!BI107,Resultados!BR107,Resultados!CA107,Resultados!CJ107)))</f>
        <v>1.8503717077085941E-17</v>
      </c>
      <c r="H107">
        <f>IF(COUNT(Resultados!H107,Resultados!Q107,Resultados!Z107,Resultados!AI107,Resultados!AR107,Resultados!BA107,Resultados!BJ107,Resultados!BS107,Resultados!CB107,Resultados!CK107)&lt;=1, "", _xlfn.STDEV.S(ABS(Resultados!H107),ABS(Resultados!Q107),ABS(Resultados!Z107),ABS(Resultados!AI107),ABS(Resultados!AR107),ABS(Resultados!BA107),ABS(Resultados!BJ107),ABS(Resultados!BS107),ABS(Resultados!CB107),ABS(Resultados!CK107))/SQRT(COUNT(Resultados!H107,Resultados!Q107,Resultados!Z107,Resultados!AI107,Resultados!AR107,Resultados!BA107,Resultados!BJ107,Resultados!BS107,Resultados!CB107,Resultados!CK107)))</f>
        <v>1.0568506674707326E-3</v>
      </c>
      <c r="I107">
        <f>IF(COUNT(Resultados!I107,Resultados!R107,Resultados!AA107,Resultados!AJ107,Resultados!AS107,Resultados!BB107,Resultados!BK107,Resultados!BT107,Resultados!CC107,Resultados!CL107)&lt;=1, "", _xlfn.STDEV.S(ABS(Resultados!I107),ABS(Resultados!R107),ABS(Resultados!AA107),ABS(Resultados!AJ107),ABS(Resultados!AS107),ABS(Resultados!BB107),ABS(Resultados!BK107),ABS(Resultados!BT107),ABS(Resultados!CC107),ABS(Resultados!CL107))/SQRT(COUNT(Resultados!I107,Resultados!R107,Resultados!AA107,Resultados!AJ107,Resultados!AS107,Resultados!BB107,Resultados!BK107,Resultados!BT107,Resultados!CC107,Resultados!CL107)))</f>
        <v>5.3299302555372997E-2</v>
      </c>
    </row>
    <row r="108" spans="1:9" x14ac:dyDescent="0.3">
      <c r="A108">
        <f>IF(COUNT(Resultados!A108,Resultados!J108,Resultados!S108,Resultados!AB108,Resultados!AK108,Resultados!AT108,Resultados!BC108,Resultados!BL108,Resultados!BU108,Resultados!CD108)&lt;=1, "", _xlfn.STDEV.S(ABS(Resultados!A108),ABS(Resultados!J108),ABS(Resultados!S108),ABS(Resultados!AB108),ABS(Resultados!AK108),ABS(Resultados!AT108),ABS(Resultados!BC108),ABS(Resultados!BL108),ABS(Resultados!BU108),ABS(Resultados!CD108))/SQRT(COUNT(Resultados!A108,Resultados!J108,Resultados!S108,Resultados!AB108,Resultados!AK108,Resultados!AT108,Resultados!BC108,Resultados!BL108,Resultados!BU108,Resultados!CD108)))</f>
        <v>0</v>
      </c>
      <c r="B108" t="str">
        <f>IF(COUNT(Resultados!B108,Resultados!K108,Resultados!T108,Resultados!AC108,Resultados!AL108,Resultados!AU108,Resultados!BD108,Resultados!BM108,Resultados!BV108,Resultados!CE108)&lt;=1, "", _xlfn.STDEV.S(ABS(Resultados!B108),ABS(Resultados!K108),ABS(Resultados!T108),ABS(Resultados!AC108),ABS(Resultados!AL108),ABS(Resultados!AU108),ABS(Resultados!BD108),ABS(Resultados!BM108),ABS(Resultados!BV108),ABS(Resultados!CE108))/SQRT(COUNT(Resultados!B108,Resultados!K108,Resultados!T108,Resultados!AC108,Resultados!AL108,Resultados!AU108,Resultados!BD108,Resultados!BM108,Resultados!BV108,Resultados!CE108)))</f>
        <v/>
      </c>
      <c r="C108">
        <f>IF(COUNT(Resultados!C108,Resultados!L108,Resultados!U108,Resultados!AD108,Resultados!AM108,Resultados!AV108,Resultados!BE108,Resultados!BN108,Resultados!BW108,Resultados!CF108)&lt;=1, "", _xlfn.STDEV.S(ABS(Resultados!C108),ABS(Resultados!L108),ABS(Resultados!U108),ABS(Resultados!AD108),ABS(Resultados!AM108),ABS(Resultados!AV108),ABS(Resultados!BE108),ABS(Resultados!BN108),ABS(Resultados!BW108),ABS(Resultados!CF108))/SQRT(COUNT(Resultados!C108,Resultados!L108,Resultados!U108,Resultados!AD108,Resultados!AM108,Resultados!AV108,Resultados!BE108,Resultados!BN108,Resultados!BW108,Resultados!CF108)))</f>
        <v>0.5587684871413402</v>
      </c>
      <c r="D108">
        <f>IF(COUNT(Resultados!D108,Resultados!M108,Resultados!V108,Resultados!AE108,Resultados!AN108,Resultados!AW108,Resultados!BF108,Resultados!BO108,Resultados!BX108,Resultados!CG108)&lt;=1, "", _xlfn.STDEV.S(ABS(Resultados!D108),ABS(Resultados!M108),ABS(Resultados!V108),ABS(Resultados!AE108),ABS(Resultados!AN108),ABS(Resultados!AW108),ABS(Resultados!BF108),ABS(Resultados!BO108),ABS(Resultados!BX108),ABS(Resultados!CG108))/SQRT(COUNT(Resultados!D108,Resultados!M108,Resultados!V108,Resultados!AE108,Resultados!AN108,Resultados!AW108,Resultados!BF108,Resultados!BO108,Resultados!BX108,Resultados!CG108)))</f>
        <v>1.2600220456625174E-3</v>
      </c>
      <c r="E108">
        <f>IF(COUNT(Resultados!E108,Resultados!N108,Resultados!W108,Resultados!AF108,Resultados!AO108,Resultados!AX108,Resultados!BG108,Resultados!BP108,Resultados!BY108,Resultados!CH108)&lt;=1, "", _xlfn.STDEV.S(ABS(Resultados!E108),ABS(Resultados!N108),ABS(Resultados!W108),ABS(Resultados!AF108),ABS(Resultados!AO108),ABS(Resultados!AX108),ABS(Resultados!BG108),ABS(Resultados!BP108),ABS(Resultados!BY108),ABS(Resultados!CH108))/SQRT(COUNT(Resultados!E108,Resultados!N108,Resultados!W108,Resultados!AF108,Resultados!AO108,Resultados!AX108,Resultados!BG108,Resultados!BP108,Resultados!BY108,Resultados!CH108)))</f>
        <v>7.4976299194922977E-2</v>
      </c>
      <c r="F108">
        <f>IF(COUNT(Resultados!F108,Resultados!O108,Resultados!X108,Resultados!AG108,Resultados!AP108,Resultados!AY108,Resultados!BH108,Resultados!BQ108,Resultados!BZ108,Resultados!CI108)&lt;=1, "", _xlfn.STDEV.S(ABS(Resultados!F108),ABS(Resultados!O108),ABS(Resultados!X108),ABS(Resultados!AG108),ABS(Resultados!AP108),ABS(Resultados!AY108),ABS(Resultados!BH108),ABS(Resultados!BQ108),ABS(Resultados!BZ108),ABS(Resultados!CI108))/SQRT(COUNT(Resultados!F108,Resultados!O108,Resultados!X108,Resultados!AG108,Resultados!AP108,Resultados!AY108,Resultados!BH108,Resultados!BQ108,Resultados!BZ108,Resultados!CI108)))</f>
        <v>6.987791084966819</v>
      </c>
      <c r="G108">
        <f>IF(COUNT(Resultados!G108,Resultados!P108,Resultados!Y108,Resultados!AH108,Resultados!AQ108,Resultados!AZ108,Resultados!BI108,Resultados!BR108,Resultados!CA108,Resultados!CJ108)&lt;=1, "", _xlfn.STDEV.S(ABS(Resultados!G108),ABS(Resultados!P108),ABS(Resultados!Y108),ABS(Resultados!AH108),ABS(Resultados!AQ108),ABS(Resultados!AZ108),ABS(Resultados!BI108),ABS(Resultados!BR108),ABS(Resultados!CA108),ABS(Resultados!CJ108))/SQRT(COUNT(Resultados!G108,Resultados!P108,Resultados!Y108,Resultados!AH108,Resultados!AQ108,Resultados!AZ108,Resultados!BI108,Resultados!BR108,Resultados!CA108,Resultados!CJ108)))</f>
        <v>1.8503717077085941E-17</v>
      </c>
      <c r="H108">
        <f>IF(COUNT(Resultados!H108,Resultados!Q108,Resultados!Z108,Resultados!AI108,Resultados!AR108,Resultados!BA108,Resultados!BJ108,Resultados!BS108,Resultados!CB108,Resultados!CK108)&lt;=1, "", _xlfn.STDEV.S(ABS(Resultados!H108),ABS(Resultados!Q108),ABS(Resultados!Z108),ABS(Resultados!AI108),ABS(Resultados!AR108),ABS(Resultados!BA108),ABS(Resultados!BJ108),ABS(Resultados!BS108),ABS(Resultados!CB108),ABS(Resultados!CK108))/SQRT(COUNT(Resultados!H108,Resultados!Q108,Resultados!Z108,Resultados!AI108,Resultados!AR108,Resultados!BA108,Resultados!BJ108,Resultados!BS108,Resultados!CB108,Resultados!CK108)))</f>
        <v>1.1684224882768696E-3</v>
      </c>
      <c r="I108">
        <f>IF(COUNT(Resultados!I108,Resultados!R108,Resultados!AA108,Resultados!AJ108,Resultados!AS108,Resultados!BB108,Resultados!BK108,Resultados!BT108,Resultados!CC108,Resultados!CL108)&lt;=1, "", _xlfn.STDEV.S(ABS(Resultados!I108),ABS(Resultados!R108),ABS(Resultados!AA108),ABS(Resultados!AJ108),ABS(Resultados!AS108),ABS(Resultados!BB108),ABS(Resultados!BK108),ABS(Resultados!BT108),ABS(Resultados!CC108),ABS(Resultados!CL108))/SQRT(COUNT(Resultados!I108,Resultados!R108,Resultados!AA108,Resultados!AJ108,Resultados!AS108,Resultados!BB108,Resultados!BK108,Resultados!BT108,Resultados!CC108,Resultados!CL108)))</f>
        <v>5.3450131949741908E-2</v>
      </c>
    </row>
    <row r="109" spans="1:9" x14ac:dyDescent="0.3">
      <c r="A109">
        <f>IF(COUNT(Resultados!A109,Resultados!J109,Resultados!S109,Resultados!AB109,Resultados!AK109,Resultados!AT109,Resultados!BC109,Resultados!BL109,Resultados!BU109,Resultados!CD109)&lt;=1, "", _xlfn.STDEV.S(ABS(Resultados!A109),ABS(Resultados!J109),ABS(Resultados!S109),ABS(Resultados!AB109),ABS(Resultados!AK109),ABS(Resultados!AT109),ABS(Resultados!BC109),ABS(Resultados!BL109),ABS(Resultados!BU109),ABS(Resultados!CD109))/SQRT(COUNT(Resultados!A109,Resultados!J109,Resultados!S109,Resultados!AB109,Resultados!AK109,Resultados!AT109,Resultados!BC109,Resultados!BL109,Resultados!BU109,Resultados!CD109)))</f>
        <v>0</v>
      </c>
      <c r="B109" t="str">
        <f>IF(COUNT(Resultados!B109,Resultados!K109,Resultados!T109,Resultados!AC109,Resultados!AL109,Resultados!AU109,Resultados!BD109,Resultados!BM109,Resultados!BV109,Resultados!CE109)&lt;=1, "", _xlfn.STDEV.S(ABS(Resultados!B109),ABS(Resultados!K109),ABS(Resultados!T109),ABS(Resultados!AC109),ABS(Resultados!AL109),ABS(Resultados!AU109),ABS(Resultados!BD109),ABS(Resultados!BM109),ABS(Resultados!BV109),ABS(Resultados!CE109))/SQRT(COUNT(Resultados!B109,Resultados!K109,Resultados!T109,Resultados!AC109,Resultados!AL109,Resultados!AU109,Resultados!BD109,Resultados!BM109,Resultados!BV109,Resultados!CE109)))</f>
        <v/>
      </c>
      <c r="C109">
        <f>IF(COUNT(Resultados!C109,Resultados!L109,Resultados!U109,Resultados!AD109,Resultados!AM109,Resultados!AV109,Resultados!BE109,Resultados!BN109,Resultados!BW109,Resultados!CF109)&lt;=1, "", _xlfn.STDEV.S(ABS(Resultados!C109),ABS(Resultados!L109),ABS(Resultados!U109),ABS(Resultados!AD109),ABS(Resultados!AM109),ABS(Resultados!AV109),ABS(Resultados!BE109),ABS(Resultados!BN109),ABS(Resultados!BW109),ABS(Resultados!CF109))/SQRT(COUNT(Resultados!C109,Resultados!L109,Resultados!U109,Resultados!AD109,Resultados!AM109,Resultados!AV109,Resultados!BE109,Resultados!BN109,Resultados!BW109,Resultados!CF109)))</f>
        <v>0.5587684871413402</v>
      </c>
      <c r="D109">
        <f>IF(COUNT(Resultados!D109,Resultados!M109,Resultados!V109,Resultados!AE109,Resultados!AN109,Resultados!AW109,Resultados!BF109,Resultados!BO109,Resultados!BX109,Resultados!CG109)&lt;=1, "", _xlfn.STDEV.S(ABS(Resultados!D109),ABS(Resultados!M109),ABS(Resultados!V109),ABS(Resultados!AE109),ABS(Resultados!AN109),ABS(Resultados!AW109),ABS(Resultados!BF109),ABS(Resultados!BO109),ABS(Resultados!BX109),ABS(Resultados!CG109))/SQRT(COUNT(Resultados!D109,Resultados!M109,Resultados!V109,Resultados!AE109,Resultados!AN109,Resultados!AW109,Resultados!BF109,Resultados!BO109,Resultados!BX109,Resultados!CG109)))</f>
        <v>1.2255656290509746E-3</v>
      </c>
      <c r="E109">
        <f>IF(COUNT(Resultados!E109,Resultados!N109,Resultados!W109,Resultados!AF109,Resultados!AO109,Resultados!AX109,Resultados!BG109,Resultados!BP109,Resultados!BY109,Resultados!CH109)&lt;=1, "", _xlfn.STDEV.S(ABS(Resultados!E109),ABS(Resultados!N109),ABS(Resultados!W109),ABS(Resultados!AF109),ABS(Resultados!AO109),ABS(Resultados!AX109),ABS(Resultados!BG109),ABS(Resultados!BP109),ABS(Resultados!BY109),ABS(Resultados!CH109))/SQRT(COUNT(Resultados!E109,Resultados!N109,Resultados!W109,Resultados!AF109,Resultados!AO109,Resultados!AX109,Resultados!BG109,Resultados!BP109,Resultados!BY109,Resultados!CH109)))</f>
        <v>7.9984905102563786E-2</v>
      </c>
      <c r="F109">
        <f>IF(COUNT(Resultados!F109,Resultados!O109,Resultados!X109,Resultados!AG109,Resultados!AP109,Resultados!AY109,Resultados!BH109,Resultados!BQ109,Resultados!BZ109,Resultados!CI109)&lt;=1, "", _xlfn.STDEV.S(ABS(Resultados!F109),ABS(Resultados!O109),ABS(Resultados!X109),ABS(Resultados!AG109),ABS(Resultados!AP109),ABS(Resultados!AY109),ABS(Resultados!BH109),ABS(Resultados!BQ109),ABS(Resultados!BZ109),ABS(Resultados!CI109))/SQRT(COUNT(Resultados!F109,Resultados!O109,Resultados!X109,Resultados!AG109,Resultados!AP109,Resultados!AY109,Resultados!BH109,Resultados!BQ109,Resultados!BZ109,Resultados!CI109)))</f>
        <v>7.4545931555589453</v>
      </c>
      <c r="G109">
        <f>IF(COUNT(Resultados!G109,Resultados!P109,Resultados!Y109,Resultados!AH109,Resultados!AQ109,Resultados!AZ109,Resultados!BI109,Resultados!BR109,Resultados!CA109,Resultados!CJ109)&lt;=1, "", _xlfn.STDEV.S(ABS(Resultados!G109),ABS(Resultados!P109),ABS(Resultados!Y109),ABS(Resultados!AH109),ABS(Resultados!AQ109),ABS(Resultados!AZ109),ABS(Resultados!BI109),ABS(Resultados!BR109),ABS(Resultados!CA109),ABS(Resultados!CJ109))/SQRT(COUNT(Resultados!G109,Resultados!P109,Resultados!Y109,Resultados!AH109,Resultados!AQ109,Resultados!AZ109,Resultados!BI109,Resultados!BR109,Resultados!CA109,Resultados!CJ109)))</f>
        <v>1.8503717077085941E-17</v>
      </c>
      <c r="H109">
        <f>IF(COUNT(Resultados!H109,Resultados!Q109,Resultados!Z109,Resultados!AI109,Resultados!AR109,Resultados!BA109,Resultados!BJ109,Resultados!BS109,Resultados!CB109,Resultados!CK109)&lt;=1, "", _xlfn.STDEV.S(ABS(Resultados!H109),ABS(Resultados!Q109),ABS(Resultados!Z109),ABS(Resultados!AI109),ABS(Resultados!AR109),ABS(Resultados!BA109),ABS(Resultados!BJ109),ABS(Resultados!BS109),ABS(Resultados!CB109),ABS(Resultados!CK109))/SQRT(COUNT(Resultados!H109,Resultados!Q109,Resultados!Z109,Resultados!AI109,Resultados!AR109,Resultados!BA109,Resultados!BJ109,Resultados!BS109,Resultados!CB109,Resultados!CK109)))</f>
        <v>1.2468449070442646E-3</v>
      </c>
      <c r="I109">
        <f>IF(COUNT(Resultados!I109,Resultados!R109,Resultados!AA109,Resultados!AJ109,Resultados!AS109,Resultados!BB109,Resultados!BK109,Resultados!BT109,Resultados!CC109,Resultados!CL109)&lt;=1, "", _xlfn.STDEV.S(ABS(Resultados!I109),ABS(Resultados!R109),ABS(Resultados!AA109),ABS(Resultados!AJ109),ABS(Resultados!AS109),ABS(Resultados!BB109),ABS(Resultados!BK109),ABS(Resultados!BT109),ABS(Resultados!CC109),ABS(Resultados!CL109))/SQRT(COUNT(Resultados!I109,Resultados!R109,Resultados!AA109,Resultados!AJ109,Resultados!AS109,Resultados!BB109,Resultados!BK109,Resultados!BT109,Resultados!CC109,Resultados!CL109)))</f>
        <v>5.3432013085166506E-2</v>
      </c>
    </row>
    <row r="110" spans="1:9" x14ac:dyDescent="0.3">
      <c r="A110">
        <f>IF(COUNT(Resultados!A110,Resultados!J110,Resultados!S110,Resultados!AB110,Resultados!AK110,Resultados!AT110,Resultados!BC110,Resultados!BL110,Resultados!BU110,Resultados!CD110)&lt;=1, "", _xlfn.STDEV.S(ABS(Resultados!A110),ABS(Resultados!J110),ABS(Resultados!S110),ABS(Resultados!AB110),ABS(Resultados!AK110),ABS(Resultados!AT110),ABS(Resultados!BC110),ABS(Resultados!BL110),ABS(Resultados!BU110),ABS(Resultados!CD110))/SQRT(COUNT(Resultados!A110,Resultados!J110,Resultados!S110,Resultados!AB110,Resultados!AK110,Resultados!AT110,Resultados!BC110,Resultados!BL110,Resultados!BU110,Resultados!CD110)))</f>
        <v>0</v>
      </c>
      <c r="B110" t="str">
        <f>IF(COUNT(Resultados!B110,Resultados!K110,Resultados!T110,Resultados!AC110,Resultados!AL110,Resultados!AU110,Resultados!BD110,Resultados!BM110,Resultados!BV110,Resultados!CE110)&lt;=1, "", _xlfn.STDEV.S(ABS(Resultados!B110),ABS(Resultados!K110),ABS(Resultados!T110),ABS(Resultados!AC110),ABS(Resultados!AL110),ABS(Resultados!AU110),ABS(Resultados!BD110),ABS(Resultados!BM110),ABS(Resultados!BV110),ABS(Resultados!CE110))/SQRT(COUNT(Resultados!B110,Resultados!K110,Resultados!T110,Resultados!AC110,Resultados!AL110,Resultados!AU110,Resultados!BD110,Resultados!BM110,Resultados!BV110,Resultados!CE110)))</f>
        <v/>
      </c>
      <c r="C110">
        <f>IF(COUNT(Resultados!C110,Resultados!L110,Resultados!U110,Resultados!AD110,Resultados!AM110,Resultados!AV110,Resultados!BE110,Resultados!BN110,Resultados!BW110,Resultados!CF110)&lt;=1, "", _xlfn.STDEV.S(ABS(Resultados!C110),ABS(Resultados!L110),ABS(Resultados!U110),ABS(Resultados!AD110),ABS(Resultados!AM110),ABS(Resultados!AV110),ABS(Resultados!BE110),ABS(Resultados!BN110),ABS(Resultados!BW110),ABS(Resultados!CF110))/SQRT(COUNT(Resultados!C110,Resultados!L110,Resultados!U110,Resultados!AD110,Resultados!AM110,Resultados!AV110,Resultados!BE110,Resultados!BN110,Resultados!BW110,Resultados!CF110)))</f>
        <v>0.5587684871413402</v>
      </c>
      <c r="D110">
        <f>IF(COUNT(Resultados!D110,Resultados!M110,Resultados!V110,Resultados!AE110,Resultados!AN110,Resultados!AW110,Resultados!BF110,Resultados!BO110,Resultados!BX110,Resultados!CG110)&lt;=1, "", _xlfn.STDEV.S(ABS(Resultados!D110),ABS(Resultados!M110),ABS(Resultados!V110),ABS(Resultados!AE110),ABS(Resultados!AN110),ABS(Resultados!AW110),ABS(Resultados!BF110),ABS(Resultados!BO110),ABS(Resultados!BX110),ABS(Resultados!CG110))/SQRT(COUNT(Resultados!D110,Resultados!M110,Resultados!V110,Resultados!AE110,Resultados!AN110,Resultados!AW110,Resultados!BF110,Resultados!BO110,Resultados!BX110,Resultados!CG110)))</f>
        <v>1.254254980279351E-3</v>
      </c>
      <c r="E110">
        <f>IF(COUNT(Resultados!E110,Resultados!N110,Resultados!W110,Resultados!AF110,Resultados!AO110,Resultados!AX110,Resultados!BG110,Resultados!BP110,Resultados!BY110,Resultados!CH110)&lt;=1, "", _xlfn.STDEV.S(ABS(Resultados!E110),ABS(Resultados!N110),ABS(Resultados!W110),ABS(Resultados!AF110),ABS(Resultados!AO110),ABS(Resultados!AX110),ABS(Resultados!BG110),ABS(Resultados!BP110),ABS(Resultados!BY110),ABS(Resultados!CH110))/SQRT(COUNT(Resultados!E110,Resultados!N110,Resultados!W110,Resultados!AF110,Resultados!AO110,Resultados!AX110,Resultados!BG110,Resultados!BP110,Resultados!BY110,Resultados!CH110)))</f>
        <v>8.3296372983295244E-2</v>
      </c>
      <c r="F110">
        <f>IF(COUNT(Resultados!F110,Resultados!O110,Resultados!X110,Resultados!AG110,Resultados!AP110,Resultados!AY110,Resultados!BH110,Resultados!BQ110,Resultados!BZ110,Resultados!CI110)&lt;=1, "", _xlfn.STDEV.S(ABS(Resultados!F110),ABS(Resultados!O110),ABS(Resultados!X110),ABS(Resultados!AG110),ABS(Resultados!AP110),ABS(Resultados!AY110),ABS(Resultados!BH110),ABS(Resultados!BQ110),ABS(Resultados!BZ110),ABS(Resultados!CI110))/SQRT(COUNT(Resultados!F110,Resultados!O110,Resultados!X110,Resultados!AG110,Resultados!AP110,Resultados!AY110,Resultados!BH110,Resultados!BQ110,Resultados!BZ110,Resultados!CI110)))</f>
        <v>7.7632219620431142</v>
      </c>
      <c r="G110">
        <f>IF(COUNT(Resultados!G110,Resultados!P110,Resultados!Y110,Resultados!AH110,Resultados!AQ110,Resultados!AZ110,Resultados!BI110,Resultados!BR110,Resultados!CA110,Resultados!CJ110)&lt;=1, "", _xlfn.STDEV.S(ABS(Resultados!G110),ABS(Resultados!P110),ABS(Resultados!Y110),ABS(Resultados!AH110),ABS(Resultados!AQ110),ABS(Resultados!AZ110),ABS(Resultados!BI110),ABS(Resultados!BR110),ABS(Resultados!CA110),ABS(Resultados!CJ110))/SQRT(COUNT(Resultados!G110,Resultados!P110,Resultados!Y110,Resultados!AH110,Resultados!AQ110,Resultados!AZ110,Resultados!BI110,Resultados!BR110,Resultados!CA110,Resultados!CJ110)))</f>
        <v>1.8503717077085941E-17</v>
      </c>
      <c r="H110">
        <f>IF(COUNT(Resultados!H110,Resultados!Q110,Resultados!Z110,Resultados!AI110,Resultados!AR110,Resultados!BA110,Resultados!BJ110,Resultados!BS110,Resultados!CB110,Resultados!CK110)&lt;=1, "", _xlfn.STDEV.S(ABS(Resultados!H110),ABS(Resultados!Q110),ABS(Resultados!Z110),ABS(Resultados!AI110),ABS(Resultados!AR110),ABS(Resultados!BA110),ABS(Resultados!BJ110),ABS(Resultados!BS110),ABS(Resultados!CB110),ABS(Resultados!CK110))/SQRT(COUNT(Resultados!H110,Resultados!Q110,Resultados!Z110,Resultados!AI110,Resultados!AR110,Resultados!BA110,Resultados!BJ110,Resultados!BS110,Resultados!CB110,Resultados!CK110)))</f>
        <v>1.2951233317504726E-3</v>
      </c>
      <c r="I110">
        <f>IF(COUNT(Resultados!I110,Resultados!R110,Resultados!AA110,Resultados!AJ110,Resultados!AS110,Resultados!BB110,Resultados!BK110,Resultados!BT110,Resultados!CC110,Resultados!CL110)&lt;=1, "", _xlfn.STDEV.S(ABS(Resultados!I110),ABS(Resultados!R110),ABS(Resultados!AA110),ABS(Resultados!AJ110),ABS(Resultados!AS110),ABS(Resultados!BB110),ABS(Resultados!BK110),ABS(Resultados!BT110),ABS(Resultados!CC110),ABS(Resultados!CL110))/SQRT(COUNT(Resultados!I110,Resultados!R110,Resultados!AA110,Resultados!AJ110,Resultados!AS110,Resultados!BB110,Resultados!BK110,Resultados!BT110,Resultados!CC110,Resultados!CL110)))</f>
        <v>5.3586894724571725E-2</v>
      </c>
    </row>
    <row r="111" spans="1:9" x14ac:dyDescent="0.3">
      <c r="A111">
        <f>IF(COUNT(Resultados!A111,Resultados!J111,Resultados!S111,Resultados!AB111,Resultados!AK111,Resultados!AT111,Resultados!BC111,Resultados!BL111,Resultados!BU111,Resultados!CD111)&lt;=1, "", _xlfn.STDEV.S(ABS(Resultados!A111),ABS(Resultados!J111),ABS(Resultados!S111),ABS(Resultados!AB111),ABS(Resultados!AK111),ABS(Resultados!AT111),ABS(Resultados!BC111),ABS(Resultados!BL111),ABS(Resultados!BU111),ABS(Resultados!CD111))/SQRT(COUNT(Resultados!A111,Resultados!J111,Resultados!S111,Resultados!AB111,Resultados!AK111,Resultados!AT111,Resultados!BC111,Resultados!BL111,Resultados!BU111,Resultados!CD111)))</f>
        <v>0</v>
      </c>
      <c r="B111" t="str">
        <f>IF(COUNT(Resultados!B111,Resultados!K111,Resultados!T111,Resultados!AC111,Resultados!AL111,Resultados!AU111,Resultados!BD111,Resultados!BM111,Resultados!BV111,Resultados!CE111)&lt;=1, "", _xlfn.STDEV.S(ABS(Resultados!B111),ABS(Resultados!K111),ABS(Resultados!T111),ABS(Resultados!AC111),ABS(Resultados!AL111),ABS(Resultados!AU111),ABS(Resultados!BD111),ABS(Resultados!BM111),ABS(Resultados!BV111),ABS(Resultados!CE111))/SQRT(COUNT(Resultados!B111,Resultados!K111,Resultados!T111,Resultados!AC111,Resultados!AL111,Resultados!AU111,Resultados!BD111,Resultados!BM111,Resultados!BV111,Resultados!CE111)))</f>
        <v/>
      </c>
      <c r="C111">
        <f>IF(COUNT(Resultados!C111,Resultados!L111,Resultados!U111,Resultados!AD111,Resultados!AM111,Resultados!AV111,Resultados!BE111,Resultados!BN111,Resultados!BW111,Resultados!CF111)&lt;=1, "", _xlfn.STDEV.S(ABS(Resultados!C111),ABS(Resultados!L111),ABS(Resultados!U111),ABS(Resultados!AD111),ABS(Resultados!AM111),ABS(Resultados!AV111),ABS(Resultados!BE111),ABS(Resultados!BN111),ABS(Resultados!BW111),ABS(Resultados!CF111))/SQRT(COUNT(Resultados!C111,Resultados!L111,Resultados!U111,Resultados!AD111,Resultados!AM111,Resultados!AV111,Resultados!BE111,Resultados!BN111,Resultados!BW111,Resultados!CF111)))</f>
        <v>0.5587684871413402</v>
      </c>
      <c r="D111">
        <f>IF(COUNT(Resultados!D111,Resultados!M111,Resultados!V111,Resultados!AE111,Resultados!AN111,Resultados!AW111,Resultados!BF111,Resultados!BO111,Resultados!BX111,Resultados!CG111)&lt;=1, "", _xlfn.STDEV.S(ABS(Resultados!D111),ABS(Resultados!M111),ABS(Resultados!V111),ABS(Resultados!AE111),ABS(Resultados!AN111),ABS(Resultados!AW111),ABS(Resultados!BF111),ABS(Resultados!BO111),ABS(Resultados!BX111),ABS(Resultados!CG111))/SQRT(COUNT(Resultados!D111,Resultados!M111,Resultados!V111,Resultados!AE111,Resultados!AN111,Resultados!AW111,Resultados!BF111,Resultados!BO111,Resultados!BX111,Resultados!CG111)))</f>
        <v>1.3155015942386554E-3</v>
      </c>
      <c r="E111">
        <f>IF(COUNT(Resultados!E111,Resultados!N111,Resultados!W111,Resultados!AF111,Resultados!AO111,Resultados!AX111,Resultados!BG111,Resultados!BP111,Resultados!BY111,Resultados!CH111)&lt;=1, "", _xlfn.STDEV.S(ABS(Resultados!E111),ABS(Resultados!N111),ABS(Resultados!W111),ABS(Resultados!AF111),ABS(Resultados!AO111),ABS(Resultados!AX111),ABS(Resultados!BG111),ABS(Resultados!BP111),ABS(Resultados!BY111),ABS(Resultados!CH111))/SQRT(COUNT(Resultados!E111,Resultados!N111,Resultados!W111,Resultados!AF111,Resultados!AO111,Resultados!AX111,Resultados!BG111,Resultados!BP111,Resultados!BY111,Resultados!CH111)))</f>
        <v>8.4149766555597777E-2</v>
      </c>
      <c r="F111">
        <f>IF(COUNT(Resultados!F111,Resultados!O111,Resultados!X111,Resultados!AG111,Resultados!AP111,Resultados!AY111,Resultados!BH111,Resultados!BQ111,Resultados!BZ111,Resultados!CI111)&lt;=1, "", _xlfn.STDEV.S(ABS(Resultados!F111),ABS(Resultados!O111),ABS(Resultados!X111),ABS(Resultados!AG111),ABS(Resultados!AP111),ABS(Resultados!AY111),ABS(Resultados!BH111),ABS(Resultados!BQ111),ABS(Resultados!BZ111),ABS(Resultados!CI111))/SQRT(COUNT(Resultados!F111,Resultados!O111,Resultados!X111,Resultados!AG111,Resultados!AP111,Resultados!AY111,Resultados!BH111,Resultados!BQ111,Resultados!BZ111,Resultados!CI111)))</f>
        <v>7.8427582429817075</v>
      </c>
      <c r="G111">
        <f>IF(COUNT(Resultados!G111,Resultados!P111,Resultados!Y111,Resultados!AH111,Resultados!AQ111,Resultados!AZ111,Resultados!BI111,Resultados!BR111,Resultados!CA111,Resultados!CJ111)&lt;=1, "", _xlfn.STDEV.S(ABS(Resultados!G111),ABS(Resultados!P111),ABS(Resultados!Y111),ABS(Resultados!AH111),ABS(Resultados!AQ111),ABS(Resultados!AZ111),ABS(Resultados!BI111),ABS(Resultados!BR111),ABS(Resultados!CA111),ABS(Resultados!CJ111))/SQRT(COUNT(Resultados!G111,Resultados!P111,Resultados!Y111,Resultados!AH111,Resultados!AQ111,Resultados!AZ111,Resultados!BI111,Resultados!BR111,Resultados!CA111,Resultados!CJ111)))</f>
        <v>1.8503717077085941E-17</v>
      </c>
      <c r="H111">
        <f>IF(COUNT(Resultados!H111,Resultados!Q111,Resultados!Z111,Resultados!AI111,Resultados!AR111,Resultados!BA111,Resultados!BJ111,Resultados!BS111,Resultados!CB111,Resultados!CK111)&lt;=1, "", _xlfn.STDEV.S(ABS(Resultados!H111),ABS(Resultados!Q111),ABS(Resultados!Z111),ABS(Resultados!AI111),ABS(Resultados!AR111),ABS(Resultados!BA111),ABS(Resultados!BJ111),ABS(Resultados!BS111),ABS(Resultados!CB111),ABS(Resultados!CK111))/SQRT(COUNT(Resultados!H111,Resultados!Q111,Resultados!Z111,Resultados!AI111,Resultados!AR111,Resultados!BA111,Resultados!BJ111,Resultados!BS111,Resultados!CB111,Resultados!CK111)))</f>
        <v>1.3118096067815804E-3</v>
      </c>
      <c r="I111">
        <f>IF(COUNT(Resultados!I111,Resultados!R111,Resultados!AA111,Resultados!AJ111,Resultados!AS111,Resultados!BB111,Resultados!BK111,Resultados!BT111,Resultados!CC111,Resultados!CL111)&lt;=1, "", _xlfn.STDEV.S(ABS(Resultados!I111),ABS(Resultados!R111),ABS(Resultados!AA111),ABS(Resultados!AJ111),ABS(Resultados!AS111),ABS(Resultados!BB111),ABS(Resultados!BK111),ABS(Resultados!BT111),ABS(Resultados!CC111),ABS(Resultados!CL111))/SQRT(COUNT(Resultados!I111,Resultados!R111,Resultados!AA111,Resultados!AJ111,Resultados!AS111,Resultados!BB111,Resultados!BK111,Resultados!BT111,Resultados!CC111,Resultados!CL111)))</f>
        <v>5.3474231701926139E-2</v>
      </c>
    </row>
    <row r="112" spans="1:9" x14ac:dyDescent="0.3">
      <c r="A112">
        <f>IF(COUNT(Resultados!A112,Resultados!J112,Resultados!S112,Resultados!AB112,Resultados!AK112,Resultados!AT112,Resultados!BC112,Resultados!BL112,Resultados!BU112,Resultados!CD112)&lt;=1, "", _xlfn.STDEV.S(ABS(Resultados!A112),ABS(Resultados!J112),ABS(Resultados!S112),ABS(Resultados!AB112),ABS(Resultados!AK112),ABS(Resultados!AT112),ABS(Resultados!BC112),ABS(Resultados!BL112),ABS(Resultados!BU112),ABS(Resultados!CD112))/SQRT(COUNT(Resultados!A112,Resultados!J112,Resultados!S112,Resultados!AB112,Resultados!AK112,Resultados!AT112,Resultados!BC112,Resultados!BL112,Resultados!BU112,Resultados!CD112)))</f>
        <v>0</v>
      </c>
      <c r="B112" t="str">
        <f>IF(COUNT(Resultados!B112,Resultados!K112,Resultados!T112,Resultados!AC112,Resultados!AL112,Resultados!AU112,Resultados!BD112,Resultados!BM112,Resultados!BV112,Resultados!CE112)&lt;=1, "", _xlfn.STDEV.S(ABS(Resultados!B112),ABS(Resultados!K112),ABS(Resultados!T112),ABS(Resultados!AC112),ABS(Resultados!AL112),ABS(Resultados!AU112),ABS(Resultados!BD112),ABS(Resultados!BM112),ABS(Resultados!BV112),ABS(Resultados!CE112))/SQRT(COUNT(Resultados!B112,Resultados!K112,Resultados!T112,Resultados!AC112,Resultados!AL112,Resultados!AU112,Resultados!BD112,Resultados!BM112,Resultados!BV112,Resultados!CE112)))</f>
        <v/>
      </c>
      <c r="C112">
        <f>IF(COUNT(Resultados!C112,Resultados!L112,Resultados!U112,Resultados!AD112,Resultados!AM112,Resultados!AV112,Resultados!BE112,Resultados!BN112,Resultados!BW112,Resultados!CF112)&lt;=1, "", _xlfn.STDEV.S(ABS(Resultados!C112),ABS(Resultados!L112),ABS(Resultados!U112),ABS(Resultados!AD112),ABS(Resultados!AM112),ABS(Resultados!AV112),ABS(Resultados!BE112),ABS(Resultados!BN112),ABS(Resultados!BW112),ABS(Resultados!CF112))/SQRT(COUNT(Resultados!C112,Resultados!L112,Resultados!U112,Resultados!AD112,Resultados!AM112,Resultados!AV112,Resultados!BE112,Resultados!BN112,Resultados!BW112,Resultados!CF112)))</f>
        <v>0.5587684871413402</v>
      </c>
      <c r="D112">
        <f>IF(COUNT(Resultados!D112,Resultados!M112,Resultados!V112,Resultados!AE112,Resultados!AN112,Resultados!AW112,Resultados!BF112,Resultados!BO112,Resultados!BX112,Resultados!CG112)&lt;=1, "", _xlfn.STDEV.S(ABS(Resultados!D112),ABS(Resultados!M112),ABS(Resultados!V112),ABS(Resultados!AE112),ABS(Resultados!AN112),ABS(Resultados!AW112),ABS(Resultados!BF112),ABS(Resultados!BO112),ABS(Resultados!BX112),ABS(Resultados!CG112))/SQRT(COUNT(Resultados!D112,Resultados!M112,Resultados!V112,Resultados!AE112,Resultados!AN112,Resultados!AW112,Resultados!BF112,Resultados!BO112,Resultados!BX112,Resultados!CG112)))</f>
        <v>1.3142636299041716E-3</v>
      </c>
      <c r="E112">
        <f>IF(COUNT(Resultados!E112,Resultados!N112,Resultados!W112,Resultados!AF112,Resultados!AO112,Resultados!AX112,Resultados!BG112,Resultados!BP112,Resultados!BY112,Resultados!CH112)&lt;=1, "", _xlfn.STDEV.S(ABS(Resultados!E112),ABS(Resultados!N112),ABS(Resultados!W112),ABS(Resultados!AF112),ABS(Resultados!AO112),ABS(Resultados!AX112),ABS(Resultados!BG112),ABS(Resultados!BP112),ABS(Resultados!BY112),ABS(Resultados!CH112))/SQRT(COUNT(Resultados!E112,Resultados!N112,Resultados!W112,Resultados!AF112,Resultados!AO112,Resultados!AX112,Resultados!BG112,Resultados!BP112,Resultados!BY112,Resultados!CH112)))</f>
        <v>8.3087060856631534E-2</v>
      </c>
      <c r="F112">
        <f>IF(COUNT(Resultados!F112,Resultados!O112,Resultados!X112,Resultados!AG112,Resultados!AP112,Resultados!AY112,Resultados!BH112,Resultados!BQ112,Resultados!BZ112,Resultados!CI112)&lt;=1, "", _xlfn.STDEV.S(ABS(Resultados!F112),ABS(Resultados!O112),ABS(Resultados!X112),ABS(Resultados!AG112),ABS(Resultados!AP112),ABS(Resultados!AY112),ABS(Resultados!BH112),ABS(Resultados!BQ112),ABS(Resultados!BZ112),ABS(Resultados!CI112))/SQRT(COUNT(Resultados!F112,Resultados!O112,Resultados!X112,Resultados!AG112,Resultados!AP112,Resultados!AY112,Resultados!BH112,Resultados!BQ112,Resultados!BZ112,Resultados!CI112)))</f>
        <v>7.7437140718380588</v>
      </c>
      <c r="G112">
        <f>IF(COUNT(Resultados!G112,Resultados!P112,Resultados!Y112,Resultados!AH112,Resultados!AQ112,Resultados!AZ112,Resultados!BI112,Resultados!BR112,Resultados!CA112,Resultados!CJ112)&lt;=1, "", _xlfn.STDEV.S(ABS(Resultados!G112),ABS(Resultados!P112),ABS(Resultados!Y112),ABS(Resultados!AH112),ABS(Resultados!AQ112),ABS(Resultados!AZ112),ABS(Resultados!BI112),ABS(Resultados!BR112),ABS(Resultados!CA112),ABS(Resultados!CJ112))/SQRT(COUNT(Resultados!G112,Resultados!P112,Resultados!Y112,Resultados!AH112,Resultados!AQ112,Resultados!AZ112,Resultados!BI112,Resultados!BR112,Resultados!CA112,Resultados!CJ112)))</f>
        <v>1.8503717077085941E-17</v>
      </c>
      <c r="H112">
        <f>IF(COUNT(Resultados!H112,Resultados!Q112,Resultados!Z112,Resultados!AI112,Resultados!AR112,Resultados!BA112,Resultados!BJ112,Resultados!BS112,Resultados!CB112,Resultados!CK112)&lt;=1, "", _xlfn.STDEV.S(ABS(Resultados!H112),ABS(Resultados!Q112),ABS(Resultados!Z112),ABS(Resultados!AI112),ABS(Resultados!AR112),ABS(Resultados!BA112),ABS(Resultados!BJ112),ABS(Resultados!BS112),ABS(Resultados!CB112),ABS(Resultados!CK112))/SQRT(COUNT(Resultados!H112,Resultados!Q112,Resultados!Z112,Resultados!AI112,Resultados!AR112,Resultados!BA112,Resultados!BJ112,Resultados!BS112,Resultados!CB112,Resultados!CK112)))</f>
        <v>1.2853404218338422E-3</v>
      </c>
      <c r="I112">
        <f>IF(COUNT(Resultados!I112,Resultados!R112,Resultados!AA112,Resultados!AJ112,Resultados!AS112,Resultados!BB112,Resultados!BK112,Resultados!BT112,Resultados!CC112,Resultados!CL112)&lt;=1, "", _xlfn.STDEV.S(ABS(Resultados!I112),ABS(Resultados!R112),ABS(Resultados!AA112),ABS(Resultados!AJ112),ABS(Resultados!AS112),ABS(Resultados!BB112),ABS(Resultados!BK112),ABS(Resultados!BT112),ABS(Resultados!CC112),ABS(Resultados!CL112))/SQRT(COUNT(Resultados!I112,Resultados!R112,Resultados!AA112,Resultados!AJ112,Resultados!AS112,Resultados!BB112,Resultados!BK112,Resultados!BT112,Resultados!CC112,Resultados!CL112)))</f>
        <v>5.3461139407781008E-2</v>
      </c>
    </row>
    <row r="113" spans="1:9" x14ac:dyDescent="0.3">
      <c r="A113">
        <f>IF(COUNT(Resultados!A113,Resultados!J113,Resultados!S113,Resultados!AB113,Resultados!AK113,Resultados!AT113,Resultados!BC113,Resultados!BL113,Resultados!BU113,Resultados!CD113)&lt;=1, "", _xlfn.STDEV.S(ABS(Resultados!A113),ABS(Resultados!J113),ABS(Resultados!S113),ABS(Resultados!AB113),ABS(Resultados!AK113),ABS(Resultados!AT113),ABS(Resultados!BC113),ABS(Resultados!BL113),ABS(Resultados!BU113),ABS(Resultados!CD113))/SQRT(COUNT(Resultados!A113,Resultados!J113,Resultados!S113,Resultados!AB113,Resultados!AK113,Resultados!AT113,Resultados!BC113,Resultados!BL113,Resultados!BU113,Resultados!CD113)))</f>
        <v>0</v>
      </c>
      <c r="B113" t="str">
        <f>IF(COUNT(Resultados!B113,Resultados!K113,Resultados!T113,Resultados!AC113,Resultados!AL113,Resultados!AU113,Resultados!BD113,Resultados!BM113,Resultados!BV113,Resultados!CE113)&lt;=1, "", _xlfn.STDEV.S(ABS(Resultados!B113),ABS(Resultados!K113),ABS(Resultados!T113),ABS(Resultados!AC113),ABS(Resultados!AL113),ABS(Resultados!AU113),ABS(Resultados!BD113),ABS(Resultados!BM113),ABS(Resultados!BV113),ABS(Resultados!CE113))/SQRT(COUNT(Resultados!B113,Resultados!K113,Resultados!T113,Resultados!AC113,Resultados!AL113,Resultados!AU113,Resultados!BD113,Resultados!BM113,Resultados!BV113,Resultados!CE113)))</f>
        <v/>
      </c>
      <c r="C113">
        <f>IF(COUNT(Resultados!C113,Resultados!L113,Resultados!U113,Resultados!AD113,Resultados!AM113,Resultados!AV113,Resultados!BE113,Resultados!BN113,Resultados!BW113,Resultados!CF113)&lt;=1, "", _xlfn.STDEV.S(ABS(Resultados!C113),ABS(Resultados!L113),ABS(Resultados!U113),ABS(Resultados!AD113),ABS(Resultados!AM113),ABS(Resultados!AV113),ABS(Resultados!BE113),ABS(Resultados!BN113),ABS(Resultados!BW113),ABS(Resultados!CF113))/SQRT(COUNT(Resultados!C113,Resultados!L113,Resultados!U113,Resultados!AD113,Resultados!AM113,Resultados!AV113,Resultados!BE113,Resultados!BN113,Resultados!BW113,Resultados!CF113)))</f>
        <v>0.5587684871413402</v>
      </c>
      <c r="D113">
        <f>IF(COUNT(Resultados!D113,Resultados!M113,Resultados!V113,Resultados!AE113,Resultados!AN113,Resultados!AW113,Resultados!BF113,Resultados!BO113,Resultados!BX113,Resultados!CG113)&lt;=1, "", _xlfn.STDEV.S(ABS(Resultados!D113),ABS(Resultados!M113),ABS(Resultados!V113),ABS(Resultados!AE113),ABS(Resultados!AN113),ABS(Resultados!AW113),ABS(Resultados!BF113),ABS(Resultados!BO113),ABS(Resultados!BX113),ABS(Resultados!CG113))/SQRT(COUNT(Resultados!D113,Resultados!M113,Resultados!V113,Resultados!AE113,Resultados!AN113,Resultados!AW113,Resultados!BF113,Resultados!BO113,Resultados!BX113,Resultados!CG113)))</f>
        <v>1.3569123446675218E-3</v>
      </c>
      <c r="E113">
        <f>IF(COUNT(Resultados!E113,Resultados!N113,Resultados!W113,Resultados!AF113,Resultados!AO113,Resultados!AX113,Resultados!BG113,Resultados!BP113,Resultados!BY113,Resultados!CH113)&lt;=1, "", _xlfn.STDEV.S(ABS(Resultados!E113),ABS(Resultados!N113),ABS(Resultados!W113),ABS(Resultados!AF113),ABS(Resultados!AO113),ABS(Resultados!AX113),ABS(Resultados!BG113),ABS(Resultados!BP113),ABS(Resultados!BY113),ABS(Resultados!CH113))/SQRT(COUNT(Resultados!E113,Resultados!N113,Resultados!W113,Resultados!AF113,Resultados!AO113,Resultados!AX113,Resultados!BG113,Resultados!BP113,Resultados!BY113,Resultados!CH113)))</f>
        <v>7.9983417974668056E-2</v>
      </c>
      <c r="F113">
        <f>IF(COUNT(Resultados!F113,Resultados!O113,Resultados!X113,Resultados!AG113,Resultados!AP113,Resultados!AY113,Resultados!BH113,Resultados!BQ113,Resultados!BZ113,Resultados!CI113)&lt;=1, "", _xlfn.STDEV.S(ABS(Resultados!F113),ABS(Resultados!O113),ABS(Resultados!X113),ABS(Resultados!AG113),ABS(Resultados!AP113),ABS(Resultados!AY113),ABS(Resultados!BH113),ABS(Resultados!BQ113),ABS(Resultados!BZ113),ABS(Resultados!CI113))/SQRT(COUNT(Resultados!F113,Resultados!O113,Resultados!X113,Resultados!AG113,Resultados!AP113,Resultados!AY113,Resultados!BH113,Resultados!BQ113,Resultados!BZ113,Resultados!CI113)))</f>
        <v>7.454454555239062</v>
      </c>
      <c r="G113">
        <f>IF(COUNT(Resultados!G113,Resultados!P113,Resultados!Y113,Resultados!AH113,Resultados!AQ113,Resultados!AZ113,Resultados!BI113,Resultados!BR113,Resultados!CA113,Resultados!CJ113)&lt;=1, "", _xlfn.STDEV.S(ABS(Resultados!G113),ABS(Resultados!P113),ABS(Resultados!Y113),ABS(Resultados!AH113),ABS(Resultados!AQ113),ABS(Resultados!AZ113),ABS(Resultados!BI113),ABS(Resultados!BR113),ABS(Resultados!CA113),ABS(Resultados!CJ113))/SQRT(COUNT(Resultados!G113,Resultados!P113,Resultados!Y113,Resultados!AH113,Resultados!AQ113,Resultados!AZ113,Resultados!BI113,Resultados!BR113,Resultados!CA113,Resultados!CJ113)))</f>
        <v>1.8503717077085941E-17</v>
      </c>
      <c r="H113">
        <f>IF(COUNT(Resultados!H113,Resultados!Q113,Resultados!Z113,Resultados!AI113,Resultados!AR113,Resultados!BA113,Resultados!BJ113,Resultados!BS113,Resultados!CB113,Resultados!CK113)&lt;=1, "", _xlfn.STDEV.S(ABS(Resultados!H113),ABS(Resultados!Q113),ABS(Resultados!Z113),ABS(Resultados!AI113),ABS(Resultados!AR113),ABS(Resultados!BA113),ABS(Resultados!BJ113),ABS(Resultados!BS113),ABS(Resultados!CB113),ABS(Resultados!CK113))/SQRT(COUNT(Resultados!H113,Resultados!Q113,Resultados!Z113,Resultados!AI113,Resultados!AR113,Resultados!BA113,Resultados!BJ113,Resultados!BS113,Resultados!CB113,Resultados!CK113)))</f>
        <v>1.2435790641888791E-3</v>
      </c>
      <c r="I113">
        <f>IF(COUNT(Resultados!I113,Resultados!R113,Resultados!AA113,Resultados!AJ113,Resultados!AS113,Resultados!BB113,Resultados!BK113,Resultados!BT113,Resultados!CC113,Resultados!CL113)&lt;=1, "", _xlfn.STDEV.S(ABS(Resultados!I113),ABS(Resultados!R113),ABS(Resultados!AA113),ABS(Resultados!AJ113),ABS(Resultados!AS113),ABS(Resultados!BB113),ABS(Resultados!BK113),ABS(Resultados!BT113),ABS(Resultados!CC113),ABS(Resultados!CL113))/SQRT(COUNT(Resultados!I113,Resultados!R113,Resultados!AA113,Resultados!AJ113,Resultados!AS113,Resultados!BB113,Resultados!BK113,Resultados!BT113,Resultados!CC113,Resultados!CL113)))</f>
        <v>5.3458048899216321E-2</v>
      </c>
    </row>
    <row r="114" spans="1:9" x14ac:dyDescent="0.3">
      <c r="A114">
        <f>IF(COUNT(Resultados!A114,Resultados!J114,Resultados!S114,Resultados!AB114,Resultados!AK114,Resultados!AT114,Resultados!BC114,Resultados!BL114,Resultados!BU114,Resultados!CD114)&lt;=1, "", _xlfn.STDEV.S(ABS(Resultados!A114),ABS(Resultados!J114),ABS(Resultados!S114),ABS(Resultados!AB114),ABS(Resultados!AK114),ABS(Resultados!AT114),ABS(Resultados!BC114),ABS(Resultados!BL114),ABS(Resultados!BU114),ABS(Resultados!CD114))/SQRT(COUNT(Resultados!A114,Resultados!J114,Resultados!S114,Resultados!AB114,Resultados!AK114,Resultados!AT114,Resultados!BC114,Resultados!BL114,Resultados!BU114,Resultados!CD114)))</f>
        <v>0</v>
      </c>
      <c r="B114" t="str">
        <f>IF(COUNT(Resultados!B114,Resultados!K114,Resultados!T114,Resultados!AC114,Resultados!AL114,Resultados!AU114,Resultados!BD114,Resultados!BM114,Resultados!BV114,Resultados!CE114)&lt;=1, "", _xlfn.STDEV.S(ABS(Resultados!B114),ABS(Resultados!K114),ABS(Resultados!T114),ABS(Resultados!AC114),ABS(Resultados!AL114),ABS(Resultados!AU114),ABS(Resultados!BD114),ABS(Resultados!BM114),ABS(Resultados!BV114),ABS(Resultados!CE114))/SQRT(COUNT(Resultados!B114,Resultados!K114,Resultados!T114,Resultados!AC114,Resultados!AL114,Resultados!AU114,Resultados!BD114,Resultados!BM114,Resultados!BV114,Resultados!CE114)))</f>
        <v/>
      </c>
      <c r="C114">
        <f>IF(COUNT(Resultados!C114,Resultados!L114,Resultados!U114,Resultados!AD114,Resultados!AM114,Resultados!AV114,Resultados!BE114,Resultados!BN114,Resultados!BW114,Resultados!CF114)&lt;=1, "", _xlfn.STDEV.S(ABS(Resultados!C114),ABS(Resultados!L114),ABS(Resultados!U114),ABS(Resultados!AD114),ABS(Resultados!AM114),ABS(Resultados!AV114),ABS(Resultados!BE114),ABS(Resultados!BN114),ABS(Resultados!BW114),ABS(Resultados!CF114))/SQRT(COUNT(Resultados!C114,Resultados!L114,Resultados!U114,Resultados!AD114,Resultados!AM114,Resultados!AV114,Resultados!BE114,Resultados!BN114,Resultados!BW114,Resultados!CF114)))</f>
        <v>0.5587684871413402</v>
      </c>
      <c r="D114">
        <f>IF(COUNT(Resultados!D114,Resultados!M114,Resultados!V114,Resultados!AE114,Resultados!AN114,Resultados!AW114,Resultados!BF114,Resultados!BO114,Resultados!BX114,Resultados!CG114)&lt;=1, "", _xlfn.STDEV.S(ABS(Resultados!D114),ABS(Resultados!M114),ABS(Resultados!V114),ABS(Resultados!AE114),ABS(Resultados!AN114),ABS(Resultados!AW114),ABS(Resultados!BF114),ABS(Resultados!BO114),ABS(Resultados!BX114),ABS(Resultados!CG114))/SQRT(COUNT(Resultados!D114,Resultados!M114,Resultados!V114,Resultados!AE114,Resultados!AN114,Resultados!AW114,Resultados!BF114,Resultados!BO114,Resultados!BX114,Resultados!CG114)))</f>
        <v>1.31400997797666E-3</v>
      </c>
      <c r="E114">
        <f>IF(COUNT(Resultados!E114,Resultados!N114,Resultados!W114,Resultados!AF114,Resultados!AO114,Resultados!AX114,Resultados!BG114,Resultados!BP114,Resultados!BY114,Resultados!CH114)&lt;=1, "", _xlfn.STDEV.S(ABS(Resultados!E114),ABS(Resultados!N114),ABS(Resultados!W114),ABS(Resultados!AF114),ABS(Resultados!AO114),ABS(Resultados!AX114),ABS(Resultados!BG114),ABS(Resultados!BP114),ABS(Resultados!BY114),ABS(Resultados!CH114))/SQRT(COUNT(Resultados!E114,Resultados!N114,Resultados!W114,Resultados!AF114,Resultados!AO114,Resultados!AX114,Resultados!BG114,Resultados!BP114,Resultados!BY114,Resultados!CH114)))</f>
        <v>7.4774524262637893E-2</v>
      </c>
      <c r="F114">
        <f>IF(COUNT(Resultados!F114,Resultados!O114,Resultados!X114,Resultados!AG114,Resultados!AP114,Resultados!AY114,Resultados!BH114,Resultados!BQ114,Resultados!BZ114,Resultados!CI114)&lt;=1, "", _xlfn.STDEV.S(ABS(Resultados!F114),ABS(Resultados!O114),ABS(Resultados!X114),ABS(Resultados!AG114),ABS(Resultados!AP114),ABS(Resultados!AY114),ABS(Resultados!BH114),ABS(Resultados!BQ114),ABS(Resultados!BZ114),ABS(Resultados!CI114))/SQRT(COUNT(Resultados!F114,Resultados!O114,Resultados!X114,Resultados!AG114,Resultados!AP114,Resultados!AY114,Resultados!BH114,Resultados!BQ114,Resultados!BZ114,Resultados!CI114)))</f>
        <v>6.9689856612778458</v>
      </c>
      <c r="G114">
        <f>IF(COUNT(Resultados!G114,Resultados!P114,Resultados!Y114,Resultados!AH114,Resultados!AQ114,Resultados!AZ114,Resultados!BI114,Resultados!BR114,Resultados!CA114,Resultados!CJ114)&lt;=1, "", _xlfn.STDEV.S(ABS(Resultados!G114),ABS(Resultados!P114),ABS(Resultados!Y114),ABS(Resultados!AH114),ABS(Resultados!AQ114),ABS(Resultados!AZ114),ABS(Resultados!BI114),ABS(Resultados!BR114),ABS(Resultados!CA114),ABS(Resultados!CJ114))/SQRT(COUNT(Resultados!G114,Resultados!P114,Resultados!Y114,Resultados!AH114,Resultados!AQ114,Resultados!AZ114,Resultados!BI114,Resultados!BR114,Resultados!CA114,Resultados!CJ114)))</f>
        <v>1.8503717077085941E-17</v>
      </c>
      <c r="H114">
        <f>IF(COUNT(Resultados!H114,Resultados!Q114,Resultados!Z114,Resultados!AI114,Resultados!AR114,Resultados!BA114,Resultados!BJ114,Resultados!BS114,Resultados!CB114,Resultados!CK114)&lt;=1, "", _xlfn.STDEV.S(ABS(Resultados!H114),ABS(Resultados!Q114),ABS(Resultados!Z114),ABS(Resultados!AI114),ABS(Resultados!AR114),ABS(Resultados!BA114),ABS(Resultados!BJ114),ABS(Resultados!BS114),ABS(Resultados!CB114),ABS(Resultados!CK114))/SQRT(COUNT(Resultados!H114,Resultados!Q114,Resultados!Z114,Resultados!AI114,Resultados!AR114,Resultados!BA114,Resultados!BJ114,Resultados!BS114,Resultados!CB114,Resultados!CK114)))</f>
        <v>1.1584712148152651E-3</v>
      </c>
      <c r="I114">
        <f>IF(COUNT(Resultados!I114,Resultados!R114,Resultados!AA114,Resultados!AJ114,Resultados!AS114,Resultados!BB114,Resultados!BK114,Resultados!BT114,Resultados!CC114,Resultados!CL114)&lt;=1, "", _xlfn.STDEV.S(ABS(Resultados!I114),ABS(Resultados!R114),ABS(Resultados!AA114),ABS(Resultados!AJ114),ABS(Resultados!AS114),ABS(Resultados!BB114),ABS(Resultados!BK114),ABS(Resultados!BT114),ABS(Resultados!CC114),ABS(Resultados!CL114))/SQRT(COUNT(Resultados!I114,Resultados!R114,Resultados!AA114,Resultados!AJ114,Resultados!AS114,Resultados!BB114,Resultados!BK114,Resultados!BT114,Resultados!CC114,Resultados!CL114)))</f>
        <v>5.3349067788379008E-2</v>
      </c>
    </row>
    <row r="115" spans="1:9" x14ac:dyDescent="0.3">
      <c r="A115">
        <f>IF(COUNT(Resultados!A115,Resultados!J115,Resultados!S115,Resultados!AB115,Resultados!AT115,Resultados!BL115,Resultados!BU115,Resultados!CD115)&lt;=1, "", _xlfn.STDEV.S(ABS(Resultados!A115),ABS(Resultados!J115),ABS(Resultados!S115),ABS(Resultados!AB115),ABS(Resultados!AT115),ABS(Resultados!BL115),ABS(Resultados!BU115),ABS(Resultados!CD115))/SQRT(COUNT(Resultados!A115,Resultados!J115,Resultados!S115,Resultados!AB115,Resultados!AT115,Resultados!BL115,Resultados!BU115,Resultados!CD115)))</f>
        <v>0</v>
      </c>
      <c r="B115" t="str">
        <f>IF(COUNT(Resultados!B115,Resultados!K115,Resultados!T115,Resultados!AC115,Resultados!AU115,Resultados!BM115,Resultados!BV115,Resultados!CE115)&lt;=1, "", _xlfn.STDEV.S(ABS(Resultados!B115),ABS(Resultados!K115),ABS(Resultados!T115),ABS(Resultados!AC115),ABS(Resultados!AU115),ABS(Resultados!BM115),ABS(Resultados!BV115),ABS(Resultados!CE115))/SQRT(COUNT(Resultados!B115,Resultados!K115,Resultados!T115,Resultados!AC115,Resultados!AU115,Resultados!BM115,Resultados!BV115,Resultados!CE115)))</f>
        <v/>
      </c>
      <c r="C115">
        <f>IF(COUNT(Resultados!C115,Resultados!L115,Resultados!U115,Resultados!AD115,Resultados!AV115,Resultados!BN115,Resultados!BW115,Resultados!CF115)&lt;=1, "", _xlfn.STDEV.S(ABS(Resultados!C115),ABS(Resultados!L115),ABS(Resultados!U115),ABS(Resultados!AD115),ABS(Resultados!AV115),ABS(Resultados!BN115),ABS(Resultados!BW115),ABS(Resultados!CF115))/SQRT(COUNT(Resultados!C115,Resultados!L115,Resultados!U115,Resultados!AD115,Resultados!AV115,Resultados!BN115,Resultados!BW115,Resultados!CF115)))</f>
        <v>0.67974522538122428</v>
      </c>
      <c r="D115">
        <f>IF(COUNT(Resultados!D115,Resultados!M115,Resultados!V115,Resultados!AE115,Resultados!AW115,Resultados!BO115,Resultados!BX115,Resultados!CG115)&lt;=1, "", _xlfn.STDEV.S(ABS(Resultados!D115),ABS(Resultados!M115),ABS(Resultados!V115),ABS(Resultados!AE115),ABS(Resultados!AW115),ABS(Resultados!BO115),ABS(Resultados!BX115),ABS(Resultados!CG115))/SQRT(COUNT(Resultados!D115,Resultados!M115,Resultados!V115,Resultados!AE115,Resultados!AW115,Resultados!BO115,Resultados!BX115,Resultados!CG115)))</f>
        <v>4.5316348358748387E-5</v>
      </c>
      <c r="E115">
        <f>IF(COUNT(Resultados!E115,Resultados!N115,Resultados!W115,Resultados!AF115,Resultados!AX115,Resultados!BP115,Resultados!BY115,Resultados!CH115)&lt;=1, "", _xlfn.STDEV.S(ABS(Resultados!E115),ABS(Resultados!N115),ABS(Resultados!W115),ABS(Resultados!AF115),ABS(Resultados!AX115),ABS(Resultados!BP115),ABS(Resultados!BY115),ABS(Resultados!CH115))/SQRT(COUNT(Resultados!E115,Resultados!N115,Resultados!W115,Resultados!AF115,Resultados!AX115,Resultados!BP115,Resultados!BY115,Resultados!CH115)))</f>
        <v>1.6687400157190269E-3</v>
      </c>
      <c r="F115">
        <f>IF(COUNT(Resultados!F115,Resultados!O115,Resultados!X115,Resultados!AG115,Resultados!AY115,Resultados!BQ115,Resultados!BZ115,Resultados!CI115)&lt;=1, "", _xlfn.STDEV.S(ABS(Resultados!F115),ABS(Resultados!O115),ABS(Resultados!X115),ABS(Resultados!AG115),ABS(Resultados!AY115),ABS(Resultados!BQ115),ABS(Resultados!BZ115),ABS(Resultados!CI115))/SQRT(COUNT(Resultados!F115,Resultados!O115,Resultados!X115,Resultados!AG115,Resultados!AY115,Resultados!BQ115,Resultados!BZ115,Resultados!CI115)))</f>
        <v>0.15552656946501114</v>
      </c>
      <c r="G115">
        <f>IF(COUNT(Resultados!G115,Resultados!P115,Resultados!Y115,Resultados!AH115,Resultados!AZ115,Resultados!BR115,Resultados!CA115,Resultados!CJ115)&lt;=1, "", _xlfn.STDEV.S(ABS(Resultados!G115),ABS(Resultados!P115),ABS(Resultados!Y115),ABS(Resultados!AH115),ABS(Resultados!AZ115),ABS(Resultados!BR115),ABS(Resultados!CA115),ABS(Resultados!CJ115))/SQRT(COUNT(Resultados!G115,Resultados!P115,Resultados!Y115,Resultados!AH115,Resultados!AZ115,Resultados!BR115,Resultados!CA115,Resultados!CJ115)))</f>
        <v>0</v>
      </c>
      <c r="H115">
        <f>IF(COUNT(Resultados!H115,Resultados!Q115,Resultados!Z115,Resultados!AI115,Resultados!BA115,Resultados!BS115,Resultados!CB115,Resultados!CK115)&lt;=1, "", _xlfn.STDEV.S(ABS(Resultados!H115),ABS(Resultados!Q115),ABS(Resultados!Z115),ABS(Resultados!AI115),ABS(Resultados!BA115),ABS(Resultados!BS115),ABS(Resultados!CB115),ABS(Resultados!CK115))/SQRT(COUNT(Resultados!H115,Resultados!Q115,Resultados!Z115,Resultados!AI115,Resultados!BA115,Resultados!BS115,Resultados!CB115,Resultados!CK115)))</f>
        <v>2.6726124191242273E-5</v>
      </c>
      <c r="I115">
        <f>IF(COUNT(Resultados!I115,Resultados!R115,Resultados!AA115,Resultados!AJ115,Resultados!BB115,Resultados!BT115,Resultados!CC115,Resultados!CL115)&lt;=1, "", _xlfn.STDEV.S(ABS(Resultados!I115),ABS(Resultados!R115),ABS(Resultados!AA115),ABS(Resultados!AJ115),ABS(Resultados!BB115),ABS(Resultados!BT115),ABS(Resultados!CC115),ABS(Resultados!CL115))/SQRT(COUNT(Resultados!I115,Resultados!R115,Resultados!AA115,Resultados!AJ115,Resultados!BB115,Resultados!BT115,Resultados!CC115,Resultados!CL115)))</f>
        <v>6.3915890601471531E-4</v>
      </c>
    </row>
    <row r="116" spans="1:9" x14ac:dyDescent="0.3">
      <c r="A116">
        <f>IF(COUNT(Resultados!A116,Resultados!J116,Resultados!S116,Resultados!AB116,Resultados!AT116,Resultados!BL116,Resultados!BU116,Resultados!CD116)&lt;=1, "", _xlfn.STDEV.S(ABS(Resultados!A116),ABS(Resultados!J116),ABS(Resultados!S116),ABS(Resultados!AB116),ABS(Resultados!AT116),ABS(Resultados!BL116),ABS(Resultados!BU116),ABS(Resultados!CD116))/SQRT(COUNT(Resultados!A116,Resultados!J116,Resultados!S116,Resultados!AB116,Resultados!AT116,Resultados!BL116,Resultados!BU116,Resultados!CD116)))</f>
        <v>0</v>
      </c>
      <c r="B116" t="str">
        <f>IF(COUNT(Resultados!B116,Resultados!K116,Resultados!T116,Resultados!AC116,Resultados!AU116,Resultados!BM116,Resultados!BV116,Resultados!CE116)&lt;=1, "", _xlfn.STDEV.S(ABS(Resultados!B116),ABS(Resultados!K116),ABS(Resultados!T116),ABS(Resultados!AC116),ABS(Resultados!AU116),ABS(Resultados!BM116),ABS(Resultados!BV116),ABS(Resultados!CE116))/SQRT(COUNT(Resultados!B116,Resultados!K116,Resultados!T116,Resultados!AC116,Resultados!AU116,Resultados!BM116,Resultados!BV116,Resultados!CE116)))</f>
        <v/>
      </c>
      <c r="C116">
        <f>IF(COUNT(Resultados!C116,Resultados!L116,Resultados!U116,Resultados!AD116,Resultados!AV116,Resultados!BN116,Resultados!BW116,Resultados!CF116)&lt;=1, "", _xlfn.STDEV.S(ABS(Resultados!C116),ABS(Resultados!L116),ABS(Resultados!U116),ABS(Resultados!AD116),ABS(Resultados!AV116),ABS(Resultados!BN116),ABS(Resultados!BW116),ABS(Resultados!CF116))/SQRT(COUNT(Resultados!C116,Resultados!L116,Resultados!U116,Resultados!AD116,Resultados!AV116,Resultados!BN116,Resultados!BW116,Resultados!CF116)))</f>
        <v>0.67974522538122428</v>
      </c>
      <c r="D116">
        <f>IF(COUNT(Resultados!D116,Resultados!M116,Resultados!V116,Resultados!AE116,Resultados!AW116,Resultados!BO116,Resultados!BX116,Resultados!CG116)&lt;=1, "", _xlfn.STDEV.S(ABS(Resultados!D116),ABS(Resultados!M116),ABS(Resultados!V116),ABS(Resultados!AE116),ABS(Resultados!AW116),ABS(Resultados!BO116),ABS(Resultados!BX116),ABS(Resultados!CG116))/SQRT(COUNT(Resultados!D116,Resultados!M116,Resultados!V116,Resultados!AE116,Resultados!AW116,Resultados!BO116,Resultados!BX116,Resultados!CG116)))</f>
        <v>9.3422045425202229E-5</v>
      </c>
      <c r="E116">
        <f>IF(COUNT(Resultados!E116,Resultados!N116,Resultados!W116,Resultados!AF116,Resultados!AX116,Resultados!BP116,Resultados!BY116,Resultados!CH116)&lt;=1, "", _xlfn.STDEV.S(ABS(Resultados!E116),ABS(Resultados!N116),ABS(Resultados!W116),ABS(Resultados!AF116),ABS(Resultados!AX116),ABS(Resultados!BP116),ABS(Resultados!BY116),ABS(Resultados!CH116))/SQRT(COUNT(Resultados!E116,Resultados!N116,Resultados!W116,Resultados!AF116,Resultados!AX116,Resultados!BP116,Resultados!BY116,Resultados!CH116)))</f>
        <v>1.1994620526409314E-3</v>
      </c>
      <c r="F116">
        <f>IF(COUNT(Resultados!F116,Resultados!O116,Resultados!X116,Resultados!AG116,Resultados!AY116,Resultados!BQ116,Resultados!BZ116,Resultados!CI116)&lt;=1, "", _xlfn.STDEV.S(ABS(Resultados!F116),ABS(Resultados!O116),ABS(Resultados!X116),ABS(Resultados!AG116),ABS(Resultados!AY116),ABS(Resultados!BQ116),ABS(Resultados!BZ116),ABS(Resultados!CI116))/SQRT(COUNT(Resultados!F116,Resultados!O116,Resultados!X116,Resultados!AG116,Resultados!AY116,Resultados!BQ116,Resultados!BZ116,Resultados!CI116)))</f>
        <v>0.11178986330613808</v>
      </c>
      <c r="G116">
        <f>IF(COUNT(Resultados!G116,Resultados!P116,Resultados!Y116,Resultados!AH116,Resultados!AZ116,Resultados!BR116,Resultados!CA116,Resultados!CJ116)&lt;=1, "", _xlfn.STDEV.S(ABS(Resultados!G116),ABS(Resultados!P116),ABS(Resultados!Y116),ABS(Resultados!AH116),ABS(Resultados!AZ116),ABS(Resultados!BR116),ABS(Resultados!CA116),ABS(Resultados!CJ116))/SQRT(COUNT(Resultados!G116,Resultados!P116,Resultados!Y116,Resultados!AH116,Resultados!AZ116,Resultados!BR116,Resultados!CA116,Resultados!CJ116)))</f>
        <v>0</v>
      </c>
      <c r="H116">
        <f>IF(COUNT(Resultados!H116,Resultados!Q116,Resultados!Z116,Resultados!AI116,Resultados!BA116,Resultados!BS116,Resultados!CB116,Resultados!CK116)&lt;=1, "", _xlfn.STDEV.S(ABS(Resultados!H116),ABS(Resultados!Q116),ABS(Resultados!Z116),ABS(Resultados!AI116),ABS(Resultados!BA116),ABS(Resultados!BS116),ABS(Resultados!CB116),ABS(Resultados!CK116))/SQRT(COUNT(Resultados!H116,Resultados!Q116,Resultados!Z116,Resultados!AI116,Resultados!BA116,Resultados!BS116,Resultados!CB116,Resultados!CK116)))</f>
        <v>1.8898223650461246E-5</v>
      </c>
      <c r="I116">
        <f>IF(COUNT(Resultados!I116,Resultados!R116,Resultados!AA116,Resultados!AJ116,Resultados!BB116,Resultados!BT116,Resultados!CC116,Resultados!CL116)&lt;=1, "", _xlfn.STDEV.S(ABS(Resultados!I116),ABS(Resultados!R116),ABS(Resultados!AA116),ABS(Resultados!AJ116),ABS(Resultados!BB116),ABS(Resultados!BT116),ABS(Resultados!CC116),ABS(Resultados!CL116))/SQRT(COUNT(Resultados!I116,Resultados!R116,Resultados!AA116,Resultados!AJ116,Resultados!BB116,Resultados!BT116,Resultados!CC116,Resultados!CL116)))</f>
        <v>5.4434347743524518E-4</v>
      </c>
    </row>
    <row r="117" spans="1:9" x14ac:dyDescent="0.3">
      <c r="A117">
        <f>IF(COUNT(Resultados!A117,Resultados!S117,Resultados!AB117,Resultados!AT117,Resultados!BU117)&lt;=1, "", _xlfn.STDEV.S(ABS(Resultados!A117),ABS(Resultados!S117),ABS(Resultados!AB117),ABS(Resultados!AT117),ABS(Resultados!BU117))/SQRT(COUNT(Resultados!A117,Resultados!S117,Resultados!AB117,Resultados!AT117,Resultados!BU117)))</f>
        <v>0</v>
      </c>
      <c r="B117" t="str">
        <f>IF(COUNT(Resultados!B117,Resultados!T117,Resultados!AC117,Resultados!AU117,Resultados!BV117)&lt;=1, "", _xlfn.STDEV.S(ABS(Resultados!B117),ABS(Resultados!T117),ABS(Resultados!AC117),ABS(Resultados!AU117),ABS(Resultados!BV117))/SQRT(COUNT(Resultados!B117,Resultados!T117,Resultados!AC117,Resultados!AU117,Resultados!BV117)))</f>
        <v/>
      </c>
      <c r="C117">
        <f>IF(COUNT(Resultados!C117,Resultados!U117,Resultados!AD117,Resultados!AV117,Resultados!BW117)&lt;=1, "", _xlfn.STDEV.S(ABS(Resultados!C117),ABS(Resultados!U117),ABS(Resultados!AD117),ABS(Resultados!AV117),ABS(Resultados!BW117))/SQRT(COUNT(Resultados!C117,Resultados!U117,Resultados!AD117,Resultados!AV117,Resultados!BW117)))</f>
        <v>0.86023252670426265</v>
      </c>
      <c r="D117">
        <f>IF(COUNT(Resultados!D117,Resultados!V117,Resultados!AE117,Resultados!AW117,Resultados!BX117)&lt;=1, "", _xlfn.STDEV.S(ABS(Resultados!D117),ABS(Resultados!V117),ABS(Resultados!AE117),ABS(Resultados!AW117),ABS(Resultados!BX117))/SQRT(COUNT(Resultados!D117,Resultados!V117,Resultados!AE117,Resultados!AW117,Resultados!BX117)))</f>
        <v>8.9442719099991618E-5</v>
      </c>
      <c r="E117">
        <f>IF(COUNT(Resultados!E117,Resultados!W117,Resultados!AF117,Resultados!AX117,Resultados!BY117)&lt;=1, "", _xlfn.STDEV.S(ABS(Resultados!E117),ABS(Resultados!W117),ABS(Resultados!AF117),ABS(Resultados!AX117),ABS(Resultados!BY117))/SQRT(COUNT(Resultados!E117,Resultados!W117,Resultados!AF117,Resultados!AX117,Resultados!BY117)))</f>
        <v>1.2227514628249073E-3</v>
      </c>
      <c r="F117">
        <f>IF(COUNT(Resultados!F117,Resultados!X117,Resultados!AG117,Resultados!AY117,Resultados!BZ117)&lt;=1, "", _xlfn.STDEV.S(ABS(Resultados!F117),ABS(Resultados!X117),ABS(Resultados!AG117),ABS(Resultados!AY117),ABS(Resultados!BZ117))/SQRT(COUNT(Resultados!F117,Resultados!X117,Resultados!AG117,Resultados!AY117,Resultados!BZ117)))</f>
        <v>0.11396043633528491</v>
      </c>
      <c r="G117">
        <f>IF(COUNT(Resultados!G117,Resultados!Y117,Resultados!AH117,Resultados!AZ117,Resultados!CA117)&lt;=1, "", _xlfn.STDEV.S(ABS(Resultados!G117),ABS(Resultados!Y117),ABS(Resultados!AH117),ABS(Resultados!AZ117),ABS(Resultados!CA117))/SQRT(COUNT(Resultados!G117,Resultados!Y117,Resultados!AH117,Resultados!AZ117,Resultados!CA117)))</f>
        <v>2.7755575615628914E-17</v>
      </c>
      <c r="H117">
        <f>IF(COUNT(Resultados!H117,Resultados!Z117,Resultados!AI117,Resultados!BA117,Resultados!CB117)&lt;=1, "", _xlfn.STDEV.S(ABS(Resultados!H117),ABS(Resultados!Z117),ABS(Resultados!AI117),ABS(Resultados!BA117),ABS(Resultados!CB117))/SQRT(COUNT(Resultados!H117,Resultados!Z117,Resultados!AI117,Resultados!BA117,Resultados!CB117)))</f>
        <v>1.999999999999988E-5</v>
      </c>
      <c r="I117">
        <f>IF(COUNT(Resultados!I117,Resultados!AA117,Resultados!AJ117,Resultados!BB117,Resultados!CC117)&lt;=1, "", _xlfn.STDEV.S(ABS(Resultados!I117),ABS(Resultados!AA117),ABS(Resultados!AJ117),ABS(Resultados!BB117),ABS(Resultados!CC117))/SQRT(COUNT(Resultados!I117,Resultados!AA117,Resultados!AJ117,Resultados!BB117,Resultados!CC117)))</f>
        <v>4.2379240200720323E-4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2025-03-11T04:41:52Z</dcterms:modified>
</cp:coreProperties>
</file>