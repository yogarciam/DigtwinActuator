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lassify\Templates\"/>
    </mc:Choice>
  </mc:AlternateContent>
  <xr:revisionPtr revIDLastSave="0" documentId="13_ncr:1_{7A28A3D9-CBD4-4421-BA21-24ACFD720FB4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<sst xmlns="http://schemas.openxmlformats.org/spreadsheetml/2006/main" count="5607" uniqueCount="2296">
  <si>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</si>
  <si>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</si>
  <si>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</si>
  <si>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</si>
  <si>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</si>
  <si>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</si>
  <si>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</si>
  <si>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</si>
  <si>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</si>
  <si>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</si>
  <si>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21:20:16:845</t>
  </si>
  <si>
    <t>21:20:17:033</t>
  </si>
  <si>
    <t>21:20:17:234</t>
  </si>
  <si>
    <t>21:20:17:434</t>
  </si>
  <si>
    <t>21:20:17:639</t>
  </si>
  <si>
    <t>21:20:17:844</t>
  </si>
  <si>
    <t>21:20:18:056</t>
  </si>
  <si>
    <t>21:20:18:236</t>
  </si>
  <si>
    <t>21:20:18:433</t>
  </si>
  <si>
    <t>21:20:18:630</t>
  </si>
  <si>
    <t>21:20:18:832</t>
  </si>
  <si>
    <t>21:20:19:034</t>
  </si>
  <si>
    <t>21:20:19:231</t>
  </si>
  <si>
    <t>21:20:19:435</t>
  </si>
  <si>
    <t>21:20:19:637</t>
  </si>
  <si>
    <t>21:20:19:856</t>
  </si>
  <si>
    <t>21:20:20:036</t>
  </si>
  <si>
    <t>21:20:20:232</t>
  </si>
  <si>
    <t>21:20:20:437</t>
  </si>
  <si>
    <t>21:20:20:633</t>
  </si>
  <si>
    <t>21:20:20:831</t>
  </si>
  <si>
    <t>21:20:21:057</t>
  </si>
  <si>
    <t>21:20:21:230</t>
  </si>
  <si>
    <t>21:20:21:433</t>
  </si>
  <si>
    <t>21:20:21:632</t>
  </si>
  <si>
    <t>21:20:21:837</t>
  </si>
  <si>
    <t>21:20:22:037</t>
  </si>
  <si>
    <t>21:20:22:245</t>
  </si>
  <si>
    <t>21:20:22:449</t>
  </si>
  <si>
    <t>21:20:22:634</t>
  </si>
  <si>
    <t>21:20:22:838</t>
  </si>
  <si>
    <t>21:20:23:034</t>
  </si>
  <si>
    <t>21:20:23:230</t>
  </si>
  <si>
    <t>21:20:23:454</t>
  </si>
  <si>
    <t>21:20:23:636</t>
  </si>
  <si>
    <t>21:20:23:835</t>
  </si>
  <si>
    <t>21:20:24:031</t>
  </si>
  <si>
    <t>21:20:24:248</t>
  </si>
  <si>
    <t>21:20:24:431</t>
  </si>
  <si>
    <t>21:20:24:634</t>
  </si>
  <si>
    <t>21:20:24:830</t>
  </si>
  <si>
    <t>21:20:25:030</t>
  </si>
  <si>
    <t>21:20:25:259</t>
  </si>
  <si>
    <t>21:20:25:434</t>
  </si>
  <si>
    <t>21:20:25:630</t>
  </si>
  <si>
    <t>21:20:25:918</t>
  </si>
  <si>
    <t>21:20:26:032</t>
  </si>
  <si>
    <t>21:20:26:235</t>
  </si>
  <si>
    <t>21:20:26:453</t>
  </si>
  <si>
    <t>21:20:26:648</t>
  </si>
  <si>
    <t>21:20:26:834</t>
  </si>
  <si>
    <t>21:20:27:057</t>
  </si>
  <si>
    <t>21:20:27:236</t>
  </si>
  <si>
    <t>21:20:27:433</t>
  </si>
  <si>
    <t>21:20:27:636</t>
  </si>
  <si>
    <t>21:20:27:835</t>
  </si>
  <si>
    <t>21:20:28:032</t>
  </si>
  <si>
    <t>21:20:28:232</t>
  </si>
  <si>
    <t>21:20:28:492</t>
  </si>
  <si>
    <t>21:20:28:633</t>
  </si>
  <si>
    <t>21:20:28:833</t>
  </si>
  <si>
    <t>21:20:29:033</t>
  </si>
  <si>
    <t>21:20:29:234</t>
  </si>
  <si>
    <t>21:20:29:434</t>
  </si>
  <si>
    <t>21:20:29:631</t>
  </si>
  <si>
    <t>21:20:29:834</t>
  </si>
  <si>
    <t>21:20:30:056</t>
  </si>
  <si>
    <t>21:20:30:233</t>
  </si>
  <si>
    <t>21:20:30:436</t>
  </si>
  <si>
    <t>21:20:30:642</t>
  </si>
  <si>
    <t>21:20:30:835</t>
  </si>
  <si>
    <t>21:20:31:033</t>
  </si>
  <si>
    <t>21:20:31:256</t>
  </si>
  <si>
    <t>21:20:31:436</t>
  </si>
  <si>
    <t>21:20:31:634</t>
  </si>
  <si>
    <t>21:20:31:883</t>
  </si>
  <si>
    <t>21:20:32:031</t>
  </si>
  <si>
    <t>21:20:32:236</t>
  </si>
  <si>
    <t>21:20:32:456</t>
  </si>
  <si>
    <t>21:20:32:636</t>
  </si>
  <si>
    <t>21:20:32:835</t>
  </si>
  <si>
    <t>21:20:33:033</t>
  </si>
  <si>
    <t>21:20:33:237</t>
  </si>
  <si>
    <t>21:20:33:434</t>
  </si>
  <si>
    <t>21:20:33:631</t>
  </si>
  <si>
    <t>21:20:33:832</t>
  </si>
  <si>
    <t>21:20:34:040</t>
  </si>
  <si>
    <t>21:20:34:253</t>
  </si>
  <si>
    <t>21:20:34:437</t>
  </si>
  <si>
    <t>21:20:34:639</t>
  </si>
  <si>
    <t>21:20:34:856</t>
  </si>
  <si>
    <t>21:20:35:044</t>
  </si>
  <si>
    <t>21:20:35:233</t>
  </si>
  <si>
    <t>21:20:35:431</t>
  </si>
  <si>
    <t>21:20:35:634</t>
  </si>
  <si>
    <t>21:20:35:833</t>
  </si>
  <si>
    <t>21:20:36:035</t>
  </si>
  <si>
    <t>21:20:36:234</t>
  </si>
  <si>
    <t>21:20:36:434</t>
  </si>
  <si>
    <t>21:20:36:633</t>
  </si>
  <si>
    <t>21:20:36:835</t>
  </si>
  <si>
    <t>21:20:37:034</t>
  </si>
  <si>
    <t>21:20:37:259</t>
  </si>
  <si>
    <t>21:20:37:435</t>
  </si>
  <si>
    <t>21:20:37:630</t>
  </si>
  <si>
    <t>21:20:37:856</t>
  </si>
  <si>
    <t>21:20:38:116</t>
  </si>
  <si>
    <t>21:20:38:233</t>
  </si>
  <si>
    <t>21:20:38:456</t>
  </si>
  <si>
    <t>21:20:38:637</t>
  </si>
  <si>
    <t>21:20:38:834</t>
  </si>
  <si>
    <t>21:20:39:037</t>
  </si>
  <si>
    <t>21:20:39:240</t>
  </si>
  <si>
    <t>21:20:39:433</t>
  </si>
  <si>
    <t>21:20:39:632</t>
  </si>
  <si>
    <t>21:20:39:835</t>
  </si>
  <si>
    <t>21:20:40:037</t>
  </si>
  <si>
    <t>21:20:40:233</t>
  </si>
  <si>
    <t>21:20:40:438</t>
  </si>
  <si>
    <t>21:20:40:633</t>
  </si>
  <si>
    <t>21:20:40:843</t>
  </si>
  <si>
    <t>21:20:41:033</t>
  </si>
  <si>
    <t>21:20:41:230</t>
  </si>
  <si>
    <t>21:20:41:435</t>
  </si>
  <si>
    <t>21:20:41:642</t>
  </si>
  <si>
    <t>21:20:41:833</t>
  </si>
  <si>
    <t>21:20:42:035</t>
  </si>
  <si>
    <t>21:20:42:232</t>
  </si>
  <si>
    <t>21:20:42:433</t>
  </si>
  <si>
    <t>21:20:42:657</t>
  </si>
  <si>
    <t>21:20:42:833</t>
  </si>
  <si>
    <t>21:20:43:034</t>
  </si>
  <si>
    <t>21:20:43:234</t>
  </si>
  <si>
    <t>21:20:43:441</t>
  </si>
  <si>
    <t>21:20:43:640</t>
  </si>
  <si>
    <t>21:20:43:834</t>
  </si>
  <si>
    <t>21:20:45:009</t>
  </si>
  <si>
    <t>21:20:45:072</t>
  </si>
  <si>
    <t>21:20:45:132</t>
  </si>
  <si>
    <t>21:20:45:210</t>
  </si>
  <si>
    <t>21:20:45:274</t>
  </si>
  <si>
    <t>21:20:45:345</t>
  </si>
  <si>
    <t>21:20:45:416</t>
  </si>
  <si>
    <t>21:20:45:475</t>
  </si>
  <si>
    <t>21:20:45:632</t>
  </si>
  <si>
    <t>21:20:45:837</t>
  </si>
  <si>
    <t>21:20:46:034</t>
  </si>
  <si>
    <t>21:20:46:232</t>
  </si>
  <si>
    <t>21:20:46:434</t>
  </si>
  <si>
    <t>21:20:46:634</t>
  </si>
  <si>
    <t>21:20:46:856</t>
  </si>
  <si>
    <t>21:20:47:036</t>
  </si>
  <si>
    <t>21:20:47:231</t>
  </si>
  <si>
    <t>21:20:47:453</t>
  </si>
  <si>
    <t>21:20:47:651</t>
  </si>
  <si>
    <t>21:20:47:845</t>
  </si>
  <si>
    <t>21:20:48:033</t>
  </si>
  <si>
    <t>21:20:48:232</t>
  </si>
  <si>
    <t>21:20:48:434</t>
  </si>
  <si>
    <t>21:20:48:631</t>
  </si>
  <si>
    <t>21:20:48:834</t>
  </si>
  <si>
    <t>21:20:49:029</t>
  </si>
  <si>
    <t>21:20:49:261</t>
  </si>
  <si>
    <t>21:20:49:435</t>
  </si>
  <si>
    <t>21:20:49:634</t>
  </si>
  <si>
    <t>21:20:49:832</t>
  </si>
  <si>
    <t>21:20:50:035</t>
  </si>
  <si>
    <t>21:20:50:276</t>
  </si>
  <si>
    <t>21:20:50:432</t>
  </si>
  <si>
    <t>21:20:50:637</t>
  </si>
  <si>
    <t>21:20:50:893</t>
  </si>
  <si>
    <t>21:20:51:059</t>
  </si>
  <si>
    <t>21:20:51:234</t>
  </si>
  <si>
    <t>21:20:51:452</t>
  </si>
  <si>
    <t>21:20:51:637</t>
  </si>
  <si>
    <t>21:20:51:835</t>
  </si>
  <si>
    <t>21:20:52:044</t>
  </si>
  <si>
    <t>21:20:52:244</t>
  </si>
  <si>
    <t>21:20:52:436</t>
  </si>
  <si>
    <t>21:20:52:633</t>
  </si>
  <si>
    <t>21:20:52:836</t>
  </si>
  <si>
    <t>21:20:53:032</t>
  </si>
  <si>
    <t>21:20:53:230</t>
  </si>
  <si>
    <t>21:20:53:459</t>
  </si>
  <si>
    <t>21:20:53:636</t>
  </si>
  <si>
    <t>21:20:53:833</t>
  </si>
  <si>
    <t>21:20:54:039</t>
  </si>
  <si>
    <t>21:20:54:233</t>
  </si>
  <si>
    <t>21:20:54:435</t>
  </si>
  <si>
    <t>21:20:55:200</t>
  </si>
  <si>
    <t>21:20:55:252</t>
  </si>
  <si>
    <t>21:20:55:434</t>
  </si>
  <si>
    <t>21:20:55:634</t>
  </si>
  <si>
    <t>21:20:55:834</t>
  </si>
  <si>
    <t>21:20:56:033</t>
  </si>
  <si>
    <t>21:20:56:239</t>
  </si>
  <si>
    <t>21:20:56:576</t>
  </si>
  <si>
    <t>21:20:56:685</t>
  </si>
  <si>
    <t>21:20:56:833</t>
  </si>
  <si>
    <t>21:20:57:030</t>
  </si>
  <si>
    <t>21:20:57:240</t>
  </si>
  <si>
    <t>21:20:57:434</t>
  </si>
  <si>
    <t>21:20:57:639</t>
  </si>
  <si>
    <t>21:20:57:832</t>
  </si>
  <si>
    <t>21:20:58:036</t>
  </si>
  <si>
    <t>21:20:58:257</t>
  </si>
  <si>
    <t>21:20:58:437</t>
  </si>
  <si>
    <t>21:20:58:637</t>
  </si>
  <si>
    <t>21:20:58:857</t>
  </si>
  <si>
    <t>21:20:59:036</t>
  </si>
  <si>
    <t>21:20:59:233</t>
  </si>
  <si>
    <t>21:20:59:431</t>
  </si>
  <si>
    <t>21:20:59:631</t>
  </si>
  <si>
    <t>21:20:59:833</t>
  </si>
  <si>
    <t>21:21:00:033</t>
  </si>
  <si>
    <t>21:21:00:235</t>
  </si>
  <si>
    <t>21:21:00:436</t>
  </si>
  <si>
    <t>21:21:00:642</t>
  </si>
  <si>
    <t>21:21:00:834</t>
  </si>
  <si>
    <t>21:21:01:035</t>
  </si>
  <si>
    <t>21:21:01:234</t>
  </si>
  <si>
    <t>21:21:01:430</t>
  </si>
  <si>
    <t>21:21:01:631</t>
  </si>
  <si>
    <t>21:21:01:833</t>
  </si>
  <si>
    <t>21:21:02:034</t>
  </si>
  <si>
    <t>21:21:02:234</t>
  </si>
  <si>
    <t>21:21:02:456</t>
  </si>
  <si>
    <t>21:21:02:647</t>
  </si>
  <si>
    <t>21:21:02:833</t>
  </si>
  <si>
    <t>21:21:03:033</t>
  </si>
  <si>
    <t>21:21:03:236</t>
  </si>
  <si>
    <t>21:21:03:431</t>
  </si>
  <si>
    <t>21:21:03:636</t>
  </si>
  <si>
    <t>21:21:03:833</t>
  </si>
  <si>
    <t>21:21:04:031</t>
  </si>
  <si>
    <t>21:21:04:233</t>
  </si>
  <si>
    <t>21:21:04:435</t>
  </si>
  <si>
    <t>21:21:04:648</t>
  </si>
  <si>
    <t>21:21:04:843</t>
  </si>
  <si>
    <t>21:21:05:035</t>
  </si>
  <si>
    <t>21:21:05:233</t>
  </si>
  <si>
    <t>21:21:05:434</t>
  </si>
  <si>
    <t>21:21:05:633</t>
  </si>
  <si>
    <t>21:21:05:836</t>
  </si>
  <si>
    <t>21:21:06:056</t>
  </si>
  <si>
    <t>21:21:06:237</t>
  </si>
  <si>
    <t>21:21:06:433</t>
  </si>
  <si>
    <t>21:21:06:653</t>
  </si>
  <si>
    <t>21:21:06:837</t>
  </si>
  <si>
    <t>21:21:07:037</t>
  </si>
  <si>
    <t>21:21:07:239</t>
  </si>
  <si>
    <t>21:21:07:431</t>
  </si>
  <si>
    <t>21:21:07:634</t>
  </si>
  <si>
    <t>21:21:07:841</t>
  </si>
  <si>
    <t>21:21:08:032</t>
  </si>
  <si>
    <t>21:21:08:234</t>
  </si>
  <si>
    <t>21:21:08:459</t>
  </si>
  <si>
    <t>21:21:08:645</t>
  </si>
  <si>
    <t>21:21:08:837</t>
  </si>
  <si>
    <t>21:21:09:038</t>
  </si>
  <si>
    <t>21:21:09:247</t>
  </si>
  <si>
    <t>21:21:09:432</t>
  </si>
  <si>
    <t>21:21:09:657</t>
  </si>
  <si>
    <t>21:21:09:837</t>
  </si>
  <si>
    <t>21:21:10:047</t>
  </si>
  <si>
    <t>21:21:10:236</t>
  </si>
  <si>
    <t>21:21:10:434</t>
  </si>
  <si>
    <t>21:21:10:639</t>
  </si>
  <si>
    <t>21:21:10:856</t>
  </si>
  <si>
    <t>21:21:11:037</t>
  </si>
  <si>
    <t>21:21:11:236</t>
  </si>
  <si>
    <t>21:21:11:433</t>
  </si>
  <si>
    <t>21:21:11:641</t>
  </si>
  <si>
    <t>21:21:11:832</t>
  </si>
  <si>
    <t>21:21:12:057</t>
  </si>
  <si>
    <t>21:21:12:237</t>
  </si>
  <si>
    <t>21:21:12:436</t>
  </si>
  <si>
    <t>21:21:12:642</t>
  </si>
  <si>
    <t>21:21:12:835</t>
  </si>
  <si>
    <t>21:21:13:036</t>
  </si>
  <si>
    <t>21:21:13:240</t>
  </si>
  <si>
    <t>21:21:13:433</t>
  </si>
  <si>
    <t>21:21:13:636</t>
  </si>
  <si>
    <t>21:21:13:859</t>
  </si>
  <si>
    <t>21:21:14:036</t>
  </si>
  <si>
    <t>21:21:14:231</t>
  </si>
  <si>
    <t>21:21:14:434</t>
  </si>
  <si>
    <t>21:21:14:632</t>
  </si>
  <si>
    <t>21:21:14:831</t>
  </si>
  <si>
    <t>21:21:15:033</t>
  </si>
  <si>
    <t>21:21:15:237</t>
  </si>
  <si>
    <t>21:21:15:433</t>
  </si>
  <si>
    <t>21:21:15:656</t>
  </si>
  <si>
    <t>21:21:15:839</t>
  </si>
  <si>
    <t>21:21:16:032</t>
  </si>
  <si>
    <t>21:21:16:310</t>
  </si>
  <si>
    <t>21:21:16:436</t>
  </si>
  <si>
    <t>21:21:16:632</t>
  </si>
  <si>
    <t>21:21:16:856</t>
  </si>
  <si>
    <t>21:21:17:036</t>
  </si>
  <si>
    <t>21:21:17:236</t>
  </si>
  <si>
    <t>21:21:17:438</t>
  </si>
  <si>
    <t>21:21:17:640</t>
  </si>
  <si>
    <t>21:21:17:849</t>
  </si>
  <si>
    <t>21:21:18:034</t>
  </si>
  <si>
    <t>21:21:18:231</t>
  </si>
  <si>
    <t>21:21:18:430</t>
  </si>
  <si>
    <t>21:21:18:634</t>
  </si>
  <si>
    <t>21:21:18:835</t>
  </si>
  <si>
    <t>21:21:19:034</t>
  </si>
  <si>
    <t>21:21:19:259</t>
  </si>
  <si>
    <t>21:21:19:434</t>
  </si>
  <si>
    <t>21:21:19:635</t>
  </si>
  <si>
    <t>21:21:19:835</t>
  </si>
  <si>
    <t>21:21:20:035</t>
  </si>
  <si>
    <t>21:21:20:234</t>
  </si>
  <si>
    <t>21:21:20:431</t>
  </si>
  <si>
    <t>21:21:20:651</t>
  </si>
  <si>
    <t>21:21:20:835</t>
  </si>
  <si>
    <t>21:21:21:053</t>
  </si>
  <si>
    <t>21:21:21:230</t>
  </si>
  <si>
    <t>21:21:21:433</t>
  </si>
  <si>
    <t>21:21:21:637</t>
  </si>
  <si>
    <t>21:21:21:843</t>
  </si>
  <si>
    <t>21:21:22:046</t>
  </si>
  <si>
    <t>21:21:22:251</t>
  </si>
  <si>
    <t>21:21:22:437</t>
  </si>
  <si>
    <t>21:21:22:634</t>
  </si>
  <si>
    <t>21:21:22:833</t>
  </si>
  <si>
    <t>21:21:23:034</t>
  </si>
  <si>
    <t>21:21:23:234</t>
  </si>
  <si>
    <t>21:21:23:431</t>
  </si>
  <si>
    <t>21:21:23:634</t>
  </si>
  <si>
    <t>21:21:23:834</t>
  </si>
  <si>
    <t>21:21:24:057</t>
  </si>
  <si>
    <t>21:21:24:233</t>
  </si>
  <si>
    <t>21:21:24:433</t>
  </si>
  <si>
    <t>21:21:24:630</t>
  </si>
  <si>
    <t>21:21:24:845</t>
  </si>
  <si>
    <t>21:21:25:030</t>
  </si>
  <si>
    <t>21:21:25:256</t>
  </si>
  <si>
    <t>21:21:25:436</t>
  </si>
  <si>
    <t>21:21:25:634</t>
  </si>
  <si>
    <t>21:21:25:834</t>
  </si>
  <si>
    <t>21:21:26:051</t>
  </si>
  <si>
    <t>21:21:26:244</t>
  </si>
  <si>
    <t>21:21:26:456</t>
  </si>
  <si>
    <t>21:21:26:638</t>
  </si>
  <si>
    <t>21:21:26:830</t>
  </si>
  <si>
    <t>21:21:27:063</t>
  </si>
  <si>
    <t>21:21:27:234</t>
  </si>
  <si>
    <t>21:21:27:433</t>
  </si>
  <si>
    <t>21:21:27:635</t>
  </si>
  <si>
    <t>21:21:27:833</t>
  </si>
  <si>
    <t>21:21:28:031</t>
  </si>
  <si>
    <t>21:21:28:268</t>
  </si>
  <si>
    <t>21:21:28:432</t>
  </si>
  <si>
    <t>21:21:28:632</t>
  </si>
  <si>
    <t>21:21:28:834</t>
  </si>
  <si>
    <t>21:21:29:035</t>
  </si>
  <si>
    <t>21:21:29:230</t>
  </si>
  <si>
    <t>21:21:29:459</t>
  </si>
  <si>
    <t>21:21:29:633</t>
  </si>
  <si>
    <t>21:21:29:832</t>
  </si>
  <si>
    <t>21:21:30:056</t>
  </si>
  <si>
    <t>21:21:30:238</t>
  </si>
  <si>
    <t>21:21:30:443</t>
  </si>
  <si>
    <t>21:21:30:633</t>
  </si>
  <si>
    <t>21:21:30:837</t>
  </si>
  <si>
    <t>21:21:31:035</t>
  </si>
  <si>
    <t>21:21:31:263</t>
  </si>
  <si>
    <t>21:21:31:436</t>
  </si>
  <si>
    <t>21:21:31:635</t>
  </si>
  <si>
    <t>21:21:31:831</t>
  </si>
  <si>
    <t>21:21:32:031</t>
  </si>
  <si>
    <t>21:21:32:236</t>
  </si>
  <si>
    <t>21:21:32:434</t>
  </si>
  <si>
    <t>21:21:32:636</t>
  </si>
  <si>
    <t>21:21:32:834</t>
  </si>
  <si>
    <t>21:21:33:033</t>
  </si>
  <si>
    <t>21:21:33:232</t>
  </si>
  <si>
    <t>21:21:33:435</t>
  </si>
  <si>
    <t>21:21:33:634</t>
  </si>
  <si>
    <t>21:21:33:831</t>
  </si>
  <si>
    <t>21:21:34:035</t>
  </si>
  <si>
    <t>21:21:34:256</t>
  </si>
  <si>
    <t>21:21:34:438</t>
  </si>
  <si>
    <t>21:21:34:641</t>
  </si>
  <si>
    <t>21:21:34:841</t>
  </si>
  <si>
    <t>21:21:35:036</t>
  </si>
  <si>
    <t>21:21:35:234</t>
  </si>
  <si>
    <t>21:21:35:461</t>
  </si>
  <si>
    <t>21:21:35:636</t>
  </si>
  <si>
    <t>21:21:35:833</t>
  </si>
  <si>
    <t>21:21:36:056</t>
  </si>
  <si>
    <t>21:21:36:237</t>
  </si>
  <si>
    <t>21:21:36:430</t>
  </si>
  <si>
    <t>21:21:36:630</t>
  </si>
  <si>
    <t>21:21:36:833</t>
  </si>
  <si>
    <t>21:21:37:036</t>
  </si>
  <si>
    <t>21:21:37:230</t>
  </si>
  <si>
    <t>21:21:37:432</t>
  </si>
  <si>
    <t>21:21:37:635</t>
  </si>
  <si>
    <t>21:21:37:838</t>
  </si>
  <si>
    <t>21:21:38:036</t>
  </si>
  <si>
    <t>21:21:38:235</t>
  </si>
  <si>
    <t>21:21:38:431</t>
  </si>
  <si>
    <t>21:21:38:636</t>
  </si>
  <si>
    <t>21:21:38:839</t>
  </si>
  <si>
    <t>21:21:39:044</t>
  </si>
  <si>
    <t>21:21:39:274</t>
  </si>
  <si>
    <t>21:21:39:432</t>
  </si>
  <si>
    <t>21:21:39:659</t>
  </si>
  <si>
    <t>21:21:39:863</t>
  </si>
  <si>
    <t>21:21:40:032</t>
  </si>
  <si>
    <t>21:21:40:237</t>
  </si>
  <si>
    <t>21:21:40:435</t>
  </si>
  <si>
    <t>21:21:40:630</t>
  </si>
  <si>
    <t>21:21:40:839</t>
  </si>
  <si>
    <t>21:21:41:047</t>
  </si>
  <si>
    <t>21:21:41:237</t>
  </si>
  <si>
    <t>21:21:41:504</t>
  </si>
  <si>
    <t>21:21:41:634</t>
  </si>
  <si>
    <t>21:21:41:834</t>
  </si>
  <si>
    <t>21:21:42:038</t>
  </si>
  <si>
    <t>21:21:42:235</t>
  </si>
  <si>
    <t>21:21:42:435</t>
  </si>
  <si>
    <t>21:21:42:668</t>
  </si>
  <si>
    <t>21:21:42:836</t>
  </si>
  <si>
    <t>21:21:43:044</t>
  </si>
  <si>
    <t>21:21:43:239</t>
  </si>
  <si>
    <t>21:21:43:445</t>
  </si>
  <si>
    <t>21:21:43:636</t>
  </si>
  <si>
    <t>21:21:43:836</t>
  </si>
  <si>
    <t>21:21:44:032</t>
  </si>
  <si>
    <t>21:21:44:240</t>
  </si>
  <si>
    <t>21:21:44:436</t>
  </si>
  <si>
    <t>21:21:44:639</t>
  </si>
  <si>
    <t>21:21:44:835</t>
  </si>
  <si>
    <t>21:21:45:056</t>
  </si>
  <si>
    <t>21:21:45:236</t>
  </si>
  <si>
    <t>21:21:45:447</t>
  </si>
  <si>
    <t>21:21:45:652</t>
  </si>
  <si>
    <t>21:21:45:836</t>
  </si>
  <si>
    <t>21:21:46:034</t>
  </si>
  <si>
    <t>21:21:46:231</t>
  </si>
  <si>
    <t>21:21:46:437</t>
  </si>
  <si>
    <t>21:21:46:634</t>
  </si>
  <si>
    <t>21:21:46:835</t>
  </si>
  <si>
    <t>21:21:47:034</t>
  </si>
  <si>
    <t>21:21:47:245</t>
  </si>
  <si>
    <t>21:21:47:468</t>
  </si>
  <si>
    <t>21:21:47:649</t>
  </si>
  <si>
    <t>21:21:47:851</t>
  </si>
  <si>
    <t>21:21:48:037</t>
  </si>
  <si>
    <t>21:21:48:232</t>
  </si>
  <si>
    <t>21:21:48:436</t>
  </si>
  <si>
    <t>21:21:48:653</t>
  </si>
  <si>
    <t>21:21:48:844</t>
  </si>
  <si>
    <t>21:21:49:036</t>
  </si>
  <si>
    <t>21:21:49:236</t>
  </si>
  <si>
    <t>21:21:49:436</t>
  </si>
  <si>
    <t>21:21:49:631</t>
  </si>
  <si>
    <t>21:21:49:833</t>
  </si>
  <si>
    <t>21:21:50:037</t>
  </si>
  <si>
    <t>21:21:50:235</t>
  </si>
  <si>
    <t>21:21:50:456</t>
  </si>
  <si>
    <t>21:21:50:636</t>
  </si>
  <si>
    <t>21:21:50:839</t>
  </si>
  <si>
    <t>21:21:51:032</t>
  </si>
  <si>
    <t>21:21:51:236</t>
  </si>
  <si>
    <t>21:21:51:431</t>
  </si>
  <si>
    <t>21:21:51:655</t>
  </si>
  <si>
    <t>21:21:51:845</t>
  </si>
  <si>
    <t>21:21:52:044</t>
  </si>
  <si>
    <t>21:21:52:237</t>
  </si>
  <si>
    <t>21:21:52:437</t>
  </si>
  <si>
    <t>21:21:52:635</t>
  </si>
  <si>
    <t>21:21:52:836</t>
  </si>
  <si>
    <t>21:21:53:037</t>
  </si>
  <si>
    <t>21:21:53:236</t>
  </si>
  <si>
    <t>21:21:53:456</t>
  </si>
  <si>
    <t>21:21:53:636</t>
  </si>
  <si>
    <t>21:21:53:834</t>
  </si>
  <si>
    <t>21:21:54:037</t>
  </si>
  <si>
    <t>21:21:54:233</t>
  </si>
  <si>
    <t>21:21:54:434</t>
  </si>
  <si>
    <t>21:21:55:080</t>
  </si>
  <si>
    <t>21:21:55:497</t>
  </si>
  <si>
    <t>21:21:55:582</t>
  </si>
  <si>
    <t>21:21:55:635</t>
  </si>
  <si>
    <t>21:21:55:857</t>
  </si>
  <si>
    <t>21:21:56:059</t>
  </si>
  <si>
    <t>21:21:56:238</t>
  </si>
  <si>
    <t>21:21:56:437</t>
  </si>
  <si>
    <t>21:21:56:635</t>
  </si>
  <si>
    <t>21:21:56:837</t>
  </si>
  <si>
    <t>21:21:57:067</t>
  </si>
  <si>
    <t>21:21:57:237</t>
  </si>
  <si>
    <t>21:21:57:454</t>
  </si>
  <si>
    <t>21:21:57:638</t>
  </si>
  <si>
    <t>21:21:57:833</t>
  </si>
  <si>
    <t>21:21:58:035</t>
  </si>
  <si>
    <t>21:21:58:256</t>
  </si>
  <si>
    <t>21:21:58:438</t>
  </si>
  <si>
    <t>21:21:58:635</t>
  </si>
  <si>
    <t>21:21:58:861</t>
  </si>
  <si>
    <t>21:21:59:033</t>
  </si>
  <si>
    <t>21:21:59:235</t>
  </si>
  <si>
    <t>21:21:59:435</t>
  </si>
  <si>
    <t>21:21:59:634</t>
  </si>
  <si>
    <t>21:21:59:833</t>
  </si>
  <si>
    <t>21:22:00:057</t>
  </si>
  <si>
    <t>21:22:00:247</t>
  </si>
  <si>
    <t>21:22:00:444</t>
  </si>
  <si>
    <t>21:22:00:635</t>
  </si>
  <si>
    <t>21:22:00:834</t>
  </si>
  <si>
    <t>21:22:01:037</t>
  </si>
  <si>
    <t>21:22:01:263</t>
  </si>
  <si>
    <t>21:22:01:436</t>
  </si>
  <si>
    <t>21:22:01:648</t>
  </si>
  <si>
    <t>21:22:01:836</t>
  </si>
  <si>
    <t>21:22:02:039</t>
  </si>
  <si>
    <t>21:22:02:895</t>
  </si>
  <si>
    <t>21:22:02:998</t>
  </si>
  <si>
    <t>21:22:03:052</t>
  </si>
  <si>
    <t>21:22:03:098</t>
  </si>
  <si>
    <t>21:22:03:182</t>
  </si>
  <si>
    <t>21:22:03:243</t>
  </si>
  <si>
    <t>21:22:03:448</t>
  </si>
  <si>
    <t>21:22:03:635</t>
  </si>
  <si>
    <t>21:22:03:954</t>
  </si>
  <si>
    <t>21:22:04:032</t>
  </si>
  <si>
    <t>21:22:04:254</t>
  </si>
  <si>
    <t>21:22:04:440</t>
  </si>
  <si>
    <t>21:22:04:646</t>
  </si>
  <si>
    <t>21:22:04:853</t>
  </si>
  <si>
    <t>21:22:05:036</t>
  </si>
  <si>
    <t>21:22:05:235</t>
  </si>
  <si>
    <t>21:22:05:435</t>
  </si>
  <si>
    <t>21:22:05:636</t>
  </si>
  <si>
    <t>21:22:05:834</t>
  </si>
  <si>
    <t>21:22:06:056</t>
  </si>
  <si>
    <t>21:22:06:236</t>
  </si>
  <si>
    <t>21:22:06:435</t>
  </si>
  <si>
    <t>21:22:06:668</t>
  </si>
  <si>
    <t>21:22:06:836</t>
  </si>
  <si>
    <t>21:22:07:041</t>
  </si>
  <si>
    <t>21:22:07:308</t>
  </si>
  <si>
    <t>21:22:07:434</t>
  </si>
  <si>
    <t>21:22:07:632</t>
  </si>
  <si>
    <t>21:22:07:836</t>
  </si>
  <si>
    <t>21:22:08:042</t>
  </si>
  <si>
    <t>21:22:08:235</t>
  </si>
  <si>
    <t>21:22:08:439</t>
  </si>
  <si>
    <t>21:22:08:639</t>
  </si>
  <si>
    <t>21:22:08:844</t>
  </si>
  <si>
    <t>21:22:09:047</t>
  </si>
  <si>
    <t>21:22:09:237</t>
  </si>
  <si>
    <t>21:22:09:438</t>
  </si>
  <si>
    <t>21:22:09:638</t>
  </si>
  <si>
    <t>21:22:09:837</t>
  </si>
  <si>
    <t>21:22:10:112</t>
  </si>
  <si>
    <t>21:22:10:239</t>
  </si>
  <si>
    <t>21:22:10:437</t>
  </si>
  <si>
    <t>21:22:10:638</t>
  </si>
  <si>
    <t>21:22:10:839</t>
  </si>
  <si>
    <t>21:22:11:036</t>
  </si>
  <si>
    <t>21:22:11:237</t>
  </si>
  <si>
    <t>21:22:11:437</t>
  </si>
  <si>
    <t>21:22:11:634</t>
  </si>
  <si>
    <t>21:22:11:837</t>
  </si>
  <si>
    <t>21:22:12:036</t>
  </si>
  <si>
    <t>21:22:12:235</t>
  </si>
  <si>
    <t>21:22:12:435</t>
  </si>
  <si>
    <t>21:22:13:386</t>
  </si>
  <si>
    <t>21:22:13:443</t>
  </si>
  <si>
    <t>21:22:13:547</t>
  </si>
  <si>
    <t>21:22:13:613</t>
  </si>
  <si>
    <t>21:22:13:667</t>
  </si>
  <si>
    <t>21:22:13:743</t>
  </si>
  <si>
    <t>21:22:13:835</t>
  </si>
  <si>
    <t>21:22:14:038</t>
  </si>
  <si>
    <t>21:22:14:236</t>
  </si>
  <si>
    <t>21:22:14:435</t>
  </si>
  <si>
    <t>21:22:14:635</t>
  </si>
  <si>
    <t>21:22:14:838</t>
  </si>
  <si>
    <t>21:22:15:035</t>
  </si>
  <si>
    <t>21:22:15:237</t>
  </si>
  <si>
    <t>21:22:15:438</t>
  </si>
  <si>
    <t>21:22:15:657</t>
  </si>
  <si>
    <t>21:22:15:836</t>
  </si>
  <si>
    <t>21:22:16:050</t>
  </si>
  <si>
    <t>21:22:16:236</t>
  </si>
  <si>
    <t>21:22:16:439</t>
  </si>
  <si>
    <t>21:22:16:638</t>
  </si>
  <si>
    <t>21:22:16:857</t>
  </si>
  <si>
    <t>21:22:17:037</t>
  </si>
  <si>
    <t>21:22:17:239</t>
  </si>
  <si>
    <t>21:22:17:444</t>
  </si>
  <si>
    <t>21:22:17:636</t>
  </si>
  <si>
    <t>21:22:17:837</t>
  </si>
  <si>
    <t>21:22:18:058</t>
  </si>
  <si>
    <t>21:22:18:236</t>
  </si>
  <si>
    <t>21:22:18:437</t>
  </si>
  <si>
    <t>21:22:18:637</t>
  </si>
  <si>
    <t>21:22:18:838</t>
  </si>
  <si>
    <t>21:22:19:039</t>
  </si>
  <si>
    <t>21:22:19:240</t>
  </si>
  <si>
    <t>21:22:19:449</t>
  </si>
  <si>
    <t>21:22:19:640</t>
  </si>
  <si>
    <t>21:22:19:844</t>
  </si>
  <si>
    <t>21:22:20:039</t>
  </si>
  <si>
    <t>21:22:20:239</t>
  </si>
  <si>
    <t>21:22:20:439</t>
  </si>
  <si>
    <t>21:22:20:642</t>
  </si>
  <si>
    <t>21:22:20:833</t>
  </si>
  <si>
    <t>21:22:21:056</t>
  </si>
  <si>
    <t>21:22:21:237</t>
  </si>
  <si>
    <t>21:22:21:440</t>
  </si>
  <si>
    <t>21:22:21:644</t>
  </si>
  <si>
    <t>21:22:21:845</t>
  </si>
  <si>
    <t>21:22:22:037</t>
  </si>
  <si>
    <t>21:22:22:241</t>
  </si>
  <si>
    <t>21:22:22:437</t>
  </si>
  <si>
    <t>21:22:22:638</t>
  </si>
  <si>
    <t>21:22:22:856</t>
  </si>
  <si>
    <t>21:22:23:037</t>
  </si>
  <si>
    <t>21:22:23:236</t>
  </si>
  <si>
    <t>21:22:23:440</t>
  </si>
  <si>
    <t>21:22:23:638</t>
  </si>
  <si>
    <t>21:22:23:839</t>
  </si>
  <si>
    <t>21:22:24:040</t>
  </si>
  <si>
    <t>21:22:24:234</t>
  </si>
  <si>
    <t>21:22:24:477</t>
  </si>
  <si>
    <t>21:22:24:656</t>
  </si>
  <si>
    <t>21:22:24:836</t>
  </si>
  <si>
    <t>21:22:25:039</t>
  </si>
  <si>
    <t>21:22:25:235</t>
  </si>
  <si>
    <t>21:22:25:434</t>
  </si>
  <si>
    <t>21:22:25:638</t>
  </si>
  <si>
    <t>21:22:25:867</t>
  </si>
  <si>
    <t>21:22:26:076</t>
  </si>
  <si>
    <t>21:22:26:250</t>
  </si>
  <si>
    <t>21:22:26:440</t>
  </si>
  <si>
    <t>21:22:26:637</t>
  </si>
  <si>
    <t>21:22:26:837</t>
  </si>
  <si>
    <t>21:22:27:059</t>
  </si>
  <si>
    <t>21:22:27:240</t>
  </si>
  <si>
    <t>21:22:27:434</t>
  </si>
  <si>
    <t>21:22:27:656</t>
  </si>
  <si>
    <t>21:22:27:842</t>
  </si>
  <si>
    <t>21:22:28:039</t>
  </si>
  <si>
    <t>21:22:28:240</t>
  </si>
  <si>
    <t>21:22:28:441</t>
  </si>
  <si>
    <t>21:22:28:639</t>
  </si>
  <si>
    <t>21:22:28:857</t>
  </si>
  <si>
    <t>21:22:29:042</t>
  </si>
  <si>
    <t>21:22:29:238</t>
  </si>
  <si>
    <t>21:22:29:435</t>
  </si>
  <si>
    <t>21:22:29:647</t>
  </si>
  <si>
    <t>21:22:29:840</t>
  </si>
  <si>
    <t>21:22:30:042</t>
  </si>
  <si>
    <t>21:22:30:242</t>
  </si>
  <si>
    <t>21:22:30:473</t>
  </si>
  <si>
    <t>21:22:30:663</t>
  </si>
  <si>
    <t>21:22:30:838</t>
  </si>
  <si>
    <t>21:22:31:036</t>
  </si>
  <si>
    <t>21:22:31:240</t>
  </si>
  <si>
    <t>21:22:31:437</t>
  </si>
  <si>
    <t>21:22:31:644</t>
  </si>
  <si>
    <t>21:22:31:839</t>
  </si>
  <si>
    <t>21:22:32:088</t>
  </si>
  <si>
    <t>21:22:32:277</t>
  </si>
  <si>
    <t>21:22:32:438</t>
  </si>
  <si>
    <t>21:22:32:639</t>
  </si>
  <si>
    <t>21:22:32:841</t>
  </si>
  <si>
    <t>21:22:33:039</t>
  </si>
  <si>
    <t>21:22:33:239</t>
  </si>
  <si>
    <t>21:22:33:436</t>
  </si>
  <si>
    <t>21:22:33:639</t>
  </si>
  <si>
    <t>21:22:33:837</t>
  </si>
  <si>
    <t>21:22:34:038</t>
  </si>
  <si>
    <t>21:22:34:238</t>
  </si>
  <si>
    <t>21:22:34:495</t>
  </si>
  <si>
    <t>21:22:34:665</t>
  </si>
  <si>
    <t>21:22:34:840</t>
  </si>
  <si>
    <t>21:22:35:038</t>
  </si>
  <si>
    <t>21:22:35:239</t>
  </si>
  <si>
    <t>21:22:35:440</t>
  </si>
  <si>
    <t>21:22:35:641</t>
  </si>
  <si>
    <t>21:22:35:840</t>
  </si>
  <si>
    <t>21:22:36:056</t>
  </si>
  <si>
    <t>21:22:36:240</t>
  </si>
  <si>
    <t>21:22:36:438</t>
  </si>
  <si>
    <t>21:22:36:640</t>
  </si>
  <si>
    <t>21:22:36:854</t>
  </si>
  <si>
    <t>21:22:37:043</t>
  </si>
  <si>
    <t>21:22:37:310</t>
  </si>
  <si>
    <t>21:22:37:437</t>
  </si>
  <si>
    <t>21:22:37:636</t>
  </si>
  <si>
    <t>21:22:37:856</t>
  </si>
  <si>
    <t>21:22:38:046</t>
  </si>
  <si>
    <t>21:22:38:240</t>
  </si>
  <si>
    <t>21:22:38:454</t>
  </si>
  <si>
    <t>21:22:38:645</t>
  </si>
  <si>
    <t>21:22:38:846</t>
  </si>
  <si>
    <t>21:22:39:047</t>
  </si>
  <si>
    <t>21:22:39:255</t>
  </si>
  <si>
    <t>21:22:39:442</t>
  </si>
  <si>
    <t>21:22:39:663</t>
  </si>
  <si>
    <t>21:22:39:838</t>
  </si>
  <si>
    <t>21:22:40:038</t>
  </si>
  <si>
    <t>21:22:40:239</t>
  </si>
  <si>
    <t>21:22:40:442</t>
  </si>
  <si>
    <t>21:22:40:688</t>
  </si>
  <si>
    <t>21:22:40:840</t>
  </si>
  <si>
    <t>21:22:41:037</t>
  </si>
  <si>
    <t>21:22:41:241</t>
  </si>
  <si>
    <t>21:22:41:505</t>
  </si>
  <si>
    <t>21:22:41:640</t>
  </si>
  <si>
    <t>21:22:41:839</t>
  </si>
  <si>
    <t>21:22:42:040</t>
  </si>
  <si>
    <t>21:22:42:239</t>
  </si>
  <si>
    <t>21:22:42:489</t>
  </si>
  <si>
    <t>21:22:42:674</t>
  </si>
  <si>
    <t>21:22:42:840</t>
  </si>
  <si>
    <t>21:22:43:039</t>
  </si>
  <si>
    <t>21:22:43:253</t>
  </si>
  <si>
    <t>21:22:43:439</t>
  </si>
  <si>
    <t>21:22:43:635</t>
  </si>
  <si>
    <t>21:22:43:842</t>
  </si>
  <si>
    <t>21:22:44:039</t>
  </si>
  <si>
    <t>21:22:44:242</t>
  </si>
  <si>
    <t>21:22:44:438</t>
  </si>
  <si>
    <t>21:22:44:640</t>
  </si>
  <si>
    <t>21:22:44:839</t>
  </si>
  <si>
    <t>21:22:45:068</t>
  </si>
  <si>
    <t>21:22:45:240</t>
  </si>
  <si>
    <t>21:22:45:439</t>
  </si>
  <si>
    <t>21:22:45:644</t>
  </si>
  <si>
    <t>21:22:45:843</t>
  </si>
  <si>
    <t>21:22:46:039</t>
  </si>
  <si>
    <t>21:22:46:244</t>
  </si>
  <si>
    <t>21:22:46:441</t>
  </si>
  <si>
    <t>21:22:46:731</t>
  </si>
  <si>
    <t>21:22:46:837</t>
  </si>
  <si>
    <t>21:22:47:038</t>
  </si>
  <si>
    <t>21:22:47:243</t>
  </si>
  <si>
    <t>21:22:47:456</t>
  </si>
  <si>
    <t>21:22:47:653</t>
  </si>
  <si>
    <t>21:22:47:842</t>
  </si>
  <si>
    <t>21:22:48:040</t>
  </si>
  <si>
    <t>21:22:48:242</t>
  </si>
  <si>
    <t>21:22:48:438</t>
  </si>
  <si>
    <t>21:22:48:657</t>
  </si>
  <si>
    <t>21:22:48:840</t>
  </si>
  <si>
    <t>21:22:49:040</t>
  </si>
  <si>
    <t>21:22:49:239</t>
  </si>
  <si>
    <t>21:22:49:437</t>
  </si>
  <si>
    <t>21:22:49:642</t>
  </si>
  <si>
    <t>21:22:49:871</t>
  </si>
  <si>
    <t>21:22:50:038</t>
  </si>
  <si>
    <t>21:22:50:239</t>
  </si>
  <si>
    <t>21:22:50:454</t>
  </si>
  <si>
    <t>21:22:50:636</t>
  </si>
  <si>
    <t>21:22:50:840</t>
  </si>
  <si>
    <t>21:22:51:040</t>
  </si>
  <si>
    <t>21:22:51:240</t>
  </si>
  <si>
    <t>21:22:51:477</t>
  </si>
  <si>
    <t>21:22:51:656</t>
  </si>
  <si>
    <t>21:22:51:843</t>
  </si>
  <si>
    <t>21:22:52:041</t>
  </si>
  <si>
    <t>21:22:52:236</t>
  </si>
  <si>
    <t>21:22:52:439</t>
  </si>
  <si>
    <t>21:22:52:637</t>
  </si>
  <si>
    <t>21:22:52:839</t>
  </si>
  <si>
    <t>21:22:53:057</t>
  </si>
  <si>
    <t>21:22:53:243</t>
  </si>
  <si>
    <t>21:22:53:461</t>
  </si>
  <si>
    <t>21:22:53:641</t>
  </si>
  <si>
    <t>21:22:53:846</t>
  </si>
  <si>
    <t>21:22:54:041</t>
  </si>
  <si>
    <t>21:22:54:239</t>
  </si>
  <si>
    <t>21:22:54:587</t>
  </si>
  <si>
    <t>21:22:54:772</t>
  </si>
  <si>
    <t>21:22:54:956</t>
  </si>
  <si>
    <t>21:22:55:508</t>
  </si>
  <si>
    <t>21:22:55:637</t>
  </si>
  <si>
    <t>21:22:55:856</t>
  </si>
  <si>
    <t>21:22:56:066</t>
  </si>
  <si>
    <t>21:22:56:254</t>
  </si>
  <si>
    <t>21:22:56:442</t>
  </si>
  <si>
    <t>21:22:56:640</t>
  </si>
  <si>
    <t>21:22:56:842</t>
  </si>
  <si>
    <t>21:22:57:042</t>
  </si>
  <si>
    <t>21:22:57:240</t>
  </si>
  <si>
    <t>21:22:57:438</t>
  </si>
  <si>
    <t>21:22:57:637</t>
  </si>
  <si>
    <t>21:22:57:842</t>
  </si>
  <si>
    <t>21:22:58:043</t>
  </si>
  <si>
    <t>21:22:58:240</t>
  </si>
  <si>
    <t>21:22:58:444</t>
  </si>
  <si>
    <t>21:22:58:638</t>
  </si>
  <si>
    <t>21:22:58:859</t>
  </si>
  <si>
    <t>21:22:59:038</t>
  </si>
  <si>
    <t>21:22:59:326</t>
  </si>
  <si>
    <t>21:22:59:439</t>
  </si>
  <si>
    <t>21:22:59:643</t>
  </si>
  <si>
    <t>21:22:59:841</t>
  </si>
  <si>
    <t>21:23:00:073</t>
  </si>
  <si>
    <t>21:23:00:247</t>
  </si>
  <si>
    <t>21:23:00:453</t>
  </si>
  <si>
    <t>21:23:00:642</t>
  </si>
  <si>
    <t>21:23:00:843</t>
  </si>
  <si>
    <t>21:23:01:042</t>
  </si>
  <si>
    <t>21:23:01:257</t>
  </si>
  <si>
    <t>21:23:01:441</t>
  </si>
  <si>
    <t>21:23:01:640</t>
  </si>
  <si>
    <t>21:23:01:846</t>
  </si>
  <si>
    <t>21:23:02:038</t>
  </si>
  <si>
    <t>21:23:02:242</t>
  </si>
  <si>
    <t>21:23:02:456</t>
  </si>
  <si>
    <t>21:23:02:639</t>
  </si>
  <si>
    <t>21:23:02:842</t>
  </si>
  <si>
    <t>21:23:03:040</t>
  </si>
  <si>
    <t>21:23:03:237</t>
  </si>
  <si>
    <t>21:23:03:441</t>
  </si>
  <si>
    <t>21:23:03:656</t>
  </si>
  <si>
    <t>21:23:03:841</t>
  </si>
  <si>
    <t>21:23:04:041</t>
  </si>
  <si>
    <t>21:23:04:268</t>
  </si>
  <si>
    <t>21:23:04:447</t>
  </si>
  <si>
    <t>21:23:04:651</t>
  </si>
  <si>
    <t>21:23:04:855</t>
  </si>
  <si>
    <t>21:23:05:044</t>
  </si>
  <si>
    <t>21:23:05:242</t>
  </si>
  <si>
    <t>21:23:05:439</t>
  </si>
  <si>
    <t>21:23:05:642</t>
  </si>
  <si>
    <t>21:23:05:841</t>
  </si>
  <si>
    <t>21:23:06:040</t>
  </si>
  <si>
    <t>21:23:06:289</t>
  </si>
  <si>
    <t>21:23:06:441</t>
  </si>
  <si>
    <t>21:23:06:657</t>
  </si>
  <si>
    <t>21:23:06:841</t>
  </si>
  <si>
    <t>21:23:07:043</t>
  </si>
  <si>
    <t>21:23:07:239</t>
  </si>
  <si>
    <t>21:23:07:442</t>
  </si>
  <si>
    <t>21:23:07:646</t>
  </si>
  <si>
    <t>21:23:07:839</t>
  </si>
  <si>
    <t>21:23:08:044</t>
  </si>
  <si>
    <t>21:23:08:240</t>
  </si>
  <si>
    <t>21:23:08:453</t>
  </si>
  <si>
    <t>21:23:08:644</t>
  </si>
  <si>
    <t>21:23:08:849</t>
  </si>
  <si>
    <t>21:23:09:055</t>
  </si>
  <si>
    <t>21:23:09:241</t>
  </si>
  <si>
    <t>21:23:09:443</t>
  </si>
  <si>
    <t>21:23:09:645</t>
  </si>
  <si>
    <t>21:23:09:842</t>
  </si>
  <si>
    <t>21:23:10:048</t>
  </si>
  <si>
    <t>21:23:10:246</t>
  </si>
  <si>
    <t>21:23:10:443</t>
  </si>
  <si>
    <t>21:23:10:677</t>
  </si>
  <si>
    <t>21:23:10:842</t>
  </si>
  <si>
    <t>21:23:11:043</t>
  </si>
  <si>
    <t>21:23:11:266</t>
  </si>
  <si>
    <t>21:23:11:451</t>
  </si>
  <si>
    <t>21:23:11:643</t>
  </si>
  <si>
    <t>21:23:11:843</t>
  </si>
  <si>
    <t>21:23:12:043</t>
  </si>
  <si>
    <t>21:23:12:244</t>
  </si>
  <si>
    <t>21:23:12:476</t>
  </si>
  <si>
    <t>21:23:12:656</t>
  </si>
  <si>
    <t>21:23:12:842</t>
  </si>
  <si>
    <t>21:23:13:044</t>
  </si>
  <si>
    <t>21:23:13:252</t>
  </si>
  <si>
    <t>21:23:13:454</t>
  </si>
  <si>
    <t>21:23:14:087</t>
  </si>
  <si>
    <t>21:23:14:128</t>
  </si>
  <si>
    <t>21:23:14:181</t>
  </si>
  <si>
    <t>21:23:14:240</t>
  </si>
  <si>
    <t>21:23:14:442</t>
  </si>
  <si>
    <t>21:23:14:643</t>
  </si>
  <si>
    <t>21:23:14:861</t>
  </si>
  <si>
    <t>21:23:15:046</t>
  </si>
  <si>
    <t>21:23:15:240</t>
  </si>
  <si>
    <t>21:23:15:443</t>
  </si>
  <si>
    <t>21:23:15:656</t>
  </si>
  <si>
    <t>21:23:15:840</t>
  </si>
  <si>
    <t>21:23:16:041</t>
  </si>
  <si>
    <t>21:23:16:239</t>
  </si>
  <si>
    <t>21:23:16:439</t>
  </si>
  <si>
    <t>21:23:16:642</t>
  </si>
  <si>
    <t>21:23:16:850</t>
  </si>
  <si>
    <t>21:23:17:064</t>
  </si>
  <si>
    <t>21:23:17:243</t>
  </si>
  <si>
    <t>21:23:17:442</t>
  </si>
  <si>
    <t>21:23:17:656</t>
  </si>
  <si>
    <t>21:23:17:843</t>
  </si>
  <si>
    <t>21:23:18:065</t>
  </si>
  <si>
    <t>21:23:18:243</t>
  </si>
  <si>
    <t>21:23:18:441</t>
  </si>
  <si>
    <t>21:23:18:642</t>
  </si>
  <si>
    <t>21:23:18:840</t>
  </si>
  <si>
    <t>21:23:19:043</t>
  </si>
  <si>
    <t>21:23:19:244</t>
  </si>
  <si>
    <t>21:23:19:441</t>
  </si>
  <si>
    <t>21:23:19:646</t>
  </si>
  <si>
    <t>21:23:19:839</t>
  </si>
  <si>
    <t>21:23:20:044</t>
  </si>
  <si>
    <t>21:23:20:243</t>
  </si>
  <si>
    <t>21:23:20:460</t>
  </si>
  <si>
    <t>21:23:20:642</t>
  </si>
  <si>
    <t>21:23:20:860</t>
  </si>
  <si>
    <t>21:23:21:054</t>
  </si>
  <si>
    <t>21:23:21:242</t>
  </si>
  <si>
    <t>21:23:21:452</t>
  </si>
  <si>
    <t>21:23:21:647</t>
  </si>
  <si>
    <t>21:23:21:856</t>
  </si>
  <si>
    <t>21:23:22:050</t>
  </si>
  <si>
    <t>21:23:22:245</t>
  </si>
  <si>
    <t>21:23:22:443</t>
  </si>
  <si>
    <t>21:23:22:639</t>
  </si>
  <si>
    <t>21:23:22:857</t>
  </si>
  <si>
    <t>21:23:23:044</t>
  </si>
  <si>
    <t>21:23:23:242</t>
  </si>
  <si>
    <t>21:23:23:468</t>
  </si>
  <si>
    <t>21:23:23:641</t>
  </si>
  <si>
    <t>21:23:23:843</t>
  </si>
  <si>
    <t>21:23:24:057</t>
  </si>
  <si>
    <t>21:23:24:244</t>
  </si>
  <si>
    <t>21:23:24:454</t>
  </si>
  <si>
    <t>21:23:24:645</t>
  </si>
  <si>
    <t>21:23:24:844</t>
  </si>
  <si>
    <t>21:23:25:039</t>
  </si>
  <si>
    <t>21:23:25:269</t>
  </si>
  <si>
    <t>21:23:25:479</t>
  </si>
  <si>
    <t>21:23:25:641</t>
  </si>
  <si>
    <t>21:23:25:857</t>
  </si>
  <si>
    <t>21:23:26:097</t>
  </si>
  <si>
    <t>21:23:26:240</t>
  </si>
  <si>
    <t>21:23:26:460</t>
  </si>
  <si>
    <t>21:23:26:645</t>
  </si>
  <si>
    <t>21:23:26:845</t>
  </si>
  <si>
    <t>21:23:27:056</t>
  </si>
  <si>
    <t>21:23:27:241</t>
  </si>
  <si>
    <t>21:23:27:445</t>
  </si>
  <si>
    <t>21:23:27:643</t>
  </si>
  <si>
    <t>21:23:27:849</t>
  </si>
  <si>
    <t>21:23:28:044</t>
  </si>
  <si>
    <t>21:23:28:254</t>
  </si>
  <si>
    <t>21:23:28:444</t>
  </si>
  <si>
    <t>21:23:28:642</t>
  </si>
  <si>
    <t>21:23:29:668</t>
  </si>
  <si>
    <t>21:23:29:726</t>
  </si>
  <si>
    <t>21:23:29:784</t>
  </si>
  <si>
    <t>21:23:29:860</t>
  </si>
  <si>
    <t>21:23:29:937</t>
  </si>
  <si>
    <t>21:23:29:987</t>
  </si>
  <si>
    <t>21:23:30:057</t>
  </si>
  <si>
    <t>21:23:30:249</t>
  </si>
  <si>
    <t>21:23:30:456</t>
  </si>
  <si>
    <t>21:23:30:640</t>
  </si>
  <si>
    <t>21:23:30:844</t>
  </si>
  <si>
    <t>21:23:31:042</t>
  </si>
  <si>
    <t>21:23:31:240</t>
  </si>
  <si>
    <t>21:23:31:441</t>
  </si>
  <si>
    <t>21:23:31:643</t>
  </si>
  <si>
    <t>21:23:31:857</t>
  </si>
  <si>
    <t>21:23:32:044</t>
  </si>
  <si>
    <t>21:23:32:248</t>
  </si>
  <si>
    <t>21:23:32:458</t>
  </si>
  <si>
    <t>21:23:32:646</t>
  </si>
  <si>
    <t>21:23:32:844</t>
  </si>
  <si>
    <t>21:23:33:042</t>
  </si>
  <si>
    <t>21:23:33:245</t>
  </si>
  <si>
    <t>21:23:33:445</t>
  </si>
  <si>
    <t>21:23:33:640</t>
  </si>
  <si>
    <t>21:23:33:845</t>
  </si>
  <si>
    <t>21:23:34:042</t>
  </si>
  <si>
    <t>21:23:34:259</t>
  </si>
  <si>
    <t>21:23:34:466</t>
  </si>
  <si>
    <t>21:23:34:654</t>
  </si>
  <si>
    <t>21:23:34:860</t>
  </si>
  <si>
    <t>21:23:35:046</t>
  </si>
  <si>
    <t>21:23:35:240</t>
  </si>
  <si>
    <t>21:23:35:454</t>
  </si>
  <si>
    <t>21:23:35:654</t>
  </si>
  <si>
    <t>21:23:35:845</t>
  </si>
  <si>
    <t>21:23:36:044</t>
  </si>
  <si>
    <t>21:23:36:249</t>
  </si>
  <si>
    <t>21:23:36:445</t>
  </si>
  <si>
    <t>21:23:36:645</t>
  </si>
  <si>
    <t>21:23:36:842</t>
  </si>
  <si>
    <t>21:23:37:044</t>
  </si>
  <si>
    <t>21:23:37:257</t>
  </si>
  <si>
    <t>21:23:37:614</t>
  </si>
  <si>
    <t>21:23:37:667</t>
  </si>
  <si>
    <t>21:23:37:848</t>
  </si>
  <si>
    <t>21:23:38:046</t>
  </si>
  <si>
    <t>21:23:38:242</t>
  </si>
  <si>
    <t>21:23:38:446</t>
  </si>
  <si>
    <t>21:23:38:649</t>
  </si>
  <si>
    <t>21:23:38:851</t>
  </si>
  <si>
    <t>21:23:39:046</t>
  </si>
  <si>
    <t>21:23:39:243</t>
  </si>
  <si>
    <t>21:23:39:445</t>
  </si>
  <si>
    <t>21:23:39:658</t>
  </si>
  <si>
    <t>21:23:39:845</t>
  </si>
  <si>
    <t>21:23:40:046</t>
  </si>
  <si>
    <t>21:23:40:245</t>
  </si>
  <si>
    <t>21:23:40:445</t>
  </si>
  <si>
    <t>21:23:40:646</t>
  </si>
  <si>
    <t>21:23:40:861</t>
  </si>
  <si>
    <t>21:23:41:046</t>
  </si>
  <si>
    <t>21:23:41:241</t>
  </si>
  <si>
    <t>21:23:41:447</t>
  </si>
  <si>
    <t>21:23:41:642</t>
  </si>
  <si>
    <t>21:23:41:843</t>
  </si>
  <si>
    <t>21:23:42:057</t>
  </si>
  <si>
    <t>21:23:42:242</t>
  </si>
  <si>
    <t>21:23:42:445</t>
  </si>
  <si>
    <t>21:23:42:668</t>
  </si>
  <si>
    <t>21:23:42:849</t>
  </si>
  <si>
    <t>21:23:43:049</t>
  </si>
  <si>
    <t>21:23:43:257</t>
  </si>
  <si>
    <t>21:23:43:463</t>
  </si>
  <si>
    <t>21:23:43:642</t>
  </si>
  <si>
    <t>21:23:43:869</t>
  </si>
  <si>
    <t>21:23:44:046</t>
  </si>
  <si>
    <t>21:23:44:242</t>
  </si>
  <si>
    <t>21:23:44:458</t>
  </si>
  <si>
    <t>21:23:44:645</t>
  </si>
  <si>
    <t>21:23:44:853</t>
  </si>
  <si>
    <t>21:23:45:047</t>
  </si>
  <si>
    <t>21:23:45:244</t>
  </si>
  <si>
    <t>21:23:45:447</t>
  </si>
  <si>
    <t>21:23:45:658</t>
  </si>
  <si>
    <t>21:23:45:846</t>
  </si>
  <si>
    <t>21:23:46:045</t>
  </si>
  <si>
    <t>21:23:46:242</t>
  </si>
  <si>
    <t>21:23:46:444</t>
  </si>
  <si>
    <t>21:23:46:646</t>
  </si>
  <si>
    <t>21:23:46:848</t>
  </si>
  <si>
    <t>21:23:47:047</t>
  </si>
  <si>
    <t>21:23:47:247</t>
  </si>
  <si>
    <t>21:23:47:456</t>
  </si>
  <si>
    <t>21:23:47:654</t>
  </si>
  <si>
    <t>21:23:47:847</t>
  </si>
  <si>
    <t>21:23:48:047</t>
  </si>
  <si>
    <t>21:23:48:247</t>
  </si>
  <si>
    <t>21:23:48:476</t>
  </si>
  <si>
    <t>21:23:48:658</t>
  </si>
  <si>
    <t>21:23:48:845</t>
  </si>
  <si>
    <t>21:23:49:094</t>
  </si>
  <si>
    <t>21:23:49:258</t>
  </si>
  <si>
    <t>21:23:49:446</t>
  </si>
  <si>
    <t>21:23:49:646</t>
  </si>
  <si>
    <t>21:23:49:847</t>
  </si>
  <si>
    <t>21:23:50:043</t>
  </si>
  <si>
    <t>21:23:50:243</t>
  </si>
  <si>
    <t>21:23:50:459</t>
  </si>
  <si>
    <t>21:23:50:647</t>
  </si>
  <si>
    <t>21:23:50:851</t>
  </si>
  <si>
    <t>21:23:51:047</t>
  </si>
  <si>
    <t>21:23:51:242</t>
  </si>
  <si>
    <t>21:23:51:449</t>
  </si>
  <si>
    <t>21:23:51:654</t>
  </si>
  <si>
    <t>21:23:51:852</t>
  </si>
  <si>
    <t>21:23:52:046</t>
  </si>
  <si>
    <t>21:23:52:258</t>
  </si>
  <si>
    <t>21:23:52:446</t>
  </si>
  <si>
    <t>21:23:52:647</t>
  </si>
  <si>
    <t>21:23:52:846</t>
  </si>
  <si>
    <t>21:23:53:047</t>
  </si>
  <si>
    <t>21:23:53:251</t>
  </si>
  <si>
    <t>21:23:53:460</t>
  </si>
  <si>
    <t>21:23:53:646</t>
  </si>
  <si>
    <t>21:23:53:847</t>
  </si>
  <si>
    <t>21:23:54:060</t>
  </si>
  <si>
    <t>21:23:54:249</t>
  </si>
  <si>
    <t>21:23:54:447</t>
  </si>
  <si>
    <t>21:23:54:775</t>
  </si>
  <si>
    <t>21:23:54:923</t>
  </si>
  <si>
    <t>21:23:55:103</t>
  </si>
  <si>
    <t>21:23:55:247</t>
  </si>
  <si>
    <t>21:23:55:447</t>
  </si>
  <si>
    <t>21:23:55:648</t>
  </si>
  <si>
    <t>21:23:55:858</t>
  </si>
  <si>
    <t>21:23:56:181</t>
  </si>
  <si>
    <t>21:23:56:245</t>
  </si>
  <si>
    <t>21:23:56:446</t>
  </si>
  <si>
    <t>21:23:56:646</t>
  </si>
  <si>
    <t>21:23:56:878</t>
  </si>
  <si>
    <t>21:23:57:058</t>
  </si>
  <si>
    <t>21:23:57:248</t>
  </si>
  <si>
    <t>21:23:57:450</t>
  </si>
  <si>
    <t>21:23:57:648</t>
  </si>
  <si>
    <t>21:23:57:848</t>
  </si>
  <si>
    <t>21:23:58:079</t>
  </si>
  <si>
    <t>21:23:58:248</t>
  </si>
  <si>
    <t>21:23:58:444</t>
  </si>
  <si>
    <t>21:23:58:648</t>
  </si>
  <si>
    <t>21:23:58:843</t>
  </si>
  <si>
    <t>21:23:59:051</t>
  </si>
  <si>
    <t>21:23:59:292</t>
  </si>
  <si>
    <t>21:23:59:456</t>
  </si>
  <si>
    <t>21:23:59:649</t>
  </si>
  <si>
    <t>21:23:59:851</t>
  </si>
  <si>
    <t>21:24:00:050</t>
  </si>
  <si>
    <t>21:24:00:252</t>
  </si>
  <si>
    <t>21:24:00:480</t>
  </si>
  <si>
    <t>21:24:00:666</t>
  </si>
  <si>
    <t>21:24:00:848</t>
  </si>
  <si>
    <t>21:24:01:048</t>
  </si>
  <si>
    <t>21:24:01:249</t>
  </si>
  <si>
    <t>21:24:01:448</t>
  </si>
  <si>
    <t>21:24:01:647</t>
  </si>
  <si>
    <t>21:24:01:869</t>
  </si>
  <si>
    <t>21:24:02:048</t>
  </si>
  <si>
    <t>21:24:02:244</t>
  </si>
  <si>
    <t>21:24:02:456</t>
  </si>
  <si>
    <t>21:24:02:647</t>
  </si>
  <si>
    <t>21:24:02:849</t>
  </si>
  <si>
    <t>21:24:03:047</t>
  </si>
  <si>
    <t>21:24:03:248</t>
  </si>
  <si>
    <t>21:24:03:444</t>
  </si>
  <si>
    <t>21:24:03:648</t>
  </si>
  <si>
    <t>21:24:03:848</t>
  </si>
  <si>
    <t>21:24:04:048</t>
  </si>
  <si>
    <t>21:24:04:247</t>
  </si>
  <si>
    <t>21:24:04:453</t>
  </si>
  <si>
    <t>21:24:04:660</t>
  </si>
  <si>
    <t>21:24:04:860</t>
  </si>
  <si>
    <t>21:24:05:048</t>
  </si>
  <si>
    <t>21:24:05:254</t>
  </si>
  <si>
    <t>21:24:05:448</t>
  </si>
  <si>
    <t>21:24:05:649</t>
  </si>
  <si>
    <t>21:24:05:890</t>
  </si>
  <si>
    <t>21:24:06:059</t>
  </si>
  <si>
    <t>21:24:06:257</t>
  </si>
  <si>
    <t>21:24:06:447</t>
  </si>
  <si>
    <t>21:24:06:650</t>
  </si>
  <si>
    <t>21:24:06:849</t>
  </si>
  <si>
    <t>21:24:07:050</t>
  </si>
  <si>
    <t>21:24:07:250</t>
  </si>
  <si>
    <t>21:24:07:445</t>
  </si>
  <si>
    <t>21:24:07:678</t>
  </si>
  <si>
    <t>21:24:07:859</t>
  </si>
  <si>
    <t>21:24:08:046</t>
  </si>
  <si>
    <t>21:24:08:276</t>
  </si>
  <si>
    <t>21:24:08:449</t>
  </si>
  <si>
    <t>21:24:08:655</t>
  </si>
  <si>
    <t>21:24:08:856</t>
  </si>
  <si>
    <t>21:24:09:062</t>
  </si>
  <si>
    <t>21:24:09:249</t>
  </si>
  <si>
    <t>21:24:09:478</t>
  </si>
  <si>
    <t>21:24:09:650</t>
  </si>
  <si>
    <t>21:24:09:848</t>
  </si>
  <si>
    <t>21:24:10:087</t>
  </si>
  <si>
    <t>21:24:10:248</t>
  </si>
  <si>
    <t>21:24:10:451</t>
  </si>
  <si>
    <t>21:24:10:648</t>
  </si>
  <si>
    <t>21:24:10:860</t>
  </si>
  <si>
    <t>21:24:11:049</t>
  </si>
  <si>
    <t>21:24:11:248</t>
  </si>
  <si>
    <t>21:24:11:569</t>
  </si>
  <si>
    <t>21:24:11:647</t>
  </si>
  <si>
    <t>21:24:11:846</t>
  </si>
  <si>
    <t>21:24:12:046</t>
  </si>
  <si>
    <t>21:24:12:249</t>
  </si>
  <si>
    <t>21:24:12:494</t>
  </si>
  <si>
    <t>21:24:12:661</t>
  </si>
  <si>
    <t>21:24:12:851</t>
  </si>
  <si>
    <t>21:24:13:057</t>
  </si>
  <si>
    <t>21:24:13:259</t>
  </si>
  <si>
    <t>21:24:13:448</t>
  </si>
  <si>
    <t>21:24:13:681</t>
  </si>
  <si>
    <t>21:24:13:859</t>
  </si>
  <si>
    <t>21:24:14:049</t>
  </si>
  <si>
    <t>21:24:14:246</t>
  </si>
  <si>
    <t>21:24:14:449</t>
  </si>
  <si>
    <t>21:24:14:652</t>
  </si>
  <si>
    <t>21:24:14:852</t>
  </si>
  <si>
    <t>21:24:15:051</t>
  </si>
  <si>
    <t>21:24:15:251</t>
  </si>
  <si>
    <t>21:24:15:479</t>
  </si>
  <si>
    <t>21:24:15:660</t>
  </si>
  <si>
    <t>21:24:15:849</t>
  </si>
  <si>
    <t>21:24:16:127</t>
  </si>
  <si>
    <t>21:24:16:249</t>
  </si>
  <si>
    <t>21:24:16:452</t>
  </si>
  <si>
    <t>21:24:16:648</t>
  </si>
  <si>
    <t>21:24:16:850</t>
  </si>
  <si>
    <t>21:24:17:050</t>
  </si>
  <si>
    <t>21:24:17:256</t>
  </si>
  <si>
    <t>21:24:17:460</t>
  </si>
  <si>
    <t>21:24:17:659</t>
  </si>
  <si>
    <t>21:24:17:876</t>
  </si>
  <si>
    <t>21:24:18:051</t>
  </si>
  <si>
    <t>21:24:18:249</t>
  </si>
  <si>
    <t>21:24:18:450</t>
  </si>
  <si>
    <t>21:24:18:660</t>
  </si>
  <si>
    <t>21:24:18:850</t>
  </si>
  <si>
    <t>21:24:19:052</t>
  </si>
  <si>
    <t>21:24:19:249</t>
  </si>
  <si>
    <t>21:24:19:450</t>
  </si>
  <si>
    <t>21:24:19:650</t>
  </si>
  <si>
    <t>21:24:19:850</t>
  </si>
  <si>
    <t>21:24:20:048</t>
  </si>
  <si>
    <t>21:24:20:279</t>
  </si>
  <si>
    <t>21:24:20:459</t>
  </si>
  <si>
    <t>21:24:20:648</t>
  </si>
  <si>
    <t>21:24:20:854</t>
  </si>
  <si>
    <t>21:24:21:072</t>
  </si>
  <si>
    <t>21:24:21:251</t>
  </si>
  <si>
    <t>21:24:21:453</t>
  </si>
  <si>
    <t>21:24:21:662</t>
  </si>
  <si>
    <t>21:24:21:862</t>
  </si>
  <si>
    <t>21:24:22:079</t>
  </si>
  <si>
    <t>21:24:22:270</t>
  </si>
  <si>
    <t>21:24:22:446</t>
  </si>
  <si>
    <t>21:24:22:683</t>
  </si>
  <si>
    <t>21:24:22:859</t>
  </si>
  <si>
    <t>21:24:23:050</t>
  </si>
  <si>
    <t>21:24:23:250</t>
  </si>
  <si>
    <t>21:24:23:448</t>
  </si>
  <si>
    <t>21:24:23:651</t>
  </si>
  <si>
    <t>21:24:23:849</t>
  </si>
  <si>
    <t>21:24:24:050</t>
  </si>
  <si>
    <t>21:24:24:249</t>
  </si>
  <si>
    <t>21:24:24:480</t>
  </si>
  <si>
    <t>21:24:24:657</t>
  </si>
  <si>
    <t>21:24:24:853</t>
  </si>
  <si>
    <t>21:24:25:054</t>
  </si>
  <si>
    <t>21:24:25:249</t>
  </si>
  <si>
    <t>21:24:25:451</t>
  </si>
  <si>
    <t>21:24:25:677</t>
  </si>
  <si>
    <t>21:24:25:856</t>
  </si>
  <si>
    <t>21:24:26:062</t>
  </si>
  <si>
    <t>21:24:26:269</t>
  </si>
  <si>
    <t>21:24:26:471</t>
  </si>
  <si>
    <t>21:24:26:651</t>
  </si>
  <si>
    <t>21:24:26:864</t>
  </si>
  <si>
    <t>21:24:27:053</t>
  </si>
  <si>
    <t>21:24:27:250</t>
  </si>
  <si>
    <t>21:24:27:490</t>
  </si>
  <si>
    <t>21:24:27:659</t>
  </si>
  <si>
    <t>21:24:27:851</t>
  </si>
  <si>
    <t>21:24:28:052</t>
  </si>
  <si>
    <t>21:24:28:256</t>
  </si>
  <si>
    <t>21:24:28:450</t>
  </si>
  <si>
    <t>21:24:28:650</t>
  </si>
  <si>
    <t>21:24:28:859</t>
  </si>
  <si>
    <t>21:24:29:051</t>
  </si>
  <si>
    <t>21:24:29:250</t>
  </si>
  <si>
    <t>21:24:29:452</t>
  </si>
  <si>
    <t>21:24:29:652</t>
  </si>
  <si>
    <t>21:24:29:878</t>
  </si>
  <si>
    <t>21:24:30:055</t>
  </si>
  <si>
    <t>21:24:30:260</t>
  </si>
  <si>
    <t>21:24:30:477</t>
  </si>
  <si>
    <t>21:24:30:655</t>
  </si>
  <si>
    <t>21:24:30:850</t>
  </si>
  <si>
    <t>21:24:31:047</t>
  </si>
  <si>
    <t>21:24:31:254</t>
  </si>
  <si>
    <t>21:24:31:451</t>
  </si>
  <si>
    <t>21:24:31:691</t>
  </si>
  <si>
    <t>21:24:31:863</t>
  </si>
  <si>
    <t>21:24:32:052</t>
  </si>
  <si>
    <t>21:24:32:252</t>
  </si>
  <si>
    <t>21:24:32:453</t>
  </si>
  <si>
    <t>21:24:32:652</t>
  </si>
  <si>
    <t>21:24:32:854</t>
  </si>
  <si>
    <t>21:24:33:054</t>
  </si>
  <si>
    <t>21:24:33:248</t>
  </si>
  <si>
    <t>21:24:33:480</t>
  </si>
  <si>
    <t>21:24:33:650</t>
  </si>
  <si>
    <t>21:24:33:850</t>
  </si>
  <si>
    <t>21:24:34:054</t>
  </si>
  <si>
    <t>21:24:34:260</t>
  </si>
  <si>
    <t>21:24:34:458</t>
  </si>
  <si>
    <t>21:24:34:663</t>
  </si>
  <si>
    <t>21:24:34:852</t>
  </si>
  <si>
    <t>21:24:35:052</t>
  </si>
  <si>
    <t>21:24:35:252</t>
  </si>
  <si>
    <t>21:24:35:452</t>
  </si>
  <si>
    <t>21:24:35:653</t>
  </si>
  <si>
    <t>21:24:35:853</t>
  </si>
  <si>
    <t>21:24:36:052</t>
  </si>
  <si>
    <t>21:24:36:251</t>
  </si>
  <si>
    <t>21:24:36:476</t>
  </si>
  <si>
    <t>21:24:36:660</t>
  </si>
  <si>
    <t>21:24:36:854</t>
  </si>
  <si>
    <t>21:24:37:051</t>
  </si>
  <si>
    <t>21:24:37:259</t>
  </si>
  <si>
    <t>21:24:37:451</t>
  </si>
  <si>
    <t>21:24:37:654</t>
  </si>
  <si>
    <t>21:24:37:849</t>
  </si>
  <si>
    <t>21:24:38:054</t>
  </si>
  <si>
    <t>21:24:38:250</t>
  </si>
  <si>
    <t>21:24:38:457</t>
  </si>
  <si>
    <t>21:24:38:657</t>
  </si>
  <si>
    <t>21:24:38:856</t>
  </si>
  <si>
    <t>21:24:39:057</t>
  </si>
  <si>
    <t>21:24:39:252</t>
  </si>
  <si>
    <t>21:24:39:451</t>
  </si>
  <si>
    <t>21:24:39:649</t>
  </si>
  <si>
    <t>21:24:39:850</t>
  </si>
  <si>
    <t>21:24:40:051</t>
  </si>
  <si>
    <t>21:24:40:272</t>
  </si>
  <si>
    <t>21:24:40:455</t>
  </si>
  <si>
    <t>21:24:40:651</t>
  </si>
  <si>
    <t>21:24:40:860</t>
  </si>
  <si>
    <t>21:24:41:050</t>
  </si>
  <si>
    <t>21:24:41:254</t>
  </si>
  <si>
    <t>21:24:41:454</t>
  </si>
  <si>
    <t>21:24:41:655</t>
  </si>
  <si>
    <t>21:24:41:851</t>
  </si>
  <si>
    <t>21:24:42:053</t>
  </si>
  <si>
    <t>21:24:42:254</t>
  </si>
  <si>
    <t>21:24:42:454</t>
  </si>
  <si>
    <t>21:24:42:656</t>
  </si>
  <si>
    <t>21:24:42:854</t>
  </si>
  <si>
    <t>21:24:43:100</t>
  </si>
  <si>
    <t>21:24:43:261</t>
  </si>
  <si>
    <t>21:24:43:451</t>
  </si>
  <si>
    <t>21:24:43:653</t>
  </si>
  <si>
    <t>21:24:43:853</t>
  </si>
  <si>
    <t>21:24:44:052</t>
  </si>
  <si>
    <t>21:24:44:253</t>
  </si>
  <si>
    <t>21:24:44:458</t>
  </si>
  <si>
    <t>21:24:44:649</t>
  </si>
  <si>
    <t>21:24:44:881</t>
  </si>
  <si>
    <t>21:24:45:060</t>
  </si>
  <si>
    <t>21:24:45:253</t>
  </si>
  <si>
    <t>21:24:45:456</t>
  </si>
  <si>
    <t>21:24:45:657</t>
  </si>
  <si>
    <t>21:24:45:853</t>
  </si>
  <si>
    <t>21:24:46:080</t>
  </si>
  <si>
    <t>21:24:46:882</t>
  </si>
  <si>
    <t>21:24:46:939</t>
  </si>
  <si>
    <t>21:24:46:989</t>
  </si>
  <si>
    <t>21:24:47:090</t>
  </si>
  <si>
    <t>21:24:47:147</t>
  </si>
  <si>
    <t>21:24:47:259</t>
  </si>
  <si>
    <t>21:24:47:453</t>
  </si>
  <si>
    <t>21:24:47:668</t>
  </si>
  <si>
    <t>21:24:47:858</t>
  </si>
  <si>
    <t>21:24:48:076</t>
  </si>
  <si>
    <t>21:24:48:254</t>
  </si>
  <si>
    <t>21:24:48:450</t>
  </si>
  <si>
    <t>21:24:48:653</t>
  </si>
  <si>
    <t>21:24:48:860</t>
  </si>
  <si>
    <t>21:24:49:080</t>
  </si>
  <si>
    <t>21:24:49:258</t>
  </si>
  <si>
    <t>21:24:49:454</t>
  </si>
  <si>
    <t>21:24:49:652</t>
  </si>
  <si>
    <t>21:24:49:851</t>
  </si>
  <si>
    <t>21:24:50:052</t>
  </si>
  <si>
    <t>21:24:50:255</t>
  </si>
  <si>
    <t>21:24:50:451</t>
  </si>
  <si>
    <t>21:24:50:657</t>
  </si>
  <si>
    <t>21:24:50:861</t>
  </si>
  <si>
    <t>21:24:51:057</t>
  </si>
  <si>
    <t>21:24:51:255</t>
  </si>
  <si>
    <t>21:24:51:457</t>
  </si>
  <si>
    <t>21:24:51:664</t>
  </si>
  <si>
    <t>21:24:51:867</t>
  </si>
  <si>
    <t>21:24:52:081</t>
  </si>
  <si>
    <t>21:24:52:258</t>
  </si>
  <si>
    <t>21:24:52:455</t>
  </si>
  <si>
    <t>21:24:52:654</t>
  </si>
  <si>
    <t>21:24:52:862</t>
  </si>
  <si>
    <t>21:24:53:054</t>
  </si>
  <si>
    <t>21:24:53:259</t>
  </si>
  <si>
    <t>21:24:53:460</t>
  </si>
  <si>
    <t>21:24:53:658</t>
  </si>
  <si>
    <t>21:24:53:881</t>
  </si>
  <si>
    <t>21:24:54:061</t>
  </si>
  <si>
    <t>21:24:54:255</t>
  </si>
  <si>
    <t>21:24:54:541</t>
  </si>
  <si>
    <t>21:24:54:742</t>
  </si>
  <si>
    <t>21:24:54:870</t>
  </si>
  <si>
    <t>21:24:55:053</t>
  </si>
  <si>
    <t>21:24:55:256</t>
  </si>
  <si>
    <t>21:24:55:454</t>
  </si>
  <si>
    <t>21:24:55:657</t>
  </si>
  <si>
    <t>21:24:55:861</t>
  </si>
  <si>
    <t>21:24:56:066</t>
  </si>
  <si>
    <t>21:24:56:281</t>
  </si>
  <si>
    <t>21:24:56:461</t>
  </si>
  <si>
    <t>21:24:56:656</t>
  </si>
  <si>
    <t>21:24:56:854</t>
  </si>
  <si>
    <t>21:24:57:056</t>
  </si>
  <si>
    <t>21:24:57:255</t>
  </si>
  <si>
    <t>21:24:57:451</t>
  </si>
  <si>
    <t>21:24:57:654</t>
  </si>
  <si>
    <t>21:24:57:852</t>
  </si>
  <si>
    <t>21:24:58:055</t>
  </si>
  <si>
    <t>21:24:58:262</t>
  </si>
  <si>
    <t>21:24:58:455</t>
  </si>
  <si>
    <t>21:24:58:660</t>
  </si>
  <si>
    <t>21:24:58:861</t>
  </si>
  <si>
    <t>21:24:59:136</t>
  </si>
  <si>
    <t>21:24:59:257</t>
  </si>
  <si>
    <t>21:24:59:473</t>
  </si>
  <si>
    <t>21:24:59:654</t>
  </si>
  <si>
    <t>21:24:59:881</t>
  </si>
  <si>
    <t>21:25:00:061</t>
  </si>
  <si>
    <t>21:25:00:256</t>
  </si>
  <si>
    <t>21:25:00:451</t>
  </si>
  <si>
    <t>21:25:00:655</t>
  </si>
  <si>
    <t>21:25:00:859</t>
  </si>
  <si>
    <t>21:25:01:084</t>
  </si>
  <si>
    <t>21:25:01:261</t>
  </si>
  <si>
    <t>21:25:01:457</t>
  </si>
  <si>
    <t>21:25:01:651</t>
  </si>
  <si>
    <t>21:25:01:856</t>
  </si>
  <si>
    <t>21:25:02:055</t>
  </si>
  <si>
    <t>21:25:02:278</t>
  </si>
  <si>
    <t>21:25:02:461</t>
  </si>
  <si>
    <t>21:25:02:658</t>
  </si>
  <si>
    <t>21:25:02:857</t>
  </si>
  <si>
    <t>21:25:03:052</t>
  </si>
  <si>
    <t>21:25:03:255</t>
  </si>
  <si>
    <t>21:25:03:456</t>
  </si>
  <si>
    <t>21:25:03:656</t>
  </si>
  <si>
    <t>21:25:03:851</t>
  </si>
  <si>
    <t>21:25:04:082</t>
  </si>
  <si>
    <t>21:25:04:259</t>
  </si>
  <si>
    <t>21:25:04:463</t>
  </si>
  <si>
    <t>21:25:04:682</t>
  </si>
  <si>
    <t>21:25:04:873</t>
  </si>
  <si>
    <t>21:25:05:057</t>
  </si>
  <si>
    <t>21:25:05:255</t>
  </si>
  <si>
    <t>21:25:05:457</t>
  </si>
  <si>
    <t>21:25:05:656</t>
  </si>
  <si>
    <t>21:25:05:897</t>
  </si>
  <si>
    <t>21:25:06:056</t>
  </si>
  <si>
    <t>21:25:06:255</t>
  </si>
  <si>
    <t>21:25:06:481</t>
  </si>
  <si>
    <t>21:25:06:717</t>
  </si>
  <si>
    <t>21:25:06:855</t>
  </si>
  <si>
    <t>21:25:07:058</t>
  </si>
  <si>
    <t>21:25:07:262</t>
  </si>
  <si>
    <t>21:25:07:457</t>
  </si>
  <si>
    <t>21:25:07:654</t>
  </si>
  <si>
    <t>21:25:07:856</t>
  </si>
  <si>
    <t>21:25:08:056</t>
  </si>
  <si>
    <t>21:25:08:254</t>
  </si>
  <si>
    <t>21:25:08:461</t>
  </si>
  <si>
    <t>21:25:08:656</t>
  </si>
  <si>
    <t>21:25:08:866</t>
  </si>
  <si>
    <t>21:25:09:057</t>
  </si>
  <si>
    <t>21:25:09:257</t>
  </si>
  <si>
    <t>21:25:09:481</t>
  </si>
  <si>
    <t>21:25:09:662</t>
  </si>
  <si>
    <t>21:25:09:857</t>
  </si>
  <si>
    <t>21:25:10:055</t>
  </si>
  <si>
    <t>21:25:10:257</t>
  </si>
  <si>
    <t>21:25:10:456</t>
  </si>
  <si>
    <t>21:25:10:681</t>
  </si>
  <si>
    <t>21:25:10:864</t>
  </si>
  <si>
    <t>21:25:11:054</t>
  </si>
  <si>
    <t>21:25:11:256</t>
  </si>
  <si>
    <t>21:25:11:454</t>
  </si>
  <si>
    <t>21:25:11:654</t>
  </si>
  <si>
    <t>21:25:11:881</t>
  </si>
  <si>
    <t>21:25:12:063</t>
  </si>
  <si>
    <t>21:25:12:254</t>
  </si>
  <si>
    <t>21:25:12:481</t>
  </si>
  <si>
    <t>21:25:12:661</t>
  </si>
  <si>
    <t>21:25:12:859</t>
  </si>
  <si>
    <t>21:25:13:064</t>
  </si>
  <si>
    <t>21:25:13:270</t>
  </si>
  <si>
    <t>21:25:13:458</t>
  </si>
  <si>
    <t>21:25:13:686</t>
  </si>
  <si>
    <t>21:25:13:862</t>
  </si>
  <si>
    <t>21:25:14:056</t>
  </si>
  <si>
    <t>21:25:14:256</t>
  </si>
  <si>
    <t>21:25:14:457</t>
  </si>
  <si>
    <t>21:25:14:658</t>
  </si>
  <si>
    <t>21:25:14:882</t>
  </si>
  <si>
    <t>21:25:15:058</t>
  </si>
  <si>
    <t>21:25:15:258</t>
  </si>
  <si>
    <t>21:25:15:460</t>
  </si>
  <si>
    <t>21:25:15:657</t>
  </si>
  <si>
    <t>21:25:15:858</t>
  </si>
  <si>
    <t>21:25:16:061</t>
  </si>
  <si>
    <t>21:25:16:258</t>
  </si>
  <si>
    <t>21:25:16:458</t>
  </si>
  <si>
    <t>21:25:16:659</t>
  </si>
  <si>
    <t>21:25:16:855</t>
  </si>
  <si>
    <t>21:25:17:059</t>
  </si>
  <si>
    <t>21:25:17:282</t>
  </si>
  <si>
    <t>21:25:17:469</t>
  </si>
  <si>
    <t>21:25:17:658</t>
  </si>
  <si>
    <t>21:25:17:856</t>
  </si>
  <si>
    <t>21:25:18:057</t>
  </si>
  <si>
    <t>21:25:18:257</t>
  </si>
  <si>
    <t>21:25:18:455</t>
  </si>
  <si>
    <t>21:25:18:673</t>
  </si>
  <si>
    <t>21:25:18:858</t>
  </si>
  <si>
    <t>21:25:19:055</t>
  </si>
  <si>
    <t>21:25:19:257</t>
  </si>
  <si>
    <t>21:25:19:454</t>
  </si>
  <si>
    <t>21:25:19:656</t>
  </si>
  <si>
    <t>21:25:19:864</t>
  </si>
  <si>
    <t>21:25:20:057</t>
  </si>
  <si>
    <t>21:25:20:282</t>
  </si>
  <si>
    <t>21:25:20:473</t>
  </si>
  <si>
    <t>21:25:20:660</t>
  </si>
  <si>
    <t>21:25:20:857</t>
  </si>
  <si>
    <t>21:25:21:058</t>
  </si>
  <si>
    <t>21:25:21:258</t>
  </si>
  <si>
    <t>21:25:21:479</t>
  </si>
  <si>
    <t>21:25:21:666</t>
  </si>
  <si>
    <t>21:25:21:871</t>
  </si>
  <si>
    <t>21:25:22:061</t>
  </si>
  <si>
    <t>21:25:22:257</t>
  </si>
  <si>
    <t>21:25:22:455</t>
  </si>
  <si>
    <t>21:25:22:657</t>
  </si>
  <si>
    <t>21:25:22:859</t>
  </si>
  <si>
    <t>21:25:23:057</t>
  </si>
  <si>
    <t>21:25:23:258</t>
  </si>
  <si>
    <t>21:25:23:457</t>
  </si>
  <si>
    <t>21:25:23:654</t>
  </si>
  <si>
    <t>21:25:23:857</t>
  </si>
  <si>
    <t>21:25:24:057</t>
  </si>
  <si>
    <t>21:25:24:258</t>
  </si>
  <si>
    <t>21:25:24:482</t>
  </si>
  <si>
    <t>21:25:24:662</t>
  </si>
  <si>
    <t>21:25:24:856</t>
  </si>
  <si>
    <t>21:25:25:084</t>
  </si>
  <si>
    <t>21:25:25:255</t>
  </si>
  <si>
    <t>21:25:25:465</t>
  </si>
  <si>
    <t>21:25:25:661</t>
  </si>
  <si>
    <t>21:25:25:862</t>
  </si>
  <si>
    <t>21:25:26:070</t>
  </si>
  <si>
    <t>21:25:26:282</t>
  </si>
  <si>
    <t>21:25:26:455</t>
  </si>
  <si>
    <t>21:25:26:657</t>
  </si>
  <si>
    <t>21:25:26:890</t>
  </si>
  <si>
    <t>21:25:27:059</t>
  </si>
  <si>
    <t>21:25:27:263</t>
  </si>
  <si>
    <t>21:25:27:460</t>
  </si>
  <si>
    <t>21:25:27:663</t>
  </si>
  <si>
    <t>21:25:27:861</t>
  </si>
  <si>
    <t>21:25:28:059</t>
  </si>
  <si>
    <t>21:25:28:255</t>
  </si>
  <si>
    <t>21:25:28:503</t>
  </si>
  <si>
    <t>21:25:28:682</t>
  </si>
  <si>
    <t>21:25:28:861</t>
  </si>
  <si>
    <t>21:25:29:059</t>
  </si>
  <si>
    <t>21:25:29:259</t>
  </si>
  <si>
    <t>21:25:29:459</t>
  </si>
  <si>
    <t>21:25:29:658</t>
  </si>
  <si>
    <t>21:25:29:858</t>
  </si>
  <si>
    <t>21:25:30:065</t>
  </si>
  <si>
    <t>21:25:30:268</t>
  </si>
  <si>
    <t>21:25:30:472</t>
  </si>
  <si>
    <t>21:25:30:659</t>
  </si>
  <si>
    <t>21:25:30:858</t>
  </si>
  <si>
    <t>21:25:31:061</t>
  </si>
  <si>
    <t>21:25:31:261</t>
  </si>
  <si>
    <t>21:25:31:460</t>
  </si>
  <si>
    <t>21:25:31:682</t>
  </si>
  <si>
    <t>21:25:31:862</t>
  </si>
  <si>
    <t>21:25:32:074</t>
  </si>
  <si>
    <t>21:25:32:259</t>
  </si>
  <si>
    <t>21:25:32:460</t>
  </si>
  <si>
    <t>21:25:32:659</t>
  </si>
  <si>
    <t>21:25:32:879</t>
  </si>
  <si>
    <t>21:25:33:073</t>
  </si>
  <si>
    <t>21:25:33:262</t>
  </si>
  <si>
    <t>21:25:33:457</t>
  </si>
  <si>
    <t>21:25:33:662</t>
  </si>
  <si>
    <t>21:25:33:860</t>
  </si>
  <si>
    <t>21:25:34:072</t>
  </si>
  <si>
    <t>21:25:34:378</t>
  </si>
  <si>
    <t>21:25:34:463</t>
  </si>
  <si>
    <t>21:25:34:674</t>
  </si>
  <si>
    <t>21:25:34:860</t>
  </si>
  <si>
    <t>21:25:35:060</t>
  </si>
  <si>
    <t>21:25:35:291</t>
  </si>
  <si>
    <t>21:25:35:456</t>
  </si>
  <si>
    <t>21:25:35:659</t>
  </si>
  <si>
    <t>21:25:35:882</t>
  </si>
  <si>
    <t>21:25:36:058</t>
  </si>
  <si>
    <t>21:25:36:258</t>
  </si>
  <si>
    <t>21:25:36:483</t>
  </si>
  <si>
    <t>21:25:36:662</t>
  </si>
  <si>
    <t>21:25:36:860</t>
  </si>
  <si>
    <t>21:25:37:063</t>
  </si>
  <si>
    <t>21:25:37:262</t>
  </si>
  <si>
    <t>21:25:37:458</t>
  </si>
  <si>
    <t>21:25:37:656</t>
  </si>
  <si>
    <t>21:25:37:876</t>
  </si>
  <si>
    <t>21:25:38:057</t>
  </si>
  <si>
    <t>21:25:38:267</t>
  </si>
  <si>
    <t>21:25:38:458</t>
  </si>
  <si>
    <t>21:25:38:701</t>
  </si>
  <si>
    <t>21:25:38:883</t>
  </si>
  <si>
    <t>21:25:39:070</t>
  </si>
  <si>
    <t>21:25:39:257</t>
  </si>
  <si>
    <t>21:25:39:486</t>
  </si>
  <si>
    <t>21:25:39:666</t>
  </si>
  <si>
    <t>21:25:39:857</t>
  </si>
  <si>
    <t>21:25:40:062</t>
  </si>
  <si>
    <t>21:25:40:258</t>
  </si>
  <si>
    <t>21:25:40:459</t>
  </si>
  <si>
    <t>21:25:40:658</t>
  </si>
  <si>
    <t>21:25:40:860</t>
  </si>
  <si>
    <t>21:25:41:062</t>
  </si>
  <si>
    <t>21:25:41:257</t>
  </si>
  <si>
    <t>21:25:41:458</t>
  </si>
  <si>
    <t>21:25:41:660</t>
  </si>
  <si>
    <t>21:25:41:883</t>
  </si>
  <si>
    <t>21:25:42:059</t>
  </si>
  <si>
    <t>21:25:42:261</t>
  </si>
  <si>
    <t>21:25:42:461</t>
  </si>
  <si>
    <t>21:25:42:663</t>
  </si>
  <si>
    <t>21:25:42:865</t>
  </si>
  <si>
    <t>21:25:43:069</t>
  </si>
  <si>
    <t>21:25:43:271</t>
  </si>
  <si>
    <t>21:25:43:460</t>
  </si>
  <si>
    <t>21:25:43:657</t>
  </si>
  <si>
    <t>21:25:43:858</t>
  </si>
  <si>
    <t>21:25:44:060</t>
  </si>
  <si>
    <t>21:25:44:283</t>
  </si>
  <si>
    <t>21:25:44:457</t>
  </si>
  <si>
    <t>21:25:44:660</t>
  </si>
  <si>
    <t>21:25:44:882</t>
  </si>
  <si>
    <t>21:25:45:060</t>
  </si>
  <si>
    <t>21:25:45:261</t>
  </si>
  <si>
    <t>21:25:45:462</t>
  </si>
  <si>
    <t>21:25:45:663</t>
  </si>
  <si>
    <t>21:25:45:858</t>
  </si>
  <si>
    <t>21:25:46:059</t>
  </si>
  <si>
    <t>21:25:46:259</t>
  </si>
  <si>
    <t>21:25:46:457</t>
  </si>
  <si>
    <t>21:25:46:657</t>
  </si>
  <si>
    <t>21:25:46:865</t>
  </si>
  <si>
    <t>21:25:47:063</t>
  </si>
  <si>
    <t>21:25:47:269</t>
  </si>
  <si>
    <t>21:25:47:472</t>
  </si>
  <si>
    <t>21:25:47:662</t>
  </si>
  <si>
    <t>21:25:47:861</t>
  </si>
  <si>
    <t>21:25:48:060</t>
  </si>
  <si>
    <t>21:25:48:258</t>
  </si>
  <si>
    <t>21:25:48:462</t>
  </si>
  <si>
    <t>21:25:48:662</t>
  </si>
  <si>
    <t>21:25:48:858</t>
  </si>
  <si>
    <t>21:25:49:083</t>
  </si>
  <si>
    <t>21:25:49:259</t>
  </si>
  <si>
    <t>21:25:49:462</t>
  </si>
  <si>
    <t>21:25:49:683</t>
  </si>
  <si>
    <t>21:25:49:861</t>
  </si>
  <si>
    <t>21:25:50:060</t>
  </si>
  <si>
    <t>21:25:50:263</t>
  </si>
  <si>
    <t>21:25:50:466</t>
  </si>
  <si>
    <t>21:25:50:657</t>
  </si>
  <si>
    <t>21:25:50:860</t>
  </si>
  <si>
    <t>21:25:51:061</t>
  </si>
  <si>
    <t>21:25:51:259</t>
  </si>
  <si>
    <t>21:25:51:482</t>
  </si>
  <si>
    <t>21:25:51:671</t>
  </si>
  <si>
    <t>21:25:51:871</t>
  </si>
  <si>
    <t>21:25:52:061</t>
  </si>
  <si>
    <t>21:25:52:262</t>
  </si>
  <si>
    <t>21:25:52:476</t>
  </si>
  <si>
    <t>21:25:52:695</t>
  </si>
  <si>
    <t>21:25:52:863</t>
  </si>
  <si>
    <t>21:25:53:059</t>
  </si>
  <si>
    <t>21:25:53:284</t>
  </si>
  <si>
    <t>21:25:53:491</t>
  </si>
  <si>
    <t>21:25:53:662</t>
  </si>
  <si>
    <t>21:25:53:864</t>
  </si>
  <si>
    <t>21:25:54:058</t>
  </si>
  <si>
    <t>21:25:54:264</t>
  </si>
  <si>
    <t>21:25:54:544</t>
  </si>
  <si>
    <t>21:25:54:722</t>
  </si>
  <si>
    <t>21:25:55:514</t>
  </si>
  <si>
    <t>21:25:55:588</t>
  </si>
  <si>
    <t>21:25:55:665</t>
  </si>
  <si>
    <t>21:25:55:870</t>
  </si>
  <si>
    <t>21:25:56:071</t>
  </si>
  <si>
    <t>21:25:56:263</t>
  </si>
  <si>
    <t>21:25:56:460</t>
  </si>
  <si>
    <t>21:25:56:674</t>
  </si>
  <si>
    <t>21:25:56:862</t>
  </si>
  <si>
    <t>21:25:57:100</t>
  </si>
  <si>
    <t>21:25:57:262</t>
  </si>
  <si>
    <t>21:25:57:462</t>
  </si>
  <si>
    <t>21:25:57:714</t>
  </si>
  <si>
    <t>21:25:57:863</t>
  </si>
  <si>
    <t>21:25:58:059</t>
  </si>
  <si>
    <t>21:25:58:263</t>
  </si>
  <si>
    <t>21:25:58:461</t>
  </si>
  <si>
    <t>21:25:58:660</t>
  </si>
  <si>
    <t>21:25:58:869</t>
  </si>
  <si>
    <t>21:25:59:067</t>
  </si>
  <si>
    <t>21:25:59:280</t>
  </si>
  <si>
    <t>21:25:59:461</t>
  </si>
  <si>
    <t>21:25:59:662</t>
  </si>
  <si>
    <t>21:25:59:866</t>
  </si>
  <si>
    <t>21:26:00:068</t>
  </si>
  <si>
    <t>21:26:00:271</t>
  </si>
  <si>
    <t>21:26:00:460</t>
  </si>
  <si>
    <t>21:26:00:662</t>
  </si>
  <si>
    <t>21:26:00:862</t>
  </si>
  <si>
    <t>21:26:01:064</t>
  </si>
  <si>
    <t>21:26:01:272</t>
  </si>
  <si>
    <t>21:26:01:459</t>
  </si>
  <si>
    <t>21:26:01:683</t>
  </si>
  <si>
    <t>21:26:01:864</t>
  </si>
  <si>
    <t>21:26:02:063</t>
  </si>
  <si>
    <t>21:26:02:261</t>
  </si>
  <si>
    <t>21:26:02:459</t>
  </si>
  <si>
    <t>21:26:02:665</t>
  </si>
  <si>
    <t>21:26:02:884</t>
  </si>
  <si>
    <t>21:26:03:079</t>
  </si>
  <si>
    <t>21:26:03:261</t>
  </si>
  <si>
    <t>21:26:03:484</t>
  </si>
  <si>
    <t>21:26:03:660</t>
  </si>
  <si>
    <t>21:26:03:864</t>
  </si>
  <si>
    <t>21:26:04:064</t>
  </si>
  <si>
    <t>21:26:04:264</t>
  </si>
  <si>
    <t>21:26:04:471</t>
  </si>
  <si>
    <t>21:26:04:704</t>
  </si>
  <si>
    <t>21:26:04:865</t>
  </si>
  <si>
    <t>21:26:05:065</t>
  </si>
  <si>
    <t>21:26:05:264</t>
  </si>
  <si>
    <t>21:26:05:459</t>
  </si>
  <si>
    <t>21:26:05:664</t>
  </si>
  <si>
    <t>21:26:05:884</t>
  </si>
  <si>
    <t>21:26:06:065</t>
  </si>
  <si>
    <t>21:26:06:265</t>
  </si>
  <si>
    <t>21:26:06:463</t>
  </si>
  <si>
    <t>21:26:06:660</t>
  </si>
  <si>
    <t>21:26:06:862</t>
  </si>
  <si>
    <t>21:26:07:065</t>
  </si>
  <si>
    <t>21:26:07:262</t>
  </si>
  <si>
    <t>21:26:07:466</t>
  </si>
  <si>
    <t>21:26:07:684</t>
  </si>
  <si>
    <t>21:26:07:862</t>
  </si>
  <si>
    <t>21:26:08:065</t>
  </si>
  <si>
    <t>21:26:08:263</t>
  </si>
  <si>
    <t>21:26:08:466</t>
  </si>
  <si>
    <t>21:26:08:670</t>
  </si>
  <si>
    <t>21:26:08:884</t>
  </si>
  <si>
    <t>21:26:09:064</t>
  </si>
  <si>
    <t>21:26:09:265</t>
  </si>
  <si>
    <t>21:26:09:464</t>
  </si>
  <si>
    <t>21:26:10:157</t>
  </si>
  <si>
    <t>21:26:10:229</t>
  </si>
  <si>
    <t>21:26:10:306</t>
  </si>
  <si>
    <t>21:26:10:374</t>
  </si>
  <si>
    <t>21:26:10:460</t>
  </si>
  <si>
    <t>21:26:10:684</t>
  </si>
  <si>
    <t>21:26:10:864</t>
  </si>
  <si>
    <t>21:26:11:062</t>
  </si>
  <si>
    <t>21:26:11:333</t>
  </si>
  <si>
    <t>21:26:11:467</t>
  </si>
  <si>
    <t>21:26:11:664</t>
  </si>
  <si>
    <t>21:26:11:863</t>
  </si>
  <si>
    <t>21:26:12:066</t>
  </si>
  <si>
    <t>21:26:12:264</t>
  </si>
  <si>
    <t>21:26:12:460</t>
  </si>
  <si>
    <t>21:26:12:664</t>
  </si>
  <si>
    <t>21:26:12:869</t>
  </si>
  <si>
    <t>21:26:13:071</t>
  </si>
  <si>
    <t>21:26:13:278</t>
  </si>
  <si>
    <t>21:26:13:464</t>
  </si>
  <si>
    <t>21:26:13:720</t>
  </si>
  <si>
    <t>21:26:13:866</t>
  </si>
  <si>
    <t>21:26:14:099</t>
  </si>
  <si>
    <t>21:26:14:266</t>
  </si>
  <si>
    <t>21:26:14:466</t>
  </si>
  <si>
    <t>21:26:14:662</t>
  </si>
  <si>
    <t>21:26:14:864</t>
  </si>
  <si>
    <t>21:26:15:064</t>
  </si>
  <si>
    <t>21:26:15:261</t>
  </si>
  <si>
    <t>21:26:15:484</t>
  </si>
  <si>
    <t>21:26:15:661</t>
  </si>
  <si>
    <t>21:26:15:860</t>
  </si>
  <si>
    <t>21:26:16:067</t>
  </si>
  <si>
    <t>21:26:16:276</t>
  </si>
  <si>
    <t>21:26:16:462</t>
  </si>
  <si>
    <t>21:26:16:665</t>
  </si>
  <si>
    <t>21:26:16:867</t>
  </si>
  <si>
    <t>21:26:17:070</t>
  </si>
  <si>
    <t>21:26:17:268</t>
  </si>
  <si>
    <t>21:26:17:473</t>
  </si>
  <si>
    <t>21:26:17:670</t>
  </si>
  <si>
    <t>21:26:17:866</t>
  </si>
  <si>
    <t>21:26:18:067</t>
  </si>
  <si>
    <t>21:26:18:267</t>
  </si>
  <si>
    <t>21:26:18:485</t>
  </si>
  <si>
    <t>21:26:18:664</t>
  </si>
  <si>
    <t>21:26:18:868</t>
  </si>
  <si>
    <t>21:26:19:064</t>
  </si>
  <si>
    <t>21:26:19:266</t>
  </si>
  <si>
    <t>21:26:19:466</t>
  </si>
  <si>
    <t>21:26:19:684</t>
  </si>
  <si>
    <t>21:26:19:863</t>
  </si>
  <si>
    <t>21:26:20:065</t>
  </si>
  <si>
    <t>21:26:20:284</t>
  </si>
  <si>
    <t>21:26:20:465</t>
  </si>
  <si>
    <t>21:26:20:667</t>
  </si>
  <si>
    <t>21:26:20:867</t>
  </si>
  <si>
    <t>21:26:21:132</t>
  </si>
  <si>
    <t>21:26:21:265</t>
  </si>
  <si>
    <t>21:26:21:472</t>
  </si>
  <si>
    <t>21:26:21:676</t>
  </si>
  <si>
    <t>21:26:21:862</t>
  </si>
  <si>
    <t>21:26:22:061</t>
  </si>
  <si>
    <t>21:26:22:266</t>
  </si>
  <si>
    <t>21:26:22:464</t>
  </si>
  <si>
    <t>21:26:22:699</t>
  </si>
  <si>
    <t>21:26:22:867</t>
  </si>
  <si>
    <t>21:26:23:067</t>
  </si>
  <si>
    <t>21:26:23:266</t>
  </si>
  <si>
    <t>21:26:23:464</t>
  </si>
  <si>
    <t>21:26:23:661</t>
  </si>
  <si>
    <t>21:26:23:884</t>
  </si>
  <si>
    <t>21:26:24:061</t>
  </si>
  <si>
    <t>21:26:24:265</t>
  </si>
  <si>
    <t>21:26:24:484</t>
  </si>
  <si>
    <t>21:26:24:666</t>
  </si>
  <si>
    <t>21:26:24:866</t>
  </si>
  <si>
    <t>21:26:25:064</t>
  </si>
  <si>
    <t>21:26:25:266</t>
  </si>
  <si>
    <t>21:26:25:466</t>
  </si>
  <si>
    <t>21:26:25:681</t>
  </si>
  <si>
    <t>21:26:25:874</t>
  </si>
  <si>
    <t>21:26:26:079</t>
  </si>
  <si>
    <t>21:26:26:284</t>
  </si>
  <si>
    <t>21:26:26:465</t>
  </si>
  <si>
    <t>21:26:26:665</t>
  </si>
  <si>
    <t>21:26:26:898</t>
  </si>
  <si>
    <t>21:26:27:065</t>
  </si>
  <si>
    <t>21:26:27:269</t>
  </si>
  <si>
    <t>21:26:27:465</t>
  </si>
  <si>
    <t>21:26:27:662</t>
  </si>
  <si>
    <t>21:26:27:868</t>
  </si>
  <si>
    <t>21:26:28:067</t>
  </si>
  <si>
    <t>21:26:28:265</t>
  </si>
  <si>
    <t>21:26:28:463</t>
  </si>
  <si>
    <t>21:26:28:665</t>
  </si>
  <si>
    <t>21:26:28:865</t>
  </si>
  <si>
    <t>21:26:29:064</t>
  </si>
  <si>
    <t>21:26:29:267</t>
  </si>
  <si>
    <t>21:26:29:463</t>
  </si>
  <si>
    <t>21:26:29:663</t>
  </si>
  <si>
    <t>21:26:29:868</t>
  </si>
  <si>
    <t>21:26:30:069</t>
  </si>
  <si>
    <t>21:26:30:277</t>
  </si>
  <si>
    <t>21:26:30:481</t>
  </si>
  <si>
    <t>21:26:30:667</t>
  </si>
  <si>
    <t>21:26:30:867</t>
  </si>
  <si>
    <t>21:26:31:069</t>
  </si>
  <si>
    <t>21:26:31:271</t>
  </si>
  <si>
    <t>21:26:31:469</t>
  </si>
  <si>
    <t>21:26:31:666</t>
  </si>
  <si>
    <t>21:26:31:863</t>
  </si>
  <si>
    <t>21:26:32:070</t>
  </si>
  <si>
    <t>21:26:32:267</t>
  </si>
  <si>
    <t>21:26:32:468</t>
  </si>
  <si>
    <t>21:26:32:662</t>
  </si>
  <si>
    <t>21:26:32:895</t>
  </si>
  <si>
    <t>21:26:33:063</t>
  </si>
  <si>
    <t>21:26:33:271</t>
  </si>
  <si>
    <t>21:26:33:466</t>
  </si>
  <si>
    <t>21:26:33:673</t>
  </si>
  <si>
    <t>21:26:33:867</t>
  </si>
  <si>
    <t>21:26:34:074</t>
  </si>
  <si>
    <t>21:26:34:273</t>
  </si>
  <si>
    <t>21:26:34:464</t>
  </si>
  <si>
    <t>21:26:34:666</t>
  </si>
  <si>
    <t>21:26:34:868</t>
  </si>
  <si>
    <t>21:26:35:070</t>
  </si>
  <si>
    <t>21:26:35:264</t>
  </si>
  <si>
    <t>21:26:35:477</t>
  </si>
  <si>
    <t>21:26:35:692</t>
  </si>
  <si>
    <t>21:26:35:873</t>
  </si>
  <si>
    <t>21:26:36:068</t>
  </si>
  <si>
    <t>21:26:36:265</t>
  </si>
  <si>
    <t>21:26:36:464</t>
  </si>
  <si>
    <t>21:26:36:669</t>
  </si>
  <si>
    <t>21:26:36:867</t>
  </si>
  <si>
    <t>21:26:37:064</t>
  </si>
  <si>
    <t>21:26:37:267</t>
  </si>
  <si>
    <t>21:26:37:464</t>
  </si>
  <si>
    <t>21:26:37:666</t>
  </si>
  <si>
    <t>21:26:37:866</t>
  </si>
  <si>
    <t>21:26:38:068</t>
  </si>
  <si>
    <t>21:26:38:264</t>
  </si>
  <si>
    <t>21:26:38:470</t>
  </si>
  <si>
    <t>21:26:38:674</t>
  </si>
  <si>
    <t>21:26:38:882</t>
  </si>
  <si>
    <t>21:26:39:066</t>
  </si>
  <si>
    <t>21:26:39:264</t>
  </si>
  <si>
    <t>21:26:39:501</t>
  </si>
  <si>
    <t>21:26:39:668</t>
  </si>
  <si>
    <t>21:26:39:868</t>
  </si>
  <si>
    <t>21:26:40:067</t>
  </si>
  <si>
    <t>21:26:40:267</t>
  </si>
  <si>
    <t>21:26:40:508</t>
  </si>
  <si>
    <t>21:26:40:668</t>
  </si>
  <si>
    <t>21:26:40:868</t>
  </si>
  <si>
    <t>21:26:41:079</t>
  </si>
  <si>
    <t>21:26:41:270</t>
  </si>
  <si>
    <t>21:26:41:467</t>
  </si>
  <si>
    <t>21:26:41:664</t>
  </si>
  <si>
    <t>21:26:41:887</t>
  </si>
  <si>
    <t>21:26:42:068</t>
  </si>
  <si>
    <t>21:26:42:306</t>
  </si>
  <si>
    <t>21:26:42:469</t>
  </si>
  <si>
    <t>21:26:42:664</t>
  </si>
  <si>
    <t>21:26:42:872</t>
  </si>
  <si>
    <t>21:26:43:085</t>
  </si>
  <si>
    <t>21:26:43:264</t>
  </si>
  <si>
    <t>21:26:43:469</t>
  </si>
  <si>
    <t>21:26:43:691</t>
  </si>
  <si>
    <t>21:26:43:867</t>
  </si>
  <si>
    <t>21:26:44:067</t>
  </si>
  <si>
    <t>21:26:44:269</t>
  </si>
  <si>
    <t>21:26:44:464</t>
  </si>
  <si>
    <t>21:26:44:669</t>
  </si>
  <si>
    <t>21:26:44:883</t>
  </si>
  <si>
    <t>21:26:45:066</t>
  </si>
  <si>
    <t>21:26:45:268</t>
  </si>
  <si>
    <t>21:26:45:468</t>
  </si>
  <si>
    <t>21:26:45:664</t>
  </si>
  <si>
    <t>21:26:45:865</t>
  </si>
  <si>
    <t>21:26:46:067</t>
  </si>
  <si>
    <t>21:26:46:264</t>
  </si>
  <si>
    <t>21:26:46:471</t>
  </si>
  <si>
    <t>21:26:46:669</t>
  </si>
  <si>
    <t>21:26:46:867</t>
  </si>
  <si>
    <t>21:26:47:069</t>
  </si>
  <si>
    <t>21:26:47:267</t>
  </si>
  <si>
    <t>21:26:47:485</t>
  </si>
  <si>
    <t>21:26:47:670</t>
  </si>
  <si>
    <t>21:26:47:868</t>
  </si>
  <si>
    <t>21:26:48:069</t>
  </si>
  <si>
    <t>21:26:48:268</t>
  </si>
  <si>
    <t>21:26:48:469</t>
  </si>
  <si>
    <t>21:26:48:668</t>
  </si>
  <si>
    <t>21:26:48:874</t>
  </si>
  <si>
    <t>21:26:49:067</t>
  </si>
  <si>
    <t>21:26:49:265</t>
  </si>
  <si>
    <t>21:26:49:470</t>
  </si>
  <si>
    <t>21:26:49:666</t>
  </si>
  <si>
    <t>21:26:49:868</t>
  </si>
  <si>
    <t>21:26:50:070</t>
  </si>
  <si>
    <t>21:26:50:282</t>
  </si>
  <si>
    <t>21:26:50:469</t>
  </si>
  <si>
    <t>21:26:50:758</t>
  </si>
  <si>
    <t>21:26:50:867</t>
  </si>
  <si>
    <t>21:26:51:070</t>
  </si>
  <si>
    <t>21:26:51:270</t>
  </si>
  <si>
    <t>21:26:51:475</t>
  </si>
  <si>
    <t>21:26:51:668</t>
  </si>
  <si>
    <t>21:26:51:865</t>
  </si>
  <si>
    <t>21:26:52:096</t>
  </si>
  <si>
    <t>21:26:52:270</t>
  </si>
  <si>
    <t>21:26:52:466</t>
  </si>
  <si>
    <t>21:26:52:669</t>
  </si>
  <si>
    <t>21:26:52:869</t>
  </si>
  <si>
    <t>21:26:53:112</t>
  </si>
  <si>
    <t>21:26:53:285</t>
  </si>
  <si>
    <t>21:26:53:469</t>
  </si>
  <si>
    <t>21:26:53:670</t>
  </si>
  <si>
    <t>21:26:53:871</t>
  </si>
  <si>
    <t>21:26:54:070</t>
  </si>
  <si>
    <t>21:26:54:367</t>
  </si>
  <si>
    <t>21:26:55:028</t>
  </si>
  <si>
    <t>21:26:55:480</t>
  </si>
  <si>
    <t>21:26:55:673</t>
  </si>
  <si>
    <t>21:26:55:878</t>
  </si>
  <si>
    <t>21:26:56:085</t>
  </si>
  <si>
    <t>21:26:56:270</t>
  </si>
  <si>
    <t>21:26:56:471</t>
  </si>
  <si>
    <t>21:26:56:670</t>
  </si>
  <si>
    <t>21:26:56:887</t>
  </si>
  <si>
    <t>21:26:57:070</t>
  </si>
  <si>
    <t>21:26:57:270</t>
  </si>
  <si>
    <t>21:26:57:483</t>
  </si>
  <si>
    <t>21:26:57:667</t>
  </si>
  <si>
    <t>21:26:57:868</t>
  </si>
  <si>
    <t>21:26:58:069</t>
  </si>
  <si>
    <t>21:26:58:267</t>
  </si>
  <si>
    <t>21:26:58:471</t>
  </si>
  <si>
    <t>21:26:58:669</t>
  </si>
  <si>
    <t>21:26:58:867</t>
  </si>
  <si>
    <t>21:26:59:070</t>
  </si>
  <si>
    <t>21:26:59:270</t>
  </si>
  <si>
    <t>21:26:59:467</t>
  </si>
  <si>
    <t>21:26:59:669</t>
  </si>
  <si>
    <t>21:26:59:914</t>
  </si>
  <si>
    <t>21:27:00:076</t>
  </si>
  <si>
    <t>21:27:00:281</t>
  </si>
  <si>
    <t>21:27:00:487</t>
  </si>
  <si>
    <t>21:27:00:671</t>
  </si>
  <si>
    <t>21:27:00:875</t>
  </si>
  <si>
    <t>21:27:01:112</t>
  </si>
  <si>
    <t>21:27:01:270</t>
  </si>
  <si>
    <t>21:27:01:471</t>
  </si>
  <si>
    <t>21:27:01:686</t>
  </si>
  <si>
    <t>21:27:01:871</t>
  </si>
  <si>
    <t>21:27:02:067</t>
  </si>
  <si>
    <t>21:27:02:284</t>
  </si>
  <si>
    <t>21:27:02:470</t>
  </si>
  <si>
    <t>21:27:02:671</t>
  </si>
  <si>
    <t>21:27:02:866</t>
  </si>
  <si>
    <t>21:27:03:070</t>
  </si>
  <si>
    <t>21:27:03:267</t>
  </si>
  <si>
    <t>21:27:03:483</t>
  </si>
  <si>
    <t>21:27:03:671</t>
  </si>
  <si>
    <t>21:27:03:869</t>
  </si>
  <si>
    <t>21:27:04:071</t>
  </si>
  <si>
    <t>21:27:04:275</t>
  </si>
  <si>
    <t>21:27:04:470</t>
  </si>
  <si>
    <t>21:27:04:753</t>
  </si>
  <si>
    <t>21:27:04:868</t>
  </si>
  <si>
    <t>21:27:05:071</t>
  </si>
  <si>
    <t>21:27:05:299</t>
  </si>
  <si>
    <t>21:27:05:469</t>
  </si>
  <si>
    <t>21:27:05:671</t>
  </si>
  <si>
    <t>21:27:05:871</t>
  </si>
  <si>
    <t>21:27:06:073</t>
  </si>
  <si>
    <t>21:27:06:266</t>
  </si>
  <si>
    <t>21:27:06:486</t>
  </si>
  <si>
    <t>21:27:06:671</t>
  </si>
  <si>
    <t>21:27:06:870</t>
  </si>
  <si>
    <t>21:27:07:143</t>
  </si>
  <si>
    <t>21:27:07:270</t>
  </si>
  <si>
    <t>21:27:07:466</t>
  </si>
  <si>
    <t>21:27:07:686</t>
  </si>
  <si>
    <t>21:27:07:871</t>
  </si>
  <si>
    <t>21:27:08:068</t>
  </si>
  <si>
    <t>21:27:08:273</t>
  </si>
  <si>
    <t>21:27:08:470</t>
  </si>
  <si>
    <t>21:27:08:679</t>
  </si>
  <si>
    <t>21:27:08:886</t>
  </si>
  <si>
    <t>21:27:09:071</t>
  </si>
  <si>
    <t>21:27:09:270</t>
  </si>
  <si>
    <t>21:27:09:472</t>
  </si>
  <si>
    <t>21:27:09:670</t>
  </si>
  <si>
    <t>21:27:09:871</t>
  </si>
  <si>
    <t>21:27:10:074</t>
  </si>
  <si>
    <t>21:27:10:271</t>
  </si>
  <si>
    <t>21:27:10:473</t>
  </si>
  <si>
    <t>21:27:10:670</t>
  </si>
  <si>
    <t>21:27:10:869</t>
  </si>
  <si>
    <t>21:27:11:074</t>
  </si>
  <si>
    <t>21:27:11:277</t>
  </si>
  <si>
    <t>21:27:11:469</t>
  </si>
  <si>
    <t>21:27:11:671</t>
  </si>
  <si>
    <t>21:27:11:886</t>
  </si>
  <si>
    <t>21:27:12:067</t>
  </si>
  <si>
    <t>21:27:12:270</t>
  </si>
  <si>
    <t>21:27:12:472</t>
  </si>
  <si>
    <t>21:27:12:673</t>
  </si>
  <si>
    <t>21:27:12:877</t>
  </si>
  <si>
    <t>21:27:13:078</t>
  </si>
  <si>
    <t>21:27:13:271</t>
  </si>
  <si>
    <t>21:27:13:467</t>
  </si>
  <si>
    <t>21:27:13:686</t>
  </si>
  <si>
    <t>21:27:13:877</t>
  </si>
  <si>
    <t>21:27:14:068</t>
  </si>
  <si>
    <t>21:27:14:271</t>
  </si>
  <si>
    <t>21:27:14:515</t>
  </si>
  <si>
    <t>21:27:14:672</t>
  </si>
  <si>
    <t>21:27:14:867</t>
  </si>
  <si>
    <t>21:27:15:096</t>
  </si>
  <si>
    <t>21:27:15:273</t>
  </si>
  <si>
    <t>21:27:15:473</t>
  </si>
  <si>
    <t>21:27:15:669</t>
  </si>
  <si>
    <t>21:27:15:870</t>
  </si>
  <si>
    <t>21:27:16:086</t>
  </si>
  <si>
    <t>21:27:16:273</t>
  </si>
  <si>
    <t>21:27:16:474</t>
  </si>
  <si>
    <t>21:27:16:670</t>
  </si>
  <si>
    <t>21:27:16:872</t>
  </si>
  <si>
    <t>21:27:17:075</t>
  </si>
  <si>
    <t>21:27:17:281</t>
  </si>
  <si>
    <t>21:27:17:480</t>
  </si>
  <si>
    <t>21:27:17:688</t>
  </si>
  <si>
    <t>21:27:17:897</t>
  </si>
  <si>
    <t>21:27:18:069</t>
  </si>
  <si>
    <t>21:27:18:273</t>
  </si>
  <si>
    <t>21:27:18:473</t>
  </si>
  <si>
    <t>21:27:18:676</t>
  </si>
  <si>
    <t>21:27:18:871</t>
  </si>
  <si>
    <t>21:27:19:086</t>
  </si>
  <si>
    <t>21:27:19:275</t>
  </si>
  <si>
    <t>21:27:19:469</t>
  </si>
  <si>
    <t>21:27:19:669</t>
  </si>
  <si>
    <t>21:27:19:868</t>
  </si>
  <si>
    <t>21:27:20:072</t>
  </si>
  <si>
    <t>21:27:20:288</t>
  </si>
  <si>
    <t>21:27:20:473</t>
  </si>
  <si>
    <t>21:27:20:669</t>
  </si>
  <si>
    <t>21:27:20:886</t>
  </si>
  <si>
    <t>21:27:21:099</t>
  </si>
  <si>
    <t>21:27:21:276</t>
  </si>
  <si>
    <t>21:27:21:475</t>
  </si>
  <si>
    <t>21:27:21:683</t>
  </si>
  <si>
    <t>21:27:21:873</t>
  </si>
  <si>
    <t>21:27:22:075</t>
  </si>
  <si>
    <t>21:27:22:277</t>
  </si>
  <si>
    <t>21:27:22:473</t>
  </si>
  <si>
    <t>21:27:22:688</t>
  </si>
  <si>
    <t>21:27:22:871</t>
  </si>
  <si>
    <t>21:27:23:074</t>
  </si>
  <si>
    <t>21:27:23:269</t>
  </si>
  <si>
    <t>21:27:23:469</t>
  </si>
  <si>
    <t>21:27:23:674</t>
  </si>
  <si>
    <t>21:27:23:886</t>
  </si>
  <si>
    <t>21:27:24:069</t>
  </si>
  <si>
    <t>21:27:24:273</t>
  </si>
  <si>
    <t>21:27:24:482</t>
  </si>
  <si>
    <t>21:27:24:669</t>
  </si>
  <si>
    <t>21:27:24:870</t>
  </si>
  <si>
    <t>21:27:25:087</t>
  </si>
  <si>
    <t>21:27:25:289</t>
  </si>
  <si>
    <t>21:27:25:473</t>
  </si>
  <si>
    <t>21:27:25:686</t>
  </si>
  <si>
    <t>21:27:25:883</t>
  </si>
  <si>
    <t>21:27:26:072</t>
  </si>
  <si>
    <t>21:27:26:292</t>
  </si>
  <si>
    <t>21:27:26:473</t>
  </si>
  <si>
    <t>21:27:26:670</t>
  </si>
  <si>
    <t>21:27:26:887</t>
  </si>
  <si>
    <t>21:27:27:071</t>
  </si>
  <si>
    <t>21:27:27:274</t>
  </si>
  <si>
    <t>21:27:27:471</t>
  </si>
  <si>
    <t>21:27:27:672</t>
  </si>
  <si>
    <t>21:27:27:872</t>
  </si>
  <si>
    <t>21:27:28:086</t>
  </si>
  <si>
    <t>21:27:28:272</t>
  </si>
  <si>
    <t>21:27:28:469</t>
  </si>
  <si>
    <t>21:27:28:669</t>
  </si>
  <si>
    <t>21:27:28:872</t>
  </si>
  <si>
    <t>21:27:29:074</t>
  </si>
  <si>
    <t>21:27:29:269</t>
  </si>
  <si>
    <t>21:27:29:473</t>
  </si>
  <si>
    <t>21:27:29:674</t>
  </si>
  <si>
    <t>21:27:29:877</t>
  </si>
  <si>
    <t>21:27:30:078</t>
  </si>
  <si>
    <t>21:27:30:285</t>
  </si>
  <si>
    <t>21:27:30:472</t>
  </si>
  <si>
    <t>21:27:30:670</t>
  </si>
  <si>
    <t>21:27:30:874</t>
  </si>
  <si>
    <t>21:27:31:087</t>
  </si>
  <si>
    <t>21:27:31:274</t>
  </si>
  <si>
    <t>21:27:31:472</t>
  </si>
  <si>
    <t>21:27:31:678</t>
  </si>
  <si>
    <t>21:27:31:875</t>
  </si>
  <si>
    <t>21:27:32:073</t>
  </si>
  <si>
    <t>21:27:32:275</t>
  </si>
  <si>
    <t>21:27:32:473</t>
  </si>
  <si>
    <t>21:27:32:671</t>
  </si>
  <si>
    <t>21:27:32:888</t>
  </si>
  <si>
    <t>21:27:33:078</t>
  </si>
  <si>
    <t>21:27:33:270</t>
  </si>
  <si>
    <t>21:27:33:489</t>
  </si>
  <si>
    <t>21:27:33:673</t>
  </si>
  <si>
    <t>21:27:33:872</t>
  </si>
  <si>
    <t>21:27:34:084</t>
  </si>
  <si>
    <t>21:27:34:311</t>
  </si>
  <si>
    <t>21:27:34:485</t>
  </si>
  <si>
    <t>21:27:34:689</t>
  </si>
  <si>
    <t>21:27:34:874</t>
  </si>
  <si>
    <t>21:27:35:101</t>
  </si>
  <si>
    <t>21:27:35:274</t>
  </si>
  <si>
    <t>21:27:35:472</t>
  </si>
  <si>
    <t>21:27:35:675</t>
  </si>
  <si>
    <t>21:27:35:887</t>
  </si>
  <si>
    <t>21:27:36:071</t>
  </si>
  <si>
    <t>21:27:36:272</t>
  </si>
  <si>
    <t>21:27:36:487</t>
  </si>
  <si>
    <t>21:27:36:671</t>
  </si>
  <si>
    <t>21:27:36:875</t>
  </si>
  <si>
    <t>21:27:37:273</t>
  </si>
  <si>
    <t>21:27:37:318</t>
  </si>
  <si>
    <t>21:27:37:471</t>
  </si>
  <si>
    <t>21:27:37:677</t>
  </si>
  <si>
    <t>21:27:37:870</t>
  </si>
  <si>
    <t>21:27:38:074</t>
  </si>
  <si>
    <t>21:27:38:342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</si>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</sst>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327.20229999999998</c:v>
                </c:pt>
                <c:pt idx="1">
                  <c:v>327.404</c:v>
                </c:pt>
                <c:pt idx="2">
                  <c:v>327.60449999999997</c:v>
                </c:pt>
                <c:pt idx="3">
                  <c:v>327.80220000000003</c:v>
                </c:pt>
                <c:pt idx="4">
                  <c:v>328.00189999999998</c:v>
                </c:pt>
                <c:pt idx="5">
                  <c:v>328.20299999999997</c:v>
                </c:pt>
                <c:pt idx="6">
                  <c:v>328.40249999999997</c:v>
                </c:pt>
                <c:pt idx="7">
                  <c:v>328.60449999999997</c:v>
                </c:pt>
                <c:pt idx="8">
                  <c:v>328.80220000000003</c:v>
                </c:pt>
                <c:pt idx="9">
                  <c:v>329.00189999999998</c:v>
                </c:pt>
                <c:pt idx="10">
                  <c:v>329.2038</c:v>
                </c:pt>
                <c:pt idx="11">
                  <c:v>329.40219999999999</c:v>
                </c:pt>
                <c:pt idx="12">
                  <c:v>329.60289999999998</c:v>
                </c:pt>
                <c:pt idx="13">
                  <c:v>329.8023</c:v>
                </c:pt>
                <c:pt idx="14">
                  <c:v>330.00420000000003</c:v>
                </c:pt>
                <c:pt idx="15">
                  <c:v>330.20310000000001</c:v>
                </c:pt>
                <c:pt idx="16">
                  <c:v>330.40530000000001</c:v>
                </c:pt>
                <c:pt idx="17">
                  <c:v>330.6046</c:v>
                </c:pt>
                <c:pt idx="18">
                  <c:v>330.80410000000001</c:v>
                </c:pt>
                <c:pt idx="19">
                  <c:v>331.00900000000001</c:v>
                </c:pt>
                <c:pt idx="20">
                  <c:v>331.20190000000002</c:v>
                </c:pt>
                <c:pt idx="21">
                  <c:v>331.40530000000001</c:v>
                </c:pt>
                <c:pt idx="22">
                  <c:v>331.6071</c:v>
                </c:pt>
                <c:pt idx="23">
                  <c:v>331.80509999999998</c:v>
                </c:pt>
                <c:pt idx="24">
                  <c:v>332.01089999999999</c:v>
                </c:pt>
                <c:pt idx="25">
                  <c:v>332.60270000000003</c:v>
                </c:pt>
                <c:pt idx="26">
                  <c:v>332.80259999999998</c:v>
                </c:pt>
                <c:pt idx="27">
                  <c:v>333.00290000000001</c:v>
                </c:pt>
                <c:pt idx="28">
                  <c:v>333.20359999999999</c:v>
                </c:pt>
                <c:pt idx="29">
                  <c:v>333.40280000000001</c:v>
                </c:pt>
                <c:pt idx="30">
                  <c:v>333.60410000000002</c:v>
                </c:pt>
                <c:pt idx="31">
                  <c:v>333.80259999999998</c:v>
                </c:pt>
                <c:pt idx="32">
                  <c:v>334.00490000000002</c:v>
                </c:pt>
                <c:pt idx="33">
                  <c:v>334.20519999999999</c:v>
                </c:pt>
                <c:pt idx="34">
                  <c:v>334.40309999999999</c:v>
                </c:pt>
                <c:pt idx="35">
                  <c:v>334.60359999999997</c:v>
                </c:pt>
                <c:pt idx="36">
                  <c:v>334.8021</c:v>
                </c:pt>
                <c:pt idx="37">
                  <c:v>335.00409999999999</c:v>
                </c:pt>
                <c:pt idx="38">
                  <c:v>335.20479999999998</c:v>
                </c:pt>
                <c:pt idx="39">
                  <c:v>335.4024</c:v>
                </c:pt>
                <c:pt idx="40">
                  <c:v>335.60250000000002</c:v>
                </c:pt>
                <c:pt idx="41">
                  <c:v>335.80419999999998</c:v>
                </c:pt>
                <c:pt idx="42">
                  <c:v>336.00470000000001</c:v>
                </c:pt>
                <c:pt idx="43">
                  <c:v>336.20420000000001</c:v>
                </c:pt>
                <c:pt idx="44">
                  <c:v>336.40609999999998</c:v>
                </c:pt>
                <c:pt idx="45">
                  <c:v>336.60520000000002</c:v>
                </c:pt>
                <c:pt idx="46">
                  <c:v>336.80520000000001</c:v>
                </c:pt>
                <c:pt idx="47">
                  <c:v>337.00709999999998</c:v>
                </c:pt>
                <c:pt idx="48">
                  <c:v>337.20479999999998</c:v>
                </c:pt>
                <c:pt idx="49">
                  <c:v>337.40359999999998</c:v>
                </c:pt>
                <c:pt idx="50">
                  <c:v>337.60390000000001</c:v>
                </c:pt>
                <c:pt idx="51">
                  <c:v>337.80450000000002</c:v>
                </c:pt>
                <c:pt idx="52">
                  <c:v>338.00510000000003</c:v>
                </c:pt>
                <c:pt idx="53">
                  <c:v>338.20490000000001</c:v>
                </c:pt>
                <c:pt idx="54">
                  <c:v>338.40269999999998</c:v>
                </c:pt>
                <c:pt idx="55">
                  <c:v>338.6035</c:v>
                </c:pt>
                <c:pt idx="56">
                  <c:v>338.80239999999998</c:v>
                </c:pt>
                <c:pt idx="57">
                  <c:v>339.00450000000001</c:v>
                </c:pt>
                <c:pt idx="58">
                  <c:v>339.20310000000001</c:v>
                </c:pt>
                <c:pt idx="59">
                  <c:v>339.40370000000001</c:v>
                </c:pt>
                <c:pt idx="60">
                  <c:v>339.60239999999999</c:v>
                </c:pt>
                <c:pt idx="61">
                  <c:v>339.80329999999998</c:v>
                </c:pt>
                <c:pt idx="62">
                  <c:v>340.00450000000001</c:v>
                </c:pt>
                <c:pt idx="63">
                  <c:v>340.20310000000001</c:v>
                </c:pt>
                <c:pt idx="64">
                  <c:v>340.40320000000003</c:v>
                </c:pt>
                <c:pt idx="65">
                  <c:v>340.60399999999998</c:v>
                </c:pt>
                <c:pt idx="66">
                  <c:v>340.80410000000001</c:v>
                </c:pt>
                <c:pt idx="67">
                  <c:v>341.00299999999999</c:v>
                </c:pt>
                <c:pt idx="68">
                  <c:v>341.20310000000001</c:v>
                </c:pt>
                <c:pt idx="69">
                  <c:v>341.40379999999999</c:v>
                </c:pt>
                <c:pt idx="70">
                  <c:v>341.60410000000002</c:v>
                </c:pt>
                <c:pt idx="71">
                  <c:v>341.80360000000002</c:v>
                </c:pt>
                <c:pt idx="72">
                  <c:v>342.005</c:v>
                </c:pt>
                <c:pt idx="73">
                  <c:v>342.2047</c:v>
                </c:pt>
                <c:pt idx="74">
                  <c:v>342.40539999999999</c:v>
                </c:pt>
                <c:pt idx="75">
                  <c:v>342.60329999999999</c:v>
                </c:pt>
                <c:pt idx="76">
                  <c:v>342.80489999999998</c:v>
                </c:pt>
                <c:pt idx="77">
                  <c:v>343.00369999999998</c:v>
                </c:pt>
                <c:pt idx="78">
                  <c:v>343.20530000000002</c:v>
                </c:pt>
                <c:pt idx="79">
                  <c:v>343.40539999999999</c:v>
                </c:pt>
                <c:pt idx="80">
                  <c:v>343.60329999999999</c:v>
                </c:pt>
                <c:pt idx="81">
                  <c:v>343.80520000000001</c:v>
                </c:pt>
                <c:pt idx="82">
                  <c:v>344.00330000000002</c:v>
                </c:pt>
                <c:pt idx="83">
                  <c:v>344.2047</c:v>
                </c:pt>
                <c:pt idx="84">
                  <c:v>344.404</c:v>
                </c:pt>
                <c:pt idx="85">
                  <c:v>344.60520000000002</c:v>
                </c:pt>
                <c:pt idx="86">
                  <c:v>344.80799999999999</c:v>
                </c:pt>
                <c:pt idx="87">
                  <c:v>345.00510000000003</c:v>
                </c:pt>
                <c:pt idx="88">
                  <c:v>345.20589999999999</c:v>
                </c:pt>
                <c:pt idx="89">
                  <c:v>345.40269999999998</c:v>
                </c:pt>
                <c:pt idx="90">
                  <c:v>345.60500000000002</c:v>
                </c:pt>
                <c:pt idx="91">
                  <c:v>345.80430000000001</c:v>
                </c:pt>
                <c:pt idx="92">
                  <c:v>346.00490000000002</c:v>
                </c:pt>
                <c:pt idx="93">
                  <c:v>346.2047</c:v>
                </c:pt>
                <c:pt idx="94">
                  <c:v>346.40390000000002</c:v>
                </c:pt>
                <c:pt idx="95">
                  <c:v>346.6046</c:v>
                </c:pt>
                <c:pt idx="96">
                  <c:v>346.8032</c:v>
                </c:pt>
                <c:pt idx="97">
                  <c:v>347.00450000000001</c:v>
                </c:pt>
                <c:pt idx="98">
                  <c:v>347.20420000000001</c:v>
                </c:pt>
                <c:pt idx="99">
                  <c:v>347.40550000000002</c:v>
                </c:pt>
                <c:pt idx="100">
                  <c:v>347.60570000000001</c:v>
                </c:pt>
                <c:pt idx="101">
                  <c:v>347.80360000000002</c:v>
                </c:pt>
                <c:pt idx="102">
                  <c:v>348.00409999999999</c:v>
                </c:pt>
                <c:pt idx="103">
                  <c:v>348.2054</c:v>
                </c:pt>
                <c:pt idx="104">
                  <c:v>348.4049</c:v>
                </c:pt>
                <c:pt idx="105">
                  <c:v>348.61340000000001</c:v>
                </c:pt>
                <c:pt idx="106">
                  <c:v>348.80410000000001</c:v>
                </c:pt>
                <c:pt idx="107">
                  <c:v>349.00490000000002</c:v>
                </c:pt>
                <c:pt idx="108">
                  <c:v>349.2047</c:v>
                </c:pt>
                <c:pt idx="109">
                  <c:v>349.40620000000001</c:v>
                </c:pt>
                <c:pt idx="110">
                  <c:v>349.60730000000001</c:v>
                </c:pt>
                <c:pt idx="111">
                  <c:v>349.80540000000002</c:v>
                </c:pt>
                <c:pt idx="112">
                  <c:v>350.00569999999999</c:v>
                </c:pt>
                <c:pt idx="113">
                  <c:v>350.2056</c:v>
                </c:pt>
                <c:pt idx="114">
                  <c:v>350.40530000000001</c:v>
                </c:pt>
                <c:pt idx="115">
                  <c:v>350.6053</c:v>
                </c:pt>
                <c:pt idx="116">
                  <c:v>350.80430000000001</c:v>
                </c:pt>
                <c:pt idx="117">
                  <c:v>351.00569999999999</c:v>
                </c:pt>
                <c:pt idx="118">
                  <c:v>351.20339999999999</c:v>
                </c:pt>
                <c:pt idx="119">
                  <c:v>351.40390000000002</c:v>
                </c:pt>
                <c:pt idx="120">
                  <c:v>351.60340000000002</c:v>
                </c:pt>
                <c:pt idx="121">
                  <c:v>351.80540000000002</c:v>
                </c:pt>
                <c:pt idx="122">
                  <c:v>352.00619999999998</c:v>
                </c:pt>
                <c:pt idx="123">
                  <c:v>352.20589999999999</c:v>
                </c:pt>
                <c:pt idx="124">
                  <c:v>352.40539999999999</c:v>
                </c:pt>
                <c:pt idx="125">
                  <c:v>352.60469999999998</c:v>
                </c:pt>
                <c:pt idx="126">
                  <c:v>352.80360000000002</c:v>
                </c:pt>
                <c:pt idx="127">
                  <c:v>353.00549999999998</c:v>
                </c:pt>
                <c:pt idx="128">
                  <c:v>353.20350000000002</c:v>
                </c:pt>
                <c:pt idx="129">
                  <c:v>353.4042</c:v>
                </c:pt>
                <c:pt idx="130">
                  <c:v>353.60449999999997</c:v>
                </c:pt>
                <c:pt idx="131">
                  <c:v>353.80459999999999</c:v>
                </c:pt>
                <c:pt idx="132">
                  <c:v>354.00409999999999</c:v>
                </c:pt>
                <c:pt idx="133">
                  <c:v>354.20530000000002</c:v>
                </c:pt>
                <c:pt idx="134">
                  <c:v>354.40539999999999</c:v>
                </c:pt>
                <c:pt idx="135">
                  <c:v>354.6037</c:v>
                </c:pt>
                <c:pt idx="136">
                  <c:v>354.80590000000001</c:v>
                </c:pt>
                <c:pt idx="137">
                  <c:v>355.00439999999998</c:v>
                </c:pt>
                <c:pt idx="138">
                  <c:v>355.2054</c:v>
                </c:pt>
                <c:pt idx="139">
                  <c:v>355.40499999999997</c:v>
                </c:pt>
                <c:pt idx="140">
                  <c:v>355.6035</c:v>
                </c:pt>
                <c:pt idx="141">
                  <c:v>355.80340000000001</c:v>
                </c:pt>
                <c:pt idx="142">
                  <c:v>356.00470000000001</c:v>
                </c:pt>
                <c:pt idx="143">
                  <c:v>356.20530000000002</c:v>
                </c:pt>
                <c:pt idx="144">
                  <c:v>356.4058</c:v>
                </c:pt>
                <c:pt idx="145">
                  <c:v>356.60340000000002</c:v>
                </c:pt>
                <c:pt idx="146">
                  <c:v>356.80459999999999</c:v>
                </c:pt>
                <c:pt idx="147">
                  <c:v>357.0043</c:v>
                </c:pt>
                <c:pt idx="148">
                  <c:v>357.20620000000002</c:v>
                </c:pt>
                <c:pt idx="149">
                  <c:v>357.40460000000002</c:v>
                </c:pt>
                <c:pt idx="150">
                  <c:v>357.60500000000002</c:v>
                </c:pt>
                <c:pt idx="151">
                  <c:v>357.80410000000001</c:v>
                </c:pt>
                <c:pt idx="152">
                  <c:v>358.0061</c:v>
                </c:pt>
                <c:pt idx="153">
                  <c:v>358.20409999999998</c:v>
                </c:pt>
                <c:pt idx="154">
                  <c:v>358.40410000000003</c:v>
                </c:pt>
                <c:pt idx="155">
                  <c:v>358.60629999999998</c:v>
                </c:pt>
                <c:pt idx="156">
                  <c:v>358.80549999999999</c:v>
                </c:pt>
                <c:pt idx="157">
                  <c:v>359.00639999999999</c:v>
                </c:pt>
                <c:pt idx="158">
                  <c:v>359.20710000000003</c:v>
                </c:pt>
                <c:pt idx="159">
                  <c:v>359.40629999999999</c:v>
                </c:pt>
                <c:pt idx="160">
                  <c:v>359.6053</c:v>
                </c:pt>
                <c:pt idx="161">
                  <c:v>359.80419999999998</c:v>
                </c:pt>
                <c:pt idx="162">
                  <c:v>360.00569999999999</c:v>
                </c:pt>
                <c:pt idx="163">
                  <c:v>360.20639999999997</c:v>
                </c:pt>
                <c:pt idx="164">
                  <c:v>360.40359999999998</c:v>
                </c:pt>
                <c:pt idx="165">
                  <c:v>360.60640000000001</c:v>
                </c:pt>
                <c:pt idx="166">
                  <c:v>360.80410000000001</c:v>
                </c:pt>
                <c:pt idx="167">
                  <c:v>361.0043</c:v>
                </c:pt>
                <c:pt idx="168">
                  <c:v>361.2047</c:v>
                </c:pt>
                <c:pt idx="169">
                  <c:v>361.40570000000002</c:v>
                </c:pt>
                <c:pt idx="170">
                  <c:v>361.60509999999999</c:v>
                </c:pt>
                <c:pt idx="171">
                  <c:v>361.80489999999998</c:v>
                </c:pt>
                <c:pt idx="172">
                  <c:v>362.0077</c:v>
                </c:pt>
                <c:pt idx="173">
                  <c:v>362.20389999999998</c:v>
                </c:pt>
                <c:pt idx="174">
                  <c:v>362.40460000000002</c:v>
                </c:pt>
                <c:pt idx="175">
                  <c:v>362.60610000000003</c:v>
                </c:pt>
                <c:pt idx="176">
                  <c:v>362.8057</c:v>
                </c:pt>
                <c:pt idx="177">
                  <c:v>363.00630000000001</c:v>
                </c:pt>
                <c:pt idx="178">
                  <c:v>363.20679999999999</c:v>
                </c:pt>
                <c:pt idx="179">
                  <c:v>363.40410000000003</c:v>
                </c:pt>
                <c:pt idx="180">
                  <c:v>363.60910000000001</c:v>
                </c:pt>
                <c:pt idx="181">
                  <c:v>363.80579999999998</c:v>
                </c:pt>
                <c:pt idx="182">
                  <c:v>364.0068</c:v>
                </c:pt>
                <c:pt idx="183">
                  <c:v>364.20530000000002</c:v>
                </c:pt>
                <c:pt idx="184">
                  <c:v>364.40629999999999</c:v>
                </c:pt>
                <c:pt idx="185">
                  <c:v>364.60599999999999</c:v>
                </c:pt>
                <c:pt idx="186">
                  <c:v>364.80500000000001</c:v>
                </c:pt>
                <c:pt idx="187">
                  <c:v>365.00619999999998</c:v>
                </c:pt>
                <c:pt idx="188">
                  <c:v>365.20600000000002</c:v>
                </c:pt>
                <c:pt idx="189">
                  <c:v>365.40609999999998</c:v>
                </c:pt>
                <c:pt idx="190">
                  <c:v>365.60559999999998</c:v>
                </c:pt>
                <c:pt idx="191">
                  <c:v>365.80669999999998</c:v>
                </c:pt>
                <c:pt idx="192">
                  <c:v>366.00549999999998</c:v>
                </c:pt>
                <c:pt idx="193">
                  <c:v>366.20409999999998</c:v>
                </c:pt>
                <c:pt idx="194">
                  <c:v>366.40429999999998</c:v>
                </c:pt>
                <c:pt idx="195">
                  <c:v>366.60590000000002</c:v>
                </c:pt>
                <c:pt idx="196">
                  <c:v>366.80579999999998</c:v>
                </c:pt>
                <c:pt idx="197">
                  <c:v>367.0052</c:v>
                </c:pt>
                <c:pt idx="198">
                  <c:v>367.20490000000001</c:v>
                </c:pt>
                <c:pt idx="199">
                  <c:v>367.40429999999998</c:v>
                </c:pt>
                <c:pt idx="200">
                  <c:v>367.60570000000001</c:v>
                </c:pt>
                <c:pt idx="201">
                  <c:v>367.80529999999999</c:v>
                </c:pt>
                <c:pt idx="202">
                  <c:v>368.00549999999998</c:v>
                </c:pt>
                <c:pt idx="203">
                  <c:v>368.20639999999997</c:v>
                </c:pt>
                <c:pt idx="204">
                  <c:v>368.4051</c:v>
                </c:pt>
                <c:pt idx="205">
                  <c:v>368.6053</c:v>
                </c:pt>
                <c:pt idx="206">
                  <c:v>368.80470000000003</c:v>
                </c:pt>
                <c:pt idx="207">
                  <c:v>369.00450000000001</c:v>
                </c:pt>
                <c:pt idx="208">
                  <c:v>369.20499999999998</c:v>
                </c:pt>
                <c:pt idx="209">
                  <c:v>369.40940000000001</c:v>
                </c:pt>
                <c:pt idx="210">
                  <c:v>369.60680000000002</c:v>
                </c:pt>
                <c:pt idx="211">
                  <c:v>369.80680000000001</c:v>
                </c:pt>
                <c:pt idx="212">
                  <c:v>370.00479999999999</c:v>
                </c:pt>
                <c:pt idx="213">
                  <c:v>370.20569999999998</c:v>
                </c:pt>
                <c:pt idx="214">
                  <c:v>370.40589999999997</c:v>
                </c:pt>
                <c:pt idx="215">
                  <c:v>370.60649999999998</c:v>
                </c:pt>
                <c:pt idx="216">
                  <c:v>370.80459999999999</c:v>
                </c:pt>
                <c:pt idx="217">
                  <c:v>371.00639999999999</c:v>
                </c:pt>
                <c:pt idx="218">
                  <c:v>371.20569999999998</c:v>
                </c:pt>
                <c:pt idx="219">
                  <c:v>371.40629999999999</c:v>
                </c:pt>
                <c:pt idx="220">
                  <c:v>371.60550000000001</c:v>
                </c:pt>
                <c:pt idx="221">
                  <c:v>371.80700000000002</c:v>
                </c:pt>
                <c:pt idx="222">
                  <c:v>372.00549999999998</c:v>
                </c:pt>
                <c:pt idx="223">
                  <c:v>372.20710000000003</c:v>
                </c:pt>
                <c:pt idx="224">
                  <c:v>372.40429999999998</c:v>
                </c:pt>
                <c:pt idx="225">
                  <c:v>372.60719999999998</c:v>
                </c:pt>
                <c:pt idx="226">
                  <c:v>372.80549999999999</c:v>
                </c:pt>
                <c:pt idx="227">
                  <c:v>373.00580000000002</c:v>
                </c:pt>
                <c:pt idx="228">
                  <c:v>373.2054</c:v>
                </c:pt>
                <c:pt idx="229">
                  <c:v>373.40820000000002</c:v>
                </c:pt>
                <c:pt idx="230">
                  <c:v>373.60579999999999</c:v>
                </c:pt>
                <c:pt idx="231">
                  <c:v>373.80549999999999</c:v>
                </c:pt>
                <c:pt idx="232">
                  <c:v>374.00529999999998</c:v>
                </c:pt>
                <c:pt idx="233">
                  <c:v>374.2047</c:v>
                </c:pt>
                <c:pt idx="234">
                  <c:v>374.40679999999998</c:v>
                </c:pt>
                <c:pt idx="235">
                  <c:v>374.60629999999998</c:v>
                </c:pt>
                <c:pt idx="236">
                  <c:v>374.8075</c:v>
                </c:pt>
                <c:pt idx="237">
                  <c:v>375.00880000000001</c:v>
                </c:pt>
                <c:pt idx="238">
                  <c:v>375.20600000000002</c:v>
                </c:pt>
                <c:pt idx="239">
                  <c:v>375.40640000000002</c:v>
                </c:pt>
                <c:pt idx="240">
                  <c:v>375.60669999999999</c:v>
                </c:pt>
                <c:pt idx="241">
                  <c:v>375.8066</c:v>
                </c:pt>
                <c:pt idx="242">
                  <c:v>376.00479999999999</c:v>
                </c:pt>
                <c:pt idx="243">
                  <c:v>376.2047</c:v>
                </c:pt>
                <c:pt idx="244">
                  <c:v>376.40699999999998</c:v>
                </c:pt>
                <c:pt idx="245">
                  <c:v>376.60559999999998</c:v>
                </c:pt>
                <c:pt idx="246">
                  <c:v>376.80700000000002</c:v>
                </c:pt>
                <c:pt idx="247">
                  <c:v>377.0059</c:v>
                </c:pt>
                <c:pt idx="248">
                  <c:v>377.20780000000002</c:v>
                </c:pt>
                <c:pt idx="249">
                  <c:v>377.40559999999999</c:v>
                </c:pt>
                <c:pt idx="250">
                  <c:v>377.60539999999997</c:v>
                </c:pt>
                <c:pt idx="251">
                  <c:v>377.8066</c:v>
                </c:pt>
                <c:pt idx="252">
                  <c:v>378.00729999999999</c:v>
                </c:pt>
                <c:pt idx="253">
                  <c:v>378.20569999999998</c:v>
                </c:pt>
                <c:pt idx="254">
                  <c:v>378.40519999999998</c:v>
                </c:pt>
                <c:pt idx="255">
                  <c:v>378.60660000000001</c:v>
                </c:pt>
                <c:pt idx="256">
                  <c:v>378.80610000000001</c:v>
                </c:pt>
                <c:pt idx="257">
                  <c:v>379.0052</c:v>
                </c:pt>
                <c:pt idx="258">
                  <c:v>379.20749999999998</c:v>
                </c:pt>
                <c:pt idx="259">
                  <c:v>379.40570000000002</c:v>
                </c:pt>
                <c:pt idx="260">
                  <c:v>379.60550000000001</c:v>
                </c:pt>
                <c:pt idx="261">
                  <c:v>379.80599999999998</c:v>
                </c:pt>
                <c:pt idx="262">
                  <c:v>380.0068</c:v>
                </c:pt>
                <c:pt idx="263">
                  <c:v>380.20569999999998</c:v>
                </c:pt>
                <c:pt idx="264">
                  <c:v>380.40719999999999</c:v>
                </c:pt>
                <c:pt idx="265">
                  <c:v>380.6078</c:v>
                </c:pt>
                <c:pt idx="266">
                  <c:v>380.80529999999999</c:v>
                </c:pt>
                <c:pt idx="267">
                  <c:v>381.00560000000002</c:v>
                </c:pt>
                <c:pt idx="268">
                  <c:v>381.20670000000001</c:v>
                </c:pt>
                <c:pt idx="269">
                  <c:v>381.40539999999999</c:v>
                </c:pt>
                <c:pt idx="270">
                  <c:v>381.60770000000002</c:v>
                </c:pt>
                <c:pt idx="271">
                  <c:v>381.80529999999999</c:v>
                </c:pt>
                <c:pt idx="272">
                  <c:v>382.01240000000001</c:v>
                </c:pt>
                <c:pt idx="273">
                  <c:v>382.20760000000001</c:v>
                </c:pt>
                <c:pt idx="274">
                  <c:v>382.40499999999997</c:v>
                </c:pt>
                <c:pt idx="275">
                  <c:v>382.60539999999997</c:v>
                </c:pt>
                <c:pt idx="276">
                  <c:v>382.80650000000003</c:v>
                </c:pt>
                <c:pt idx="277">
                  <c:v>383.00630000000001</c:v>
                </c:pt>
                <c:pt idx="278">
                  <c:v>383.20519999999999</c:v>
                </c:pt>
                <c:pt idx="279">
                  <c:v>383.40609999999998</c:v>
                </c:pt>
                <c:pt idx="280">
                  <c:v>383.60700000000003</c:v>
                </c:pt>
                <c:pt idx="281">
                  <c:v>383.80650000000003</c:v>
                </c:pt>
                <c:pt idx="282">
                  <c:v>384.00819999999999</c:v>
                </c:pt>
                <c:pt idx="283">
                  <c:v>384.20749999999998</c:v>
                </c:pt>
                <c:pt idx="284">
                  <c:v>384.40589999999997</c:v>
                </c:pt>
                <c:pt idx="285">
                  <c:v>384.6071</c:v>
                </c:pt>
                <c:pt idx="286">
                  <c:v>384.8075</c:v>
                </c:pt>
                <c:pt idx="287">
                  <c:v>385.00619999999998</c:v>
                </c:pt>
                <c:pt idx="288">
                  <c:v>385.2072</c:v>
                </c:pt>
                <c:pt idx="289">
                  <c:v>385.4074</c:v>
                </c:pt>
                <c:pt idx="290">
                  <c:v>385.60730000000001</c:v>
                </c:pt>
                <c:pt idx="291">
                  <c:v>385.80579999999998</c:v>
                </c:pt>
                <c:pt idx="292">
                  <c:v>386.0059</c:v>
                </c:pt>
                <c:pt idx="293">
                  <c:v>386.2063</c:v>
                </c:pt>
                <c:pt idx="294">
                  <c:v>386.40629999999999</c:v>
                </c:pt>
                <c:pt idx="295">
                  <c:v>386.60610000000003</c:v>
                </c:pt>
                <c:pt idx="296">
                  <c:v>386.80630000000002</c:v>
                </c:pt>
                <c:pt idx="297">
                  <c:v>387.00729999999999</c:v>
                </c:pt>
                <c:pt idx="298">
                  <c:v>387.2063</c:v>
                </c:pt>
                <c:pt idx="299">
                  <c:v>387.40699999999998</c:v>
                </c:pt>
                <c:pt idx="300">
                  <c:v>387.60599999999999</c:v>
                </c:pt>
                <c:pt idx="301">
                  <c:v>387.8073</c:v>
                </c:pt>
                <c:pt idx="302">
                  <c:v>388.00709999999998</c:v>
                </c:pt>
                <c:pt idx="303">
                  <c:v>388.20760000000001</c:v>
                </c:pt>
                <c:pt idx="304">
                  <c:v>388.40589999999997</c:v>
                </c:pt>
                <c:pt idx="305">
                  <c:v>388.60669999999999</c:v>
                </c:pt>
                <c:pt idx="306">
                  <c:v>388.80849999999998</c:v>
                </c:pt>
                <c:pt idx="307">
                  <c:v>389.00540000000001</c:v>
                </c:pt>
                <c:pt idx="308">
                  <c:v>389.20589999999999</c:v>
                </c:pt>
                <c:pt idx="309">
                  <c:v>389.4076</c:v>
                </c:pt>
                <c:pt idx="310">
                  <c:v>389.6062</c:v>
                </c:pt>
                <c:pt idx="311">
                  <c:v>389.8066</c:v>
                </c:pt>
                <c:pt idx="312">
                  <c:v>390.0059</c:v>
                </c:pt>
                <c:pt idx="313">
                  <c:v>390.20760000000001</c:v>
                </c:pt>
                <c:pt idx="314">
                  <c:v>390.40879999999999</c:v>
                </c:pt>
                <c:pt idx="315">
                  <c:v>390.60660000000001</c:v>
                </c:pt>
                <c:pt idx="316">
                  <c:v>390.80619999999999</c:v>
                </c:pt>
                <c:pt idx="317">
                  <c:v>391.00749999999999</c:v>
                </c:pt>
                <c:pt idx="318">
                  <c:v>391.2081</c:v>
                </c:pt>
                <c:pt idx="319">
                  <c:v>391.40600000000001</c:v>
                </c:pt>
                <c:pt idx="320">
                  <c:v>391.60739999999998</c:v>
                </c:pt>
                <c:pt idx="321">
                  <c:v>391.80590000000001</c:v>
                </c:pt>
                <c:pt idx="322">
                  <c:v>392.00810000000001</c:v>
                </c:pt>
                <c:pt idx="323">
                  <c:v>392.2079</c:v>
                </c:pt>
                <c:pt idx="324">
                  <c:v>392.40649999999999</c:v>
                </c:pt>
                <c:pt idx="325">
                  <c:v>392.60579999999999</c:v>
                </c:pt>
                <c:pt idx="326">
                  <c:v>392.80560000000003</c:v>
                </c:pt>
                <c:pt idx="327">
                  <c:v>393.00740000000002</c:v>
                </c:pt>
                <c:pt idx="328">
                  <c:v>393.20609999999999</c:v>
                </c:pt>
                <c:pt idx="329">
                  <c:v>393.40699999999998</c:v>
                </c:pt>
                <c:pt idx="330">
                  <c:v>393.60910000000001</c:v>
                </c:pt>
                <c:pt idx="331">
                  <c:v>393.80560000000003</c:v>
                </c:pt>
                <c:pt idx="332">
                  <c:v>394.00599999999997</c:v>
                </c:pt>
                <c:pt idx="333">
                  <c:v>394.2072</c:v>
                </c:pt>
                <c:pt idx="334">
                  <c:v>394.40789999999998</c:v>
                </c:pt>
                <c:pt idx="335">
                  <c:v>394.6096</c:v>
                </c:pt>
                <c:pt idx="336">
                  <c:v>394.80759999999998</c:v>
                </c:pt>
                <c:pt idx="337">
                  <c:v>395.00740000000002</c:v>
                </c:pt>
                <c:pt idx="338">
                  <c:v>395.20830000000001</c:v>
                </c:pt>
                <c:pt idx="339">
                  <c:v>395.40780000000001</c:v>
                </c:pt>
                <c:pt idx="340">
                  <c:v>395.60669999999999</c:v>
                </c:pt>
                <c:pt idx="341">
                  <c:v>395.80810000000002</c:v>
                </c:pt>
                <c:pt idx="342">
                  <c:v>396.00580000000002</c:v>
                </c:pt>
                <c:pt idx="343">
                  <c:v>396.2106</c:v>
                </c:pt>
                <c:pt idx="344">
                  <c:v>396.40719999999999</c:v>
                </c:pt>
                <c:pt idx="345">
                  <c:v>396.60669999999999</c:v>
                </c:pt>
                <c:pt idx="346">
                  <c:v>396.80860000000001</c:v>
                </c:pt>
                <c:pt idx="347">
                  <c:v>397.00979999999998</c:v>
                </c:pt>
                <c:pt idx="348">
                  <c:v>397.20620000000002</c:v>
                </c:pt>
                <c:pt idx="349">
                  <c:v>397.40949999999998</c:v>
                </c:pt>
                <c:pt idx="350">
                  <c:v>397.6096</c:v>
                </c:pt>
                <c:pt idx="351">
                  <c:v>397.80610000000001</c:v>
                </c:pt>
                <c:pt idx="352">
                  <c:v>398.0061</c:v>
                </c:pt>
                <c:pt idx="353">
                  <c:v>398.2072</c:v>
                </c:pt>
                <c:pt idx="354">
                  <c:v>398.40809999999999</c:v>
                </c:pt>
                <c:pt idx="355">
                  <c:v>398.6069</c:v>
                </c:pt>
                <c:pt idx="356">
                  <c:v>398.8075</c:v>
                </c:pt>
                <c:pt idx="357">
                  <c:v>399.00619999999998</c:v>
                </c:pt>
                <c:pt idx="358">
                  <c:v>399.20740000000001</c:v>
                </c:pt>
                <c:pt idx="359">
                  <c:v>399.40649999999999</c:v>
                </c:pt>
                <c:pt idx="360">
                  <c:v>399.6069</c:v>
                </c:pt>
                <c:pt idx="361">
                  <c:v>399.80650000000003</c:v>
                </c:pt>
                <c:pt idx="362">
                  <c:v>400.00850000000003</c:v>
                </c:pt>
                <c:pt idx="363">
                  <c:v>400.20690000000002</c:v>
                </c:pt>
                <c:pt idx="364">
                  <c:v>400.40750000000003</c:v>
                </c:pt>
                <c:pt idx="365">
                  <c:v>400.60610000000003</c:v>
                </c:pt>
                <c:pt idx="366">
                  <c:v>400.80709999999999</c:v>
                </c:pt>
                <c:pt idx="367">
                  <c:v>401.00740000000002</c:v>
                </c:pt>
                <c:pt idx="368">
                  <c:v>401.20650000000001</c:v>
                </c:pt>
                <c:pt idx="369">
                  <c:v>401.40910000000002</c:v>
                </c:pt>
                <c:pt idx="370">
                  <c:v>401.60649999999998</c:v>
                </c:pt>
                <c:pt idx="371">
                  <c:v>401.80889999999999</c:v>
                </c:pt>
                <c:pt idx="372">
                  <c:v>402.00920000000002</c:v>
                </c:pt>
                <c:pt idx="373">
                  <c:v>402.20780000000002</c:v>
                </c:pt>
                <c:pt idx="374">
                  <c:v>402.40879999999999</c:v>
                </c:pt>
                <c:pt idx="375">
                  <c:v>402.60680000000002</c:v>
                </c:pt>
                <c:pt idx="376">
                  <c:v>402.80840000000001</c:v>
                </c:pt>
                <c:pt idx="377">
                  <c:v>403.0086</c:v>
                </c:pt>
                <c:pt idx="378">
                  <c:v>403.20839999999998</c:v>
                </c:pt>
                <c:pt idx="379">
                  <c:v>403.4101</c:v>
                </c:pt>
                <c:pt idx="380">
                  <c:v>403.60649999999998</c:v>
                </c:pt>
                <c:pt idx="381">
                  <c:v>403.80880000000002</c:v>
                </c:pt>
                <c:pt idx="382">
                  <c:v>404.00709999999998</c:v>
                </c:pt>
                <c:pt idx="383">
                  <c:v>404.2088</c:v>
                </c:pt>
                <c:pt idx="384">
                  <c:v>404.40870000000001</c:v>
                </c:pt>
                <c:pt idx="385">
                  <c:v>404.60730000000001</c:v>
                </c:pt>
                <c:pt idx="386">
                  <c:v>404.8066</c:v>
                </c:pt>
                <c:pt idx="387">
                  <c:v>405.00709999999998</c:v>
                </c:pt>
                <c:pt idx="388">
                  <c:v>405.2079</c:v>
                </c:pt>
                <c:pt idx="389">
                  <c:v>405.40839999999997</c:v>
                </c:pt>
                <c:pt idx="390">
                  <c:v>405.608</c:v>
                </c:pt>
                <c:pt idx="391">
                  <c:v>405.80720000000002</c:v>
                </c:pt>
                <c:pt idx="392">
                  <c:v>406.00850000000003</c:v>
                </c:pt>
                <c:pt idx="393">
                  <c:v>406.20870000000002</c:v>
                </c:pt>
                <c:pt idx="394">
                  <c:v>406.40750000000003</c:v>
                </c:pt>
                <c:pt idx="395">
                  <c:v>406.60879999999997</c:v>
                </c:pt>
                <c:pt idx="396">
                  <c:v>406.80680000000001</c:v>
                </c:pt>
                <c:pt idx="397">
                  <c:v>407.0068</c:v>
                </c:pt>
                <c:pt idx="398">
                  <c:v>407.20769999999999</c:v>
                </c:pt>
                <c:pt idx="399">
                  <c:v>407.40699999999998</c:v>
                </c:pt>
                <c:pt idx="400">
                  <c:v>407.60789999999997</c:v>
                </c:pt>
                <c:pt idx="401">
                  <c:v>407.80689999999998</c:v>
                </c:pt>
                <c:pt idx="402">
                  <c:v>408.0068</c:v>
                </c:pt>
                <c:pt idx="403">
                  <c:v>408.2072</c:v>
                </c:pt>
                <c:pt idx="404">
                  <c:v>408.40690000000001</c:v>
                </c:pt>
                <c:pt idx="405">
                  <c:v>408.60849999999999</c:v>
                </c:pt>
                <c:pt idx="406">
                  <c:v>408.80889999999999</c:v>
                </c:pt>
                <c:pt idx="407">
                  <c:v>409.00740000000002</c:v>
                </c:pt>
                <c:pt idx="408">
                  <c:v>409.20690000000002</c:v>
                </c:pt>
                <c:pt idx="409">
                  <c:v>409.40800000000002</c:v>
                </c:pt>
                <c:pt idx="410">
                  <c:v>409.60899999999998</c:v>
                </c:pt>
                <c:pt idx="411">
                  <c:v>409.80889999999999</c:v>
                </c:pt>
                <c:pt idx="412">
                  <c:v>410.00779999999997</c:v>
                </c:pt>
                <c:pt idx="413">
                  <c:v>410.20800000000003</c:v>
                </c:pt>
                <c:pt idx="414">
                  <c:v>410.4076</c:v>
                </c:pt>
                <c:pt idx="415">
                  <c:v>410.60879999999997</c:v>
                </c:pt>
                <c:pt idx="416">
                  <c:v>410.80709999999999</c:v>
                </c:pt>
                <c:pt idx="417">
                  <c:v>411.00880000000001</c:v>
                </c:pt>
                <c:pt idx="418">
                  <c:v>411.20769999999999</c:v>
                </c:pt>
                <c:pt idx="419">
                  <c:v>411.4074</c:v>
                </c:pt>
                <c:pt idx="420">
                  <c:v>411.6071</c:v>
                </c:pt>
                <c:pt idx="421">
                  <c:v>411.80700000000002</c:v>
                </c:pt>
                <c:pt idx="422">
                  <c:v>412.00920000000002</c:v>
                </c:pt>
                <c:pt idx="423">
                  <c:v>412.2088</c:v>
                </c:pt>
                <c:pt idx="424">
                  <c:v>412.40910000000002</c:v>
                </c:pt>
                <c:pt idx="425">
                  <c:v>412.6087</c:v>
                </c:pt>
                <c:pt idx="426">
                  <c:v>412.80840000000001</c:v>
                </c:pt>
                <c:pt idx="427">
                  <c:v>413.00979999999998</c:v>
                </c:pt>
                <c:pt idx="428">
                  <c:v>413.20769999999999</c:v>
                </c:pt>
                <c:pt idx="429">
                  <c:v>413.40800000000002</c:v>
                </c:pt>
                <c:pt idx="430">
                  <c:v>413.60919999999999</c:v>
                </c:pt>
                <c:pt idx="431">
                  <c:v>413.80919999999998</c:v>
                </c:pt>
                <c:pt idx="432">
                  <c:v>414.00819999999999</c:v>
                </c:pt>
                <c:pt idx="433">
                  <c:v>414.20690000000002</c:v>
                </c:pt>
                <c:pt idx="434">
                  <c:v>414.40899999999999</c:v>
                </c:pt>
                <c:pt idx="435">
                  <c:v>414.6087</c:v>
                </c:pt>
                <c:pt idx="436">
                  <c:v>414.80900000000003</c:v>
                </c:pt>
                <c:pt idx="437">
                  <c:v>415.00810000000001</c:v>
                </c:pt>
                <c:pt idx="438">
                  <c:v>415.209</c:v>
                </c:pt>
                <c:pt idx="439">
                  <c:v>415.40699999999998</c:v>
                </c:pt>
                <c:pt idx="440">
                  <c:v>415.60849999999999</c:v>
                </c:pt>
                <c:pt idx="441">
                  <c:v>415.8075</c:v>
                </c:pt>
                <c:pt idx="442">
                  <c:v>416.00810000000001</c:v>
                </c:pt>
                <c:pt idx="443">
                  <c:v>416.20979999999997</c:v>
                </c:pt>
                <c:pt idx="444">
                  <c:v>416.4074</c:v>
                </c:pt>
                <c:pt idx="445">
                  <c:v>416.60789999999997</c:v>
                </c:pt>
                <c:pt idx="446">
                  <c:v>416.80869999999999</c:v>
                </c:pt>
                <c:pt idx="447">
                  <c:v>417.00790000000001</c:v>
                </c:pt>
                <c:pt idx="448">
                  <c:v>417.20940000000002</c:v>
                </c:pt>
                <c:pt idx="449">
                  <c:v>417.4074</c:v>
                </c:pt>
                <c:pt idx="450">
                  <c:v>417.6096</c:v>
                </c:pt>
                <c:pt idx="451">
                  <c:v>417.80939999999998</c:v>
                </c:pt>
                <c:pt idx="452">
                  <c:v>418.00900000000001</c:v>
                </c:pt>
                <c:pt idx="453">
                  <c:v>418.20819999999998</c:v>
                </c:pt>
                <c:pt idx="454">
                  <c:v>418.40890000000002</c:v>
                </c:pt>
                <c:pt idx="455">
                  <c:v>418.60860000000002</c:v>
                </c:pt>
                <c:pt idx="456">
                  <c:v>418.8082</c:v>
                </c:pt>
                <c:pt idx="457">
                  <c:v>419.01</c:v>
                </c:pt>
                <c:pt idx="458">
                  <c:v>419.20979999999997</c:v>
                </c:pt>
                <c:pt idx="459">
                  <c:v>419.40929999999997</c:v>
                </c:pt>
                <c:pt idx="460">
                  <c:v>419.60770000000002</c:v>
                </c:pt>
                <c:pt idx="461">
                  <c:v>419.80950000000001</c:v>
                </c:pt>
                <c:pt idx="462">
                  <c:v>420.00990000000002</c:v>
                </c:pt>
                <c:pt idx="463">
                  <c:v>420.20769999999999</c:v>
                </c:pt>
                <c:pt idx="464">
                  <c:v>420.4076</c:v>
                </c:pt>
                <c:pt idx="465">
                  <c:v>420.60910000000001</c:v>
                </c:pt>
                <c:pt idx="466">
                  <c:v>420.80880000000002</c:v>
                </c:pt>
                <c:pt idx="467">
                  <c:v>421.00850000000003</c:v>
                </c:pt>
                <c:pt idx="468">
                  <c:v>421.20929999999998</c:v>
                </c:pt>
                <c:pt idx="469">
                  <c:v>421.40960000000001</c:v>
                </c:pt>
                <c:pt idx="470">
                  <c:v>421.6087</c:v>
                </c:pt>
                <c:pt idx="471">
                  <c:v>421.8075</c:v>
                </c:pt>
                <c:pt idx="472">
                  <c:v>422.00990000000002</c:v>
                </c:pt>
                <c:pt idx="473">
                  <c:v>422.21129999999999</c:v>
                </c:pt>
                <c:pt idx="474">
                  <c:v>422.40980000000002</c:v>
                </c:pt>
                <c:pt idx="475">
                  <c:v>422.60860000000002</c:v>
                </c:pt>
                <c:pt idx="476">
                  <c:v>422.80930000000001</c:v>
                </c:pt>
                <c:pt idx="477">
                  <c:v>423.00920000000002</c:v>
                </c:pt>
                <c:pt idx="478">
                  <c:v>423.20760000000001</c:v>
                </c:pt>
                <c:pt idx="479">
                  <c:v>423.4101</c:v>
                </c:pt>
                <c:pt idx="480">
                  <c:v>423.6096</c:v>
                </c:pt>
                <c:pt idx="481">
                  <c:v>423.80770000000001</c:v>
                </c:pt>
                <c:pt idx="482">
                  <c:v>424.00850000000003</c:v>
                </c:pt>
                <c:pt idx="483">
                  <c:v>424.21019999999999</c:v>
                </c:pt>
                <c:pt idx="484">
                  <c:v>424.40769999999998</c:v>
                </c:pt>
                <c:pt idx="485">
                  <c:v>424.60849999999999</c:v>
                </c:pt>
                <c:pt idx="486">
                  <c:v>424.80849999999998</c:v>
                </c:pt>
                <c:pt idx="487">
                  <c:v>425.00799999999998</c:v>
                </c:pt>
                <c:pt idx="488">
                  <c:v>425.20839999999998</c:v>
                </c:pt>
                <c:pt idx="489">
                  <c:v>425.41030000000001</c:v>
                </c:pt>
                <c:pt idx="490">
                  <c:v>425.61040000000003</c:v>
                </c:pt>
                <c:pt idx="491">
                  <c:v>425.80990000000003</c:v>
                </c:pt>
                <c:pt idx="492">
                  <c:v>426.00850000000003</c:v>
                </c:pt>
                <c:pt idx="493">
                  <c:v>426.20819999999998</c:v>
                </c:pt>
                <c:pt idx="494">
                  <c:v>426.40929999999997</c:v>
                </c:pt>
                <c:pt idx="495">
                  <c:v>426.60969999999998</c:v>
                </c:pt>
                <c:pt idx="496">
                  <c:v>426.81</c:v>
                </c:pt>
                <c:pt idx="497">
                  <c:v>427.00889999999998</c:v>
                </c:pt>
                <c:pt idx="498">
                  <c:v>427.20979999999997</c:v>
                </c:pt>
                <c:pt idx="499">
                  <c:v>427.40800000000002</c:v>
                </c:pt>
                <c:pt idx="500">
                  <c:v>427.60879999999997</c:v>
                </c:pt>
                <c:pt idx="501">
                  <c:v>427.80770000000001</c:v>
                </c:pt>
                <c:pt idx="502">
                  <c:v>428.0104</c:v>
                </c:pt>
                <c:pt idx="503">
                  <c:v>428.20780000000002</c:v>
                </c:pt>
                <c:pt idx="504">
                  <c:v>428.40879999999999</c:v>
                </c:pt>
                <c:pt idx="505">
                  <c:v>428.60809999999998</c:v>
                </c:pt>
                <c:pt idx="506">
                  <c:v>428.80990000000003</c:v>
                </c:pt>
                <c:pt idx="507">
                  <c:v>429.01100000000002</c:v>
                </c:pt>
                <c:pt idx="508">
                  <c:v>429.21010000000001</c:v>
                </c:pt>
                <c:pt idx="509">
                  <c:v>429.40789999999998</c:v>
                </c:pt>
                <c:pt idx="510">
                  <c:v>429.60930000000002</c:v>
                </c:pt>
                <c:pt idx="511">
                  <c:v>429.8091</c:v>
                </c:pt>
                <c:pt idx="512">
                  <c:v>430.01130000000001</c:v>
                </c:pt>
                <c:pt idx="513">
                  <c:v>430.2097</c:v>
                </c:pt>
                <c:pt idx="514">
                  <c:v>430.40879999999999</c:v>
                </c:pt>
                <c:pt idx="515">
                  <c:v>430.61090000000002</c:v>
                </c:pt>
                <c:pt idx="516">
                  <c:v>430.80970000000002</c:v>
                </c:pt>
                <c:pt idx="517">
                  <c:v>431.00920000000002</c:v>
                </c:pt>
                <c:pt idx="518">
                  <c:v>431.20979999999997</c:v>
                </c:pt>
                <c:pt idx="519">
                  <c:v>431.4101</c:v>
                </c:pt>
                <c:pt idx="520">
                  <c:v>431.6087</c:v>
                </c:pt>
                <c:pt idx="521">
                  <c:v>431.80959999999999</c:v>
                </c:pt>
                <c:pt idx="522">
                  <c:v>432.00940000000003</c:v>
                </c:pt>
                <c:pt idx="523">
                  <c:v>432.20839999999998</c:v>
                </c:pt>
                <c:pt idx="524">
                  <c:v>432.40809999999999</c:v>
                </c:pt>
                <c:pt idx="525">
                  <c:v>432.60849999999999</c:v>
                </c:pt>
                <c:pt idx="526">
                  <c:v>432.8107</c:v>
                </c:pt>
                <c:pt idx="527">
                  <c:v>433.01029999999997</c:v>
                </c:pt>
                <c:pt idx="528">
                  <c:v>433.20929999999998</c:v>
                </c:pt>
                <c:pt idx="529">
                  <c:v>433.40809999999999</c:v>
                </c:pt>
                <c:pt idx="530">
                  <c:v>433.61040000000003</c:v>
                </c:pt>
                <c:pt idx="531">
                  <c:v>433.8082</c:v>
                </c:pt>
                <c:pt idx="532">
                  <c:v>434.01049999999998</c:v>
                </c:pt>
                <c:pt idx="533">
                  <c:v>434.21129999999999</c:v>
                </c:pt>
                <c:pt idx="534">
                  <c:v>434.41090000000003</c:v>
                </c:pt>
                <c:pt idx="535">
                  <c:v>434.60820000000001</c:v>
                </c:pt>
                <c:pt idx="536">
                  <c:v>434.81049999999999</c:v>
                </c:pt>
                <c:pt idx="537">
                  <c:v>435.00959999999998</c:v>
                </c:pt>
                <c:pt idx="538">
                  <c:v>435.21030000000002</c:v>
                </c:pt>
                <c:pt idx="539">
                  <c:v>435.40949999999998</c:v>
                </c:pt>
                <c:pt idx="540">
                  <c:v>435.61</c:v>
                </c:pt>
                <c:pt idx="541">
                  <c:v>435.81049999999999</c:v>
                </c:pt>
                <c:pt idx="542">
                  <c:v>436.01060000000001</c:v>
                </c:pt>
                <c:pt idx="543">
                  <c:v>436.21</c:v>
                </c:pt>
                <c:pt idx="544">
                  <c:v>436.40870000000001</c:v>
                </c:pt>
                <c:pt idx="545">
                  <c:v>436.60840000000002</c:v>
                </c:pt>
                <c:pt idx="546">
                  <c:v>436.80930000000001</c:v>
                </c:pt>
                <c:pt idx="547">
                  <c:v>437.0102</c:v>
                </c:pt>
                <c:pt idx="548">
                  <c:v>437.20839999999998</c:v>
                </c:pt>
                <c:pt idx="549">
                  <c:v>437.40960000000001</c:v>
                </c:pt>
                <c:pt idx="550">
                  <c:v>437.6121</c:v>
                </c:pt>
                <c:pt idx="551">
                  <c:v>437.80880000000002</c:v>
                </c:pt>
                <c:pt idx="552">
                  <c:v>438.01229999999998</c:v>
                </c:pt>
                <c:pt idx="553">
                  <c:v>438.20839999999998</c:v>
                </c:pt>
                <c:pt idx="554">
                  <c:v>438.41039999999998</c:v>
                </c:pt>
                <c:pt idx="555">
                  <c:v>438.61079999999998</c:v>
                </c:pt>
                <c:pt idx="556">
                  <c:v>438.81060000000002</c:v>
                </c:pt>
                <c:pt idx="557">
                  <c:v>439.01159999999999</c:v>
                </c:pt>
                <c:pt idx="558">
                  <c:v>439.20870000000002</c:v>
                </c:pt>
                <c:pt idx="559">
                  <c:v>439.40960000000001</c:v>
                </c:pt>
                <c:pt idx="560">
                  <c:v>439.6105</c:v>
                </c:pt>
                <c:pt idx="561">
                  <c:v>439.81200000000001</c:v>
                </c:pt>
                <c:pt idx="562">
                  <c:v>440.00920000000002</c:v>
                </c:pt>
                <c:pt idx="563">
                  <c:v>440.2115</c:v>
                </c:pt>
                <c:pt idx="564">
                  <c:v>440.40879999999999</c:v>
                </c:pt>
                <c:pt idx="565">
                  <c:v>440.6096</c:v>
                </c:pt>
                <c:pt idx="566">
                  <c:v>440.80930000000001</c:v>
                </c:pt>
                <c:pt idx="567">
                  <c:v>441.00970000000001</c:v>
                </c:pt>
                <c:pt idx="568">
                  <c:v>441.21120000000002</c:v>
                </c:pt>
                <c:pt idx="569">
                  <c:v>441.41</c:v>
                </c:pt>
                <c:pt idx="570">
                  <c:v>441.60860000000002</c:v>
                </c:pt>
                <c:pt idx="571">
                  <c:v>441.80919999999998</c:v>
                </c:pt>
                <c:pt idx="572">
                  <c:v>442.00979999999998</c:v>
                </c:pt>
                <c:pt idx="573">
                  <c:v>442.20929999999998</c:v>
                </c:pt>
                <c:pt idx="574">
                  <c:v>442.40910000000002</c:v>
                </c:pt>
                <c:pt idx="575">
                  <c:v>442.61099999999999</c:v>
                </c:pt>
                <c:pt idx="576">
                  <c:v>442.81020000000001</c:v>
                </c:pt>
                <c:pt idx="577">
                  <c:v>443.01209999999998</c:v>
                </c:pt>
                <c:pt idx="578">
                  <c:v>443.2106</c:v>
                </c:pt>
                <c:pt idx="579">
                  <c:v>443.4101</c:v>
                </c:pt>
                <c:pt idx="580">
                  <c:v>443.61099999999999</c:v>
                </c:pt>
                <c:pt idx="581">
                  <c:v>443.80970000000002</c:v>
                </c:pt>
                <c:pt idx="582">
                  <c:v>444.01060000000001</c:v>
                </c:pt>
                <c:pt idx="583">
                  <c:v>444.21179999999998</c:v>
                </c:pt>
                <c:pt idx="584">
                  <c:v>444.41160000000002</c:v>
                </c:pt>
                <c:pt idx="585">
                  <c:v>444.61070000000001</c:v>
                </c:pt>
                <c:pt idx="586">
                  <c:v>444.81169999999997</c:v>
                </c:pt>
                <c:pt idx="587">
                  <c:v>445.01440000000002</c:v>
                </c:pt>
                <c:pt idx="588">
                  <c:v>445.21019999999999</c:v>
                </c:pt>
                <c:pt idx="589">
                  <c:v>445.40910000000002</c:v>
                </c:pt>
                <c:pt idx="590">
                  <c:v>445.60989999999998</c:v>
                </c:pt>
                <c:pt idx="591">
                  <c:v>445.8091</c:v>
                </c:pt>
                <c:pt idx="592">
                  <c:v>446.01530000000002</c:v>
                </c:pt>
                <c:pt idx="593">
                  <c:v>446.21089999999998</c:v>
                </c:pt>
                <c:pt idx="594">
                  <c:v>446.41140000000001</c:v>
                </c:pt>
                <c:pt idx="595">
                  <c:v>446.60969999999998</c:v>
                </c:pt>
                <c:pt idx="596">
                  <c:v>446.8107</c:v>
                </c:pt>
                <c:pt idx="597">
                  <c:v>447.0104</c:v>
                </c:pt>
                <c:pt idx="598">
                  <c:v>447.21100000000001</c:v>
                </c:pt>
                <c:pt idx="599">
                  <c:v>447.41070000000002</c:v>
                </c:pt>
                <c:pt idx="600">
                  <c:v>447.61</c:v>
                </c:pt>
                <c:pt idx="601">
                  <c:v>447.80939999999998</c:v>
                </c:pt>
                <c:pt idx="602">
                  <c:v>448.01010000000002</c:v>
                </c:pt>
                <c:pt idx="603">
                  <c:v>448.21109999999999</c:v>
                </c:pt>
                <c:pt idx="604">
                  <c:v>448.41079999999999</c:v>
                </c:pt>
                <c:pt idx="605">
                  <c:v>448.61160000000001</c:v>
                </c:pt>
                <c:pt idx="606">
                  <c:v>448.81270000000001</c:v>
                </c:pt>
                <c:pt idx="607">
                  <c:v>449.0102</c:v>
                </c:pt>
                <c:pt idx="608">
                  <c:v>449.21109999999999</c:v>
                </c:pt>
                <c:pt idx="609">
                  <c:v>449.41120000000001</c:v>
                </c:pt>
                <c:pt idx="610">
                  <c:v>449.61090000000002</c:v>
                </c:pt>
                <c:pt idx="611">
                  <c:v>449.81</c:v>
                </c:pt>
                <c:pt idx="612">
                  <c:v>450.01159999999999</c:v>
                </c:pt>
                <c:pt idx="613">
                  <c:v>450.21069999999997</c:v>
                </c:pt>
                <c:pt idx="614">
                  <c:v>450.41419999999999</c:v>
                </c:pt>
                <c:pt idx="615">
                  <c:v>450.6121</c:v>
                </c:pt>
                <c:pt idx="616">
                  <c:v>450.81439999999998</c:v>
                </c:pt>
                <c:pt idx="617">
                  <c:v>451.01150000000001</c:v>
                </c:pt>
                <c:pt idx="618">
                  <c:v>451.21069999999997</c:v>
                </c:pt>
                <c:pt idx="619">
                  <c:v>451.41120000000001</c:v>
                </c:pt>
                <c:pt idx="620">
                  <c:v>451.6105</c:v>
                </c:pt>
                <c:pt idx="621">
                  <c:v>451.8116</c:v>
                </c:pt>
                <c:pt idx="622">
                  <c:v>452.01089999999999</c:v>
                </c:pt>
                <c:pt idx="623">
                  <c:v>452.21120000000002</c:v>
                </c:pt>
                <c:pt idx="624">
                  <c:v>452.41079999999999</c:v>
                </c:pt>
                <c:pt idx="625">
                  <c:v>452.61110000000002</c:v>
                </c:pt>
                <c:pt idx="626">
                  <c:v>452.80939999999998</c:v>
                </c:pt>
                <c:pt idx="627">
                  <c:v>453.01100000000002</c:v>
                </c:pt>
                <c:pt idx="628">
                  <c:v>453.21</c:v>
                </c:pt>
                <c:pt idx="629">
                  <c:v>453.40940000000001</c:v>
                </c:pt>
                <c:pt idx="630">
                  <c:v>453.6103</c:v>
                </c:pt>
                <c:pt idx="631">
                  <c:v>453.8116</c:v>
                </c:pt>
                <c:pt idx="632">
                  <c:v>454.00970000000001</c:v>
                </c:pt>
                <c:pt idx="633">
                  <c:v>454.21190000000001</c:v>
                </c:pt>
                <c:pt idx="634">
                  <c:v>454.41050000000001</c:v>
                </c:pt>
                <c:pt idx="635">
                  <c:v>454.60980000000001</c:v>
                </c:pt>
                <c:pt idx="636">
                  <c:v>454.81200000000001</c:v>
                </c:pt>
                <c:pt idx="637">
                  <c:v>455.01049999999998</c:v>
                </c:pt>
                <c:pt idx="638">
                  <c:v>455.20979999999997</c:v>
                </c:pt>
                <c:pt idx="639">
                  <c:v>455.41129999999998</c:v>
                </c:pt>
                <c:pt idx="640">
                  <c:v>455.61079999999998</c:v>
                </c:pt>
                <c:pt idx="641">
                  <c:v>455.81150000000002</c:v>
                </c:pt>
                <c:pt idx="642">
                  <c:v>456.01260000000002</c:v>
                </c:pt>
                <c:pt idx="643">
                  <c:v>456.21120000000002</c:v>
                </c:pt>
                <c:pt idx="644">
                  <c:v>456.41210000000001</c:v>
                </c:pt>
                <c:pt idx="645">
                  <c:v>456.61099999999999</c:v>
                </c:pt>
                <c:pt idx="646">
                  <c:v>456.81200000000001</c:v>
                </c:pt>
                <c:pt idx="647">
                  <c:v>457.00959999999998</c:v>
                </c:pt>
                <c:pt idx="648">
                  <c:v>457.21089999999998</c:v>
                </c:pt>
                <c:pt idx="649">
                  <c:v>457.40989999999999</c:v>
                </c:pt>
                <c:pt idx="650">
                  <c:v>457.60989999999998</c:v>
                </c:pt>
                <c:pt idx="651">
                  <c:v>457.80970000000002</c:v>
                </c:pt>
                <c:pt idx="652">
                  <c:v>458.01260000000002</c:v>
                </c:pt>
                <c:pt idx="653">
                  <c:v>458.21039999999999</c:v>
                </c:pt>
                <c:pt idx="654">
                  <c:v>458.4119</c:v>
                </c:pt>
                <c:pt idx="655">
                  <c:v>458.61079999999998</c:v>
                </c:pt>
                <c:pt idx="656">
                  <c:v>458.80970000000002</c:v>
                </c:pt>
                <c:pt idx="657">
                  <c:v>459.01220000000001</c:v>
                </c:pt>
                <c:pt idx="658">
                  <c:v>459.21019999999999</c:v>
                </c:pt>
                <c:pt idx="659">
                  <c:v>459.41250000000002</c:v>
                </c:pt>
                <c:pt idx="660">
                  <c:v>459.61090000000002</c:v>
                </c:pt>
                <c:pt idx="661">
                  <c:v>459.81279999999998</c:v>
                </c:pt>
                <c:pt idx="662">
                  <c:v>460.01190000000003</c:v>
                </c:pt>
                <c:pt idx="663">
                  <c:v>460.21039999999999</c:v>
                </c:pt>
                <c:pt idx="664">
                  <c:v>460.41030000000001</c:v>
                </c:pt>
                <c:pt idx="665">
                  <c:v>460.61059999999998</c:v>
                </c:pt>
                <c:pt idx="666">
                  <c:v>460.81119999999999</c:v>
                </c:pt>
                <c:pt idx="667">
                  <c:v>461.00979999999998</c:v>
                </c:pt>
                <c:pt idx="668">
                  <c:v>461.21159999999998</c:v>
                </c:pt>
                <c:pt idx="669">
                  <c:v>461.41140000000001</c:v>
                </c:pt>
                <c:pt idx="670">
                  <c:v>461.61090000000002</c:v>
                </c:pt>
                <c:pt idx="671">
                  <c:v>461.81060000000002</c:v>
                </c:pt>
                <c:pt idx="672">
                  <c:v>462.01170000000002</c:v>
                </c:pt>
                <c:pt idx="673">
                  <c:v>462.21170000000001</c:v>
                </c:pt>
                <c:pt idx="674">
                  <c:v>462.41030000000001</c:v>
                </c:pt>
                <c:pt idx="675">
                  <c:v>462.61189999999999</c:v>
                </c:pt>
                <c:pt idx="676">
                  <c:v>462.8109</c:v>
                </c:pt>
                <c:pt idx="677">
                  <c:v>463.012</c:v>
                </c:pt>
                <c:pt idx="678">
                  <c:v>463.21109999999999</c:v>
                </c:pt>
                <c:pt idx="679">
                  <c:v>463.41070000000002</c:v>
                </c:pt>
                <c:pt idx="680">
                  <c:v>463.6123</c:v>
                </c:pt>
                <c:pt idx="681">
                  <c:v>463.81209999999999</c:v>
                </c:pt>
                <c:pt idx="682">
                  <c:v>464.00990000000002</c:v>
                </c:pt>
                <c:pt idx="683">
                  <c:v>464.21260000000001</c:v>
                </c:pt>
                <c:pt idx="684">
                  <c:v>464.41039999999998</c:v>
                </c:pt>
                <c:pt idx="685">
                  <c:v>464.6123</c:v>
                </c:pt>
                <c:pt idx="686">
                  <c:v>464.81130000000002</c:v>
                </c:pt>
                <c:pt idx="687">
                  <c:v>465.01069999999999</c:v>
                </c:pt>
                <c:pt idx="688">
                  <c:v>465.21120000000002</c:v>
                </c:pt>
                <c:pt idx="689">
                  <c:v>465.41109999999998</c:v>
                </c:pt>
                <c:pt idx="690">
                  <c:v>465.61169999999998</c:v>
                </c:pt>
                <c:pt idx="691">
                  <c:v>465.81020000000001</c:v>
                </c:pt>
                <c:pt idx="692">
                  <c:v>466.0104</c:v>
                </c:pt>
                <c:pt idx="693">
                  <c:v>466.21109999999999</c:v>
                </c:pt>
                <c:pt idx="694">
                  <c:v>466.41129999999998</c:v>
                </c:pt>
                <c:pt idx="695">
                  <c:v>466.61079999999998</c:v>
                </c:pt>
                <c:pt idx="696">
                  <c:v>466.81150000000002</c:v>
                </c:pt>
                <c:pt idx="697">
                  <c:v>467.01190000000003</c:v>
                </c:pt>
                <c:pt idx="698">
                  <c:v>467.21030000000002</c:v>
                </c:pt>
                <c:pt idx="699">
                  <c:v>467.41219999999998</c:v>
                </c:pt>
                <c:pt idx="700">
                  <c:v>467.61250000000001</c:v>
                </c:pt>
                <c:pt idx="701">
                  <c:v>467.81060000000002</c:v>
                </c:pt>
                <c:pt idx="702">
                  <c:v>468.01209999999998</c:v>
                </c:pt>
                <c:pt idx="703">
                  <c:v>468.21159999999998</c:v>
                </c:pt>
                <c:pt idx="704">
                  <c:v>468.41050000000001</c:v>
                </c:pt>
                <c:pt idx="705">
                  <c:v>468.6121</c:v>
                </c:pt>
                <c:pt idx="706">
                  <c:v>468.81209999999999</c:v>
                </c:pt>
                <c:pt idx="707">
                  <c:v>469.0127</c:v>
                </c:pt>
                <c:pt idx="708">
                  <c:v>469.21019999999999</c:v>
                </c:pt>
                <c:pt idx="709">
                  <c:v>469.4117</c:v>
                </c:pt>
                <c:pt idx="710">
                  <c:v>469.61840000000001</c:v>
                </c:pt>
                <c:pt idx="711">
                  <c:v>469.81310000000002</c:v>
                </c:pt>
                <c:pt idx="712">
                  <c:v>470.01179999999999</c:v>
                </c:pt>
                <c:pt idx="713">
                  <c:v>470.2124</c:v>
                </c:pt>
                <c:pt idx="714">
                  <c:v>470.41140000000001</c:v>
                </c:pt>
                <c:pt idx="715">
                  <c:v>470.61309999999997</c:v>
                </c:pt>
                <c:pt idx="716">
                  <c:v>470.81279999999998</c:v>
                </c:pt>
                <c:pt idx="717">
                  <c:v>471.01240000000001</c:v>
                </c:pt>
                <c:pt idx="718">
                  <c:v>471.21039999999999</c:v>
                </c:pt>
                <c:pt idx="719">
                  <c:v>471.41059999999999</c:v>
                </c:pt>
                <c:pt idx="720">
                  <c:v>471.61149999999998</c:v>
                </c:pt>
                <c:pt idx="721">
                  <c:v>471.81299999999999</c:v>
                </c:pt>
                <c:pt idx="722">
                  <c:v>472.01260000000002</c:v>
                </c:pt>
                <c:pt idx="723">
                  <c:v>472.21249999999998</c:v>
                </c:pt>
                <c:pt idx="724">
                  <c:v>472.41129999999998</c:v>
                </c:pt>
                <c:pt idx="725">
                  <c:v>472.61290000000002</c:v>
                </c:pt>
                <c:pt idx="726">
                  <c:v>472.81150000000002</c:v>
                </c:pt>
                <c:pt idx="727">
                  <c:v>473.01260000000002</c:v>
                </c:pt>
                <c:pt idx="728">
                  <c:v>473.21199999999999</c:v>
                </c:pt>
                <c:pt idx="729">
                  <c:v>473.41090000000003</c:v>
                </c:pt>
                <c:pt idx="730">
                  <c:v>473.61250000000001</c:v>
                </c:pt>
                <c:pt idx="731">
                  <c:v>473.81279999999998</c:v>
                </c:pt>
                <c:pt idx="732">
                  <c:v>474.01150000000001</c:v>
                </c:pt>
                <c:pt idx="733">
                  <c:v>474.21289999999999</c:v>
                </c:pt>
                <c:pt idx="734">
                  <c:v>474.41269999999997</c:v>
                </c:pt>
                <c:pt idx="735">
                  <c:v>474.61070000000001</c:v>
                </c:pt>
                <c:pt idx="736">
                  <c:v>474.81180000000001</c:v>
                </c:pt>
                <c:pt idx="737">
                  <c:v>475.01310000000001</c:v>
                </c:pt>
                <c:pt idx="738">
                  <c:v>475.21120000000002</c:v>
                </c:pt>
                <c:pt idx="739">
                  <c:v>475.4117</c:v>
                </c:pt>
                <c:pt idx="740">
                  <c:v>475.61149999999998</c:v>
                </c:pt>
                <c:pt idx="741">
                  <c:v>475.82</c:v>
                </c:pt>
                <c:pt idx="742">
                  <c:v>476.01209999999998</c:v>
                </c:pt>
                <c:pt idx="743">
                  <c:v>476.21269999999998</c:v>
                </c:pt>
                <c:pt idx="744">
                  <c:v>476.41090000000003</c:v>
                </c:pt>
                <c:pt idx="745">
                  <c:v>476.61189999999999</c:v>
                </c:pt>
                <c:pt idx="746">
                  <c:v>476.81209999999999</c:v>
                </c:pt>
                <c:pt idx="747">
                  <c:v>477.01150000000001</c:v>
                </c:pt>
                <c:pt idx="748">
                  <c:v>477.21350000000001</c:v>
                </c:pt>
                <c:pt idx="749">
                  <c:v>477.41239999999999</c:v>
                </c:pt>
                <c:pt idx="750">
                  <c:v>477.61219999999997</c:v>
                </c:pt>
                <c:pt idx="751">
                  <c:v>477.81330000000003</c:v>
                </c:pt>
                <c:pt idx="752">
                  <c:v>478.01080000000002</c:v>
                </c:pt>
                <c:pt idx="753">
                  <c:v>478.21289999999999</c:v>
                </c:pt>
                <c:pt idx="754">
                  <c:v>478.4126</c:v>
                </c:pt>
                <c:pt idx="755">
                  <c:v>478.61340000000001</c:v>
                </c:pt>
                <c:pt idx="756">
                  <c:v>478.81220000000002</c:v>
                </c:pt>
                <c:pt idx="757">
                  <c:v>479.0127</c:v>
                </c:pt>
                <c:pt idx="758">
                  <c:v>479.21350000000001</c:v>
                </c:pt>
                <c:pt idx="759">
                  <c:v>479.41140000000001</c:v>
                </c:pt>
                <c:pt idx="760">
                  <c:v>479.61169999999998</c:v>
                </c:pt>
                <c:pt idx="761">
                  <c:v>479.81150000000002</c:v>
                </c:pt>
                <c:pt idx="762">
                  <c:v>480.01280000000003</c:v>
                </c:pt>
                <c:pt idx="763">
                  <c:v>480.21120000000002</c:v>
                </c:pt>
                <c:pt idx="764">
                  <c:v>480.41199999999998</c:v>
                </c:pt>
                <c:pt idx="765">
                  <c:v>480.61130000000003</c:v>
                </c:pt>
                <c:pt idx="766">
                  <c:v>480.81150000000002</c:v>
                </c:pt>
                <c:pt idx="767">
                  <c:v>481.01139999999998</c:v>
                </c:pt>
                <c:pt idx="768">
                  <c:v>481.2131</c:v>
                </c:pt>
                <c:pt idx="769">
                  <c:v>481.41539999999998</c:v>
                </c:pt>
                <c:pt idx="770">
                  <c:v>481.61180000000002</c:v>
                </c:pt>
                <c:pt idx="771">
                  <c:v>481.8125</c:v>
                </c:pt>
                <c:pt idx="772">
                  <c:v>482.01319999999998</c:v>
                </c:pt>
                <c:pt idx="773">
                  <c:v>482.21420000000001</c:v>
                </c:pt>
                <c:pt idx="774">
                  <c:v>482.41129999999998</c:v>
                </c:pt>
                <c:pt idx="775">
                  <c:v>482.61509999999998</c:v>
                </c:pt>
                <c:pt idx="776">
                  <c:v>482.8141</c:v>
                </c:pt>
                <c:pt idx="777">
                  <c:v>483.0111</c:v>
                </c:pt>
                <c:pt idx="778">
                  <c:v>483.21519999999998</c:v>
                </c:pt>
                <c:pt idx="779">
                  <c:v>483.41419999999999</c:v>
                </c:pt>
                <c:pt idx="780">
                  <c:v>483.6123</c:v>
                </c:pt>
                <c:pt idx="781">
                  <c:v>483.81130000000002</c:v>
                </c:pt>
                <c:pt idx="782">
                  <c:v>484.01369999999997</c:v>
                </c:pt>
                <c:pt idx="783">
                  <c:v>484.2131</c:v>
                </c:pt>
                <c:pt idx="784">
                  <c:v>484.4153</c:v>
                </c:pt>
                <c:pt idx="785">
                  <c:v>484.61320000000001</c:v>
                </c:pt>
                <c:pt idx="786">
                  <c:v>484.81360000000001</c:v>
                </c:pt>
                <c:pt idx="787">
                  <c:v>485.01369999999997</c:v>
                </c:pt>
                <c:pt idx="788">
                  <c:v>485.21190000000001</c:v>
                </c:pt>
                <c:pt idx="789">
                  <c:v>485.41160000000002</c:v>
                </c:pt>
                <c:pt idx="790">
                  <c:v>485.62389999999999</c:v>
                </c:pt>
                <c:pt idx="791">
                  <c:v>485.81209999999999</c:v>
                </c:pt>
                <c:pt idx="792">
                  <c:v>486.01350000000002</c:v>
                </c:pt>
                <c:pt idx="793">
                  <c:v>486.21289999999999</c:v>
                </c:pt>
                <c:pt idx="794">
                  <c:v>486.41399999999999</c:v>
                </c:pt>
                <c:pt idx="795">
                  <c:v>486.61509999999998</c:v>
                </c:pt>
                <c:pt idx="796">
                  <c:v>486.81319999999999</c:v>
                </c:pt>
                <c:pt idx="797">
                  <c:v>487.01170000000002</c:v>
                </c:pt>
                <c:pt idx="798">
                  <c:v>487.21289999999999</c:v>
                </c:pt>
                <c:pt idx="799">
                  <c:v>487.41250000000002</c:v>
                </c:pt>
                <c:pt idx="800">
                  <c:v>487.61239999999998</c:v>
                </c:pt>
                <c:pt idx="801">
                  <c:v>487.8152</c:v>
                </c:pt>
                <c:pt idx="802">
                  <c:v>488.01170000000002</c:v>
                </c:pt>
                <c:pt idx="803">
                  <c:v>488.21289999999999</c:v>
                </c:pt>
                <c:pt idx="804">
                  <c:v>488.41390000000001</c:v>
                </c:pt>
                <c:pt idx="805">
                  <c:v>488.61360000000002</c:v>
                </c:pt>
                <c:pt idx="806">
                  <c:v>488.81290000000001</c:v>
                </c:pt>
                <c:pt idx="807">
                  <c:v>489.01479999999998</c:v>
                </c:pt>
                <c:pt idx="808">
                  <c:v>489.22340000000003</c:v>
                </c:pt>
                <c:pt idx="809">
                  <c:v>489.41219999999998</c:v>
                </c:pt>
                <c:pt idx="810">
                  <c:v>489.61340000000001</c:v>
                </c:pt>
                <c:pt idx="811">
                  <c:v>489.81189999999998</c:v>
                </c:pt>
                <c:pt idx="812">
                  <c:v>490.01220000000001</c:v>
                </c:pt>
                <c:pt idx="813">
                  <c:v>490.21190000000001</c:v>
                </c:pt>
                <c:pt idx="814">
                  <c:v>490.4153</c:v>
                </c:pt>
                <c:pt idx="815">
                  <c:v>490.61239999999998</c:v>
                </c:pt>
                <c:pt idx="816">
                  <c:v>490.815</c:v>
                </c:pt>
                <c:pt idx="817">
                  <c:v>491.01389999999998</c:v>
                </c:pt>
                <c:pt idx="818">
                  <c:v>491.21499999999997</c:v>
                </c:pt>
                <c:pt idx="819">
                  <c:v>491.4128</c:v>
                </c:pt>
                <c:pt idx="820">
                  <c:v>491.61270000000002</c:v>
                </c:pt>
                <c:pt idx="821">
                  <c:v>491.81310000000002</c:v>
                </c:pt>
                <c:pt idx="822">
                  <c:v>492.012</c:v>
                </c:pt>
                <c:pt idx="823">
                  <c:v>492.21300000000002</c:v>
                </c:pt>
                <c:pt idx="824">
                  <c:v>492.4117</c:v>
                </c:pt>
                <c:pt idx="825">
                  <c:v>492.61250000000001</c:v>
                </c:pt>
                <c:pt idx="826">
                  <c:v>492.81209999999999</c:v>
                </c:pt>
                <c:pt idx="827">
                  <c:v>493.0129</c:v>
                </c:pt>
                <c:pt idx="828">
                  <c:v>493.2122</c:v>
                </c:pt>
                <c:pt idx="829">
                  <c:v>493.41379999999998</c:v>
                </c:pt>
                <c:pt idx="830">
                  <c:v>493.61360000000002</c:v>
                </c:pt>
                <c:pt idx="831">
                  <c:v>493.81200000000001</c:v>
                </c:pt>
                <c:pt idx="832">
                  <c:v>494.01319999999998</c:v>
                </c:pt>
                <c:pt idx="833">
                  <c:v>494.2122</c:v>
                </c:pt>
                <c:pt idx="834">
                  <c:v>494.41419999999999</c:v>
                </c:pt>
                <c:pt idx="835">
                  <c:v>494.61349999999999</c:v>
                </c:pt>
                <c:pt idx="836">
                  <c:v>494.81200000000001</c:v>
                </c:pt>
                <c:pt idx="837">
                  <c:v>495.0145</c:v>
                </c:pt>
                <c:pt idx="838">
                  <c:v>495.21260000000001</c:v>
                </c:pt>
                <c:pt idx="839">
                  <c:v>495.41480000000001</c:v>
                </c:pt>
                <c:pt idx="840">
                  <c:v>495.61430000000001</c:v>
                </c:pt>
                <c:pt idx="841">
                  <c:v>495.82350000000002</c:v>
                </c:pt>
                <c:pt idx="842">
                  <c:v>496.01220000000001</c:v>
                </c:pt>
                <c:pt idx="843">
                  <c:v>496.21539999999999</c:v>
                </c:pt>
                <c:pt idx="844">
                  <c:v>496.41269999999997</c:v>
                </c:pt>
                <c:pt idx="845">
                  <c:v>496.6148</c:v>
                </c:pt>
                <c:pt idx="846">
                  <c:v>496.81220000000002</c:v>
                </c:pt>
                <c:pt idx="847">
                  <c:v>497.01319999999998</c:v>
                </c:pt>
                <c:pt idx="848">
                  <c:v>497.21460000000002</c:v>
                </c:pt>
                <c:pt idx="849">
                  <c:v>497.41230000000002</c:v>
                </c:pt>
                <c:pt idx="850">
                  <c:v>497.61200000000002</c:v>
                </c:pt>
                <c:pt idx="851">
                  <c:v>497.81400000000002</c:v>
                </c:pt>
                <c:pt idx="852">
                  <c:v>498.01249999999999</c:v>
                </c:pt>
                <c:pt idx="853">
                  <c:v>498.2149</c:v>
                </c:pt>
                <c:pt idx="854">
                  <c:v>498.41309999999999</c:v>
                </c:pt>
                <c:pt idx="855">
                  <c:v>498.61360000000002</c:v>
                </c:pt>
                <c:pt idx="856">
                  <c:v>498.81220000000002</c:v>
                </c:pt>
                <c:pt idx="857">
                  <c:v>499.0129</c:v>
                </c:pt>
                <c:pt idx="858">
                  <c:v>499.21530000000001</c:v>
                </c:pt>
                <c:pt idx="859">
                  <c:v>499.41449999999998</c:v>
                </c:pt>
                <c:pt idx="860">
                  <c:v>499.61450000000002</c:v>
                </c:pt>
                <c:pt idx="861">
                  <c:v>499.81470000000002</c:v>
                </c:pt>
                <c:pt idx="862">
                  <c:v>500.01479999999998</c:v>
                </c:pt>
                <c:pt idx="863">
                  <c:v>500.2149</c:v>
                </c:pt>
                <c:pt idx="864">
                  <c:v>500.41399999999999</c:v>
                </c:pt>
                <c:pt idx="865">
                  <c:v>500.61290000000002</c:v>
                </c:pt>
                <c:pt idx="866">
                  <c:v>500.81220000000002</c:v>
                </c:pt>
                <c:pt idx="867">
                  <c:v>501.01400000000001</c:v>
                </c:pt>
                <c:pt idx="868">
                  <c:v>501.21269999999998</c:v>
                </c:pt>
                <c:pt idx="869">
                  <c:v>501.41289999999998</c:v>
                </c:pt>
                <c:pt idx="870">
                  <c:v>501.61239999999998</c:v>
                </c:pt>
                <c:pt idx="871">
                  <c:v>501.81380000000001</c:v>
                </c:pt>
                <c:pt idx="872">
                  <c:v>502.01459999999997</c:v>
                </c:pt>
                <c:pt idx="873">
                  <c:v>502.2131</c:v>
                </c:pt>
                <c:pt idx="874">
                  <c:v>502.41320000000002</c:v>
                </c:pt>
                <c:pt idx="875">
                  <c:v>502.6146</c:v>
                </c:pt>
                <c:pt idx="876">
                  <c:v>502.81569999999999</c:v>
                </c:pt>
                <c:pt idx="877">
                  <c:v>503.01389999999998</c:v>
                </c:pt>
                <c:pt idx="878">
                  <c:v>503.21469999999999</c:v>
                </c:pt>
                <c:pt idx="879">
                  <c:v>503.4153</c:v>
                </c:pt>
                <c:pt idx="880">
                  <c:v>503.61279999999999</c:v>
                </c:pt>
                <c:pt idx="881">
                  <c:v>503.81259999999997</c:v>
                </c:pt>
                <c:pt idx="882">
                  <c:v>504.0172</c:v>
                </c:pt>
                <c:pt idx="883">
                  <c:v>504.21390000000002</c:v>
                </c:pt>
                <c:pt idx="884">
                  <c:v>504.41289999999998</c:v>
                </c:pt>
                <c:pt idx="885">
                  <c:v>504.61399999999998</c:v>
                </c:pt>
                <c:pt idx="886">
                  <c:v>504.8143</c:v>
                </c:pt>
                <c:pt idx="887">
                  <c:v>505.01440000000002</c:v>
                </c:pt>
                <c:pt idx="888">
                  <c:v>505.21269999999998</c:v>
                </c:pt>
                <c:pt idx="889">
                  <c:v>505.41379999999998</c:v>
                </c:pt>
                <c:pt idx="890">
                  <c:v>505.61410000000001</c:v>
                </c:pt>
                <c:pt idx="891">
                  <c:v>505.81450000000001</c:v>
                </c:pt>
                <c:pt idx="892">
                  <c:v>506.01389999999998</c:v>
                </c:pt>
                <c:pt idx="893">
                  <c:v>506.21390000000002</c:v>
                </c:pt>
                <c:pt idx="894">
                  <c:v>506.41489999999999</c:v>
                </c:pt>
                <c:pt idx="895">
                  <c:v>506.61529999999999</c:v>
                </c:pt>
                <c:pt idx="896">
                  <c:v>506.81389999999999</c:v>
                </c:pt>
                <c:pt idx="897">
                  <c:v>507.01400000000001</c:v>
                </c:pt>
                <c:pt idx="898">
                  <c:v>507.21300000000002</c:v>
                </c:pt>
                <c:pt idx="899">
                  <c:v>507.4151</c:v>
                </c:pt>
                <c:pt idx="900">
                  <c:v>507.61500000000001</c:v>
                </c:pt>
                <c:pt idx="901">
                  <c:v>507.81319999999999</c:v>
                </c:pt>
                <c:pt idx="902">
                  <c:v>508.01490000000001</c:v>
                </c:pt>
                <c:pt idx="903">
                  <c:v>508.214</c:v>
                </c:pt>
                <c:pt idx="904">
                  <c:v>508.41449999999998</c:v>
                </c:pt>
                <c:pt idx="905">
                  <c:v>508.61520000000002</c:v>
                </c:pt>
                <c:pt idx="906">
                  <c:v>508.81479999999999</c:v>
                </c:pt>
                <c:pt idx="907">
                  <c:v>509.01920000000001</c:v>
                </c:pt>
                <c:pt idx="908">
                  <c:v>509.21339999999998</c:v>
                </c:pt>
                <c:pt idx="909">
                  <c:v>509.41460000000001</c:v>
                </c:pt>
                <c:pt idx="910">
                  <c:v>509.6146</c:v>
                </c:pt>
                <c:pt idx="911">
                  <c:v>509.81490000000002</c:v>
                </c:pt>
                <c:pt idx="912">
                  <c:v>510.01490000000001</c:v>
                </c:pt>
                <c:pt idx="913">
                  <c:v>510.21409999999997</c:v>
                </c:pt>
                <c:pt idx="914">
                  <c:v>510.4151</c:v>
                </c:pt>
                <c:pt idx="915">
                  <c:v>510.61489999999998</c:v>
                </c:pt>
                <c:pt idx="916">
                  <c:v>510.81450000000001</c:v>
                </c:pt>
                <c:pt idx="917">
                  <c:v>511.01310000000001</c:v>
                </c:pt>
                <c:pt idx="918">
                  <c:v>511.21370000000002</c:v>
                </c:pt>
                <c:pt idx="919">
                  <c:v>511.41570000000002</c:v>
                </c:pt>
                <c:pt idx="920">
                  <c:v>511.61290000000002</c:v>
                </c:pt>
                <c:pt idx="921">
                  <c:v>511.81490000000002</c:v>
                </c:pt>
                <c:pt idx="922">
                  <c:v>512.0154</c:v>
                </c:pt>
                <c:pt idx="923">
                  <c:v>512.61469999999997</c:v>
                </c:pt>
                <c:pt idx="924">
                  <c:v>512.81489999999997</c:v>
                </c:pt>
                <c:pt idx="925">
                  <c:v>513.01379999999995</c:v>
                </c:pt>
                <c:pt idx="926">
                  <c:v>513.21550000000002</c:v>
                </c:pt>
                <c:pt idx="927">
                  <c:v>513.41409999999996</c:v>
                </c:pt>
                <c:pt idx="928">
                  <c:v>513.61490000000003</c:v>
                </c:pt>
                <c:pt idx="929">
                  <c:v>513.8152</c:v>
                </c:pt>
                <c:pt idx="930">
                  <c:v>514.01689999999996</c:v>
                </c:pt>
                <c:pt idx="931">
                  <c:v>514.21420000000001</c:v>
                </c:pt>
                <c:pt idx="932">
                  <c:v>514.41409999999996</c:v>
                </c:pt>
                <c:pt idx="933">
                  <c:v>514.61429999999996</c:v>
                </c:pt>
                <c:pt idx="934">
                  <c:v>514.81489999999997</c:v>
                </c:pt>
                <c:pt idx="935">
                  <c:v>515.01499999999999</c:v>
                </c:pt>
                <c:pt idx="936">
                  <c:v>515.2133</c:v>
                </c:pt>
                <c:pt idx="937">
                  <c:v>515.41309999999999</c:v>
                </c:pt>
                <c:pt idx="938">
                  <c:v>515.61360000000002</c:v>
                </c:pt>
                <c:pt idx="939">
                  <c:v>515.81470000000002</c:v>
                </c:pt>
                <c:pt idx="940">
                  <c:v>516.01390000000004</c:v>
                </c:pt>
                <c:pt idx="941">
                  <c:v>516.21479999999997</c:v>
                </c:pt>
                <c:pt idx="942">
                  <c:v>516.41420000000005</c:v>
                </c:pt>
                <c:pt idx="943">
                  <c:v>516.61310000000003</c:v>
                </c:pt>
                <c:pt idx="944">
                  <c:v>516.81399999999996</c:v>
                </c:pt>
                <c:pt idx="945">
                  <c:v>517.0145</c:v>
                </c:pt>
                <c:pt idx="946">
                  <c:v>517.21609999999998</c:v>
                </c:pt>
                <c:pt idx="947">
                  <c:v>517.41579999999999</c:v>
                </c:pt>
                <c:pt idx="948">
                  <c:v>517.6146</c:v>
                </c:pt>
                <c:pt idx="949">
                  <c:v>517.81590000000006</c:v>
                </c:pt>
                <c:pt idx="950">
                  <c:v>518.01480000000004</c:v>
                </c:pt>
                <c:pt idx="951">
                  <c:v>518.21510000000001</c:v>
                </c:pt>
                <c:pt idx="952">
                  <c:v>518.41589999999997</c:v>
                </c:pt>
                <c:pt idx="953">
                  <c:v>518.61429999999996</c:v>
                </c:pt>
                <c:pt idx="954">
                  <c:v>518.81380000000001</c:v>
                </c:pt>
                <c:pt idx="955">
                  <c:v>519.01340000000005</c:v>
                </c:pt>
                <c:pt idx="956">
                  <c:v>519.21469999999999</c:v>
                </c:pt>
                <c:pt idx="957">
                  <c:v>519.41579999999999</c:v>
                </c:pt>
                <c:pt idx="958">
                  <c:v>519.61450000000002</c:v>
                </c:pt>
                <c:pt idx="959">
                  <c:v>519.81370000000004</c:v>
                </c:pt>
                <c:pt idx="960">
                  <c:v>520.01369999999997</c:v>
                </c:pt>
                <c:pt idx="961">
                  <c:v>520.21529999999996</c:v>
                </c:pt>
                <c:pt idx="962">
                  <c:v>520.4153</c:v>
                </c:pt>
                <c:pt idx="963">
                  <c:v>520.61419999999998</c:v>
                </c:pt>
                <c:pt idx="964">
                  <c:v>520.81500000000005</c:v>
                </c:pt>
                <c:pt idx="965">
                  <c:v>521.01570000000004</c:v>
                </c:pt>
                <c:pt idx="966">
                  <c:v>521.21510000000001</c:v>
                </c:pt>
                <c:pt idx="967">
                  <c:v>521.41380000000004</c:v>
                </c:pt>
                <c:pt idx="968">
                  <c:v>521.61509999999998</c:v>
                </c:pt>
                <c:pt idx="969">
                  <c:v>521.81560000000002</c:v>
                </c:pt>
                <c:pt idx="970">
                  <c:v>522.01589999999999</c:v>
                </c:pt>
                <c:pt idx="971">
                  <c:v>522.21640000000002</c:v>
                </c:pt>
                <c:pt idx="972">
                  <c:v>522.41549999999995</c:v>
                </c:pt>
                <c:pt idx="973">
                  <c:v>522.61429999999996</c:v>
                </c:pt>
                <c:pt idx="974">
                  <c:v>522.81510000000003</c:v>
                </c:pt>
                <c:pt idx="975">
                  <c:v>523.0154</c:v>
                </c:pt>
                <c:pt idx="976">
                  <c:v>523.21609999999998</c:v>
                </c:pt>
                <c:pt idx="977">
                  <c:v>523.41579999999999</c:v>
                </c:pt>
                <c:pt idx="978">
                  <c:v>523.61429999999996</c:v>
                </c:pt>
                <c:pt idx="979">
                  <c:v>523.81380000000001</c:v>
                </c:pt>
                <c:pt idx="980">
                  <c:v>524.01390000000004</c:v>
                </c:pt>
                <c:pt idx="981">
                  <c:v>524.21609999999998</c:v>
                </c:pt>
                <c:pt idx="982">
                  <c:v>524.4171</c:v>
                </c:pt>
                <c:pt idx="983">
                  <c:v>524.61760000000004</c:v>
                </c:pt>
                <c:pt idx="984">
                  <c:v>524.81399999999996</c:v>
                </c:pt>
                <c:pt idx="985">
                  <c:v>525.01620000000003</c:v>
                </c:pt>
                <c:pt idx="986">
                  <c:v>525.21569999999997</c:v>
                </c:pt>
                <c:pt idx="987">
                  <c:v>525.41480000000001</c:v>
                </c:pt>
                <c:pt idx="988">
                  <c:v>525.61609999999996</c:v>
                </c:pt>
                <c:pt idx="989">
                  <c:v>525.81629999999996</c:v>
                </c:pt>
                <c:pt idx="990">
                  <c:v>526.01499999999999</c:v>
                </c:pt>
                <c:pt idx="991">
                  <c:v>526.21550000000002</c:v>
                </c:pt>
                <c:pt idx="992">
                  <c:v>526.41579999999999</c:v>
                </c:pt>
                <c:pt idx="993">
                  <c:v>526.61450000000002</c:v>
                </c:pt>
                <c:pt idx="994">
                  <c:v>526.81569999999999</c:v>
                </c:pt>
                <c:pt idx="995">
                  <c:v>527.01580000000001</c:v>
                </c:pt>
                <c:pt idx="996">
                  <c:v>527.21429999999998</c:v>
                </c:pt>
                <c:pt idx="997">
                  <c:v>527.41489999999999</c:v>
                </c:pt>
                <c:pt idx="998">
                  <c:v>527.61400000000003</c:v>
                </c:pt>
                <c:pt idx="999">
                  <c:v>527.81600000000003</c:v>
                </c:pt>
                <c:pt idx="1000">
                  <c:v>528.0154</c:v>
                </c:pt>
                <c:pt idx="1001">
                  <c:v>528.21420000000001</c:v>
                </c:pt>
                <c:pt idx="1002">
                  <c:v>528.41629999999998</c:v>
                </c:pt>
                <c:pt idx="1003">
                  <c:v>528.61609999999996</c:v>
                </c:pt>
                <c:pt idx="1004">
                  <c:v>528.8152</c:v>
                </c:pt>
                <c:pt idx="1005">
                  <c:v>529.01459999999997</c:v>
                </c:pt>
                <c:pt idx="1006">
                  <c:v>529.21559999999999</c:v>
                </c:pt>
                <c:pt idx="1007">
                  <c:v>529.41579999999999</c:v>
                </c:pt>
                <c:pt idx="1008">
                  <c:v>529.6146</c:v>
                </c:pt>
                <c:pt idx="1009">
                  <c:v>529.81539999999995</c:v>
                </c:pt>
                <c:pt idx="1010">
                  <c:v>530.01520000000005</c:v>
                </c:pt>
                <c:pt idx="1011">
                  <c:v>530.21479999999997</c:v>
                </c:pt>
                <c:pt idx="1012">
                  <c:v>530.41539999999998</c:v>
                </c:pt>
                <c:pt idx="1013">
                  <c:v>530.61440000000005</c:v>
                </c:pt>
                <c:pt idx="1014">
                  <c:v>530.81679999999994</c:v>
                </c:pt>
                <c:pt idx="1015">
                  <c:v>531.01930000000004</c:v>
                </c:pt>
                <c:pt idx="1016">
                  <c:v>531.21469999999999</c:v>
                </c:pt>
                <c:pt idx="1017">
                  <c:v>531.41660000000002</c:v>
                </c:pt>
                <c:pt idx="1018">
                  <c:v>531.61659999999995</c:v>
                </c:pt>
                <c:pt idx="1019">
                  <c:v>531.8152</c:v>
                </c:pt>
                <c:pt idx="1020">
                  <c:v>532.01490000000001</c:v>
                </c:pt>
                <c:pt idx="1021">
                  <c:v>532.21550000000002</c:v>
                </c:pt>
                <c:pt idx="1022">
                  <c:v>532.41499999999996</c:v>
                </c:pt>
                <c:pt idx="1023">
                  <c:v>532.61620000000005</c:v>
                </c:pt>
                <c:pt idx="1024">
                  <c:v>532.81539999999995</c:v>
                </c:pt>
                <c:pt idx="1025">
                  <c:v>533.01419999999996</c:v>
                </c:pt>
                <c:pt idx="1026">
                  <c:v>533.21699999999998</c:v>
                </c:pt>
                <c:pt idx="1027">
                  <c:v>533.41539999999998</c:v>
                </c:pt>
                <c:pt idx="1028">
                  <c:v>533.61630000000002</c:v>
                </c:pt>
                <c:pt idx="1029">
                  <c:v>533.81619999999998</c:v>
                </c:pt>
                <c:pt idx="1030">
                  <c:v>534.01620000000003</c:v>
                </c:pt>
                <c:pt idx="1031">
                  <c:v>534.21479999999997</c:v>
                </c:pt>
                <c:pt idx="1032">
                  <c:v>534.41459999999995</c:v>
                </c:pt>
                <c:pt idx="1033">
                  <c:v>534.61569999999995</c:v>
                </c:pt>
                <c:pt idx="1034">
                  <c:v>534.81619999999998</c:v>
                </c:pt>
                <c:pt idx="1035">
                  <c:v>535.01689999999996</c:v>
                </c:pt>
                <c:pt idx="1036">
                  <c:v>535.21730000000002</c:v>
                </c:pt>
                <c:pt idx="1037">
                  <c:v>535.41740000000004</c:v>
                </c:pt>
                <c:pt idx="1038">
                  <c:v>535.6164</c:v>
                </c:pt>
                <c:pt idx="1039">
                  <c:v>535.81489999999997</c:v>
                </c:pt>
                <c:pt idx="1040">
                  <c:v>536.01900000000001</c:v>
                </c:pt>
                <c:pt idx="1041">
                  <c:v>536.21510000000001</c:v>
                </c:pt>
                <c:pt idx="1042">
                  <c:v>536.41690000000006</c:v>
                </c:pt>
                <c:pt idx="1043">
                  <c:v>536.6155</c:v>
                </c:pt>
                <c:pt idx="1044">
                  <c:v>536.81439999999998</c:v>
                </c:pt>
                <c:pt idx="1045">
                  <c:v>537.01700000000005</c:v>
                </c:pt>
                <c:pt idx="1046">
                  <c:v>537.21590000000003</c:v>
                </c:pt>
                <c:pt idx="1047">
                  <c:v>537.41600000000005</c:v>
                </c:pt>
                <c:pt idx="1048">
                  <c:v>537.61509999999998</c:v>
                </c:pt>
                <c:pt idx="1049">
                  <c:v>537.81759999999997</c:v>
                </c:pt>
                <c:pt idx="1050">
                  <c:v>538.01679999999999</c:v>
                </c:pt>
                <c:pt idx="1051">
                  <c:v>538.21500000000003</c:v>
                </c:pt>
                <c:pt idx="1052">
                  <c:v>538.41499999999996</c:v>
                </c:pt>
                <c:pt idx="1053">
                  <c:v>538.6164</c:v>
                </c:pt>
                <c:pt idx="1054">
                  <c:v>538.81679999999994</c:v>
                </c:pt>
                <c:pt idx="1055">
                  <c:v>539.01570000000004</c:v>
                </c:pt>
                <c:pt idx="1056">
                  <c:v>539.21450000000004</c:v>
                </c:pt>
                <c:pt idx="1057">
                  <c:v>539.41669999999999</c:v>
                </c:pt>
                <c:pt idx="1058">
                  <c:v>539.61490000000003</c:v>
                </c:pt>
                <c:pt idx="1059">
                  <c:v>539.81460000000004</c:v>
                </c:pt>
                <c:pt idx="1060">
                  <c:v>540.01750000000004</c:v>
                </c:pt>
                <c:pt idx="1061">
                  <c:v>540.2174</c:v>
                </c:pt>
                <c:pt idx="1062">
                  <c:v>540.41650000000004</c:v>
                </c:pt>
                <c:pt idx="1063">
                  <c:v>540.61469999999997</c:v>
                </c:pt>
                <c:pt idx="1064">
                  <c:v>540.81460000000004</c:v>
                </c:pt>
                <c:pt idx="1065">
                  <c:v>541.0163</c:v>
                </c:pt>
                <c:pt idx="1066">
                  <c:v>541.21479999999997</c:v>
                </c:pt>
                <c:pt idx="1067">
                  <c:v>541.41589999999997</c:v>
                </c:pt>
                <c:pt idx="1068">
                  <c:v>541.61609999999996</c:v>
                </c:pt>
                <c:pt idx="1069">
                  <c:v>541.81650000000002</c:v>
                </c:pt>
                <c:pt idx="1070">
                  <c:v>542.0154</c:v>
                </c:pt>
                <c:pt idx="1071">
                  <c:v>542.21759999999995</c:v>
                </c:pt>
                <c:pt idx="1072">
                  <c:v>542.4171</c:v>
                </c:pt>
                <c:pt idx="1073">
                  <c:v>542.61760000000004</c:v>
                </c:pt>
                <c:pt idx="1074">
                  <c:v>542.81669999999997</c:v>
                </c:pt>
                <c:pt idx="1075">
                  <c:v>543.01520000000005</c:v>
                </c:pt>
                <c:pt idx="1076">
                  <c:v>543.21690000000001</c:v>
                </c:pt>
                <c:pt idx="1077">
                  <c:v>543.41690000000006</c:v>
                </c:pt>
                <c:pt idx="1078">
                  <c:v>543.6155</c:v>
                </c:pt>
                <c:pt idx="1079">
                  <c:v>543.81730000000005</c:v>
                </c:pt>
                <c:pt idx="1080">
                  <c:v>544.01599999999996</c:v>
                </c:pt>
                <c:pt idx="1081">
                  <c:v>544.21569999999997</c:v>
                </c:pt>
                <c:pt idx="1082">
                  <c:v>544.41499999999996</c:v>
                </c:pt>
                <c:pt idx="1083">
                  <c:v>544.61519999999996</c:v>
                </c:pt>
                <c:pt idx="1084">
                  <c:v>544.81539999999995</c:v>
                </c:pt>
                <c:pt idx="1085">
                  <c:v>545.01819999999998</c:v>
                </c:pt>
                <c:pt idx="1086">
                  <c:v>545.21630000000005</c:v>
                </c:pt>
                <c:pt idx="1087">
                  <c:v>545.41549999999995</c:v>
                </c:pt>
                <c:pt idx="1088">
                  <c:v>545.61680000000001</c:v>
                </c:pt>
                <c:pt idx="1089">
                  <c:v>545.81539999999995</c:v>
                </c:pt>
                <c:pt idx="1090">
                  <c:v>546.0154</c:v>
                </c:pt>
                <c:pt idx="1091">
                  <c:v>546.21690000000001</c:v>
                </c:pt>
                <c:pt idx="1092">
                  <c:v>546.41750000000002</c:v>
                </c:pt>
                <c:pt idx="1093">
                  <c:v>546.61599999999999</c:v>
                </c:pt>
                <c:pt idx="1094">
                  <c:v>546.81610000000001</c:v>
                </c:pt>
                <c:pt idx="1095">
                  <c:v>547.01620000000003</c:v>
                </c:pt>
                <c:pt idx="1096">
                  <c:v>547.21640000000002</c:v>
                </c:pt>
                <c:pt idx="1097">
                  <c:v>547.41759999999999</c:v>
                </c:pt>
                <c:pt idx="1098">
                  <c:v>547.6155</c:v>
                </c:pt>
                <c:pt idx="1099">
                  <c:v>547.81709999999998</c:v>
                </c:pt>
                <c:pt idx="1100">
                  <c:v>548.01779999999997</c:v>
                </c:pt>
                <c:pt idx="1101">
                  <c:v>548.21789999999999</c:v>
                </c:pt>
                <c:pt idx="1102">
                  <c:v>548.4194</c:v>
                </c:pt>
                <c:pt idx="1103">
                  <c:v>548.61900000000003</c:v>
                </c:pt>
                <c:pt idx="1104">
                  <c:v>548.81569999999999</c:v>
                </c:pt>
                <c:pt idx="1105">
                  <c:v>549.01559999999995</c:v>
                </c:pt>
                <c:pt idx="1106">
                  <c:v>549.21540000000005</c:v>
                </c:pt>
                <c:pt idx="1107">
                  <c:v>549.41719999999998</c:v>
                </c:pt>
                <c:pt idx="1108">
                  <c:v>549.61800000000005</c:v>
                </c:pt>
                <c:pt idx="1109">
                  <c:v>549.81550000000004</c:v>
                </c:pt>
                <c:pt idx="1110">
                  <c:v>550.01750000000004</c:v>
                </c:pt>
                <c:pt idx="1111">
                  <c:v>550.21609999999998</c:v>
                </c:pt>
                <c:pt idx="1112">
                  <c:v>550.41600000000005</c:v>
                </c:pt>
                <c:pt idx="1113">
                  <c:v>550.61559999999997</c:v>
                </c:pt>
                <c:pt idx="1114">
                  <c:v>550.82539999999995</c:v>
                </c:pt>
                <c:pt idx="1115">
                  <c:v>551.01589999999999</c:v>
                </c:pt>
                <c:pt idx="1116">
                  <c:v>551.21519999999998</c:v>
                </c:pt>
                <c:pt idx="1117">
                  <c:v>551.41660000000002</c:v>
                </c:pt>
                <c:pt idx="1118">
                  <c:v>551.6155</c:v>
                </c:pt>
                <c:pt idx="1119">
                  <c:v>551.81539999999995</c:v>
                </c:pt>
                <c:pt idx="1120">
                  <c:v>552.01790000000005</c:v>
                </c:pt>
                <c:pt idx="1121">
                  <c:v>552.21799999999996</c:v>
                </c:pt>
                <c:pt idx="1122">
                  <c:v>552.41719999999998</c:v>
                </c:pt>
                <c:pt idx="1123">
                  <c:v>552.61770000000001</c:v>
                </c:pt>
                <c:pt idx="1124">
                  <c:v>552.8175</c:v>
                </c:pt>
                <c:pt idx="1125">
                  <c:v>553.02530000000002</c:v>
                </c:pt>
                <c:pt idx="1126">
                  <c:v>553.21799999999996</c:v>
                </c:pt>
                <c:pt idx="1127">
                  <c:v>553.4153</c:v>
                </c:pt>
                <c:pt idx="1128">
                  <c:v>553.61739999999998</c:v>
                </c:pt>
                <c:pt idx="1129">
                  <c:v>553.81790000000001</c:v>
                </c:pt>
                <c:pt idx="1130">
                  <c:v>554.01660000000004</c:v>
                </c:pt>
                <c:pt idx="1131">
                  <c:v>554.21569999999997</c:v>
                </c:pt>
                <c:pt idx="1132">
                  <c:v>554.41639999999995</c:v>
                </c:pt>
                <c:pt idx="1133">
                  <c:v>554.61659999999995</c:v>
                </c:pt>
                <c:pt idx="1134">
                  <c:v>554.81590000000006</c:v>
                </c:pt>
                <c:pt idx="1135">
                  <c:v>555.0154</c:v>
                </c:pt>
                <c:pt idx="1136">
                  <c:v>555.21690000000001</c:v>
                </c:pt>
                <c:pt idx="1137">
                  <c:v>555.41600000000005</c:v>
                </c:pt>
                <c:pt idx="1138">
                  <c:v>555.6173</c:v>
                </c:pt>
                <c:pt idx="1139">
                  <c:v>555.81629999999996</c:v>
                </c:pt>
                <c:pt idx="1140">
                  <c:v>556.01589999999999</c:v>
                </c:pt>
                <c:pt idx="1141">
                  <c:v>556.21630000000005</c:v>
                </c:pt>
                <c:pt idx="1142">
                  <c:v>556.41719999999998</c:v>
                </c:pt>
                <c:pt idx="1143">
                  <c:v>556.61779999999999</c:v>
                </c:pt>
                <c:pt idx="1144">
                  <c:v>556.81730000000005</c:v>
                </c:pt>
                <c:pt idx="1145">
                  <c:v>557.01729999999998</c:v>
                </c:pt>
                <c:pt idx="1146">
                  <c:v>557.21619999999996</c:v>
                </c:pt>
                <c:pt idx="1147">
                  <c:v>557.4171</c:v>
                </c:pt>
                <c:pt idx="1148">
                  <c:v>557.62570000000005</c:v>
                </c:pt>
                <c:pt idx="1149">
                  <c:v>557.81740000000002</c:v>
                </c:pt>
                <c:pt idx="1150">
                  <c:v>558.01700000000005</c:v>
                </c:pt>
                <c:pt idx="1151">
                  <c:v>558.21759999999995</c:v>
                </c:pt>
                <c:pt idx="1152">
                  <c:v>558.41719999999998</c:v>
                </c:pt>
                <c:pt idx="1153">
                  <c:v>558.61659999999995</c:v>
                </c:pt>
                <c:pt idx="1154">
                  <c:v>558.81629999999996</c:v>
                </c:pt>
                <c:pt idx="1155">
                  <c:v>559.01919999999996</c:v>
                </c:pt>
                <c:pt idx="1156">
                  <c:v>559.21699999999998</c:v>
                </c:pt>
                <c:pt idx="1157">
                  <c:v>559.41660000000002</c:v>
                </c:pt>
                <c:pt idx="1158">
                  <c:v>559.61829999999998</c:v>
                </c:pt>
                <c:pt idx="1159">
                  <c:v>559.81579999999997</c:v>
                </c:pt>
                <c:pt idx="1160">
                  <c:v>560.01729999999998</c:v>
                </c:pt>
                <c:pt idx="1161">
                  <c:v>560.21780000000001</c:v>
                </c:pt>
                <c:pt idx="1162">
                  <c:v>560.4171</c:v>
                </c:pt>
                <c:pt idx="1163">
                  <c:v>560.61850000000004</c:v>
                </c:pt>
                <c:pt idx="1164">
                  <c:v>560.81870000000004</c:v>
                </c:pt>
                <c:pt idx="1165">
                  <c:v>561.01689999999996</c:v>
                </c:pt>
                <c:pt idx="1166">
                  <c:v>561.21609999999998</c:v>
                </c:pt>
                <c:pt idx="1167">
                  <c:v>561.41800000000001</c:v>
                </c:pt>
                <c:pt idx="1168">
                  <c:v>561.61649999999997</c:v>
                </c:pt>
                <c:pt idx="1169">
                  <c:v>561.81830000000002</c:v>
                </c:pt>
                <c:pt idx="1170">
                  <c:v>562.01869999999997</c:v>
                </c:pt>
                <c:pt idx="1171">
                  <c:v>562.21590000000003</c:v>
                </c:pt>
                <c:pt idx="1172">
                  <c:v>562.41600000000005</c:v>
                </c:pt>
                <c:pt idx="1173">
                  <c:v>562.61749999999995</c:v>
                </c:pt>
                <c:pt idx="1174">
                  <c:v>562.81619999999998</c:v>
                </c:pt>
                <c:pt idx="1175">
                  <c:v>563.01750000000004</c:v>
                </c:pt>
                <c:pt idx="1176">
                  <c:v>563.21669999999995</c:v>
                </c:pt>
                <c:pt idx="1177">
                  <c:v>563.4171</c:v>
                </c:pt>
                <c:pt idx="1178">
                  <c:v>563.61869999999999</c:v>
                </c:pt>
                <c:pt idx="1179">
                  <c:v>563.81740000000002</c:v>
                </c:pt>
                <c:pt idx="1180">
                  <c:v>564.01700000000005</c:v>
                </c:pt>
                <c:pt idx="1181">
                  <c:v>564.21699999999998</c:v>
                </c:pt>
                <c:pt idx="1182">
                  <c:v>564.41610000000003</c:v>
                </c:pt>
                <c:pt idx="1183">
                  <c:v>564.62049999999999</c:v>
                </c:pt>
                <c:pt idx="1184">
                  <c:v>564.81790000000001</c:v>
                </c:pt>
                <c:pt idx="1185">
                  <c:v>565.01800000000003</c:v>
                </c:pt>
                <c:pt idx="1186">
                  <c:v>565.21810000000005</c:v>
                </c:pt>
                <c:pt idx="1187">
                  <c:v>565.41759999999999</c:v>
                </c:pt>
                <c:pt idx="1188">
                  <c:v>565.61800000000005</c:v>
                </c:pt>
                <c:pt idx="1189">
                  <c:v>565.81659999999999</c:v>
                </c:pt>
                <c:pt idx="1190">
                  <c:v>566.02250000000004</c:v>
                </c:pt>
                <c:pt idx="1191">
                  <c:v>566.21659999999997</c:v>
                </c:pt>
                <c:pt idx="1192">
                  <c:v>566.41639999999995</c:v>
                </c:pt>
                <c:pt idx="1193">
                  <c:v>566.6182</c:v>
                </c:pt>
                <c:pt idx="1194">
                  <c:v>566.81820000000005</c:v>
                </c:pt>
                <c:pt idx="1195">
                  <c:v>567.01689999999996</c:v>
                </c:pt>
                <c:pt idx="1196">
                  <c:v>567.21879999999999</c:v>
                </c:pt>
                <c:pt idx="1197">
                  <c:v>567.41859999999997</c:v>
                </c:pt>
                <c:pt idx="1198">
                  <c:v>567.61760000000004</c:v>
                </c:pt>
                <c:pt idx="1199">
                  <c:v>567.81809999999996</c:v>
                </c:pt>
                <c:pt idx="1200">
                  <c:v>568.01919999999996</c:v>
                </c:pt>
                <c:pt idx="1201">
                  <c:v>568.21709999999996</c:v>
                </c:pt>
                <c:pt idx="1202">
                  <c:v>568.41800000000001</c:v>
                </c:pt>
                <c:pt idx="1203">
                  <c:v>568.61850000000004</c:v>
                </c:pt>
                <c:pt idx="1204">
                  <c:v>568.81669999999997</c:v>
                </c:pt>
                <c:pt idx="1205">
                  <c:v>569.01700000000005</c:v>
                </c:pt>
                <c:pt idx="1206">
                  <c:v>569.21879999999999</c:v>
                </c:pt>
                <c:pt idx="1207">
                  <c:v>569.41849999999999</c:v>
                </c:pt>
                <c:pt idx="1208">
                  <c:v>569.61810000000003</c:v>
                </c:pt>
                <c:pt idx="1209">
                  <c:v>569.81679999999994</c:v>
                </c:pt>
                <c:pt idx="1210">
                  <c:v>570.01760000000002</c:v>
                </c:pt>
                <c:pt idx="1211">
                  <c:v>570.21749999999997</c:v>
                </c:pt>
                <c:pt idx="1212">
                  <c:v>570.41669999999999</c:v>
                </c:pt>
                <c:pt idx="1213">
                  <c:v>570.62019999999995</c:v>
                </c:pt>
                <c:pt idx="1214">
                  <c:v>570.81899999999996</c:v>
                </c:pt>
                <c:pt idx="1215">
                  <c:v>571.01900000000001</c:v>
                </c:pt>
                <c:pt idx="1216">
                  <c:v>571.21780000000001</c:v>
                </c:pt>
                <c:pt idx="1217">
                  <c:v>571.41690000000006</c:v>
                </c:pt>
                <c:pt idx="1218">
                  <c:v>572.01710000000003</c:v>
                </c:pt>
                <c:pt idx="1219">
                  <c:v>572.61800000000005</c:v>
                </c:pt>
                <c:pt idx="1220">
                  <c:v>572.81769999999995</c:v>
                </c:pt>
                <c:pt idx="1221">
                  <c:v>573.01900000000001</c:v>
                </c:pt>
                <c:pt idx="1222">
                  <c:v>573.21720000000005</c:v>
                </c:pt>
                <c:pt idx="1223">
                  <c:v>573.41890000000001</c:v>
                </c:pt>
                <c:pt idx="1224">
                  <c:v>573.61879999999996</c:v>
                </c:pt>
                <c:pt idx="1225">
                  <c:v>573.81880000000001</c:v>
                </c:pt>
                <c:pt idx="1226">
                  <c:v>574.01890000000003</c:v>
                </c:pt>
                <c:pt idx="1227">
                  <c:v>574.21910000000003</c:v>
                </c:pt>
                <c:pt idx="1228">
                  <c:v>574.41909999999996</c:v>
                </c:pt>
                <c:pt idx="1229">
                  <c:v>574.61850000000004</c:v>
                </c:pt>
                <c:pt idx="1230">
                  <c:v>574.81880000000001</c:v>
                </c:pt>
                <c:pt idx="1231">
                  <c:v>575.01949999999999</c:v>
                </c:pt>
                <c:pt idx="1232">
                  <c:v>575.21690000000001</c:v>
                </c:pt>
                <c:pt idx="1233">
                  <c:v>575.41840000000002</c:v>
                </c:pt>
                <c:pt idx="1234">
                  <c:v>575.61919999999998</c:v>
                </c:pt>
                <c:pt idx="1235">
                  <c:v>575.81780000000003</c:v>
                </c:pt>
                <c:pt idx="1236">
                  <c:v>576.01869999999997</c:v>
                </c:pt>
                <c:pt idx="1237">
                  <c:v>576.21810000000005</c:v>
                </c:pt>
                <c:pt idx="1238">
                  <c:v>576.41859999999997</c:v>
                </c:pt>
                <c:pt idx="1239">
                  <c:v>576.61919999999998</c:v>
                </c:pt>
                <c:pt idx="1240">
                  <c:v>576.81700000000001</c:v>
                </c:pt>
                <c:pt idx="1241">
                  <c:v>577.01790000000005</c:v>
                </c:pt>
                <c:pt idx="1242">
                  <c:v>577.2192</c:v>
                </c:pt>
                <c:pt idx="1243">
                  <c:v>577.41790000000003</c:v>
                </c:pt>
                <c:pt idx="1244">
                  <c:v>577.6191</c:v>
                </c:pt>
                <c:pt idx="1245">
                  <c:v>577.81960000000004</c:v>
                </c:pt>
                <c:pt idx="1246">
                  <c:v>578.02290000000005</c:v>
                </c:pt>
                <c:pt idx="1247">
                  <c:v>578.21939999999995</c:v>
                </c:pt>
                <c:pt idx="1248">
                  <c:v>578.41830000000004</c:v>
                </c:pt>
                <c:pt idx="1249">
                  <c:v>578.61869999999999</c:v>
                </c:pt>
                <c:pt idx="1250">
                  <c:v>578.8184</c:v>
                </c:pt>
                <c:pt idx="1251">
                  <c:v>579.01869999999997</c:v>
                </c:pt>
                <c:pt idx="1252">
                  <c:v>579.21860000000004</c:v>
                </c:pt>
                <c:pt idx="1253">
                  <c:v>579.41800000000001</c:v>
                </c:pt>
                <c:pt idx="1254">
                  <c:v>579.61770000000001</c:v>
                </c:pt>
                <c:pt idx="1255">
                  <c:v>579.81880000000001</c:v>
                </c:pt>
                <c:pt idx="1256">
                  <c:v>580.01750000000004</c:v>
                </c:pt>
                <c:pt idx="1257">
                  <c:v>580.21889999999996</c:v>
                </c:pt>
                <c:pt idx="1258">
                  <c:v>580.41859999999997</c:v>
                </c:pt>
                <c:pt idx="1259">
                  <c:v>580.61929999999995</c:v>
                </c:pt>
                <c:pt idx="1260">
                  <c:v>580.8193</c:v>
                </c:pt>
                <c:pt idx="1261">
                  <c:v>581.01769999999999</c:v>
                </c:pt>
                <c:pt idx="1262">
                  <c:v>581.21900000000005</c:v>
                </c:pt>
                <c:pt idx="1263">
                  <c:v>581.41909999999996</c:v>
                </c:pt>
                <c:pt idx="1264">
                  <c:v>581.61969999999997</c:v>
                </c:pt>
                <c:pt idx="1265">
                  <c:v>581.81960000000004</c:v>
                </c:pt>
                <c:pt idx="1266">
                  <c:v>582.01869999999997</c:v>
                </c:pt>
                <c:pt idx="1267">
                  <c:v>582.21849999999995</c:v>
                </c:pt>
                <c:pt idx="1268">
                  <c:v>582.41909999999996</c:v>
                </c:pt>
                <c:pt idx="1269">
                  <c:v>582.61789999999996</c:v>
                </c:pt>
                <c:pt idx="1270">
                  <c:v>582.81920000000002</c:v>
                </c:pt>
                <c:pt idx="1271">
                  <c:v>583.01880000000006</c:v>
                </c:pt>
                <c:pt idx="1272">
                  <c:v>583.22069999999997</c:v>
                </c:pt>
                <c:pt idx="1273">
                  <c:v>583.41819999999996</c:v>
                </c:pt>
                <c:pt idx="1274">
                  <c:v>583.61779999999999</c:v>
                </c:pt>
                <c:pt idx="1275">
                  <c:v>583.81870000000004</c:v>
                </c:pt>
                <c:pt idx="1276">
                  <c:v>584.01760000000002</c:v>
                </c:pt>
                <c:pt idx="1277">
                  <c:v>584.21860000000004</c:v>
                </c:pt>
                <c:pt idx="1278">
                  <c:v>584.42039999999997</c:v>
                </c:pt>
                <c:pt idx="1279">
                  <c:v>584.61800000000005</c:v>
                </c:pt>
                <c:pt idx="1280">
                  <c:v>584.81769999999995</c:v>
                </c:pt>
                <c:pt idx="1281">
                  <c:v>585.01919999999996</c:v>
                </c:pt>
                <c:pt idx="1282">
                  <c:v>585.21939999999995</c:v>
                </c:pt>
                <c:pt idx="1283">
                  <c:v>585.41999999999996</c:v>
                </c:pt>
                <c:pt idx="1284">
                  <c:v>585.6182</c:v>
                </c:pt>
                <c:pt idx="1285">
                  <c:v>585.8184</c:v>
                </c:pt>
                <c:pt idx="1286">
                  <c:v>586.01750000000004</c:v>
                </c:pt>
                <c:pt idx="1287">
                  <c:v>586.21879999999999</c:v>
                </c:pt>
                <c:pt idx="1288">
                  <c:v>586.41780000000006</c:v>
                </c:pt>
                <c:pt idx="1289">
                  <c:v>586.61959999999999</c:v>
                </c:pt>
                <c:pt idx="1290">
                  <c:v>586.81849999999997</c:v>
                </c:pt>
                <c:pt idx="1291">
                  <c:v>587.01930000000004</c:v>
                </c:pt>
                <c:pt idx="1292">
                  <c:v>587.22040000000004</c:v>
                </c:pt>
                <c:pt idx="1293">
                  <c:v>587.41909999999996</c:v>
                </c:pt>
                <c:pt idx="1294">
                  <c:v>587.6191</c:v>
                </c:pt>
                <c:pt idx="1295">
                  <c:v>587.81780000000003</c:v>
                </c:pt>
                <c:pt idx="1296">
                  <c:v>588.01930000000004</c:v>
                </c:pt>
                <c:pt idx="1297">
                  <c:v>588.21910000000003</c:v>
                </c:pt>
                <c:pt idx="1298">
                  <c:v>588.41849999999999</c:v>
                </c:pt>
                <c:pt idx="1299">
                  <c:v>588.61990000000003</c:v>
                </c:pt>
                <c:pt idx="1300">
                  <c:v>588.81820000000005</c:v>
                </c:pt>
                <c:pt idx="1301">
                  <c:v>589.01980000000003</c:v>
                </c:pt>
                <c:pt idx="1302">
                  <c:v>589.21789999999999</c:v>
                </c:pt>
                <c:pt idx="1303">
                  <c:v>589.41830000000004</c:v>
                </c:pt>
                <c:pt idx="1304">
                  <c:v>589.62009999999998</c:v>
                </c:pt>
                <c:pt idx="1305">
                  <c:v>589.81849999999997</c:v>
                </c:pt>
                <c:pt idx="1306">
                  <c:v>590.01940000000002</c:v>
                </c:pt>
                <c:pt idx="1307">
                  <c:v>590.22</c:v>
                </c:pt>
                <c:pt idx="1308">
                  <c:v>590.41769999999997</c:v>
                </c:pt>
                <c:pt idx="1309">
                  <c:v>590.6182</c:v>
                </c:pt>
                <c:pt idx="1310">
                  <c:v>590.8184</c:v>
                </c:pt>
                <c:pt idx="1311">
                  <c:v>591.0204</c:v>
                </c:pt>
                <c:pt idx="1312">
                  <c:v>591.21789999999999</c:v>
                </c:pt>
                <c:pt idx="1313">
                  <c:v>591.41790000000003</c:v>
                </c:pt>
                <c:pt idx="1314">
                  <c:v>591.61959999999999</c:v>
                </c:pt>
                <c:pt idx="1315">
                  <c:v>591.81899999999996</c:v>
                </c:pt>
                <c:pt idx="1316">
                  <c:v>592.01840000000004</c:v>
                </c:pt>
                <c:pt idx="1317">
                  <c:v>592.22029999999995</c:v>
                </c:pt>
                <c:pt idx="1318">
                  <c:v>592.41980000000001</c:v>
                </c:pt>
                <c:pt idx="1319">
                  <c:v>592.62220000000002</c:v>
                </c:pt>
                <c:pt idx="1320">
                  <c:v>592.81979999999999</c:v>
                </c:pt>
                <c:pt idx="1321">
                  <c:v>593.02059999999994</c:v>
                </c:pt>
                <c:pt idx="1322">
                  <c:v>593.21889999999996</c:v>
                </c:pt>
                <c:pt idx="1323">
                  <c:v>593.41989999999998</c:v>
                </c:pt>
                <c:pt idx="1324">
                  <c:v>593.62109999999996</c:v>
                </c:pt>
                <c:pt idx="1325">
                  <c:v>593.82060000000001</c:v>
                </c:pt>
                <c:pt idx="1326">
                  <c:v>594.01980000000003</c:v>
                </c:pt>
                <c:pt idx="1327">
                  <c:v>594.22019999999998</c:v>
                </c:pt>
                <c:pt idx="1328">
                  <c:v>594.41849999999999</c:v>
                </c:pt>
                <c:pt idx="1329">
                  <c:v>594.61850000000004</c:v>
                </c:pt>
                <c:pt idx="1330">
                  <c:v>594.82389999999998</c:v>
                </c:pt>
                <c:pt idx="1331">
                  <c:v>595.01819999999998</c:v>
                </c:pt>
                <c:pt idx="1332">
                  <c:v>595.21889999999996</c:v>
                </c:pt>
                <c:pt idx="1333">
                  <c:v>595.42010000000005</c:v>
                </c:pt>
                <c:pt idx="1334">
                  <c:v>595.62070000000006</c:v>
                </c:pt>
                <c:pt idx="1335">
                  <c:v>595.82060000000001</c:v>
                </c:pt>
                <c:pt idx="1336">
                  <c:v>596.01790000000005</c:v>
                </c:pt>
                <c:pt idx="1337">
                  <c:v>596.22069999999997</c:v>
                </c:pt>
                <c:pt idx="1338">
                  <c:v>596.42079999999999</c:v>
                </c:pt>
                <c:pt idx="1339">
                  <c:v>596.61929999999995</c:v>
                </c:pt>
                <c:pt idx="1340">
                  <c:v>596.81870000000004</c:v>
                </c:pt>
                <c:pt idx="1341">
                  <c:v>597.01829999999995</c:v>
                </c:pt>
                <c:pt idx="1342">
                  <c:v>597.22130000000004</c:v>
                </c:pt>
                <c:pt idx="1343">
                  <c:v>597.41880000000003</c:v>
                </c:pt>
                <c:pt idx="1344">
                  <c:v>597.6182</c:v>
                </c:pt>
                <c:pt idx="1345">
                  <c:v>597.81889999999999</c:v>
                </c:pt>
                <c:pt idx="1346">
                  <c:v>598.01900000000001</c:v>
                </c:pt>
                <c:pt idx="1347">
                  <c:v>598.2183</c:v>
                </c:pt>
                <c:pt idx="1348">
                  <c:v>598.42129999999997</c:v>
                </c:pt>
                <c:pt idx="1349">
                  <c:v>598.61829999999998</c:v>
                </c:pt>
                <c:pt idx="1350">
                  <c:v>598.82039999999995</c:v>
                </c:pt>
                <c:pt idx="1351">
                  <c:v>599.01900000000001</c:v>
                </c:pt>
                <c:pt idx="1352">
                  <c:v>599.22140000000002</c:v>
                </c:pt>
                <c:pt idx="1353">
                  <c:v>599.41859999999997</c:v>
                </c:pt>
                <c:pt idx="1354">
                  <c:v>599.62080000000003</c:v>
                </c:pt>
                <c:pt idx="1355">
                  <c:v>599.82050000000004</c:v>
                </c:pt>
                <c:pt idx="1356">
                  <c:v>600.01859999999999</c:v>
                </c:pt>
                <c:pt idx="1357">
                  <c:v>600.22040000000004</c:v>
                </c:pt>
                <c:pt idx="1358">
                  <c:v>600.41909999999996</c:v>
                </c:pt>
                <c:pt idx="1359">
                  <c:v>600.61900000000003</c:v>
                </c:pt>
                <c:pt idx="1360">
                  <c:v>600.82069999999999</c:v>
                </c:pt>
                <c:pt idx="1361">
                  <c:v>601.01980000000003</c:v>
                </c:pt>
                <c:pt idx="1362">
                  <c:v>601.21950000000004</c:v>
                </c:pt>
                <c:pt idx="1363">
                  <c:v>601.42020000000002</c:v>
                </c:pt>
                <c:pt idx="1364">
                  <c:v>601.62869999999998</c:v>
                </c:pt>
                <c:pt idx="1365">
                  <c:v>601.81910000000005</c:v>
                </c:pt>
                <c:pt idx="1366">
                  <c:v>602.01880000000006</c:v>
                </c:pt>
                <c:pt idx="1367">
                  <c:v>602.2192</c:v>
                </c:pt>
                <c:pt idx="1368">
                  <c:v>602.42070000000001</c:v>
                </c:pt>
                <c:pt idx="1369">
                  <c:v>602.61829999999998</c:v>
                </c:pt>
                <c:pt idx="1370">
                  <c:v>602.81880000000001</c:v>
                </c:pt>
                <c:pt idx="1371">
                  <c:v>603.02419999999995</c:v>
                </c:pt>
                <c:pt idx="1372">
                  <c:v>603.21889999999996</c:v>
                </c:pt>
                <c:pt idx="1373">
                  <c:v>603.41970000000003</c:v>
                </c:pt>
                <c:pt idx="1374">
                  <c:v>603.61980000000005</c:v>
                </c:pt>
                <c:pt idx="1375">
                  <c:v>603.82039999999995</c:v>
                </c:pt>
                <c:pt idx="1376">
                  <c:v>604.02080000000001</c:v>
                </c:pt>
                <c:pt idx="1377">
                  <c:v>604.21860000000004</c:v>
                </c:pt>
                <c:pt idx="1378">
                  <c:v>604.42110000000002</c:v>
                </c:pt>
                <c:pt idx="1379">
                  <c:v>604.62009999999998</c:v>
                </c:pt>
                <c:pt idx="1380">
                  <c:v>604.81899999999996</c:v>
                </c:pt>
                <c:pt idx="1381">
                  <c:v>605.01919999999996</c:v>
                </c:pt>
                <c:pt idx="1382">
                  <c:v>605.22199999999998</c:v>
                </c:pt>
                <c:pt idx="1383">
                  <c:v>605.42219999999998</c:v>
                </c:pt>
                <c:pt idx="1384">
                  <c:v>605.61850000000004</c:v>
                </c:pt>
                <c:pt idx="1385">
                  <c:v>605.81870000000004</c:v>
                </c:pt>
                <c:pt idx="1386">
                  <c:v>606.01869999999997</c:v>
                </c:pt>
                <c:pt idx="1387">
                  <c:v>606.22059999999999</c:v>
                </c:pt>
                <c:pt idx="1388">
                  <c:v>606.41970000000003</c:v>
                </c:pt>
                <c:pt idx="1389">
                  <c:v>606.61990000000003</c:v>
                </c:pt>
                <c:pt idx="1390">
                  <c:v>606.82079999999996</c:v>
                </c:pt>
                <c:pt idx="1391">
                  <c:v>607.01880000000006</c:v>
                </c:pt>
                <c:pt idx="1392">
                  <c:v>607.21969999999999</c:v>
                </c:pt>
                <c:pt idx="1393">
                  <c:v>607.41899999999998</c:v>
                </c:pt>
                <c:pt idx="1394">
                  <c:v>607.61879999999996</c:v>
                </c:pt>
                <c:pt idx="1395">
                  <c:v>607.81910000000005</c:v>
                </c:pt>
                <c:pt idx="1396">
                  <c:v>608.0204</c:v>
                </c:pt>
                <c:pt idx="1397">
                  <c:v>608.22230000000002</c:v>
                </c:pt>
                <c:pt idx="1398">
                  <c:v>608.4203</c:v>
                </c:pt>
                <c:pt idx="1399">
                  <c:v>608.61879999999996</c:v>
                </c:pt>
                <c:pt idx="1400">
                  <c:v>608.82069999999999</c:v>
                </c:pt>
                <c:pt idx="1401">
                  <c:v>609.0213</c:v>
                </c:pt>
                <c:pt idx="1402">
                  <c:v>609.22029999999995</c:v>
                </c:pt>
                <c:pt idx="1403">
                  <c:v>609.42079999999999</c:v>
                </c:pt>
                <c:pt idx="1404">
                  <c:v>609.61980000000005</c:v>
                </c:pt>
                <c:pt idx="1405">
                  <c:v>609.8193</c:v>
                </c:pt>
                <c:pt idx="1406">
                  <c:v>610.02239999999995</c:v>
                </c:pt>
                <c:pt idx="1407">
                  <c:v>610.2192</c:v>
                </c:pt>
                <c:pt idx="1408">
                  <c:v>610.41989999999998</c:v>
                </c:pt>
                <c:pt idx="1409">
                  <c:v>610.62080000000003</c:v>
                </c:pt>
                <c:pt idx="1410">
                  <c:v>610.81979999999999</c:v>
                </c:pt>
                <c:pt idx="1411">
                  <c:v>611.02120000000002</c:v>
                </c:pt>
                <c:pt idx="1412">
                  <c:v>611.221</c:v>
                </c:pt>
                <c:pt idx="1413">
                  <c:v>611.41890000000001</c:v>
                </c:pt>
                <c:pt idx="1414">
                  <c:v>611.62009999999998</c:v>
                </c:pt>
                <c:pt idx="1415">
                  <c:v>611.82169999999996</c:v>
                </c:pt>
                <c:pt idx="1416">
                  <c:v>612.0204</c:v>
                </c:pt>
                <c:pt idx="1417">
                  <c:v>612.21969999999999</c:v>
                </c:pt>
                <c:pt idx="1418">
                  <c:v>612.41959999999995</c:v>
                </c:pt>
                <c:pt idx="1419">
                  <c:v>612.62120000000004</c:v>
                </c:pt>
                <c:pt idx="1420">
                  <c:v>612.82069999999999</c:v>
                </c:pt>
                <c:pt idx="1421">
                  <c:v>613.0204</c:v>
                </c:pt>
                <c:pt idx="1422">
                  <c:v>613.21990000000005</c:v>
                </c:pt>
                <c:pt idx="1423">
                  <c:v>613.42160000000001</c:v>
                </c:pt>
                <c:pt idx="1424">
                  <c:v>613.62049999999999</c:v>
                </c:pt>
                <c:pt idx="1425">
                  <c:v>613.81979999999999</c:v>
                </c:pt>
                <c:pt idx="1426">
                  <c:v>614.02080000000001</c:v>
                </c:pt>
                <c:pt idx="1427">
                  <c:v>614.21950000000004</c:v>
                </c:pt>
                <c:pt idx="1428">
                  <c:v>614.41920000000005</c:v>
                </c:pt>
                <c:pt idx="1429">
                  <c:v>614.62070000000006</c:v>
                </c:pt>
                <c:pt idx="1430">
                  <c:v>614.82069999999999</c:v>
                </c:pt>
                <c:pt idx="1431">
                  <c:v>615.01969999999994</c:v>
                </c:pt>
                <c:pt idx="1432">
                  <c:v>615.22029999999995</c:v>
                </c:pt>
                <c:pt idx="1433">
                  <c:v>615.48490000000004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0.23991000000000895</c:v>
                </c:pt>
                <c:pt idx="2">
                  <c:v>0.44016999999999767</c:v>
                </c:pt>
                <c:pt idx="3">
                  <c:v>0.64152999999998883</c:v>
                </c:pt>
                <c:pt idx="4">
                  <c:v>0.83976000000000683</c:v>
                </c:pt>
                <c:pt idx="5">
                  <c:v>1.0402999999999907</c:v>
                </c:pt>
                <c:pt idx="6">
                  <c:v>1.2402999999999935</c:v>
                </c:pt>
                <c:pt idx="7">
                  <c:v>1.4401699999999977</c:v>
                </c:pt>
                <c:pt idx="8">
                  <c:v>1.6402200000000051</c:v>
                </c:pt>
                <c:pt idx="9">
                  <c:v>1.8404299999999894</c:v>
                </c:pt>
                <c:pt idx="10">
                  <c:v>2.0408799999999898</c:v>
                </c:pt>
                <c:pt idx="11">
                  <c:v>2.2404800000000025</c:v>
                </c:pt>
                <c:pt idx="12">
                  <c:v>2.4413699999999978</c:v>
                </c:pt>
                <c:pt idx="13">
                  <c:v>2.6404900000000082</c:v>
                </c:pt>
                <c:pt idx="14">
                  <c:v>2.8408400000000058</c:v>
                </c:pt>
                <c:pt idx="15">
                  <c:v>3.0402899999999904</c:v>
                </c:pt>
                <c:pt idx="16">
                  <c:v>3.2407699999999777</c:v>
                </c:pt>
                <c:pt idx="17">
                  <c:v>3.4400599999999857</c:v>
                </c:pt>
                <c:pt idx="18">
                  <c:v>3.6400399999999848</c:v>
                </c:pt>
                <c:pt idx="19">
                  <c:v>3.8405400000000043</c:v>
                </c:pt>
                <c:pt idx="20">
                  <c:v>4.040609999999992</c:v>
                </c:pt>
                <c:pt idx="21">
                  <c:v>4.2400899999999977</c:v>
                </c:pt>
                <c:pt idx="22">
                  <c:v>4.4403199999999945</c:v>
                </c:pt>
                <c:pt idx="23">
                  <c:v>4.6404200000000033</c:v>
                </c:pt>
                <c:pt idx="24">
                  <c:v>4.8405299999999958</c:v>
                </c:pt>
                <c:pt idx="25">
                  <c:v>5.0402899999999988</c:v>
                </c:pt>
                <c:pt idx="26">
                  <c:v>5.2404599999999872</c:v>
                </c:pt>
                <c:pt idx="27">
                  <c:v>5.4406400000000072</c:v>
                </c:pt>
                <c:pt idx="28">
                  <c:v>5.6410000000000107</c:v>
                </c:pt>
                <c:pt idx="29">
                  <c:v>5.8402299999999938</c:v>
                </c:pt>
                <c:pt idx="30">
                  <c:v>6.0404600000000102</c:v>
                </c:pt>
                <c:pt idx="31">
                  <c:v>6.2407199999999987</c:v>
                </c:pt>
                <c:pt idx="32">
                  <c:v>6.4413199999999957</c:v>
                </c:pt>
                <c:pt idx="33">
                  <c:v>6.6407599999999976</c:v>
                </c:pt>
                <c:pt idx="34">
                  <c:v>6.8416699999999961</c:v>
                </c:pt>
                <c:pt idx="35">
                  <c:v>7.0406700000000004</c:v>
                </c:pt>
                <c:pt idx="36">
                  <c:v>7.2401899999999983</c:v>
                </c:pt>
                <c:pt idx="37">
                  <c:v>7.4406199999999787</c:v>
                </c:pt>
                <c:pt idx="38">
                  <c:v>7.6407000000000007</c:v>
                </c:pt>
                <c:pt idx="39">
                  <c:v>7.8416799999999851</c:v>
                </c:pt>
                <c:pt idx="40">
                  <c:v>8.0408199999999823</c:v>
                </c:pt>
                <c:pt idx="41">
                  <c:v>8.2408099999999909</c:v>
                </c:pt>
                <c:pt idx="42">
                  <c:v>8.4405899999999949</c:v>
                </c:pt>
                <c:pt idx="43">
                  <c:v>8.6404200000000007</c:v>
                </c:pt>
                <c:pt idx="44">
                  <c:v>8.8409500000000101</c:v>
                </c:pt>
                <c:pt idx="45">
                  <c:v>9.0412799999999898</c:v>
                </c:pt>
                <c:pt idx="46">
                  <c:v>9.2410599999999956</c:v>
                </c:pt>
                <c:pt idx="47">
                  <c:v>9.4414400000000036</c:v>
                </c:pt>
                <c:pt idx="48">
                  <c:v>9.6410299999999829</c:v>
                </c:pt>
                <c:pt idx="49">
                  <c:v>9.8412499999999916</c:v>
                </c:pt>
                <c:pt idx="50">
                  <c:v>10.041259999999991</c:v>
                </c:pt>
                <c:pt idx="51">
                  <c:v>10.240549999999994</c:v>
                </c:pt>
                <c:pt idx="52">
                  <c:v>10.441970000000003</c:v>
                </c:pt>
                <c:pt idx="53">
                  <c:v>10.640319999999994</c:v>
                </c:pt>
                <c:pt idx="54">
                  <c:v>10.841769999999997</c:v>
                </c:pt>
                <c:pt idx="55">
                  <c:v>11.040899999999985</c:v>
                </c:pt>
                <c:pt idx="56">
                  <c:v>11.240599999999992</c:v>
                </c:pt>
                <c:pt idx="57">
                  <c:v>11.440770000000004</c:v>
                </c:pt>
                <c:pt idx="58">
                  <c:v>11.640650000000003</c:v>
                </c:pt>
                <c:pt idx="59">
                  <c:v>11.840490000000003</c:v>
                </c:pt>
                <c:pt idx="60">
                  <c:v>12.041119999999992</c:v>
                </c:pt>
                <c:pt idx="61">
                  <c:v>12.240930000000001</c:v>
                </c:pt>
                <c:pt idx="62">
                  <c:v>12.440279999999992</c:v>
                </c:pt>
                <c:pt idx="63">
                  <c:v>12.640989999999993</c:v>
                </c:pt>
                <c:pt idx="64">
                  <c:v>12.841029999999986</c:v>
                </c:pt>
                <c:pt idx="65">
                  <c:v>13.041079999999988</c:v>
                </c:pt>
                <c:pt idx="66">
                  <c:v>13.241169999999991</c:v>
                </c:pt>
                <c:pt idx="67">
                  <c:v>13.441809999999998</c:v>
                </c:pt>
                <c:pt idx="68">
                  <c:v>13.641229999999997</c:v>
                </c:pt>
                <c:pt idx="69">
                  <c:v>13.841019999999995</c:v>
                </c:pt>
                <c:pt idx="70">
                  <c:v>14.041979999999992</c:v>
                </c:pt>
                <c:pt idx="71">
                  <c:v>14.241429999999994</c:v>
                </c:pt>
                <c:pt idx="72">
                  <c:v>14.441240000000004</c:v>
                </c:pt>
                <c:pt idx="73">
                  <c:v>14.640529999999993</c:v>
                </c:pt>
                <c:pt idx="74">
                  <c:v>14.841329999999996</c:v>
                </c:pt>
                <c:pt idx="75">
                  <c:v>15.040899999999985</c:v>
                </c:pt>
                <c:pt idx="76">
                  <c:v>15.241439999999992</c:v>
                </c:pt>
                <c:pt idx="77">
                  <c:v>15.440890000000001</c:v>
                </c:pt>
                <c:pt idx="78">
                  <c:v>15.645922222222216</c:v>
                </c:pt>
                <c:pt idx="79">
                  <c:v>15.846200000000003</c:v>
                </c:pt>
                <c:pt idx="80">
                  <c:v>16.045544444444435</c:v>
                </c:pt>
                <c:pt idx="81">
                  <c:v>16.245155555555559</c:v>
                </c:pt>
                <c:pt idx="82">
                  <c:v>16.445322222222217</c:v>
                </c:pt>
                <c:pt idx="83">
                  <c:v>16.690477777777783</c:v>
                </c:pt>
                <c:pt idx="84">
                  <c:v>16.89009999999999</c:v>
                </c:pt>
                <c:pt idx="85">
                  <c:v>17.090233333333337</c:v>
                </c:pt>
                <c:pt idx="86">
                  <c:v>17.289999999999978</c:v>
                </c:pt>
                <c:pt idx="87">
                  <c:v>17.489633333333337</c:v>
                </c:pt>
                <c:pt idx="88">
                  <c:v>17.689166666666658</c:v>
                </c:pt>
                <c:pt idx="89">
                  <c:v>17.890088888888886</c:v>
                </c:pt>
                <c:pt idx="90">
                  <c:v>18.089588888888883</c:v>
                </c:pt>
                <c:pt idx="91">
                  <c:v>18.289799999999993</c:v>
                </c:pt>
                <c:pt idx="92">
                  <c:v>18.490444444444439</c:v>
                </c:pt>
                <c:pt idx="93">
                  <c:v>18.689911111111108</c:v>
                </c:pt>
                <c:pt idx="94">
                  <c:v>18.889633333333325</c:v>
                </c:pt>
                <c:pt idx="95">
                  <c:v>19.089855555555559</c:v>
                </c:pt>
                <c:pt idx="96">
                  <c:v>19.290011111111106</c:v>
                </c:pt>
                <c:pt idx="97">
                  <c:v>19.490011111111102</c:v>
                </c:pt>
                <c:pt idx="98">
                  <c:v>19.690311111111111</c:v>
                </c:pt>
                <c:pt idx="99">
                  <c:v>19.890277777777758</c:v>
                </c:pt>
                <c:pt idx="100">
                  <c:v>20.090188888888878</c:v>
                </c:pt>
                <c:pt idx="101">
                  <c:v>20.297911111111112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2197"/>
  <sheetViews>
    <sheetView workbookViewId="0">
      <selection activeCell="N16" sqref="N16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</v>
      </c>
      <c r="C2">
        <v>0</v>
      </c>
      <c r="D2">
        <v>-2.0999999999999999E-3</v>
      </c>
      <c r="E2">
        <v>5.9957334838115024</v>
      </c>
      <c r="F2">
        <v>606.80236069123202</v>
      </c>
      <c r="G2">
        <v>0.42399999999999999</v>
      </c>
      <c r="H2">
        <v>0</v>
      </c>
      <c r="I2">
        <v>174.00020000000001</v>
      </c>
    </row>
    <row r="3" spans="1:9" x14ac:dyDescent="0.3">
      <c r="A3" t="s">
        <v>9</v>
      </c>
      <c r="B3" t="s">
        <v>11</v>
      </c>
      <c r="C3">
        <v>0</v>
      </c>
      <c r="D3">
        <v>-2.0999999999999999E-3</v>
      </c>
      <c r="E3">
        <v>5.9957334838115024</v>
      </c>
      <c r="F3">
        <v>606.80236069123202</v>
      </c>
      <c r="G3">
        <v>0.42399999999999999</v>
      </c>
      <c r="H3">
        <v>0</v>
      </c>
      <c r="I3">
        <v>174.2003</v>
      </c>
    </row>
    <row r="4" spans="1:9" x14ac:dyDescent="0.3">
      <c r="A4" t="s">
        <v>9</v>
      </c>
      <c r="B4" t="s">
        <v>12</v>
      </c>
      <c r="C4">
        <v>0</v>
      </c>
      <c r="D4">
        <v>-2.0999999999999999E-3</v>
      </c>
      <c r="E4">
        <v>5.9957334838115024</v>
      </c>
      <c r="F4">
        <v>606.80236069123202</v>
      </c>
      <c r="G4">
        <v>0.42399999999999999</v>
      </c>
      <c r="H4">
        <v>0</v>
      </c>
      <c r="I4">
        <v>174.3999</v>
      </c>
    </row>
    <row r="5" spans="1:9" x14ac:dyDescent="0.3">
      <c r="A5" t="s">
        <v>9</v>
      </c>
      <c r="B5" t="s">
        <v>13</v>
      </c>
      <c r="C5">
        <v>0</v>
      </c>
      <c r="D5">
        <v>-2.0999999999999999E-3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174.59970000000001</v>
      </c>
    </row>
    <row r="6" spans="1:9" x14ac:dyDescent="0.3">
      <c r="A6" t="s">
        <v>9</v>
      </c>
      <c r="B6" t="s">
        <v>14</v>
      </c>
      <c r="C6">
        <v>0</v>
      </c>
      <c r="D6">
        <v>-2.0999999999999999E-3</v>
      </c>
      <c r="E6">
        <v>5.9957334838115024</v>
      </c>
      <c r="F6">
        <v>606.80236069123202</v>
      </c>
      <c r="G6">
        <v>0.42399999999999999</v>
      </c>
      <c r="H6">
        <v>0</v>
      </c>
      <c r="I6">
        <v>174.7998</v>
      </c>
    </row>
    <row r="7" spans="1:9" x14ac:dyDescent="0.3">
      <c r="A7" t="s">
        <v>9</v>
      </c>
      <c r="B7" t="s">
        <v>15</v>
      </c>
      <c r="C7">
        <v>0</v>
      </c>
      <c r="D7">
        <v>-2.0999999999999999E-3</v>
      </c>
      <c r="E7">
        <v>5.9957334838115024</v>
      </c>
      <c r="F7">
        <v>606.80236069123202</v>
      </c>
      <c r="G7">
        <v>0.42399999999999999</v>
      </c>
      <c r="H7">
        <v>0</v>
      </c>
      <c r="I7">
        <v>175.00139999999999</v>
      </c>
    </row>
    <row r="8" spans="1:9" x14ac:dyDescent="0.3">
      <c r="A8" t="s">
        <v>9</v>
      </c>
      <c r="B8" t="s">
        <v>16</v>
      </c>
      <c r="C8">
        <v>0</v>
      </c>
      <c r="D8">
        <v>-2.0999999999999999E-3</v>
      </c>
      <c r="E8">
        <v>6.5538246404726674</v>
      </c>
      <c r="F8">
        <v>761.95795838085621</v>
      </c>
      <c r="G8">
        <v>0.42399999999999999</v>
      </c>
      <c r="H8">
        <v>8.6999999999999994E-3</v>
      </c>
      <c r="I8">
        <v>175.2011</v>
      </c>
    </row>
    <row r="9" spans="1:9" x14ac:dyDescent="0.3">
      <c r="A9" t="s">
        <v>9</v>
      </c>
      <c r="B9" t="s">
        <v>17</v>
      </c>
      <c r="C9">
        <v>0</v>
      </c>
      <c r="D9">
        <v>5.0000000000000001E-4</v>
      </c>
      <c r="E9">
        <v>6.7345814734523701</v>
      </c>
      <c r="F9">
        <v>779.11178183062998</v>
      </c>
      <c r="G9">
        <v>0.42399999999999999</v>
      </c>
      <c r="H9">
        <v>1.15E-2</v>
      </c>
      <c r="I9">
        <v>175.40090000000001</v>
      </c>
    </row>
    <row r="10" spans="1:9" x14ac:dyDescent="0.3">
      <c r="A10" t="s">
        <v>9</v>
      </c>
      <c r="B10" t="s">
        <v>18</v>
      </c>
      <c r="C10">
        <v>0</v>
      </c>
      <c r="D10">
        <v>7.9000000000000008E-3</v>
      </c>
      <c r="E10">
        <v>6.9287707414368453</v>
      </c>
      <c r="F10">
        <v>797.54034336235668</v>
      </c>
      <c r="G10">
        <v>0.42399999999999999</v>
      </c>
      <c r="H10">
        <v>1.4500000000000001E-2</v>
      </c>
      <c r="I10">
        <v>175.59909999999999</v>
      </c>
    </row>
    <row r="11" spans="1:9" x14ac:dyDescent="0.3">
      <c r="A11" t="s">
        <v>9</v>
      </c>
      <c r="B11" t="s">
        <v>19</v>
      </c>
      <c r="C11">
        <v>0</v>
      </c>
      <c r="D11">
        <v>1.3299999999999999E-2</v>
      </c>
      <c r="E11">
        <v>7.1347109572259937</v>
      </c>
      <c r="F11">
        <v>817.08406984074679</v>
      </c>
      <c r="G11">
        <v>0.42399999999999999</v>
      </c>
      <c r="H11">
        <v>1.77E-2</v>
      </c>
      <c r="I11">
        <v>175.7989</v>
      </c>
    </row>
    <row r="12" spans="1:9" x14ac:dyDescent="0.3">
      <c r="A12" t="s">
        <v>9</v>
      </c>
      <c r="B12" t="s">
        <v>20</v>
      </c>
      <c r="C12">
        <v>0</v>
      </c>
      <c r="D12">
        <v>1.7600000000000001E-2</v>
      </c>
      <c r="E12">
        <v>7.3457702412334243</v>
      </c>
      <c r="F12">
        <v>837.11359589305198</v>
      </c>
      <c r="G12">
        <v>0.42399999999999999</v>
      </c>
      <c r="H12">
        <v>2.1000000000000001E-2</v>
      </c>
      <c r="I12">
        <v>175.99860000000001</v>
      </c>
    </row>
    <row r="13" spans="1:9" x14ac:dyDescent="0.3">
      <c r="A13" t="s">
        <v>9</v>
      </c>
      <c r="B13" t="s">
        <v>21</v>
      </c>
      <c r="C13">
        <v>0</v>
      </c>
      <c r="D13">
        <v>1.9800000000000002E-2</v>
      </c>
      <c r="E13">
        <v>7.5591893650056372</v>
      </c>
      <c r="F13">
        <v>857.36707073903506</v>
      </c>
      <c r="G13">
        <v>0.42399999999999999</v>
      </c>
      <c r="H13">
        <v>2.4299999999999999E-2</v>
      </c>
      <c r="I13">
        <v>176.2004</v>
      </c>
    </row>
    <row r="14" spans="1:9" x14ac:dyDescent="0.3">
      <c r="A14" t="s">
        <v>9</v>
      </c>
      <c r="B14" t="s">
        <v>22</v>
      </c>
      <c r="C14">
        <v>0</v>
      </c>
      <c r="D14">
        <v>2.3400000000000001E-2</v>
      </c>
      <c r="E14">
        <v>7.765273117440274</v>
      </c>
      <c r="F14">
        <v>876.92441884508207</v>
      </c>
      <c r="G14">
        <v>0.42399999999999999</v>
      </c>
      <c r="H14">
        <v>2.75E-2</v>
      </c>
      <c r="I14">
        <v>176.40029999999999</v>
      </c>
    </row>
    <row r="15" spans="1:9" x14ac:dyDescent="0.3">
      <c r="A15" t="s">
        <v>9</v>
      </c>
      <c r="B15" t="s">
        <v>23</v>
      </c>
      <c r="C15">
        <v>0</v>
      </c>
      <c r="D15">
        <v>2.75E-2</v>
      </c>
      <c r="E15">
        <v>7.9609496521356116</v>
      </c>
      <c r="F15">
        <v>895.4941219876697</v>
      </c>
      <c r="G15">
        <v>0.42399999999999999</v>
      </c>
      <c r="H15">
        <v>3.0499999999999999E-2</v>
      </c>
      <c r="I15">
        <v>176.6001</v>
      </c>
    </row>
    <row r="16" spans="1:9" x14ac:dyDescent="0.3">
      <c r="A16" t="s">
        <v>9</v>
      </c>
      <c r="B16" t="s">
        <v>24</v>
      </c>
      <c r="C16">
        <v>0</v>
      </c>
      <c r="D16">
        <v>3.0599999999999999E-2</v>
      </c>
      <c r="E16">
        <v>6.2061873594421639</v>
      </c>
      <c r="F16">
        <v>626.41666190000967</v>
      </c>
      <c r="G16">
        <v>0.42399999999999999</v>
      </c>
      <c r="H16">
        <v>3.3E-3</v>
      </c>
      <c r="I16">
        <v>176.80019999999999</v>
      </c>
    </row>
    <row r="17" spans="1:9" x14ac:dyDescent="0.3">
      <c r="A17" t="s">
        <v>9</v>
      </c>
      <c r="B17" t="s">
        <v>25</v>
      </c>
      <c r="C17">
        <v>0</v>
      </c>
      <c r="D17">
        <v>2.2200000000000001E-2</v>
      </c>
      <c r="E17">
        <v>6.2536933667317651</v>
      </c>
      <c r="F17">
        <v>733.47550050284451</v>
      </c>
      <c r="G17">
        <v>0.42399999999999999</v>
      </c>
      <c r="H17">
        <v>4.0000000000000001E-3</v>
      </c>
      <c r="I17">
        <v>176.99930000000001</v>
      </c>
    </row>
    <row r="18" spans="1:9" x14ac:dyDescent="0.3">
      <c r="A18" t="s">
        <v>9</v>
      </c>
      <c r="B18" t="s">
        <v>26</v>
      </c>
      <c r="C18">
        <v>0</v>
      </c>
      <c r="D18">
        <v>1.7899999999999999E-2</v>
      </c>
      <c r="E18">
        <v>6.3055357620509946</v>
      </c>
      <c r="F18">
        <v>738.39534381863939</v>
      </c>
      <c r="G18">
        <v>0.42399999999999999</v>
      </c>
      <c r="H18">
        <v>4.7999999999999996E-3</v>
      </c>
      <c r="I18">
        <v>177.1986</v>
      </c>
    </row>
    <row r="19" spans="1:9" x14ac:dyDescent="0.3">
      <c r="A19" t="s">
        <v>9</v>
      </c>
      <c r="B19" t="s">
        <v>27</v>
      </c>
      <c r="C19">
        <v>0</v>
      </c>
      <c r="D19">
        <v>1.78E-2</v>
      </c>
      <c r="E19">
        <v>6.3616134615418867</v>
      </c>
      <c r="F19">
        <v>743.71711750032512</v>
      </c>
      <c r="G19">
        <v>0.42399999999999999</v>
      </c>
      <c r="H19">
        <v>5.7000000000000002E-3</v>
      </c>
      <c r="I19">
        <v>177.39850000000001</v>
      </c>
    </row>
    <row r="20" spans="1:9" x14ac:dyDescent="0.3">
      <c r="A20" t="s">
        <v>9</v>
      </c>
      <c r="B20" t="s">
        <v>28</v>
      </c>
      <c r="C20">
        <v>0</v>
      </c>
      <c r="D20">
        <v>1.78E-2</v>
      </c>
      <c r="E20">
        <v>6.4225895720689294</v>
      </c>
      <c r="F20">
        <v>749.50375038934146</v>
      </c>
      <c r="G20">
        <v>0.42399999999999999</v>
      </c>
      <c r="H20">
        <v>6.6E-3</v>
      </c>
      <c r="I20">
        <v>177.60159999999999</v>
      </c>
    </row>
    <row r="21" spans="1:9" x14ac:dyDescent="0.3">
      <c r="A21" t="s">
        <v>9</v>
      </c>
      <c r="B21" t="s">
        <v>29</v>
      </c>
      <c r="C21">
        <v>0</v>
      </c>
      <c r="D21">
        <v>1.78E-2</v>
      </c>
      <c r="E21">
        <v>6.4854225358954292</v>
      </c>
      <c r="F21">
        <v>755.46659865647621</v>
      </c>
      <c r="G21">
        <v>0.42399999999999999</v>
      </c>
      <c r="H21">
        <v>7.6E-3</v>
      </c>
      <c r="I21">
        <v>177.7989</v>
      </c>
    </row>
    <row r="22" spans="1:9" x14ac:dyDescent="0.3">
      <c r="A22" t="s">
        <v>9</v>
      </c>
      <c r="B22" t="s">
        <v>30</v>
      </c>
      <c r="C22">
        <v>0</v>
      </c>
      <c r="D22">
        <v>1.78E-2</v>
      </c>
      <c r="E22">
        <v>6.5529577440092464</v>
      </c>
      <c r="F22">
        <v>761.87568990647753</v>
      </c>
      <c r="G22">
        <v>0.42399999999999999</v>
      </c>
      <c r="H22">
        <v>8.6999999999999994E-3</v>
      </c>
      <c r="I22">
        <v>178.00020000000001</v>
      </c>
    </row>
    <row r="23" spans="1:9" x14ac:dyDescent="0.3">
      <c r="A23" t="s">
        <v>9</v>
      </c>
      <c r="B23" t="s">
        <v>31</v>
      </c>
      <c r="C23">
        <v>0</v>
      </c>
      <c r="D23">
        <v>1.78E-2</v>
      </c>
      <c r="E23">
        <v>6.6233393567878034</v>
      </c>
      <c r="F23">
        <v>768.55490495916263</v>
      </c>
      <c r="G23">
        <v>0.42399999999999999</v>
      </c>
      <c r="H23">
        <v>9.7999999999999997E-3</v>
      </c>
      <c r="I23">
        <v>178.20070000000001</v>
      </c>
    </row>
    <row r="24" spans="1:9" x14ac:dyDescent="0.3">
      <c r="A24" t="s">
        <v>9</v>
      </c>
      <c r="B24" t="s">
        <v>32</v>
      </c>
      <c r="C24">
        <v>0</v>
      </c>
      <c r="D24">
        <v>1.78E-2</v>
      </c>
      <c r="E24">
        <v>6.6956189781469382</v>
      </c>
      <c r="F24">
        <v>775.41424102614451</v>
      </c>
      <c r="G24">
        <v>0.42399999999999999</v>
      </c>
      <c r="H24">
        <v>1.09E-2</v>
      </c>
      <c r="I24">
        <v>178.39850000000001</v>
      </c>
    </row>
    <row r="25" spans="1:9" x14ac:dyDescent="0.3">
      <c r="A25" t="s">
        <v>9</v>
      </c>
      <c r="B25" t="s">
        <v>33</v>
      </c>
      <c r="C25">
        <v>0</v>
      </c>
      <c r="D25">
        <v>1.78E-2</v>
      </c>
      <c r="E25">
        <v>6.7715993310409823</v>
      </c>
      <c r="F25">
        <v>782.62477651578922</v>
      </c>
      <c r="G25">
        <v>0.42399999999999999</v>
      </c>
      <c r="H25">
        <v>1.21E-2</v>
      </c>
      <c r="I25">
        <v>178.5994</v>
      </c>
    </row>
    <row r="26" spans="1:9" x14ac:dyDescent="0.3">
      <c r="A26" t="s">
        <v>9</v>
      </c>
      <c r="B26" t="s">
        <v>34</v>
      </c>
      <c r="C26">
        <v>0</v>
      </c>
      <c r="D26">
        <v>1.78E-2</v>
      </c>
      <c r="E26">
        <v>6.8496179853950903</v>
      </c>
      <c r="F26">
        <v>790.02874681399408</v>
      </c>
      <c r="G26">
        <v>0.42399999999999999</v>
      </c>
      <c r="H26">
        <v>1.3299999999999999E-2</v>
      </c>
      <c r="I26">
        <v>178.7996</v>
      </c>
    </row>
    <row r="27" spans="1:9" x14ac:dyDescent="0.3">
      <c r="A27" t="s">
        <v>9</v>
      </c>
      <c r="B27" t="s">
        <v>35</v>
      </c>
      <c r="C27">
        <v>0</v>
      </c>
      <c r="D27">
        <v>1.7999999999999999E-2</v>
      </c>
      <c r="E27">
        <v>6.929968502032235</v>
      </c>
      <c r="F27">
        <v>797.65401084285918</v>
      </c>
      <c r="G27">
        <v>0.42399999999999999</v>
      </c>
      <c r="H27">
        <v>1.4500000000000001E-2</v>
      </c>
      <c r="I27">
        <v>179.0008</v>
      </c>
    </row>
    <row r="28" spans="1:9" x14ac:dyDescent="0.3">
      <c r="A28" t="s">
        <v>9</v>
      </c>
      <c r="B28" t="s">
        <v>36</v>
      </c>
      <c r="C28">
        <v>0</v>
      </c>
      <c r="D28">
        <v>1.7999999999999999E-2</v>
      </c>
      <c r="E28">
        <v>7.0106020372528546</v>
      </c>
      <c r="F28">
        <v>805.30613333529607</v>
      </c>
      <c r="G28">
        <v>0.42399999999999999</v>
      </c>
      <c r="H28">
        <v>1.5800000000000002E-2</v>
      </c>
      <c r="I28">
        <v>179.1986</v>
      </c>
    </row>
    <row r="29" spans="1:9" x14ac:dyDescent="0.3">
      <c r="A29" t="s">
        <v>9</v>
      </c>
      <c r="B29" t="s">
        <v>37</v>
      </c>
      <c r="C29">
        <v>0</v>
      </c>
      <c r="D29">
        <v>1.83E-2</v>
      </c>
      <c r="E29">
        <v>7.0944136522116823</v>
      </c>
      <c r="F29">
        <v>813.25985559488868</v>
      </c>
      <c r="G29">
        <v>0.42399999999999999</v>
      </c>
      <c r="H29">
        <v>1.7100000000000001E-2</v>
      </c>
      <c r="I29">
        <v>179.40090000000001</v>
      </c>
    </row>
    <row r="30" spans="1:9" x14ac:dyDescent="0.3">
      <c r="A30" t="s">
        <v>9</v>
      </c>
      <c r="B30" t="s">
        <v>38</v>
      </c>
      <c r="C30">
        <v>0</v>
      </c>
      <c r="D30">
        <v>1.8700000000000001E-2</v>
      </c>
      <c r="E30">
        <v>7.1781417401960166</v>
      </c>
      <c r="F30">
        <v>821.20565114460214</v>
      </c>
      <c r="G30">
        <v>0.42399999999999999</v>
      </c>
      <c r="H30">
        <v>1.84E-2</v>
      </c>
      <c r="I30">
        <v>179.60059999999999</v>
      </c>
    </row>
    <row r="31" spans="1:9" x14ac:dyDescent="0.3">
      <c r="A31" t="s">
        <v>9</v>
      </c>
      <c r="B31" t="s">
        <v>39</v>
      </c>
      <c r="C31">
        <v>0</v>
      </c>
      <c r="D31">
        <v>1.9199999999999998E-2</v>
      </c>
      <c r="E31">
        <v>7.2623239554203121</v>
      </c>
      <c r="F31">
        <v>829.1945433693877</v>
      </c>
      <c r="G31">
        <v>0.42399999999999999</v>
      </c>
      <c r="H31">
        <v>1.9699999999999999E-2</v>
      </c>
      <c r="I31">
        <v>179.7997</v>
      </c>
    </row>
    <row r="32" spans="1:9" x14ac:dyDescent="0.3">
      <c r="A32" t="s">
        <v>9</v>
      </c>
      <c r="B32" t="s">
        <v>40</v>
      </c>
      <c r="C32">
        <v>0</v>
      </c>
      <c r="D32">
        <v>0.02</v>
      </c>
      <c r="E32">
        <v>7.347648381747252</v>
      </c>
      <c r="F32">
        <v>837.29183142781426</v>
      </c>
      <c r="G32">
        <v>0.42399999999999999</v>
      </c>
      <c r="H32">
        <v>2.1000000000000001E-2</v>
      </c>
      <c r="I32">
        <v>180.0008</v>
      </c>
    </row>
    <row r="33" spans="1:9" x14ac:dyDescent="0.3">
      <c r="A33" t="s">
        <v>9</v>
      </c>
      <c r="B33" t="s">
        <v>41</v>
      </c>
      <c r="C33">
        <v>0</v>
      </c>
      <c r="D33">
        <v>2.1299999999999999E-2</v>
      </c>
      <c r="E33">
        <v>7.4320398198785256</v>
      </c>
      <c r="F33">
        <v>845.3005789064722</v>
      </c>
      <c r="G33">
        <v>0.42399999999999999</v>
      </c>
      <c r="H33">
        <v>2.23E-2</v>
      </c>
      <c r="I33">
        <v>180.19970000000001</v>
      </c>
    </row>
    <row r="34" spans="1:9" x14ac:dyDescent="0.3">
      <c r="A34" t="s">
        <v>9</v>
      </c>
      <c r="B34" t="s">
        <v>42</v>
      </c>
      <c r="C34">
        <v>0</v>
      </c>
      <c r="D34">
        <v>2.3400000000000001E-2</v>
      </c>
      <c r="E34">
        <v>7.5162492016430678</v>
      </c>
      <c r="F34">
        <v>853.29204923592715</v>
      </c>
      <c r="G34">
        <v>0.42399999999999999</v>
      </c>
      <c r="H34">
        <v>2.3599999999999999E-2</v>
      </c>
      <c r="I34">
        <v>180.3989</v>
      </c>
    </row>
    <row r="35" spans="1:9" x14ac:dyDescent="0.3">
      <c r="A35" t="s">
        <v>9</v>
      </c>
      <c r="B35" t="s">
        <v>43</v>
      </c>
      <c r="C35">
        <v>0</v>
      </c>
      <c r="D35">
        <v>2.4899999999999999E-2</v>
      </c>
      <c r="E35">
        <v>7.6001921891248854</v>
      </c>
      <c r="F35">
        <v>861.25823874795162</v>
      </c>
      <c r="G35">
        <v>0.42399999999999999</v>
      </c>
      <c r="H35">
        <v>2.4899999999999999E-2</v>
      </c>
      <c r="I35">
        <v>180.59909999999999</v>
      </c>
    </row>
    <row r="36" spans="1:9" x14ac:dyDescent="0.3">
      <c r="A36" t="s">
        <v>9</v>
      </c>
      <c r="B36" t="s">
        <v>44</v>
      </c>
      <c r="C36">
        <v>0</v>
      </c>
      <c r="D36">
        <v>2.6200000000000001E-2</v>
      </c>
      <c r="E36">
        <v>7.6832196236532848</v>
      </c>
      <c r="F36">
        <v>869.13754228469679</v>
      </c>
      <c r="G36">
        <v>0.42399999999999999</v>
      </c>
      <c r="H36">
        <v>2.6200000000000001E-2</v>
      </c>
      <c r="I36">
        <v>180.79949999999999</v>
      </c>
    </row>
    <row r="37" spans="1:9" x14ac:dyDescent="0.3">
      <c r="A37" t="s">
        <v>9</v>
      </c>
      <c r="B37" t="s">
        <v>45</v>
      </c>
      <c r="C37">
        <v>0</v>
      </c>
      <c r="D37">
        <v>2.7199999999999998E-2</v>
      </c>
      <c r="E37">
        <v>7.7651571528057852</v>
      </c>
      <c r="F37">
        <v>876.91341380126903</v>
      </c>
      <c r="G37">
        <v>0.42399999999999999</v>
      </c>
      <c r="H37">
        <v>2.75E-2</v>
      </c>
      <c r="I37">
        <v>181.00049999999999</v>
      </c>
    </row>
    <row r="38" spans="1:9" x14ac:dyDescent="0.3">
      <c r="A38" t="s">
        <v>9</v>
      </c>
      <c r="B38" t="s">
        <v>46</v>
      </c>
      <c r="C38">
        <v>0</v>
      </c>
      <c r="D38">
        <v>2.8799999999999999E-2</v>
      </c>
      <c r="E38">
        <v>7.8446379346842603</v>
      </c>
      <c r="F38">
        <v>884.45614000153637</v>
      </c>
      <c r="G38">
        <v>0.42399999999999999</v>
      </c>
      <c r="H38">
        <v>2.87E-2</v>
      </c>
      <c r="I38">
        <v>181.1995</v>
      </c>
    </row>
    <row r="39" spans="1:9" x14ac:dyDescent="0.3">
      <c r="A39" t="s">
        <v>9</v>
      </c>
      <c r="B39" t="s">
        <v>47</v>
      </c>
      <c r="C39">
        <v>0</v>
      </c>
      <c r="D39">
        <v>2.9899999999999999E-2</v>
      </c>
      <c r="E39">
        <v>7.9233515659038041</v>
      </c>
      <c r="F39">
        <v>891.92606360427101</v>
      </c>
      <c r="G39">
        <v>0.42399999999999999</v>
      </c>
      <c r="H39">
        <v>0.03</v>
      </c>
      <c r="I39">
        <v>181.4015</v>
      </c>
    </row>
    <row r="40" spans="1:9" x14ac:dyDescent="0.3">
      <c r="A40" t="s">
        <v>9</v>
      </c>
      <c r="B40" t="s">
        <v>48</v>
      </c>
      <c r="C40">
        <v>0</v>
      </c>
      <c r="D40">
        <v>3.0599999999999999E-2</v>
      </c>
      <c r="E40">
        <v>7.9986750561829094</v>
      </c>
      <c r="F40">
        <v>899.07426283175812</v>
      </c>
      <c r="G40">
        <v>0.42399999999999999</v>
      </c>
      <c r="H40">
        <v>3.1099999999999999E-2</v>
      </c>
      <c r="I40">
        <v>181.60069999999999</v>
      </c>
    </row>
    <row r="41" spans="1:9" x14ac:dyDescent="0.3">
      <c r="A41" t="s">
        <v>9</v>
      </c>
      <c r="B41" t="s">
        <v>49</v>
      </c>
      <c r="C41">
        <v>0</v>
      </c>
      <c r="D41">
        <v>3.2300000000000002E-2</v>
      </c>
      <c r="E41">
        <v>8.0714797621632446</v>
      </c>
      <c r="F41">
        <v>905.98342942929196</v>
      </c>
      <c r="G41">
        <v>0.42399999999999999</v>
      </c>
      <c r="H41">
        <v>3.2300000000000002E-2</v>
      </c>
      <c r="I41">
        <v>181.79990000000001</v>
      </c>
    </row>
    <row r="42" spans="1:9" x14ac:dyDescent="0.3">
      <c r="A42" t="s">
        <v>9</v>
      </c>
      <c r="B42" t="s">
        <v>50</v>
      </c>
      <c r="C42">
        <v>0</v>
      </c>
      <c r="D42">
        <v>3.32E-2</v>
      </c>
      <c r="E42">
        <v>8.1414145461753424</v>
      </c>
      <c r="F42">
        <v>912.62024043204008</v>
      </c>
      <c r="G42">
        <v>0.42399999999999999</v>
      </c>
      <c r="H42">
        <v>3.3300000000000003E-2</v>
      </c>
      <c r="I42">
        <v>181.9991</v>
      </c>
    </row>
    <row r="43" spans="1:9" x14ac:dyDescent="0.3">
      <c r="A43" t="s">
        <v>9</v>
      </c>
      <c r="B43" t="s">
        <v>51</v>
      </c>
      <c r="C43">
        <v>0</v>
      </c>
      <c r="D43">
        <v>3.39E-2</v>
      </c>
      <c r="E43">
        <v>8.208511845879201</v>
      </c>
      <c r="F43">
        <v>918.98777417393626</v>
      </c>
      <c r="G43">
        <v>0.42399999999999999</v>
      </c>
      <c r="H43">
        <v>3.44E-2</v>
      </c>
      <c r="I43">
        <v>182.19900000000001</v>
      </c>
    </row>
    <row r="44" spans="1:9" x14ac:dyDescent="0.3">
      <c r="A44" t="s">
        <v>9</v>
      </c>
      <c r="B44" t="s">
        <v>52</v>
      </c>
      <c r="C44">
        <v>0</v>
      </c>
      <c r="D44">
        <v>3.4599999999999999E-2</v>
      </c>
      <c r="E44">
        <v>8.2721853505703731</v>
      </c>
      <c r="F44">
        <v>925.03038976912842</v>
      </c>
      <c r="G44">
        <v>0.42399999999999999</v>
      </c>
      <c r="H44">
        <v>3.5400000000000001E-2</v>
      </c>
      <c r="I44">
        <v>182.3989</v>
      </c>
    </row>
    <row r="45" spans="1:9" x14ac:dyDescent="0.3">
      <c r="A45" t="s">
        <v>9</v>
      </c>
      <c r="B45" t="s">
        <v>53</v>
      </c>
      <c r="C45">
        <v>0</v>
      </c>
      <c r="D45">
        <v>3.5700000000000003E-2</v>
      </c>
      <c r="E45">
        <v>8.3323535606281158</v>
      </c>
      <c r="F45">
        <v>930.74035290360825</v>
      </c>
      <c r="G45">
        <v>0.42399999999999999</v>
      </c>
      <c r="H45">
        <v>3.6299999999999999E-2</v>
      </c>
      <c r="I45">
        <v>182.5993</v>
      </c>
    </row>
    <row r="46" spans="1:9" x14ac:dyDescent="0.3">
      <c r="A46" t="s">
        <v>9</v>
      </c>
      <c r="B46" t="s">
        <v>54</v>
      </c>
      <c r="C46">
        <v>0</v>
      </c>
      <c r="D46">
        <v>3.6999999999999998E-2</v>
      </c>
      <c r="E46">
        <v>8.388497878963225</v>
      </c>
      <c r="F46">
        <v>936.06844871361011</v>
      </c>
      <c r="G46">
        <v>0.42399999999999999</v>
      </c>
      <c r="H46">
        <v>3.7199999999999997E-2</v>
      </c>
      <c r="I46">
        <v>182.79920000000001</v>
      </c>
    </row>
    <row r="47" spans="1:9" x14ac:dyDescent="0.3">
      <c r="A47" t="s">
        <v>9</v>
      </c>
      <c r="B47" t="s">
        <v>55</v>
      </c>
      <c r="C47">
        <v>0</v>
      </c>
      <c r="D47">
        <v>3.7400000000000003E-2</v>
      </c>
      <c r="E47">
        <v>8.440442331270221</v>
      </c>
      <c r="F47">
        <v>940.99797723754398</v>
      </c>
      <c r="G47">
        <v>0.42399999999999999</v>
      </c>
      <c r="H47">
        <v>3.7999999999999999E-2</v>
      </c>
      <c r="I47">
        <v>182.99879999999999</v>
      </c>
    </row>
    <row r="48" spans="1:9" x14ac:dyDescent="0.3">
      <c r="A48" t="s">
        <v>9</v>
      </c>
      <c r="B48" t="s">
        <v>56</v>
      </c>
      <c r="C48">
        <v>0</v>
      </c>
      <c r="D48">
        <v>3.78E-2</v>
      </c>
      <c r="E48">
        <v>8.4881613728918524</v>
      </c>
      <c r="F48">
        <v>945.52651428743684</v>
      </c>
      <c r="G48">
        <v>0.42399999999999999</v>
      </c>
      <c r="H48">
        <v>3.8699999999999998E-2</v>
      </c>
      <c r="I48">
        <v>183.1986</v>
      </c>
    </row>
    <row r="49" spans="1:9" x14ac:dyDescent="0.3">
      <c r="A49" t="s">
        <v>9</v>
      </c>
      <c r="B49" t="s">
        <v>57</v>
      </c>
      <c r="C49">
        <v>0</v>
      </c>
      <c r="D49">
        <v>3.9300000000000002E-2</v>
      </c>
      <c r="E49">
        <v>8.5314092885536432</v>
      </c>
      <c r="F49">
        <v>949.63074148374074</v>
      </c>
      <c r="G49">
        <v>0.42399999999999999</v>
      </c>
      <c r="H49">
        <v>3.9399999999999998E-2</v>
      </c>
      <c r="I49">
        <v>183.39859999999999</v>
      </c>
    </row>
    <row r="50" spans="1:9" x14ac:dyDescent="0.3">
      <c r="A50" t="s">
        <v>9</v>
      </c>
      <c r="B50" t="s">
        <v>58</v>
      </c>
      <c r="C50">
        <v>0</v>
      </c>
      <c r="D50">
        <v>3.9899999999999998E-2</v>
      </c>
      <c r="E50">
        <v>8.5703052866560832</v>
      </c>
      <c r="F50">
        <v>953.32197170366237</v>
      </c>
      <c r="G50">
        <v>0.42399999999999999</v>
      </c>
      <c r="H50">
        <v>0.04</v>
      </c>
      <c r="I50">
        <v>183.60040000000001</v>
      </c>
    </row>
    <row r="51" spans="1:9" x14ac:dyDescent="0.3">
      <c r="A51" t="s">
        <v>9</v>
      </c>
      <c r="B51" t="s">
        <v>59</v>
      </c>
      <c r="C51">
        <v>0</v>
      </c>
      <c r="D51">
        <v>4.0599999999999997E-2</v>
      </c>
      <c r="E51">
        <v>8.6037760861240198</v>
      </c>
      <c r="F51">
        <v>956.49835057316955</v>
      </c>
      <c r="G51">
        <v>0.42399999999999999</v>
      </c>
      <c r="H51">
        <v>4.0500000000000001E-2</v>
      </c>
      <c r="I51">
        <v>183.7988</v>
      </c>
    </row>
    <row r="52" spans="1:9" x14ac:dyDescent="0.3">
      <c r="A52" t="s">
        <v>9</v>
      </c>
      <c r="B52" t="s">
        <v>60</v>
      </c>
      <c r="C52">
        <v>0</v>
      </c>
      <c r="D52">
        <v>4.0899999999999999E-2</v>
      </c>
      <c r="E52">
        <v>8.6325207185303885</v>
      </c>
      <c r="F52">
        <v>959.22621618853395</v>
      </c>
      <c r="G52">
        <v>0.42399999999999999</v>
      </c>
      <c r="H52">
        <v>4.1000000000000002E-2</v>
      </c>
      <c r="I52">
        <v>183.99850000000001</v>
      </c>
    </row>
    <row r="53" spans="1:9" x14ac:dyDescent="0.3">
      <c r="A53" t="s">
        <v>9</v>
      </c>
      <c r="B53" t="s">
        <v>61</v>
      </c>
      <c r="C53">
        <v>0</v>
      </c>
      <c r="D53">
        <v>4.1000000000000002E-2</v>
      </c>
      <c r="E53">
        <v>8.6565294525771908</v>
      </c>
      <c r="F53">
        <v>961.5046450495754</v>
      </c>
      <c r="G53">
        <v>0.42399999999999999</v>
      </c>
      <c r="H53">
        <v>4.1300000000000003E-2</v>
      </c>
      <c r="I53">
        <v>184.2011</v>
      </c>
    </row>
    <row r="54" spans="1:9" x14ac:dyDescent="0.3">
      <c r="A54" t="s">
        <v>9</v>
      </c>
      <c r="B54" t="s">
        <v>62</v>
      </c>
      <c r="C54">
        <v>0</v>
      </c>
      <c r="D54">
        <v>4.1200000000000001E-2</v>
      </c>
      <c r="E54">
        <v>8.6748615961245132</v>
      </c>
      <c r="F54">
        <v>963.24436547221637</v>
      </c>
      <c r="G54">
        <v>0.42399999999999999</v>
      </c>
      <c r="H54">
        <v>4.1599999999999998E-2</v>
      </c>
      <c r="I54">
        <v>184.3991</v>
      </c>
    </row>
    <row r="55" spans="1:9" x14ac:dyDescent="0.3">
      <c r="A55" t="s">
        <v>9</v>
      </c>
      <c r="B55" t="s">
        <v>63</v>
      </c>
      <c r="C55">
        <v>0</v>
      </c>
      <c r="D55">
        <v>4.24E-2</v>
      </c>
      <c r="E55">
        <v>8.6882113150962912</v>
      </c>
      <c r="F55">
        <v>964.51125380263807</v>
      </c>
      <c r="G55">
        <v>0.42399999999999999</v>
      </c>
      <c r="H55">
        <v>4.1799999999999997E-2</v>
      </c>
      <c r="I55">
        <v>184.59989999999999</v>
      </c>
    </row>
    <row r="56" spans="1:9" x14ac:dyDescent="0.3">
      <c r="A56" t="s">
        <v>9</v>
      </c>
      <c r="B56" t="s">
        <v>64</v>
      </c>
      <c r="C56">
        <v>0</v>
      </c>
      <c r="D56">
        <v>4.3400000000000001E-2</v>
      </c>
      <c r="E56">
        <v>8.6962181459958092</v>
      </c>
      <c r="F56">
        <v>965.2711020550023</v>
      </c>
      <c r="G56">
        <v>0.42399999999999999</v>
      </c>
      <c r="H56">
        <v>4.2000000000000003E-2</v>
      </c>
      <c r="I56">
        <v>184.8005</v>
      </c>
    </row>
    <row r="57" spans="1:9" x14ac:dyDescent="0.3">
      <c r="A57" t="s">
        <v>9</v>
      </c>
      <c r="B57" t="s">
        <v>65</v>
      </c>
      <c r="C57">
        <v>0</v>
      </c>
      <c r="D57">
        <v>4.3700000000000003E-2</v>
      </c>
      <c r="E57">
        <v>8.6988719520543132</v>
      </c>
      <c r="F57">
        <v>965.52294824995442</v>
      </c>
      <c r="G57">
        <v>0.42399999999999999</v>
      </c>
      <c r="H57">
        <v>4.2000000000000003E-2</v>
      </c>
      <c r="I57">
        <v>185.0001</v>
      </c>
    </row>
    <row r="58" spans="1:9" x14ac:dyDescent="0.3">
      <c r="A58" t="s">
        <v>9</v>
      </c>
      <c r="B58" t="s">
        <v>66</v>
      </c>
      <c r="C58">
        <v>0</v>
      </c>
      <c r="D58">
        <v>4.3700000000000003E-2</v>
      </c>
      <c r="E58">
        <v>8.6961804372160607</v>
      </c>
      <c r="F58">
        <v>858.48401674853687</v>
      </c>
      <c r="G58">
        <v>0.42399999999999999</v>
      </c>
      <c r="H58">
        <v>4.2000000000000003E-2</v>
      </c>
      <c r="I58">
        <v>185.20089999999999</v>
      </c>
    </row>
    <row r="59" spans="1:9" x14ac:dyDescent="0.3">
      <c r="A59" t="s">
        <v>9</v>
      </c>
      <c r="B59" t="s">
        <v>67</v>
      </c>
      <c r="C59">
        <v>0</v>
      </c>
      <c r="D59">
        <v>4.2700000000000002E-2</v>
      </c>
      <c r="E59">
        <v>8.6881723899042935</v>
      </c>
      <c r="F59">
        <v>857.73766673908017</v>
      </c>
      <c r="G59">
        <v>0.42399999999999999</v>
      </c>
      <c r="H59">
        <v>4.1799999999999997E-2</v>
      </c>
      <c r="I59">
        <v>185.4008</v>
      </c>
    </row>
    <row r="60" spans="1:9" x14ac:dyDescent="0.3">
      <c r="A60" t="s">
        <v>9</v>
      </c>
      <c r="B60" t="s">
        <v>68</v>
      </c>
      <c r="C60">
        <v>0</v>
      </c>
      <c r="D60">
        <v>4.2099999999999999E-2</v>
      </c>
      <c r="E60">
        <v>8.6743105613753126</v>
      </c>
      <c r="F60">
        <v>856.44574432017919</v>
      </c>
      <c r="G60">
        <v>0.42399999999999999</v>
      </c>
      <c r="H60">
        <v>4.1599999999999998E-2</v>
      </c>
      <c r="I60">
        <v>185.6078</v>
      </c>
    </row>
    <row r="61" spans="1:9" x14ac:dyDescent="0.3">
      <c r="A61" t="s">
        <v>9</v>
      </c>
      <c r="B61" t="s">
        <v>69</v>
      </c>
      <c r="C61">
        <v>0</v>
      </c>
      <c r="D61">
        <v>4.2000000000000003E-2</v>
      </c>
      <c r="E61">
        <v>8.6565339127554406</v>
      </c>
      <c r="F61">
        <v>854.78896066880714</v>
      </c>
      <c r="G61">
        <v>0.42399999999999999</v>
      </c>
      <c r="H61">
        <v>4.1300000000000003E-2</v>
      </c>
      <c r="I61">
        <v>185.7988</v>
      </c>
    </row>
    <row r="62" spans="1:9" x14ac:dyDescent="0.3">
      <c r="A62" t="s">
        <v>9</v>
      </c>
      <c r="B62" t="s">
        <v>70</v>
      </c>
      <c r="C62">
        <v>0</v>
      </c>
      <c r="D62">
        <v>4.1799999999999997E-2</v>
      </c>
      <c r="E62">
        <v>8.6328146848241119</v>
      </c>
      <c r="F62">
        <v>852.57832862560724</v>
      </c>
      <c r="G62">
        <v>0.42399999999999999</v>
      </c>
      <c r="H62">
        <v>4.1000000000000002E-2</v>
      </c>
      <c r="I62">
        <v>185.99930000000001</v>
      </c>
    </row>
    <row r="63" spans="1:9" x14ac:dyDescent="0.3">
      <c r="A63" t="s">
        <v>9</v>
      </c>
      <c r="B63" t="s">
        <v>71</v>
      </c>
      <c r="C63">
        <v>0</v>
      </c>
      <c r="D63">
        <v>4.1799999999999997E-2</v>
      </c>
      <c r="E63">
        <v>8.6040278834597448</v>
      </c>
      <c r="F63">
        <v>849.89539873844819</v>
      </c>
      <c r="G63">
        <v>0.42399999999999999</v>
      </c>
      <c r="H63">
        <v>4.0500000000000001E-2</v>
      </c>
      <c r="I63">
        <v>186.1996</v>
      </c>
    </row>
    <row r="64" spans="1:9" x14ac:dyDescent="0.3">
      <c r="A64" t="s">
        <v>9</v>
      </c>
      <c r="B64" t="s">
        <v>72</v>
      </c>
      <c r="C64">
        <v>0</v>
      </c>
      <c r="D64">
        <v>4.1700000000000001E-2</v>
      </c>
      <c r="E64">
        <v>8.5702383839823408</v>
      </c>
      <c r="F64">
        <v>846.74621738715416</v>
      </c>
      <c r="G64">
        <v>0.42399999999999999</v>
      </c>
      <c r="H64">
        <v>0.04</v>
      </c>
      <c r="I64">
        <v>186.4</v>
      </c>
    </row>
    <row r="65" spans="1:9" x14ac:dyDescent="0.3">
      <c r="A65" t="s">
        <v>9</v>
      </c>
      <c r="B65" t="s">
        <v>73</v>
      </c>
      <c r="C65">
        <v>0</v>
      </c>
      <c r="D65">
        <v>4.1099999999999998E-2</v>
      </c>
      <c r="E65">
        <v>8.5318549009078541</v>
      </c>
      <c r="F65">
        <v>843.16887676461204</v>
      </c>
      <c r="G65">
        <v>0.42399999999999999</v>
      </c>
      <c r="H65">
        <v>3.9399999999999998E-2</v>
      </c>
      <c r="I65">
        <v>186.5992</v>
      </c>
    </row>
    <row r="66" spans="1:9" x14ac:dyDescent="0.3">
      <c r="A66" t="s">
        <v>9</v>
      </c>
      <c r="B66" t="s">
        <v>74</v>
      </c>
      <c r="C66">
        <v>0</v>
      </c>
      <c r="D66">
        <v>4.1000000000000002E-2</v>
      </c>
      <c r="E66">
        <v>8.4885745475860652</v>
      </c>
      <c r="F66">
        <v>839.13514783502126</v>
      </c>
      <c r="G66">
        <v>0.42399999999999999</v>
      </c>
      <c r="H66">
        <v>3.8699999999999998E-2</v>
      </c>
      <c r="I66">
        <v>186.79949999999999</v>
      </c>
    </row>
    <row r="67" spans="1:9" x14ac:dyDescent="0.3">
      <c r="A67" t="s">
        <v>9</v>
      </c>
      <c r="B67" t="s">
        <v>75</v>
      </c>
      <c r="C67">
        <v>0</v>
      </c>
      <c r="D67">
        <v>4.02E-2</v>
      </c>
      <c r="E67">
        <v>8.440789819702939</v>
      </c>
      <c r="F67">
        <v>834.68161119631395</v>
      </c>
      <c r="G67">
        <v>0.42399999999999999</v>
      </c>
      <c r="H67">
        <v>3.7999999999999999E-2</v>
      </c>
      <c r="I67">
        <v>186.99979999999999</v>
      </c>
    </row>
    <row r="68" spans="1:9" x14ac:dyDescent="0.3">
      <c r="A68" t="s">
        <v>9</v>
      </c>
      <c r="B68" t="s">
        <v>76</v>
      </c>
      <c r="C68">
        <v>0</v>
      </c>
      <c r="D68">
        <v>3.9600000000000003E-2</v>
      </c>
      <c r="E68">
        <v>8.3888976731226901</v>
      </c>
      <c r="F68">
        <v>829.84526313503477</v>
      </c>
      <c r="G68">
        <v>0.42399999999999999</v>
      </c>
      <c r="H68">
        <v>3.7199999999999997E-2</v>
      </c>
      <c r="I68">
        <v>187.19929999999999</v>
      </c>
    </row>
    <row r="69" spans="1:9" x14ac:dyDescent="0.3">
      <c r="A69" t="s">
        <v>9</v>
      </c>
      <c r="B69" t="s">
        <v>77</v>
      </c>
      <c r="C69">
        <v>0</v>
      </c>
      <c r="D69">
        <v>3.9600000000000003E-2</v>
      </c>
      <c r="E69">
        <v>8.332757814965829</v>
      </c>
      <c r="F69">
        <v>824.61302835481524</v>
      </c>
      <c r="G69">
        <v>0.42399999999999999</v>
      </c>
      <c r="H69">
        <v>3.6299999999999999E-2</v>
      </c>
      <c r="I69">
        <v>187.39930000000001</v>
      </c>
    </row>
    <row r="70" spans="1:9" x14ac:dyDescent="0.3">
      <c r="A70" t="s">
        <v>9</v>
      </c>
      <c r="B70" t="s">
        <v>78</v>
      </c>
      <c r="C70">
        <v>0</v>
      </c>
      <c r="D70">
        <v>3.9399999999999998E-2</v>
      </c>
      <c r="E70">
        <v>5.9957334838115024</v>
      </c>
      <c r="F70">
        <v>606.80236069123202</v>
      </c>
      <c r="G70">
        <v>0.42399999999999999</v>
      </c>
      <c r="H70">
        <v>0</v>
      </c>
      <c r="I70">
        <v>187.5994</v>
      </c>
    </row>
    <row r="71" spans="1:9" x14ac:dyDescent="0.3">
      <c r="A71" t="s">
        <v>9</v>
      </c>
      <c r="B71" t="s">
        <v>79</v>
      </c>
      <c r="C71">
        <v>0</v>
      </c>
      <c r="D71">
        <v>2.9700000000000001E-2</v>
      </c>
      <c r="E71">
        <v>5.9957334838115024</v>
      </c>
      <c r="F71">
        <v>606.80236069123202</v>
      </c>
      <c r="G71">
        <v>0.42399999999999999</v>
      </c>
      <c r="H71">
        <v>0</v>
      </c>
      <c r="I71">
        <v>187.79949999999999</v>
      </c>
    </row>
    <row r="72" spans="1:9" x14ac:dyDescent="0.3">
      <c r="A72" t="s">
        <v>9</v>
      </c>
      <c r="B72" t="s">
        <v>80</v>
      </c>
      <c r="C72">
        <v>0</v>
      </c>
      <c r="D72">
        <v>1.6199999999999999E-2</v>
      </c>
      <c r="E72">
        <v>5.9957334838115024</v>
      </c>
      <c r="F72">
        <v>606.80236069123202</v>
      </c>
      <c r="G72">
        <v>0.42399999999999999</v>
      </c>
      <c r="H72">
        <v>0</v>
      </c>
      <c r="I72">
        <v>187.9991</v>
      </c>
    </row>
    <row r="73" spans="1:9" x14ac:dyDescent="0.3">
      <c r="A73" t="s">
        <v>9</v>
      </c>
      <c r="B73" t="s">
        <v>81</v>
      </c>
      <c r="C73">
        <v>0</v>
      </c>
      <c r="D73">
        <v>4.7000000000000002E-3</v>
      </c>
      <c r="E73">
        <v>5.9957334838115024</v>
      </c>
      <c r="F73">
        <v>606.80236069123202</v>
      </c>
      <c r="G73">
        <v>0.42399999999999999</v>
      </c>
      <c r="H73">
        <v>0</v>
      </c>
      <c r="I73">
        <v>188.1986</v>
      </c>
    </row>
    <row r="74" spans="1:9" x14ac:dyDescent="0.3">
      <c r="A74" t="s">
        <v>9</v>
      </c>
      <c r="B74" t="s">
        <v>82</v>
      </c>
      <c r="C74">
        <v>0</v>
      </c>
      <c r="D74">
        <v>-1E-4</v>
      </c>
      <c r="E74">
        <v>5.9957334838115024</v>
      </c>
      <c r="F74">
        <v>606.80236069123202</v>
      </c>
      <c r="G74">
        <v>0.42399999999999999</v>
      </c>
      <c r="H74">
        <v>0</v>
      </c>
      <c r="I74">
        <v>188.40090000000001</v>
      </c>
    </row>
    <row r="75" spans="1:9" x14ac:dyDescent="0.3">
      <c r="A75" t="s">
        <v>9</v>
      </c>
      <c r="B75" t="s">
        <v>83</v>
      </c>
      <c r="C75">
        <v>0</v>
      </c>
      <c r="D75">
        <v>-4.0000000000000002E-4</v>
      </c>
      <c r="E75">
        <v>5.9957334838115024</v>
      </c>
      <c r="F75">
        <v>606.80236069123202</v>
      </c>
      <c r="G75">
        <v>0.42399999999999999</v>
      </c>
      <c r="H75">
        <v>0</v>
      </c>
      <c r="I75">
        <v>188.601</v>
      </c>
    </row>
    <row r="76" spans="1:9" x14ac:dyDescent="0.3">
      <c r="A76" t="s">
        <v>9</v>
      </c>
      <c r="B76" t="s">
        <v>84</v>
      </c>
      <c r="C76">
        <v>0</v>
      </c>
      <c r="D76">
        <v>-1E-3</v>
      </c>
      <c r="E76">
        <v>5.9957334838115024</v>
      </c>
      <c r="F76">
        <v>606.80236069123202</v>
      </c>
      <c r="G76">
        <v>0.42399999999999999</v>
      </c>
      <c r="H76">
        <v>0</v>
      </c>
      <c r="I76">
        <v>188.8</v>
      </c>
    </row>
    <row r="77" spans="1:9" x14ac:dyDescent="0.3">
      <c r="A77" t="s">
        <v>9</v>
      </c>
      <c r="B77" t="s">
        <v>85</v>
      </c>
      <c r="C77">
        <v>0</v>
      </c>
      <c r="D77">
        <v>-1.1000000000000001E-3</v>
      </c>
      <c r="E77">
        <v>5.9957334838115024</v>
      </c>
      <c r="F77">
        <v>606.80236069123202</v>
      </c>
      <c r="G77">
        <v>0.42399999999999999</v>
      </c>
      <c r="H77">
        <v>0</v>
      </c>
      <c r="I77">
        <v>188.9992</v>
      </c>
    </row>
    <row r="78" spans="1:9" x14ac:dyDescent="0.3">
      <c r="A78" t="s">
        <v>9</v>
      </c>
      <c r="B78" t="s">
        <v>86</v>
      </c>
      <c r="C78">
        <v>0</v>
      </c>
      <c r="D78">
        <v>-1.1000000000000001E-3</v>
      </c>
      <c r="E78">
        <v>5.9957334838115024</v>
      </c>
      <c r="F78">
        <v>606.80236069123202</v>
      </c>
      <c r="G78">
        <v>0.42399999999999999</v>
      </c>
      <c r="H78">
        <v>0</v>
      </c>
      <c r="I78">
        <v>189.2002</v>
      </c>
    </row>
    <row r="79" spans="1:9" x14ac:dyDescent="0.3">
      <c r="A79" t="s">
        <v>9</v>
      </c>
      <c r="B79" t="s">
        <v>87</v>
      </c>
      <c r="C79">
        <v>0</v>
      </c>
      <c r="D79">
        <v>-1E-3</v>
      </c>
      <c r="E79">
        <v>5.9957334838115024</v>
      </c>
      <c r="F79">
        <v>606.80236069123202</v>
      </c>
      <c r="G79">
        <v>0.42399999999999999</v>
      </c>
      <c r="H79">
        <v>0</v>
      </c>
      <c r="I79">
        <v>189.40029999999999</v>
      </c>
    </row>
    <row r="80" spans="1:9" x14ac:dyDescent="0.3">
      <c r="A80" t="s">
        <v>9</v>
      </c>
      <c r="B80" t="s">
        <v>88</v>
      </c>
      <c r="C80">
        <v>0</v>
      </c>
      <c r="D80">
        <v>-1.1000000000000001E-3</v>
      </c>
      <c r="E80">
        <v>5.9957334838115024</v>
      </c>
      <c r="F80">
        <v>606.80236069123202</v>
      </c>
      <c r="G80">
        <v>0.42399999999999999</v>
      </c>
      <c r="H80">
        <v>0</v>
      </c>
      <c r="I80">
        <v>189.59950000000001</v>
      </c>
    </row>
    <row r="81" spans="1:9" x14ac:dyDescent="0.3">
      <c r="A81" t="s">
        <v>9</v>
      </c>
      <c r="B81" t="s">
        <v>89</v>
      </c>
      <c r="C81">
        <v>0</v>
      </c>
      <c r="D81">
        <v>-1.1000000000000001E-3</v>
      </c>
      <c r="E81">
        <v>5.9957334838115024</v>
      </c>
      <c r="F81">
        <v>606.80236069123202</v>
      </c>
      <c r="G81">
        <v>0.42399999999999999</v>
      </c>
      <c r="H81">
        <v>0</v>
      </c>
      <c r="I81">
        <v>189.79949999999999</v>
      </c>
    </row>
    <row r="82" spans="1:9" x14ac:dyDescent="0.3">
      <c r="A82" t="s">
        <v>9</v>
      </c>
      <c r="B82" t="s">
        <v>90</v>
      </c>
      <c r="C82">
        <v>0</v>
      </c>
      <c r="D82">
        <v>-1.1000000000000001E-3</v>
      </c>
      <c r="E82">
        <v>5.9957334838115024</v>
      </c>
      <c r="F82">
        <v>606.80236069123202</v>
      </c>
      <c r="G82">
        <v>0.42399999999999999</v>
      </c>
      <c r="H82">
        <v>0</v>
      </c>
      <c r="I82">
        <v>190.00360000000001</v>
      </c>
    </row>
    <row r="83" spans="1:9" x14ac:dyDescent="0.3">
      <c r="A83" t="s">
        <v>9</v>
      </c>
      <c r="B83" t="s">
        <v>91</v>
      </c>
      <c r="C83">
        <v>0</v>
      </c>
      <c r="D83">
        <v>-1.1000000000000001E-3</v>
      </c>
      <c r="E83">
        <v>5.9957334838115024</v>
      </c>
      <c r="F83">
        <v>606.80236069123202</v>
      </c>
      <c r="G83">
        <v>0.42399999999999999</v>
      </c>
      <c r="H83">
        <v>0</v>
      </c>
      <c r="I83">
        <v>190.20050000000001</v>
      </c>
    </row>
    <row r="84" spans="1:9" x14ac:dyDescent="0.3">
      <c r="A84" t="s">
        <v>9</v>
      </c>
      <c r="B84" t="s">
        <v>92</v>
      </c>
      <c r="C84">
        <v>0</v>
      </c>
      <c r="D84">
        <v>-1.1000000000000001E-3</v>
      </c>
      <c r="E84">
        <v>5.9957334838115024</v>
      </c>
      <c r="F84">
        <v>606.80236069123202</v>
      </c>
      <c r="G84">
        <v>0.42399999999999999</v>
      </c>
      <c r="H84">
        <v>0</v>
      </c>
      <c r="I84">
        <v>190.39930000000001</v>
      </c>
    </row>
    <row r="85" spans="1:9" x14ac:dyDescent="0.3">
      <c r="A85" t="s">
        <v>9</v>
      </c>
      <c r="B85" t="s">
        <v>93</v>
      </c>
      <c r="C85">
        <v>0</v>
      </c>
      <c r="D85">
        <v>-1.1000000000000001E-3</v>
      </c>
      <c r="E85">
        <v>5.9957334838115024</v>
      </c>
      <c r="F85">
        <v>606.80236069123202</v>
      </c>
      <c r="G85">
        <v>0.42399999999999999</v>
      </c>
      <c r="H85">
        <v>0</v>
      </c>
      <c r="I85">
        <v>190.59960000000001</v>
      </c>
    </row>
    <row r="86" spans="1:9" x14ac:dyDescent="0.3">
      <c r="A86" t="s">
        <v>9</v>
      </c>
      <c r="B86" t="s">
        <v>94</v>
      </c>
      <c r="C86">
        <v>0</v>
      </c>
      <c r="D86">
        <v>-1.1000000000000001E-3</v>
      </c>
      <c r="E86">
        <v>5.9957334838115024</v>
      </c>
      <c r="F86">
        <v>606.80236069123202</v>
      </c>
      <c r="G86">
        <v>0.42399999999999999</v>
      </c>
      <c r="H86">
        <v>0</v>
      </c>
      <c r="I86">
        <v>190.7998</v>
      </c>
    </row>
    <row r="87" spans="1:9" x14ac:dyDescent="0.3">
      <c r="A87" t="s">
        <v>9</v>
      </c>
      <c r="B87" t="s">
        <v>95</v>
      </c>
      <c r="C87">
        <v>0</v>
      </c>
      <c r="D87">
        <v>-1.1000000000000001E-3</v>
      </c>
      <c r="E87">
        <v>5.9957334838115024</v>
      </c>
      <c r="F87">
        <v>606.80236069123202</v>
      </c>
      <c r="G87">
        <v>0.42399999999999999</v>
      </c>
      <c r="H87">
        <v>0</v>
      </c>
      <c r="I87">
        <v>191.0008</v>
      </c>
    </row>
    <row r="88" spans="1:9" x14ac:dyDescent="0.3">
      <c r="A88" t="s">
        <v>9</v>
      </c>
      <c r="B88" t="s">
        <v>96</v>
      </c>
      <c r="C88">
        <v>0</v>
      </c>
      <c r="D88">
        <v>-1.1000000000000001E-3</v>
      </c>
      <c r="E88">
        <v>5.9957334838115024</v>
      </c>
      <c r="F88">
        <v>606.80236069123202</v>
      </c>
      <c r="G88">
        <v>0.42399999999999999</v>
      </c>
      <c r="H88">
        <v>0</v>
      </c>
      <c r="I88">
        <v>191.2003</v>
      </c>
    </row>
    <row r="89" spans="1:9" x14ac:dyDescent="0.3">
      <c r="A89" t="s">
        <v>9</v>
      </c>
      <c r="B89" t="s">
        <v>97</v>
      </c>
      <c r="C89">
        <v>0</v>
      </c>
      <c r="D89">
        <v>-1.1000000000000001E-3</v>
      </c>
      <c r="E89">
        <v>5.9957334838115024</v>
      </c>
      <c r="F89">
        <v>606.80236069123202</v>
      </c>
      <c r="G89">
        <v>0.42399999999999999</v>
      </c>
      <c r="H89">
        <v>0</v>
      </c>
      <c r="I89">
        <v>191.399</v>
      </c>
    </row>
    <row r="90" spans="1:9" x14ac:dyDescent="0.3">
      <c r="A90" t="s">
        <v>9</v>
      </c>
      <c r="B90" t="s">
        <v>98</v>
      </c>
      <c r="C90">
        <v>0</v>
      </c>
      <c r="D90">
        <v>-1.1000000000000001E-3</v>
      </c>
      <c r="E90">
        <v>5.9957334838115024</v>
      </c>
      <c r="F90">
        <v>606.80236069123202</v>
      </c>
      <c r="G90">
        <v>0.42399999999999999</v>
      </c>
      <c r="H90">
        <v>0</v>
      </c>
      <c r="I90">
        <v>191.6001</v>
      </c>
    </row>
    <row r="91" spans="1:9" x14ac:dyDescent="0.3">
      <c r="A91" t="s">
        <v>9</v>
      </c>
      <c r="B91" t="s">
        <v>99</v>
      </c>
      <c r="C91">
        <v>0</v>
      </c>
      <c r="D91">
        <v>-1.1000000000000001E-3</v>
      </c>
      <c r="E91">
        <v>5.9957334838115024</v>
      </c>
      <c r="F91">
        <v>606.80236069123202</v>
      </c>
      <c r="G91">
        <v>0.42399999999999999</v>
      </c>
      <c r="H91">
        <v>0</v>
      </c>
      <c r="I91">
        <v>191.7996</v>
      </c>
    </row>
    <row r="92" spans="1:9" x14ac:dyDescent="0.3">
      <c r="A92" t="s">
        <v>9</v>
      </c>
      <c r="B92" t="s">
        <v>100</v>
      </c>
      <c r="C92">
        <v>0</v>
      </c>
      <c r="D92">
        <v>-1.1000000000000001E-3</v>
      </c>
      <c r="E92">
        <v>5.9957334838115024</v>
      </c>
      <c r="F92">
        <v>606.80236069123202</v>
      </c>
      <c r="G92">
        <v>0.42399999999999999</v>
      </c>
      <c r="H92">
        <v>0</v>
      </c>
      <c r="I92">
        <v>192</v>
      </c>
    </row>
    <row r="93" spans="1:9" x14ac:dyDescent="0.3">
      <c r="A93" t="s">
        <v>9</v>
      </c>
      <c r="B93" t="s">
        <v>101</v>
      </c>
      <c r="C93">
        <v>0</v>
      </c>
      <c r="D93">
        <v>-1.1000000000000001E-3</v>
      </c>
      <c r="E93">
        <v>5.9957334838115024</v>
      </c>
      <c r="F93">
        <v>606.80236069123202</v>
      </c>
      <c r="G93">
        <v>0.42399999999999999</v>
      </c>
      <c r="H93">
        <v>0</v>
      </c>
      <c r="I93">
        <v>192.19919999999999</v>
      </c>
    </row>
    <row r="94" spans="1:9" x14ac:dyDescent="0.3">
      <c r="A94" t="s">
        <v>9</v>
      </c>
      <c r="B94" t="s">
        <v>102</v>
      </c>
      <c r="C94">
        <v>0</v>
      </c>
      <c r="D94">
        <v>-1.1000000000000001E-3</v>
      </c>
      <c r="E94">
        <v>5.9957334838115024</v>
      </c>
      <c r="F94">
        <v>606.80236069123202</v>
      </c>
      <c r="G94">
        <v>0.42399999999999999</v>
      </c>
      <c r="H94">
        <v>0</v>
      </c>
      <c r="I94">
        <v>192.3989</v>
      </c>
    </row>
    <row r="95" spans="1:9" x14ac:dyDescent="0.3">
      <c r="A95" t="s">
        <v>9</v>
      </c>
      <c r="B95" t="s">
        <v>103</v>
      </c>
      <c r="C95">
        <v>0</v>
      </c>
      <c r="D95">
        <v>-1.1000000000000001E-3</v>
      </c>
      <c r="E95">
        <v>5.9957334838115024</v>
      </c>
      <c r="F95">
        <v>606.80236069123202</v>
      </c>
      <c r="G95">
        <v>0.42399999999999999</v>
      </c>
      <c r="H95">
        <v>0</v>
      </c>
      <c r="I95">
        <v>192.5992</v>
      </c>
    </row>
    <row r="96" spans="1:9" x14ac:dyDescent="0.3">
      <c r="A96" t="s">
        <v>9</v>
      </c>
      <c r="B96" t="s">
        <v>104</v>
      </c>
      <c r="C96">
        <v>0</v>
      </c>
      <c r="D96">
        <v>-1.1000000000000001E-3</v>
      </c>
      <c r="E96">
        <v>5.9957334838115024</v>
      </c>
      <c r="F96">
        <v>606.80236069123202</v>
      </c>
      <c r="G96">
        <v>0.42399999999999999</v>
      </c>
      <c r="H96">
        <v>0</v>
      </c>
      <c r="I96">
        <v>192.8</v>
      </c>
    </row>
    <row r="97" spans="1:9" x14ac:dyDescent="0.3">
      <c r="A97" t="s">
        <v>9</v>
      </c>
      <c r="B97" t="s">
        <v>105</v>
      </c>
      <c r="C97">
        <v>0</v>
      </c>
      <c r="D97">
        <v>-1.1000000000000001E-3</v>
      </c>
      <c r="E97">
        <v>5.9957334838115024</v>
      </c>
      <c r="F97">
        <v>606.80236069123202</v>
      </c>
      <c r="G97">
        <v>0.42399999999999999</v>
      </c>
      <c r="H97">
        <v>0</v>
      </c>
      <c r="I97">
        <v>192.9984</v>
      </c>
    </row>
    <row r="98" spans="1:9" x14ac:dyDescent="0.3">
      <c r="A98" t="s">
        <v>9</v>
      </c>
      <c r="B98" t="s">
        <v>106</v>
      </c>
      <c r="C98">
        <v>0</v>
      </c>
      <c r="D98">
        <v>-1.1000000000000001E-3</v>
      </c>
      <c r="E98">
        <v>5.9957334838115024</v>
      </c>
      <c r="F98">
        <v>606.80236069123202</v>
      </c>
      <c r="G98">
        <v>0.42399999999999999</v>
      </c>
      <c r="H98">
        <v>0</v>
      </c>
      <c r="I98">
        <v>193.20009999999999</v>
      </c>
    </row>
    <row r="99" spans="1:9" x14ac:dyDescent="0.3">
      <c r="A99" t="s">
        <v>9</v>
      </c>
      <c r="B99" t="s">
        <v>107</v>
      </c>
      <c r="C99">
        <v>0</v>
      </c>
      <c r="D99">
        <v>-1.1000000000000001E-3</v>
      </c>
      <c r="E99">
        <v>5.9957334838115024</v>
      </c>
      <c r="F99">
        <v>606.80236069123202</v>
      </c>
      <c r="G99">
        <v>0.42399999999999999</v>
      </c>
      <c r="H99">
        <v>0</v>
      </c>
      <c r="I99">
        <v>193.40020000000001</v>
      </c>
    </row>
    <row r="100" spans="1:9" x14ac:dyDescent="0.3">
      <c r="A100" t="s">
        <v>9</v>
      </c>
      <c r="B100" t="s">
        <v>108</v>
      </c>
      <c r="C100">
        <v>0</v>
      </c>
      <c r="D100">
        <v>-1.1000000000000001E-3</v>
      </c>
      <c r="E100">
        <v>5.9957334838115024</v>
      </c>
      <c r="F100">
        <v>606.80236069123202</v>
      </c>
      <c r="G100">
        <v>0.42399999999999999</v>
      </c>
      <c r="H100">
        <v>0</v>
      </c>
      <c r="I100">
        <v>193.59950000000001</v>
      </c>
    </row>
    <row r="101" spans="1:9" x14ac:dyDescent="0.3">
      <c r="A101" t="s">
        <v>9</v>
      </c>
      <c r="B101" t="s">
        <v>109</v>
      </c>
      <c r="C101">
        <v>0</v>
      </c>
      <c r="D101">
        <v>-1.1000000000000001E-3</v>
      </c>
      <c r="E101">
        <v>5.9957334838115024</v>
      </c>
      <c r="F101">
        <v>606.80236069123202</v>
      </c>
      <c r="G101">
        <v>0.42399999999999999</v>
      </c>
      <c r="H101">
        <v>0</v>
      </c>
      <c r="I101">
        <v>193.79830000000001</v>
      </c>
    </row>
    <row r="102" spans="1:9" x14ac:dyDescent="0.3">
      <c r="A102" t="s">
        <v>9</v>
      </c>
      <c r="B102" t="s">
        <v>110</v>
      </c>
      <c r="C102">
        <v>0</v>
      </c>
      <c r="D102">
        <v>-1.1000000000000001E-3</v>
      </c>
      <c r="E102">
        <v>5.9957334838115024</v>
      </c>
      <c r="F102">
        <v>606.80236069123202</v>
      </c>
      <c r="G102">
        <v>0.42399999999999999</v>
      </c>
      <c r="H102">
        <v>0</v>
      </c>
      <c r="I102">
        <v>194.00040000000001</v>
      </c>
    </row>
    <row r="103" spans="1:9" x14ac:dyDescent="0.3">
      <c r="A103" t="s">
        <v>9</v>
      </c>
      <c r="B103" t="s">
        <v>111</v>
      </c>
      <c r="C103">
        <v>0</v>
      </c>
      <c r="D103">
        <v>-1.1000000000000001E-3</v>
      </c>
      <c r="E103">
        <v>5.9957334838115024</v>
      </c>
      <c r="F103">
        <v>606.80236069123202</v>
      </c>
      <c r="G103">
        <v>0.42399999999999999</v>
      </c>
      <c r="H103">
        <v>0</v>
      </c>
      <c r="I103">
        <v>194.19970000000001</v>
      </c>
    </row>
    <row r="104" spans="1:9" x14ac:dyDescent="0.3">
      <c r="A104" t="s">
        <v>9</v>
      </c>
      <c r="B104" t="s">
        <v>112</v>
      </c>
      <c r="C104">
        <v>0</v>
      </c>
      <c r="D104">
        <v>-1.1000000000000001E-3</v>
      </c>
      <c r="E104">
        <v>5.9957334838115024</v>
      </c>
      <c r="F104">
        <v>606.80236069123202</v>
      </c>
      <c r="G104">
        <v>0.42399999999999999</v>
      </c>
      <c r="H104">
        <v>0</v>
      </c>
      <c r="I104">
        <v>194.39959999999999</v>
      </c>
    </row>
    <row r="105" spans="1:9" x14ac:dyDescent="0.3">
      <c r="A105" t="s">
        <v>9</v>
      </c>
      <c r="B105" t="s">
        <v>113</v>
      </c>
      <c r="C105">
        <v>0</v>
      </c>
      <c r="D105">
        <v>-1.1000000000000001E-3</v>
      </c>
      <c r="E105">
        <v>5.9957334838115024</v>
      </c>
      <c r="F105">
        <v>606.80236069123202</v>
      </c>
      <c r="G105">
        <v>0.42399999999999999</v>
      </c>
      <c r="H105">
        <v>0</v>
      </c>
      <c r="I105">
        <v>194.60059999999999</v>
      </c>
    </row>
    <row r="106" spans="1:9" x14ac:dyDescent="0.3">
      <c r="A106" t="s">
        <v>9</v>
      </c>
      <c r="B106" t="s">
        <v>114</v>
      </c>
      <c r="C106">
        <v>0</v>
      </c>
      <c r="D106">
        <v>-1.1000000000000001E-3</v>
      </c>
      <c r="E106">
        <v>5.9957334838115024</v>
      </c>
      <c r="F106">
        <v>606.80236069123202</v>
      </c>
      <c r="G106">
        <v>0.42399999999999999</v>
      </c>
      <c r="H106">
        <v>0</v>
      </c>
      <c r="I106">
        <v>194.79920000000001</v>
      </c>
    </row>
    <row r="107" spans="1:9" x14ac:dyDescent="0.3">
      <c r="A107" t="s">
        <v>9</v>
      </c>
      <c r="B107" t="s">
        <v>115</v>
      </c>
      <c r="C107">
        <v>0</v>
      </c>
      <c r="D107">
        <v>-1.1000000000000001E-3</v>
      </c>
      <c r="E107">
        <v>5.9957334838115024</v>
      </c>
      <c r="F107">
        <v>606.80236069123202</v>
      </c>
      <c r="G107">
        <v>0.42399999999999999</v>
      </c>
      <c r="H107">
        <v>0</v>
      </c>
      <c r="I107">
        <v>194.99879999999999</v>
      </c>
    </row>
    <row r="108" spans="1:9" x14ac:dyDescent="0.3">
      <c r="A108" t="s">
        <v>9</v>
      </c>
      <c r="B108" t="s">
        <v>116</v>
      </c>
      <c r="C108">
        <v>0</v>
      </c>
      <c r="D108">
        <v>-1.1000000000000001E-3</v>
      </c>
      <c r="E108">
        <v>5.9957334838115024</v>
      </c>
      <c r="F108">
        <v>606.80236069123202</v>
      </c>
      <c r="G108">
        <v>0.42399999999999999</v>
      </c>
      <c r="H108">
        <v>0</v>
      </c>
      <c r="I108">
        <v>195.19970000000001</v>
      </c>
    </row>
    <row r="109" spans="1:9" x14ac:dyDescent="0.3">
      <c r="A109" t="s">
        <v>9</v>
      </c>
      <c r="B109" t="s">
        <v>117</v>
      </c>
      <c r="C109">
        <v>0</v>
      </c>
      <c r="D109">
        <v>-1.1000000000000001E-3</v>
      </c>
      <c r="E109">
        <v>5.9957334838115024</v>
      </c>
      <c r="F109">
        <v>606.80236069123202</v>
      </c>
      <c r="G109">
        <v>0.42399999999999999</v>
      </c>
      <c r="H109">
        <v>0</v>
      </c>
      <c r="I109">
        <v>195.4008</v>
      </c>
    </row>
    <row r="110" spans="1:9" x14ac:dyDescent="0.3">
      <c r="A110" t="s">
        <v>9</v>
      </c>
      <c r="B110" t="s">
        <v>118</v>
      </c>
      <c r="C110">
        <v>0</v>
      </c>
      <c r="D110">
        <v>-1.1000000000000001E-3</v>
      </c>
      <c r="E110">
        <v>5.9957334838115024</v>
      </c>
      <c r="F110">
        <v>606.80236069123202</v>
      </c>
      <c r="G110">
        <v>0.42399999999999999</v>
      </c>
      <c r="H110">
        <v>0</v>
      </c>
      <c r="I110">
        <v>195.5984</v>
      </c>
    </row>
    <row r="111" spans="1:9" x14ac:dyDescent="0.3">
      <c r="A111" t="s">
        <v>9</v>
      </c>
      <c r="B111" t="s">
        <v>119</v>
      </c>
      <c r="C111">
        <v>0</v>
      </c>
      <c r="D111">
        <v>-1.1000000000000001E-3</v>
      </c>
      <c r="E111">
        <v>5.9957334838115024</v>
      </c>
      <c r="F111">
        <v>606.80236069123202</v>
      </c>
      <c r="G111">
        <v>0.42399999999999999</v>
      </c>
      <c r="H111">
        <v>0</v>
      </c>
      <c r="I111">
        <v>195.80109999999999</v>
      </c>
    </row>
    <row r="112" spans="1:9" x14ac:dyDescent="0.3">
      <c r="A112" t="s">
        <v>9</v>
      </c>
      <c r="B112" t="s">
        <v>120</v>
      </c>
      <c r="C112">
        <v>0</v>
      </c>
      <c r="D112">
        <v>-1.1000000000000001E-3</v>
      </c>
      <c r="E112">
        <v>5.9957334838115024</v>
      </c>
      <c r="F112">
        <v>606.80236069123202</v>
      </c>
      <c r="G112">
        <v>0.42399999999999999</v>
      </c>
      <c r="H112">
        <v>0</v>
      </c>
      <c r="I112">
        <v>196</v>
      </c>
    </row>
    <row r="113" spans="1:9" x14ac:dyDescent="0.3">
      <c r="A113" t="s">
        <v>9</v>
      </c>
      <c r="B113" t="s">
        <v>121</v>
      </c>
      <c r="C113">
        <v>0</v>
      </c>
      <c r="D113">
        <v>-1.1000000000000001E-3</v>
      </c>
      <c r="E113">
        <v>5.9957334838115024</v>
      </c>
      <c r="F113">
        <v>606.80236069123202</v>
      </c>
      <c r="G113">
        <v>0.42399999999999999</v>
      </c>
      <c r="H113">
        <v>0</v>
      </c>
      <c r="I113">
        <v>196.19919999999999</v>
      </c>
    </row>
    <row r="114" spans="1:9" x14ac:dyDescent="0.3">
      <c r="A114" t="s">
        <v>9</v>
      </c>
      <c r="B114" t="s">
        <v>122</v>
      </c>
      <c r="C114">
        <v>0</v>
      </c>
      <c r="D114">
        <v>-1.1000000000000001E-3</v>
      </c>
      <c r="E114">
        <v>5.9957334838115024</v>
      </c>
      <c r="F114">
        <v>606.80236069123202</v>
      </c>
      <c r="G114">
        <v>0.42399999999999999</v>
      </c>
      <c r="H114">
        <v>0</v>
      </c>
      <c r="I114">
        <v>196.39879999999999</v>
      </c>
    </row>
    <row r="115" spans="1:9" x14ac:dyDescent="0.3">
      <c r="A115" t="s">
        <v>9</v>
      </c>
      <c r="B115" t="s">
        <v>123</v>
      </c>
      <c r="C115">
        <v>0</v>
      </c>
      <c r="D115">
        <v>-1.1000000000000001E-3</v>
      </c>
      <c r="E115">
        <v>5.9957334838115024</v>
      </c>
      <c r="F115">
        <v>606.80236069123202</v>
      </c>
      <c r="G115">
        <v>0.42399999999999999</v>
      </c>
      <c r="H115">
        <v>0</v>
      </c>
      <c r="I115">
        <v>196.5986</v>
      </c>
    </row>
    <row r="116" spans="1:9" x14ac:dyDescent="0.3">
      <c r="A116" t="s">
        <v>9</v>
      </c>
      <c r="B116" t="s">
        <v>124</v>
      </c>
      <c r="C116">
        <v>0</v>
      </c>
      <c r="D116">
        <v>-1.1000000000000001E-3</v>
      </c>
      <c r="E116">
        <v>5.9957334838115024</v>
      </c>
      <c r="F116">
        <v>606.80236069123202</v>
      </c>
      <c r="G116">
        <v>0.42399999999999999</v>
      </c>
      <c r="H116">
        <v>0</v>
      </c>
      <c r="I116">
        <v>196.8004</v>
      </c>
    </row>
    <row r="117" spans="1:9" x14ac:dyDescent="0.3">
      <c r="A117" t="s">
        <v>9</v>
      </c>
      <c r="B117" t="s">
        <v>125</v>
      </c>
      <c r="C117">
        <v>0</v>
      </c>
      <c r="D117">
        <v>-1.1000000000000001E-3</v>
      </c>
      <c r="E117">
        <v>5.9957334838115024</v>
      </c>
      <c r="F117">
        <v>606.80236069123202</v>
      </c>
      <c r="G117">
        <v>0.42399999999999999</v>
      </c>
      <c r="H117">
        <v>0</v>
      </c>
      <c r="I117">
        <v>197.00030000000001</v>
      </c>
    </row>
    <row r="118" spans="1:9" x14ac:dyDescent="0.3">
      <c r="A118" t="s">
        <v>9</v>
      </c>
      <c r="B118" t="s">
        <v>126</v>
      </c>
      <c r="C118">
        <v>0</v>
      </c>
      <c r="D118">
        <v>-1.1000000000000001E-3</v>
      </c>
      <c r="E118">
        <v>5.9957334838115024</v>
      </c>
      <c r="F118">
        <v>606.80236069123202</v>
      </c>
      <c r="G118">
        <v>0.42399999999999999</v>
      </c>
      <c r="H118">
        <v>0</v>
      </c>
      <c r="I118">
        <v>197.20179999999999</v>
      </c>
    </row>
    <row r="119" spans="1:9" x14ac:dyDescent="0.3">
      <c r="A119" t="s">
        <v>9</v>
      </c>
      <c r="B119" t="s">
        <v>127</v>
      </c>
      <c r="C119">
        <v>0</v>
      </c>
      <c r="D119">
        <v>-1.1000000000000001E-3</v>
      </c>
      <c r="E119">
        <v>5.9957334838115024</v>
      </c>
      <c r="F119">
        <v>606.80236069123202</v>
      </c>
      <c r="G119">
        <v>0.42399999999999999</v>
      </c>
      <c r="H119">
        <v>0</v>
      </c>
      <c r="I119">
        <v>197.39850000000001</v>
      </c>
    </row>
    <row r="120" spans="1:9" x14ac:dyDescent="0.3">
      <c r="A120" t="s">
        <v>9</v>
      </c>
      <c r="B120" t="s">
        <v>128</v>
      </c>
      <c r="C120">
        <v>0</v>
      </c>
      <c r="D120">
        <v>-1.1000000000000001E-3</v>
      </c>
      <c r="E120">
        <v>5.9957334838115024</v>
      </c>
      <c r="F120">
        <v>606.80236069123202</v>
      </c>
      <c r="G120">
        <v>0.42399999999999999</v>
      </c>
      <c r="H120">
        <v>0</v>
      </c>
      <c r="I120">
        <v>197.59989999999999</v>
      </c>
    </row>
    <row r="121" spans="1:9" x14ac:dyDescent="0.3">
      <c r="A121" t="s">
        <v>9</v>
      </c>
      <c r="B121" t="s">
        <v>129</v>
      </c>
      <c r="C121">
        <v>0</v>
      </c>
      <c r="D121">
        <v>-1.1000000000000001E-3</v>
      </c>
      <c r="E121">
        <v>5.9957334838115024</v>
      </c>
      <c r="F121">
        <v>606.80236069123202</v>
      </c>
      <c r="G121">
        <v>0.42399999999999999</v>
      </c>
      <c r="H121">
        <v>0</v>
      </c>
      <c r="I121">
        <v>197.7988</v>
      </c>
    </row>
    <row r="122" spans="1:9" x14ac:dyDescent="0.3">
      <c r="A122" t="s">
        <v>9</v>
      </c>
      <c r="B122" t="s">
        <v>130</v>
      </c>
      <c r="C122">
        <v>0</v>
      </c>
      <c r="D122">
        <v>-1.1000000000000001E-3</v>
      </c>
      <c r="E122">
        <v>5.9957334838115024</v>
      </c>
      <c r="F122">
        <v>606.80236069123202</v>
      </c>
      <c r="G122">
        <v>0.42399999999999999</v>
      </c>
      <c r="H122">
        <v>0</v>
      </c>
      <c r="I122">
        <v>197.9982</v>
      </c>
    </row>
    <row r="123" spans="1:9" x14ac:dyDescent="0.3">
      <c r="A123" t="s">
        <v>9</v>
      </c>
      <c r="B123" t="s">
        <v>131</v>
      </c>
      <c r="C123">
        <v>0</v>
      </c>
      <c r="D123">
        <v>-1.1000000000000001E-3</v>
      </c>
      <c r="E123">
        <v>5.9957334838115024</v>
      </c>
      <c r="F123">
        <v>606.80236069123202</v>
      </c>
      <c r="G123">
        <v>0.42399999999999999</v>
      </c>
      <c r="H123">
        <v>0</v>
      </c>
      <c r="I123">
        <v>198.20070000000001</v>
      </c>
    </row>
    <row r="124" spans="1:9" x14ac:dyDescent="0.3">
      <c r="A124" t="s">
        <v>9</v>
      </c>
      <c r="B124" t="s">
        <v>132</v>
      </c>
      <c r="C124">
        <v>0</v>
      </c>
      <c r="D124">
        <v>-1.1000000000000001E-3</v>
      </c>
      <c r="E124">
        <v>5.9957334838115024</v>
      </c>
      <c r="F124">
        <v>606.80236069123202</v>
      </c>
      <c r="G124">
        <v>0.42399999999999999</v>
      </c>
      <c r="H124">
        <v>0</v>
      </c>
      <c r="I124">
        <v>198.3991</v>
      </c>
    </row>
    <row r="125" spans="1:9" x14ac:dyDescent="0.3">
      <c r="A125" t="s">
        <v>9</v>
      </c>
      <c r="B125" t="s">
        <v>133</v>
      </c>
      <c r="C125">
        <v>0</v>
      </c>
      <c r="D125">
        <v>-1.1000000000000001E-3</v>
      </c>
      <c r="E125">
        <v>5.9957334838115024</v>
      </c>
      <c r="F125">
        <v>606.80236069123202</v>
      </c>
      <c r="G125">
        <v>0.42399999999999999</v>
      </c>
      <c r="H125">
        <v>0</v>
      </c>
      <c r="I125">
        <v>198.5994</v>
      </c>
    </row>
    <row r="126" spans="1:9" x14ac:dyDescent="0.3">
      <c r="A126" t="s">
        <v>9</v>
      </c>
      <c r="B126" t="s">
        <v>134</v>
      </c>
      <c r="C126">
        <v>0</v>
      </c>
      <c r="D126">
        <v>-1.1000000000000001E-3</v>
      </c>
      <c r="E126">
        <v>5.9957334838115024</v>
      </c>
      <c r="F126">
        <v>606.80236069123202</v>
      </c>
      <c r="G126">
        <v>0.42399999999999999</v>
      </c>
      <c r="H126">
        <v>0</v>
      </c>
      <c r="I126">
        <v>198.7989</v>
      </c>
    </row>
    <row r="127" spans="1:9" x14ac:dyDescent="0.3">
      <c r="A127" t="s">
        <v>9</v>
      </c>
      <c r="B127" t="s">
        <v>135</v>
      </c>
      <c r="C127">
        <v>0</v>
      </c>
      <c r="D127">
        <v>-1.1000000000000001E-3</v>
      </c>
      <c r="E127">
        <v>5.9957334838115024</v>
      </c>
      <c r="F127">
        <v>606.80236069123202</v>
      </c>
      <c r="G127">
        <v>0.42399999999999999</v>
      </c>
      <c r="H127">
        <v>0</v>
      </c>
      <c r="I127">
        <v>198.99879999999999</v>
      </c>
    </row>
    <row r="128" spans="1:9" x14ac:dyDescent="0.3">
      <c r="A128" t="s">
        <v>9</v>
      </c>
      <c r="B128" t="s">
        <v>136</v>
      </c>
      <c r="C128">
        <v>0</v>
      </c>
      <c r="D128">
        <v>-1.1000000000000001E-3</v>
      </c>
      <c r="E128">
        <v>5.9957334838115024</v>
      </c>
      <c r="F128">
        <v>606.80236069123202</v>
      </c>
      <c r="G128">
        <v>0.42399999999999999</v>
      </c>
      <c r="H128">
        <v>0</v>
      </c>
      <c r="I128">
        <v>199.2002</v>
      </c>
    </row>
    <row r="129" spans="1:9" x14ac:dyDescent="0.3">
      <c r="A129" t="s">
        <v>9</v>
      </c>
      <c r="B129" t="s">
        <v>137</v>
      </c>
      <c r="C129">
        <v>0</v>
      </c>
      <c r="D129">
        <v>-1.1000000000000001E-3</v>
      </c>
      <c r="E129">
        <v>5.9957334838115024</v>
      </c>
      <c r="F129">
        <v>606.80236069123202</v>
      </c>
      <c r="G129">
        <v>0.42399999999999999</v>
      </c>
      <c r="H129">
        <v>0</v>
      </c>
      <c r="I129">
        <v>199.3989</v>
      </c>
    </row>
    <row r="130" spans="1:9" x14ac:dyDescent="0.3">
      <c r="A130" t="s">
        <v>9</v>
      </c>
      <c r="B130" t="s">
        <v>138</v>
      </c>
      <c r="C130">
        <v>0</v>
      </c>
      <c r="D130">
        <v>-1.1000000000000001E-3</v>
      </c>
      <c r="E130">
        <v>5.9957334838115024</v>
      </c>
      <c r="F130">
        <v>606.80236069123202</v>
      </c>
      <c r="G130">
        <v>0.42399999999999999</v>
      </c>
      <c r="H130">
        <v>0</v>
      </c>
      <c r="I130">
        <v>199.59870000000001</v>
      </c>
    </row>
    <row r="131" spans="1:9" x14ac:dyDescent="0.3">
      <c r="A131" t="s">
        <v>9</v>
      </c>
      <c r="B131" t="s">
        <v>139</v>
      </c>
      <c r="C131">
        <v>0</v>
      </c>
      <c r="D131">
        <v>-1.1000000000000001E-3</v>
      </c>
      <c r="E131">
        <v>5.9957334838115024</v>
      </c>
      <c r="F131">
        <v>606.80236069123202</v>
      </c>
      <c r="G131">
        <v>0.42399999999999999</v>
      </c>
      <c r="H131">
        <v>0</v>
      </c>
      <c r="I131">
        <v>199.7997</v>
      </c>
    </row>
    <row r="132" spans="1:9" x14ac:dyDescent="0.3">
      <c r="A132" t="s">
        <v>9</v>
      </c>
      <c r="B132" t="s">
        <v>140</v>
      </c>
      <c r="C132">
        <v>0</v>
      </c>
      <c r="D132">
        <v>-1.1000000000000001E-3</v>
      </c>
      <c r="E132">
        <v>5.9957334838115024</v>
      </c>
      <c r="F132">
        <v>606.80236069123202</v>
      </c>
      <c r="G132">
        <v>0.42399999999999999</v>
      </c>
      <c r="H132">
        <v>0</v>
      </c>
      <c r="I132">
        <v>199.99850000000001</v>
      </c>
    </row>
    <row r="133" spans="1:9" x14ac:dyDescent="0.3">
      <c r="A133" t="s">
        <v>9</v>
      </c>
      <c r="B133" t="s">
        <v>141</v>
      </c>
      <c r="C133">
        <v>0</v>
      </c>
      <c r="D133">
        <v>-1.1000000000000001E-3</v>
      </c>
      <c r="E133">
        <v>5.9957334838115024</v>
      </c>
      <c r="F133">
        <v>606.80236069123202</v>
      </c>
      <c r="G133">
        <v>0.42399999999999999</v>
      </c>
      <c r="H133">
        <v>0</v>
      </c>
      <c r="I133">
        <v>200.19970000000001</v>
      </c>
    </row>
    <row r="134" spans="1:9" x14ac:dyDescent="0.3">
      <c r="A134" t="s">
        <v>9</v>
      </c>
      <c r="B134" t="s">
        <v>142</v>
      </c>
      <c r="C134">
        <v>0</v>
      </c>
      <c r="D134">
        <v>-1.1000000000000001E-3</v>
      </c>
      <c r="E134">
        <v>5.9957334838115024</v>
      </c>
      <c r="F134">
        <v>606.80236069123202</v>
      </c>
      <c r="G134">
        <v>0.42399999999999999</v>
      </c>
      <c r="H134">
        <v>0</v>
      </c>
      <c r="I134">
        <v>200.39949999999999</v>
      </c>
    </row>
    <row r="135" spans="1:9" x14ac:dyDescent="0.3">
      <c r="A135" t="s">
        <v>9</v>
      </c>
      <c r="B135" t="s">
        <v>143</v>
      </c>
      <c r="C135">
        <v>0</v>
      </c>
      <c r="D135">
        <v>-1.1000000000000001E-3</v>
      </c>
      <c r="E135">
        <v>5.9957334838115024</v>
      </c>
      <c r="F135">
        <v>606.80236069123202</v>
      </c>
      <c r="G135">
        <v>0.42399999999999999</v>
      </c>
      <c r="H135">
        <v>0</v>
      </c>
      <c r="I135">
        <v>200.60040000000001</v>
      </c>
    </row>
    <row r="136" spans="1:9" x14ac:dyDescent="0.3">
      <c r="A136" t="s">
        <v>9</v>
      </c>
      <c r="B136" t="s">
        <v>144</v>
      </c>
      <c r="C136">
        <v>0</v>
      </c>
      <c r="D136">
        <v>-1.1000000000000001E-3</v>
      </c>
      <c r="E136">
        <v>5.9957334838115024</v>
      </c>
      <c r="F136">
        <v>606.80236069123202</v>
      </c>
      <c r="G136">
        <v>0.42399999999999999</v>
      </c>
      <c r="H136">
        <v>0</v>
      </c>
      <c r="I136">
        <v>200.79839999999999</v>
      </c>
    </row>
    <row r="137" spans="1:9" x14ac:dyDescent="0.3">
      <c r="A137" t="s">
        <v>9</v>
      </c>
      <c r="B137" t="s">
        <v>145</v>
      </c>
      <c r="C137">
        <v>0</v>
      </c>
      <c r="D137">
        <v>-1.1000000000000001E-3</v>
      </c>
      <c r="E137">
        <v>5.9957334838115024</v>
      </c>
      <c r="F137">
        <v>606.80236069123202</v>
      </c>
      <c r="G137">
        <v>0.42399999999999999</v>
      </c>
      <c r="H137">
        <v>0</v>
      </c>
      <c r="I137">
        <v>200.99969999999999</v>
      </c>
    </row>
    <row r="138" spans="1:9" x14ac:dyDescent="0.3">
      <c r="A138" t="s">
        <v>9</v>
      </c>
      <c r="B138" t="s">
        <v>146</v>
      </c>
      <c r="C138">
        <v>0</v>
      </c>
      <c r="D138">
        <v>-1.1000000000000001E-3</v>
      </c>
      <c r="E138">
        <v>5.9957334838115024</v>
      </c>
      <c r="F138">
        <v>606.80236069123202</v>
      </c>
      <c r="G138">
        <v>0.42399999999999999</v>
      </c>
      <c r="H138">
        <v>0</v>
      </c>
      <c r="I138">
        <v>201.20050000000001</v>
      </c>
    </row>
    <row r="139" spans="1:9" x14ac:dyDescent="0.3">
      <c r="A139" t="s">
        <v>9</v>
      </c>
      <c r="B139" t="s">
        <v>147</v>
      </c>
      <c r="C139">
        <v>0</v>
      </c>
      <c r="D139">
        <v>-1.1000000000000001E-3</v>
      </c>
      <c r="E139">
        <v>5.9957334838115024</v>
      </c>
      <c r="F139">
        <v>606.80236069123202</v>
      </c>
      <c r="G139">
        <v>0.42399999999999999</v>
      </c>
      <c r="H139">
        <v>0</v>
      </c>
      <c r="I139">
        <v>201.399</v>
      </c>
    </row>
    <row r="140" spans="1:9" x14ac:dyDescent="0.3">
      <c r="A140" t="s">
        <v>9</v>
      </c>
      <c r="B140" t="s">
        <v>148</v>
      </c>
      <c r="C140">
        <v>0</v>
      </c>
      <c r="D140">
        <v>-1.1000000000000001E-3</v>
      </c>
      <c r="E140">
        <v>5.9957334838115024</v>
      </c>
      <c r="F140">
        <v>606.80236069123202</v>
      </c>
      <c r="G140">
        <v>0.42399999999999999</v>
      </c>
      <c r="H140">
        <v>0</v>
      </c>
      <c r="I140">
        <v>201.5984</v>
      </c>
    </row>
    <row r="141" spans="1:9" x14ac:dyDescent="0.3">
      <c r="A141" t="s">
        <v>9</v>
      </c>
      <c r="B141" t="s">
        <v>149</v>
      </c>
      <c r="C141">
        <v>0</v>
      </c>
      <c r="D141">
        <v>-1.1000000000000001E-3</v>
      </c>
      <c r="E141">
        <v>5.9957334838115024</v>
      </c>
      <c r="F141">
        <v>606.80236069123202</v>
      </c>
      <c r="G141">
        <v>0.42399999999999999</v>
      </c>
      <c r="H141">
        <v>0</v>
      </c>
      <c r="I141">
        <v>201.79839999999999</v>
      </c>
    </row>
    <row r="142" spans="1:9" x14ac:dyDescent="0.3">
      <c r="A142" t="s">
        <v>9</v>
      </c>
      <c r="B142" t="s">
        <v>150</v>
      </c>
      <c r="C142">
        <v>0</v>
      </c>
      <c r="D142">
        <v>-1.1000000000000001E-3</v>
      </c>
      <c r="E142">
        <v>5.9957334838115024</v>
      </c>
      <c r="F142">
        <v>606.80236069123202</v>
      </c>
      <c r="G142">
        <v>0.42399999999999999</v>
      </c>
      <c r="H142">
        <v>0</v>
      </c>
      <c r="I142">
        <v>202.00020000000001</v>
      </c>
    </row>
    <row r="143" spans="1:9" x14ac:dyDescent="0.3">
      <c r="A143" t="s">
        <v>9</v>
      </c>
      <c r="B143" t="s">
        <v>151</v>
      </c>
      <c r="C143">
        <v>0</v>
      </c>
      <c r="D143">
        <v>-1.1999999999999999E-3</v>
      </c>
      <c r="E143">
        <v>5.9957334838115024</v>
      </c>
      <c r="F143">
        <v>606.80236069123202</v>
      </c>
      <c r="G143">
        <v>0.42399999999999999</v>
      </c>
      <c r="H143">
        <v>0</v>
      </c>
      <c r="I143">
        <v>202.19929999999999</v>
      </c>
    </row>
    <row r="144" spans="1:9" x14ac:dyDescent="0.3">
      <c r="A144" t="s">
        <v>9</v>
      </c>
      <c r="B144" t="s">
        <v>152</v>
      </c>
      <c r="C144">
        <v>0</v>
      </c>
      <c r="D144">
        <v>-1.1000000000000001E-3</v>
      </c>
      <c r="E144">
        <v>5.9957334838115024</v>
      </c>
      <c r="F144">
        <v>606.80236069123202</v>
      </c>
      <c r="G144">
        <v>0.42399999999999999</v>
      </c>
      <c r="H144">
        <v>0</v>
      </c>
      <c r="I144">
        <v>202.3989</v>
      </c>
    </row>
    <row r="145" spans="1:9" x14ac:dyDescent="0.3">
      <c r="A145" t="s">
        <v>9</v>
      </c>
      <c r="B145" t="s">
        <v>153</v>
      </c>
      <c r="C145">
        <v>0</v>
      </c>
      <c r="D145">
        <v>-1.1000000000000001E-3</v>
      </c>
      <c r="E145">
        <v>5.9957334838115024</v>
      </c>
      <c r="F145">
        <v>606.80236069123202</v>
      </c>
      <c r="G145">
        <v>0.42399999999999999</v>
      </c>
      <c r="H145">
        <v>0</v>
      </c>
      <c r="I145">
        <v>202.60069999999999</v>
      </c>
    </row>
    <row r="146" spans="1:9" x14ac:dyDescent="0.3">
      <c r="A146" t="s">
        <v>9</v>
      </c>
      <c r="B146" t="s">
        <v>154</v>
      </c>
      <c r="C146">
        <v>0</v>
      </c>
      <c r="D146">
        <v>-1.1999999999999999E-3</v>
      </c>
      <c r="E146">
        <v>5.9957334838115024</v>
      </c>
      <c r="F146">
        <v>606.80236069123202</v>
      </c>
      <c r="G146">
        <v>0.42399999999999999</v>
      </c>
      <c r="H146">
        <v>0</v>
      </c>
      <c r="I146">
        <v>202.79939999999999</v>
      </c>
    </row>
    <row r="147" spans="1:9" x14ac:dyDescent="0.3">
      <c r="A147" t="s">
        <v>9</v>
      </c>
      <c r="B147" t="s">
        <v>155</v>
      </c>
      <c r="C147">
        <v>0</v>
      </c>
      <c r="D147">
        <v>-1.1000000000000001E-3</v>
      </c>
      <c r="E147">
        <v>5.9957334838115024</v>
      </c>
      <c r="F147">
        <v>606.80236069123202</v>
      </c>
      <c r="G147">
        <v>0.42399999999999999</v>
      </c>
      <c r="H147">
        <v>0</v>
      </c>
      <c r="I147">
        <v>202.99979999999999</v>
      </c>
    </row>
    <row r="148" spans="1:9" x14ac:dyDescent="0.3">
      <c r="A148" t="s">
        <v>9</v>
      </c>
      <c r="B148" t="s">
        <v>156</v>
      </c>
      <c r="C148">
        <v>0</v>
      </c>
      <c r="D148">
        <v>-1.1000000000000001E-3</v>
      </c>
      <c r="E148">
        <v>5.9957334838115024</v>
      </c>
      <c r="F148">
        <v>606.80236069123202</v>
      </c>
      <c r="G148">
        <v>0.42399999999999999</v>
      </c>
      <c r="H148">
        <v>0</v>
      </c>
      <c r="I148">
        <v>203.1995</v>
      </c>
    </row>
    <row r="149" spans="1:9" x14ac:dyDescent="0.3">
      <c r="A149" t="s">
        <v>9</v>
      </c>
      <c r="B149" t="s">
        <v>157</v>
      </c>
      <c r="C149">
        <v>0</v>
      </c>
      <c r="D149">
        <v>-1.1000000000000001E-3</v>
      </c>
      <c r="E149">
        <v>5.9957334838115024</v>
      </c>
      <c r="F149">
        <v>606.80236069123202</v>
      </c>
      <c r="G149">
        <v>0.42399999999999999</v>
      </c>
      <c r="H149">
        <v>0</v>
      </c>
      <c r="I149">
        <v>203.4006</v>
      </c>
    </row>
    <row r="150" spans="1:9" x14ac:dyDescent="0.3">
      <c r="A150" t="s">
        <v>9</v>
      </c>
      <c r="B150" t="s">
        <v>158</v>
      </c>
      <c r="C150">
        <v>0</v>
      </c>
      <c r="D150">
        <v>-1.1000000000000001E-3</v>
      </c>
      <c r="E150">
        <v>5.9957334838115024</v>
      </c>
      <c r="F150">
        <v>606.80236069123202</v>
      </c>
      <c r="G150">
        <v>0.42399999999999999</v>
      </c>
      <c r="H150">
        <v>0</v>
      </c>
      <c r="I150">
        <v>203.5993</v>
      </c>
    </row>
    <row r="151" spans="1:9" x14ac:dyDescent="0.3">
      <c r="A151" t="s">
        <v>9</v>
      </c>
      <c r="B151" t="s">
        <v>159</v>
      </c>
      <c r="C151">
        <v>0</v>
      </c>
      <c r="D151">
        <v>-1.1000000000000001E-3</v>
      </c>
      <c r="E151">
        <v>5.9957334838115024</v>
      </c>
      <c r="F151">
        <v>606.80236069123202</v>
      </c>
      <c r="G151">
        <v>0.42399999999999999</v>
      </c>
      <c r="H151">
        <v>0</v>
      </c>
      <c r="I151">
        <v>203.7998</v>
      </c>
    </row>
    <row r="152" spans="1:9" x14ac:dyDescent="0.3">
      <c r="A152" t="s">
        <v>9</v>
      </c>
      <c r="B152" t="s">
        <v>160</v>
      </c>
      <c r="C152">
        <v>0</v>
      </c>
      <c r="D152">
        <v>-1.1000000000000001E-3</v>
      </c>
      <c r="E152">
        <v>5.9957334838115024</v>
      </c>
      <c r="F152">
        <v>606.80236069123202</v>
      </c>
      <c r="G152">
        <v>0.42399999999999999</v>
      </c>
      <c r="H152">
        <v>0</v>
      </c>
      <c r="I152">
        <v>204</v>
      </c>
    </row>
    <row r="153" spans="1:9" x14ac:dyDescent="0.3">
      <c r="A153" t="s">
        <v>9</v>
      </c>
      <c r="B153" t="s">
        <v>161</v>
      </c>
      <c r="C153">
        <v>0</v>
      </c>
      <c r="D153">
        <v>-1.1000000000000001E-3</v>
      </c>
      <c r="E153">
        <v>5.9957334838115024</v>
      </c>
      <c r="F153">
        <v>606.80236069123202</v>
      </c>
      <c r="G153">
        <v>0.42399999999999999</v>
      </c>
      <c r="H153">
        <v>0</v>
      </c>
      <c r="I153">
        <v>204.20050000000001</v>
      </c>
    </row>
    <row r="154" spans="1:9" x14ac:dyDescent="0.3">
      <c r="A154" t="s">
        <v>9</v>
      </c>
      <c r="B154" t="s">
        <v>162</v>
      </c>
      <c r="C154">
        <v>0</v>
      </c>
      <c r="D154">
        <v>-1.1000000000000001E-3</v>
      </c>
      <c r="E154">
        <v>5.9957334838115024</v>
      </c>
      <c r="F154">
        <v>606.80236069123202</v>
      </c>
      <c r="G154">
        <v>0.42399999999999999</v>
      </c>
      <c r="H154">
        <v>0</v>
      </c>
      <c r="I154">
        <v>204.3982</v>
      </c>
    </row>
    <row r="155" spans="1:9" x14ac:dyDescent="0.3">
      <c r="A155" t="s">
        <v>9</v>
      </c>
      <c r="B155" t="s">
        <v>163</v>
      </c>
      <c r="C155">
        <v>0</v>
      </c>
      <c r="D155">
        <v>-1.1000000000000001E-3</v>
      </c>
      <c r="E155">
        <v>5.9957334838115024</v>
      </c>
      <c r="F155">
        <v>606.80236069123202</v>
      </c>
      <c r="G155">
        <v>0.42399999999999999</v>
      </c>
      <c r="H155">
        <v>0</v>
      </c>
      <c r="I155">
        <v>204.5993</v>
      </c>
    </row>
    <row r="156" spans="1:9" x14ac:dyDescent="0.3">
      <c r="A156" t="s">
        <v>9</v>
      </c>
      <c r="B156" t="s">
        <v>164</v>
      </c>
      <c r="C156">
        <v>0</v>
      </c>
      <c r="D156">
        <v>-1.1000000000000001E-3</v>
      </c>
      <c r="E156">
        <v>5.9957334838115024</v>
      </c>
      <c r="F156">
        <v>606.80236069123202</v>
      </c>
      <c r="G156">
        <v>0.42399999999999999</v>
      </c>
      <c r="H156">
        <v>0</v>
      </c>
      <c r="I156">
        <v>204.7998</v>
      </c>
    </row>
    <row r="157" spans="1:9" x14ac:dyDescent="0.3">
      <c r="A157" t="s">
        <v>9</v>
      </c>
      <c r="B157" t="s">
        <v>165</v>
      </c>
      <c r="C157">
        <v>0</v>
      </c>
      <c r="D157">
        <v>-1.1000000000000001E-3</v>
      </c>
      <c r="E157">
        <v>5.9957334838115024</v>
      </c>
      <c r="F157">
        <v>606.80236069123202</v>
      </c>
      <c r="G157">
        <v>0.42399999999999999</v>
      </c>
      <c r="H157">
        <v>0</v>
      </c>
      <c r="I157">
        <v>205.0001</v>
      </c>
    </row>
    <row r="158" spans="1:9" x14ac:dyDescent="0.3">
      <c r="A158" t="s">
        <v>9</v>
      </c>
      <c r="B158" t="s">
        <v>166</v>
      </c>
      <c r="C158">
        <v>0</v>
      </c>
      <c r="D158">
        <v>-1.1999999999999999E-3</v>
      </c>
      <c r="E158">
        <v>5.9957334838115024</v>
      </c>
      <c r="F158">
        <v>606.80236069123202</v>
      </c>
      <c r="G158">
        <v>0.42399999999999999</v>
      </c>
      <c r="H158">
        <v>0</v>
      </c>
      <c r="I158">
        <v>205.1987</v>
      </c>
    </row>
    <row r="159" spans="1:9" x14ac:dyDescent="0.3">
      <c r="A159" t="s">
        <v>9</v>
      </c>
      <c r="B159" t="s">
        <v>167</v>
      </c>
      <c r="C159">
        <v>0</v>
      </c>
      <c r="D159">
        <v>-1.1000000000000001E-3</v>
      </c>
      <c r="E159">
        <v>5.9957334838115024</v>
      </c>
      <c r="F159">
        <v>606.80236069123202</v>
      </c>
      <c r="G159">
        <v>0.42399999999999999</v>
      </c>
      <c r="H159">
        <v>0</v>
      </c>
      <c r="I159">
        <v>205.3982</v>
      </c>
    </row>
    <row r="160" spans="1:9" x14ac:dyDescent="0.3">
      <c r="A160" t="s">
        <v>9</v>
      </c>
      <c r="B160" t="s">
        <v>168</v>
      </c>
      <c r="C160">
        <v>0</v>
      </c>
      <c r="D160">
        <v>-1.1000000000000001E-3</v>
      </c>
      <c r="E160">
        <v>5.9957334838115024</v>
      </c>
      <c r="F160">
        <v>606.80236069123202</v>
      </c>
      <c r="G160">
        <v>0.42399999999999999</v>
      </c>
      <c r="H160">
        <v>0</v>
      </c>
      <c r="I160">
        <v>205.59829999999999</v>
      </c>
    </row>
    <row r="161" spans="1:9" x14ac:dyDescent="0.3">
      <c r="A161" t="s">
        <v>9</v>
      </c>
      <c r="B161" t="s">
        <v>169</v>
      </c>
      <c r="C161">
        <v>0</v>
      </c>
      <c r="D161">
        <v>-1.1000000000000001E-3</v>
      </c>
      <c r="E161">
        <v>5.9957334838115024</v>
      </c>
      <c r="F161">
        <v>606.80236069123202</v>
      </c>
      <c r="G161">
        <v>0.42399999999999999</v>
      </c>
      <c r="H161">
        <v>0</v>
      </c>
      <c r="I161">
        <v>205.79920000000001</v>
      </c>
    </row>
    <row r="162" spans="1:9" x14ac:dyDescent="0.3">
      <c r="A162" t="s">
        <v>9</v>
      </c>
      <c r="B162" t="s">
        <v>170</v>
      </c>
      <c r="C162">
        <v>0</v>
      </c>
      <c r="D162">
        <v>-1.1000000000000001E-3</v>
      </c>
      <c r="E162">
        <v>5.9957334838115024</v>
      </c>
      <c r="F162">
        <v>606.80236069123202</v>
      </c>
      <c r="G162">
        <v>0.42399999999999999</v>
      </c>
      <c r="H162">
        <v>0</v>
      </c>
      <c r="I162">
        <v>205.99959999999999</v>
      </c>
    </row>
    <row r="163" spans="1:9" x14ac:dyDescent="0.3">
      <c r="A163" t="s">
        <v>9</v>
      </c>
      <c r="B163" t="s">
        <v>171</v>
      </c>
      <c r="C163">
        <v>0</v>
      </c>
      <c r="D163">
        <v>-1.1000000000000001E-3</v>
      </c>
      <c r="E163">
        <v>5.9957334838115024</v>
      </c>
      <c r="F163">
        <v>606.80236069123202</v>
      </c>
      <c r="G163">
        <v>0.42399999999999999</v>
      </c>
      <c r="H163">
        <v>0</v>
      </c>
      <c r="I163">
        <v>206.19820000000001</v>
      </c>
    </row>
    <row r="164" spans="1:9" x14ac:dyDescent="0.3">
      <c r="A164" t="s">
        <v>9</v>
      </c>
      <c r="B164" t="s">
        <v>172</v>
      </c>
      <c r="C164">
        <v>0</v>
      </c>
      <c r="D164">
        <v>-1.1000000000000001E-3</v>
      </c>
      <c r="E164">
        <v>5.9957334838115024</v>
      </c>
      <c r="F164">
        <v>606.80236069123202</v>
      </c>
      <c r="G164">
        <v>0.42399999999999999</v>
      </c>
      <c r="H164">
        <v>0</v>
      </c>
      <c r="I164">
        <v>206.39869999999999</v>
      </c>
    </row>
    <row r="165" spans="1:9" x14ac:dyDescent="0.3">
      <c r="A165" t="s">
        <v>9</v>
      </c>
      <c r="B165" t="s">
        <v>173</v>
      </c>
      <c r="C165">
        <v>0</v>
      </c>
      <c r="D165">
        <v>-1.1000000000000001E-3</v>
      </c>
      <c r="E165">
        <v>5.9957334838115024</v>
      </c>
      <c r="F165">
        <v>606.80236069123202</v>
      </c>
      <c r="G165">
        <v>0.42399999999999999</v>
      </c>
      <c r="H165">
        <v>0</v>
      </c>
      <c r="I165">
        <v>206.59970000000001</v>
      </c>
    </row>
    <row r="166" spans="1:9" x14ac:dyDescent="0.3">
      <c r="A166" t="s">
        <v>9</v>
      </c>
      <c r="B166" t="s">
        <v>174</v>
      </c>
      <c r="C166">
        <v>0</v>
      </c>
      <c r="D166">
        <v>-1.1000000000000001E-3</v>
      </c>
      <c r="E166">
        <v>5.9957334838115024</v>
      </c>
      <c r="F166">
        <v>606.80236069123202</v>
      </c>
      <c r="G166">
        <v>0.42399999999999999</v>
      </c>
      <c r="H166">
        <v>0</v>
      </c>
      <c r="I166">
        <v>206.7989</v>
      </c>
    </row>
    <row r="167" spans="1:9" x14ac:dyDescent="0.3">
      <c r="A167" t="s">
        <v>9</v>
      </c>
      <c r="B167" t="s">
        <v>175</v>
      </c>
      <c r="C167">
        <v>0</v>
      </c>
      <c r="D167">
        <v>-1.1000000000000001E-3</v>
      </c>
      <c r="E167">
        <v>5.9957334838115024</v>
      </c>
      <c r="F167">
        <v>606.80236069123202</v>
      </c>
      <c r="G167">
        <v>0.42399999999999999</v>
      </c>
      <c r="H167">
        <v>0</v>
      </c>
      <c r="I167">
        <v>206.99799999999999</v>
      </c>
    </row>
    <row r="168" spans="1:9" x14ac:dyDescent="0.3">
      <c r="A168" t="s">
        <v>9</v>
      </c>
      <c r="B168" t="s">
        <v>176</v>
      </c>
      <c r="C168">
        <v>0</v>
      </c>
      <c r="D168">
        <v>-1.1999999999999999E-3</v>
      </c>
      <c r="E168">
        <v>5.9957334838115024</v>
      </c>
      <c r="F168">
        <v>606.80236069123202</v>
      </c>
      <c r="G168">
        <v>0.42399999999999999</v>
      </c>
      <c r="H168">
        <v>0</v>
      </c>
      <c r="I168">
        <v>207.1986</v>
      </c>
    </row>
    <row r="169" spans="1:9" x14ac:dyDescent="0.3">
      <c r="A169" t="s">
        <v>9</v>
      </c>
      <c r="B169" t="s">
        <v>177</v>
      </c>
      <c r="C169">
        <v>0</v>
      </c>
      <c r="D169">
        <v>-1.1000000000000001E-3</v>
      </c>
      <c r="E169">
        <v>5.9957334838115024</v>
      </c>
      <c r="F169">
        <v>606.80236069123202</v>
      </c>
      <c r="G169">
        <v>0.42399999999999999</v>
      </c>
      <c r="H169">
        <v>0</v>
      </c>
      <c r="I169">
        <v>207.4</v>
      </c>
    </row>
    <row r="170" spans="1:9" x14ac:dyDescent="0.3">
      <c r="A170" t="s">
        <v>9</v>
      </c>
      <c r="B170" t="s">
        <v>178</v>
      </c>
      <c r="C170">
        <v>0</v>
      </c>
      <c r="D170">
        <v>-1.1000000000000001E-3</v>
      </c>
      <c r="E170">
        <v>5.9957334838115024</v>
      </c>
      <c r="F170">
        <v>606.80236069123202</v>
      </c>
      <c r="G170">
        <v>0.42399999999999999</v>
      </c>
      <c r="H170">
        <v>0</v>
      </c>
      <c r="I170">
        <v>207.6003</v>
      </c>
    </row>
    <row r="171" spans="1:9" x14ac:dyDescent="0.3">
      <c r="A171" t="s">
        <v>9</v>
      </c>
      <c r="B171" t="s">
        <v>179</v>
      </c>
      <c r="C171">
        <v>0</v>
      </c>
      <c r="D171">
        <v>-1.1999999999999999E-3</v>
      </c>
      <c r="E171">
        <v>5.9957334838115024</v>
      </c>
      <c r="F171">
        <v>606.80236069123202</v>
      </c>
      <c r="G171">
        <v>0.42399999999999999</v>
      </c>
      <c r="H171">
        <v>0</v>
      </c>
      <c r="I171">
        <v>207.79939999999999</v>
      </c>
    </row>
    <row r="172" spans="1:9" x14ac:dyDescent="0.3">
      <c r="A172" t="s">
        <v>9</v>
      </c>
      <c r="B172" t="s">
        <v>180</v>
      </c>
      <c r="C172">
        <v>0</v>
      </c>
      <c r="D172">
        <v>-1.1000000000000001E-3</v>
      </c>
      <c r="E172">
        <v>5.9957334838115024</v>
      </c>
      <c r="F172">
        <v>606.80236069123202</v>
      </c>
      <c r="G172">
        <v>0.42399999999999999</v>
      </c>
      <c r="H172">
        <v>0</v>
      </c>
      <c r="I172">
        <v>208.05879999999999</v>
      </c>
    </row>
    <row r="173" spans="1:9" x14ac:dyDescent="0.3">
      <c r="A173" t="s">
        <v>9</v>
      </c>
      <c r="B173" t="s">
        <v>181</v>
      </c>
      <c r="C173">
        <v>0</v>
      </c>
      <c r="D173">
        <v>-1.1000000000000001E-3</v>
      </c>
      <c r="E173">
        <v>5.9957334838115024</v>
      </c>
      <c r="F173">
        <v>606.80236069123202</v>
      </c>
      <c r="G173">
        <v>0.42399999999999999</v>
      </c>
      <c r="H173">
        <v>0</v>
      </c>
      <c r="I173">
        <v>208.19820000000001</v>
      </c>
    </row>
    <row r="174" spans="1:9" x14ac:dyDescent="0.3">
      <c r="A174" t="s">
        <v>9</v>
      </c>
      <c r="B174" t="s">
        <v>182</v>
      </c>
      <c r="C174">
        <v>0</v>
      </c>
      <c r="D174">
        <v>-1.1000000000000001E-3</v>
      </c>
      <c r="E174">
        <v>5.9957334838115024</v>
      </c>
      <c r="F174">
        <v>606.80236069123202</v>
      </c>
      <c r="G174">
        <v>0.42399999999999999</v>
      </c>
      <c r="H174">
        <v>0</v>
      </c>
      <c r="I174">
        <v>208.4</v>
      </c>
    </row>
    <row r="175" spans="1:9" x14ac:dyDescent="0.3">
      <c r="A175" t="s">
        <v>9</v>
      </c>
      <c r="B175" t="s">
        <v>183</v>
      </c>
      <c r="C175">
        <v>0</v>
      </c>
      <c r="D175">
        <v>-1.1000000000000001E-3</v>
      </c>
      <c r="E175">
        <v>5.9957334838115024</v>
      </c>
      <c r="F175">
        <v>606.80236069123202</v>
      </c>
      <c r="G175">
        <v>0.42399999999999999</v>
      </c>
      <c r="H175">
        <v>0</v>
      </c>
      <c r="I175">
        <v>208.59960000000001</v>
      </c>
    </row>
    <row r="176" spans="1:9" x14ac:dyDescent="0.3">
      <c r="A176" t="s">
        <v>9</v>
      </c>
      <c r="B176" t="s">
        <v>184</v>
      </c>
      <c r="C176">
        <v>0</v>
      </c>
      <c r="D176">
        <v>-1.1000000000000001E-3</v>
      </c>
      <c r="E176">
        <v>5.9957334838115024</v>
      </c>
      <c r="F176">
        <v>606.80236069123202</v>
      </c>
      <c r="G176">
        <v>0.42399999999999999</v>
      </c>
      <c r="H176">
        <v>0</v>
      </c>
      <c r="I176">
        <v>208.8022</v>
      </c>
    </row>
    <row r="177" spans="1:9" x14ac:dyDescent="0.3">
      <c r="A177" t="s">
        <v>9</v>
      </c>
      <c r="B177" t="s">
        <v>185</v>
      </c>
      <c r="C177">
        <v>0</v>
      </c>
      <c r="D177">
        <v>-1.1000000000000001E-3</v>
      </c>
      <c r="E177">
        <v>6.8803027953400306</v>
      </c>
      <c r="F177">
        <v>792.94073527776891</v>
      </c>
      <c r="G177">
        <v>0.42399999999999999</v>
      </c>
      <c r="H177">
        <v>1.37E-2</v>
      </c>
      <c r="I177">
        <v>209.00020000000001</v>
      </c>
    </row>
    <row r="178" spans="1:9" x14ac:dyDescent="0.3">
      <c r="A178" t="s">
        <v>9</v>
      </c>
      <c r="B178" t="s">
        <v>186</v>
      </c>
      <c r="C178">
        <v>0</v>
      </c>
      <c r="D178">
        <v>6.7000000000000002E-3</v>
      </c>
      <c r="E178">
        <v>6.8399556174234748</v>
      </c>
      <c r="F178">
        <v>685.48386354386787</v>
      </c>
      <c r="G178">
        <v>0.42399999999999999</v>
      </c>
      <c r="H178">
        <v>1.3100000000000001E-2</v>
      </c>
      <c r="I178">
        <v>209.19820000000001</v>
      </c>
    </row>
    <row r="179" spans="1:9" x14ac:dyDescent="0.3">
      <c r="A179" t="s">
        <v>9</v>
      </c>
      <c r="B179" t="s">
        <v>187</v>
      </c>
      <c r="C179">
        <v>0</v>
      </c>
      <c r="D179">
        <v>8.5000000000000006E-3</v>
      </c>
      <c r="E179">
        <v>6.7981576651635516</v>
      </c>
      <c r="F179">
        <v>681.58829439324313</v>
      </c>
      <c r="G179">
        <v>0.42399999999999999</v>
      </c>
      <c r="H179">
        <v>1.2500000000000001E-2</v>
      </c>
      <c r="I179">
        <v>209.3999</v>
      </c>
    </row>
    <row r="180" spans="1:9" x14ac:dyDescent="0.3">
      <c r="A180" t="s">
        <v>9</v>
      </c>
      <c r="B180" t="s">
        <v>188</v>
      </c>
      <c r="C180">
        <v>0</v>
      </c>
      <c r="D180">
        <v>8.2000000000000007E-3</v>
      </c>
      <c r="E180">
        <v>6.7563722824968746</v>
      </c>
      <c r="F180">
        <v>677.69389672870886</v>
      </c>
      <c r="G180">
        <v>0.42399999999999999</v>
      </c>
      <c r="H180">
        <v>1.18E-2</v>
      </c>
      <c r="I180">
        <v>209.5992</v>
      </c>
    </row>
    <row r="181" spans="1:9" x14ac:dyDescent="0.3">
      <c r="A181" t="s">
        <v>9</v>
      </c>
      <c r="B181" t="s">
        <v>189</v>
      </c>
      <c r="C181">
        <v>0</v>
      </c>
      <c r="D181">
        <v>8.2000000000000007E-3</v>
      </c>
      <c r="E181">
        <v>6.7143521322659723</v>
      </c>
      <c r="F181">
        <v>673.77761872718861</v>
      </c>
      <c r="G181">
        <v>0.42399999999999999</v>
      </c>
      <c r="H181">
        <v>1.12E-2</v>
      </c>
      <c r="I181">
        <v>209.79810000000001</v>
      </c>
    </row>
    <row r="182" spans="1:9" x14ac:dyDescent="0.3">
      <c r="A182" t="s">
        <v>9</v>
      </c>
      <c r="B182" t="s">
        <v>190</v>
      </c>
      <c r="C182">
        <v>0</v>
      </c>
      <c r="D182">
        <v>8.0999999999999996E-3</v>
      </c>
      <c r="E182">
        <v>6.6713503373494092</v>
      </c>
      <c r="F182">
        <v>669.769851440965</v>
      </c>
      <c r="G182">
        <v>0.42399999999999999</v>
      </c>
      <c r="H182">
        <v>1.0500000000000001E-2</v>
      </c>
      <c r="I182">
        <v>210.0008</v>
      </c>
    </row>
    <row r="183" spans="1:9" x14ac:dyDescent="0.3">
      <c r="A183" t="s">
        <v>9</v>
      </c>
      <c r="B183" t="s">
        <v>191</v>
      </c>
      <c r="C183">
        <v>0</v>
      </c>
      <c r="D183">
        <v>7.7000000000000002E-3</v>
      </c>
      <c r="E183">
        <v>6.629007837872285</v>
      </c>
      <c r="F183">
        <v>665.82353048969696</v>
      </c>
      <c r="G183">
        <v>0.42399999999999999</v>
      </c>
      <c r="H183">
        <v>9.7999999999999997E-3</v>
      </c>
      <c r="I183">
        <v>210.2004</v>
      </c>
    </row>
    <row r="184" spans="1:9" x14ac:dyDescent="0.3">
      <c r="A184" t="s">
        <v>9</v>
      </c>
      <c r="B184" t="s">
        <v>192</v>
      </c>
      <c r="C184">
        <v>0</v>
      </c>
      <c r="D184">
        <v>7.7000000000000002E-3</v>
      </c>
      <c r="E184">
        <v>6.5870626997301231</v>
      </c>
      <c r="F184">
        <v>661.91424361484746</v>
      </c>
      <c r="G184">
        <v>0.42399999999999999</v>
      </c>
      <c r="H184">
        <v>9.1999999999999998E-3</v>
      </c>
      <c r="I184">
        <v>210.39879999999999</v>
      </c>
    </row>
    <row r="185" spans="1:9" x14ac:dyDescent="0.3">
      <c r="A185" t="s">
        <v>9</v>
      </c>
      <c r="B185" t="s">
        <v>193</v>
      </c>
      <c r="C185">
        <v>0</v>
      </c>
      <c r="D185">
        <v>7.0000000000000001E-3</v>
      </c>
      <c r="E185">
        <v>6.5451317530642124</v>
      </c>
      <c r="F185">
        <v>658.00627938558466</v>
      </c>
      <c r="G185">
        <v>0.42399999999999999</v>
      </c>
      <c r="H185">
        <v>8.5000000000000006E-3</v>
      </c>
      <c r="I185">
        <v>210.59880000000001</v>
      </c>
    </row>
    <row r="186" spans="1:9" x14ac:dyDescent="0.3">
      <c r="A186" t="s">
        <v>9</v>
      </c>
      <c r="B186" t="s">
        <v>194</v>
      </c>
      <c r="C186">
        <v>0</v>
      </c>
      <c r="D186">
        <v>7.1000000000000004E-3</v>
      </c>
      <c r="E186">
        <v>7.2187528795708022</v>
      </c>
      <c r="F186">
        <v>825.05964827126923</v>
      </c>
      <c r="G186">
        <v>0.42399999999999999</v>
      </c>
      <c r="H186">
        <v>1.9E-2</v>
      </c>
      <c r="I186">
        <v>210.79839999999999</v>
      </c>
    </row>
    <row r="187" spans="1:9" x14ac:dyDescent="0.3">
      <c r="A187" t="s">
        <v>9</v>
      </c>
      <c r="B187" t="s">
        <v>195</v>
      </c>
      <c r="C187">
        <v>0</v>
      </c>
      <c r="D187">
        <v>1.3599999999999999E-2</v>
      </c>
      <c r="E187">
        <v>7.1500272093350912</v>
      </c>
      <c r="F187">
        <v>714.38253591003047</v>
      </c>
      <c r="G187">
        <v>0.42399999999999999</v>
      </c>
      <c r="H187">
        <v>1.7899999999999999E-2</v>
      </c>
      <c r="I187">
        <v>210.9982</v>
      </c>
    </row>
    <row r="188" spans="1:9" x14ac:dyDescent="0.3">
      <c r="A188" t="s">
        <v>9</v>
      </c>
      <c r="B188" t="s">
        <v>196</v>
      </c>
      <c r="C188">
        <v>0</v>
      </c>
      <c r="D188">
        <v>1.5100000000000001E-2</v>
      </c>
      <c r="E188">
        <v>7.0691475533692447</v>
      </c>
      <c r="F188">
        <v>706.8445519740136</v>
      </c>
      <c r="G188">
        <v>0.42399999999999999</v>
      </c>
      <c r="H188">
        <v>1.67E-2</v>
      </c>
      <c r="I188">
        <v>211.19900000000001</v>
      </c>
    </row>
    <row r="189" spans="1:9" x14ac:dyDescent="0.3">
      <c r="A189" t="s">
        <v>9</v>
      </c>
      <c r="B189" t="s">
        <v>197</v>
      </c>
      <c r="C189">
        <v>0</v>
      </c>
      <c r="D189">
        <v>1.4500000000000001E-2</v>
      </c>
      <c r="E189">
        <v>6.9786112060222836</v>
      </c>
      <c r="F189">
        <v>698.4065644012768</v>
      </c>
      <c r="G189">
        <v>0.42399999999999999</v>
      </c>
      <c r="H189">
        <v>1.5299999999999999E-2</v>
      </c>
      <c r="I189">
        <v>211.39940000000001</v>
      </c>
    </row>
    <row r="190" spans="1:9" x14ac:dyDescent="0.3">
      <c r="A190" t="s">
        <v>9</v>
      </c>
      <c r="B190" t="s">
        <v>198</v>
      </c>
      <c r="C190">
        <v>0</v>
      </c>
      <c r="D190">
        <v>1.38E-2</v>
      </c>
      <c r="E190">
        <v>6.3457054248732172</v>
      </c>
      <c r="F190">
        <v>639.41974559818391</v>
      </c>
      <c r="G190">
        <v>0.42399999999999999</v>
      </c>
      <c r="H190">
        <v>5.4000000000000003E-3</v>
      </c>
      <c r="I190">
        <v>211.60130000000001</v>
      </c>
    </row>
    <row r="191" spans="1:9" x14ac:dyDescent="0.3">
      <c r="A191" t="s">
        <v>9</v>
      </c>
      <c r="B191" t="s">
        <v>199</v>
      </c>
      <c r="C191">
        <v>0</v>
      </c>
      <c r="D191">
        <v>4.1000000000000003E-3</v>
      </c>
      <c r="E191">
        <v>6.2410267037853737</v>
      </c>
      <c r="F191">
        <v>629.66368879279685</v>
      </c>
      <c r="G191">
        <v>0.42399999999999999</v>
      </c>
      <c r="H191">
        <v>3.8E-3</v>
      </c>
      <c r="I191">
        <v>212.19829999999999</v>
      </c>
    </row>
    <row r="192" spans="1:9" x14ac:dyDescent="0.3">
      <c r="A192" t="s">
        <v>9</v>
      </c>
      <c r="B192" t="s">
        <v>200</v>
      </c>
      <c r="C192">
        <v>0</v>
      </c>
      <c r="D192">
        <v>4.0000000000000001E-3</v>
      </c>
      <c r="E192">
        <v>6.2090561460923013</v>
      </c>
      <c r="F192">
        <v>626.68403281580254</v>
      </c>
      <c r="G192">
        <v>0.42399999999999999</v>
      </c>
      <c r="H192">
        <v>3.3E-3</v>
      </c>
      <c r="I192">
        <v>212.3991</v>
      </c>
    </row>
    <row r="193" spans="1:9" x14ac:dyDescent="0.3">
      <c r="A193" t="s">
        <v>9</v>
      </c>
      <c r="B193" t="s">
        <v>201</v>
      </c>
      <c r="C193">
        <v>0</v>
      </c>
      <c r="D193">
        <v>1.8E-3</v>
      </c>
      <c r="E193">
        <v>6.1788003242008198</v>
      </c>
      <c r="F193">
        <v>623.86419021551637</v>
      </c>
      <c r="G193">
        <v>0.42399999999999999</v>
      </c>
      <c r="H193">
        <v>2.8E-3</v>
      </c>
      <c r="I193">
        <v>212.60059999999999</v>
      </c>
    </row>
    <row r="194" spans="1:9" x14ac:dyDescent="0.3">
      <c r="A194" t="s">
        <v>9</v>
      </c>
      <c r="B194" t="s">
        <v>202</v>
      </c>
      <c r="C194">
        <v>0</v>
      </c>
      <c r="D194">
        <v>1.5E-3</v>
      </c>
      <c r="E194">
        <v>6.1509270078890479</v>
      </c>
      <c r="F194">
        <v>621.26639713525924</v>
      </c>
      <c r="G194">
        <v>0.42399999999999999</v>
      </c>
      <c r="H194">
        <v>2.3999999999999998E-3</v>
      </c>
      <c r="I194">
        <v>212.79920000000001</v>
      </c>
    </row>
    <row r="195" spans="1:9" x14ac:dyDescent="0.3">
      <c r="A195" t="s">
        <v>9</v>
      </c>
      <c r="B195" t="s">
        <v>203</v>
      </c>
      <c r="C195">
        <v>0</v>
      </c>
      <c r="D195">
        <v>8.0000000000000004E-4</v>
      </c>
      <c r="E195">
        <v>6.1248421014141341</v>
      </c>
      <c r="F195">
        <v>618.83528385179727</v>
      </c>
      <c r="G195">
        <v>0.42399999999999999</v>
      </c>
      <c r="H195">
        <v>2E-3</v>
      </c>
      <c r="I195">
        <v>212.99959999999999</v>
      </c>
    </row>
    <row r="196" spans="1:9" x14ac:dyDescent="0.3">
      <c r="A196" t="s">
        <v>9</v>
      </c>
      <c r="B196" t="s">
        <v>204</v>
      </c>
      <c r="C196">
        <v>0</v>
      </c>
      <c r="D196">
        <v>1E-4</v>
      </c>
      <c r="E196">
        <v>6.1008028759669362</v>
      </c>
      <c r="F196">
        <v>616.5948280401185</v>
      </c>
      <c r="G196">
        <v>0.42399999999999999</v>
      </c>
      <c r="H196">
        <v>1.6000000000000001E-3</v>
      </c>
      <c r="I196">
        <v>213.2011</v>
      </c>
    </row>
    <row r="197" spans="1:9" x14ac:dyDescent="0.3">
      <c r="A197" t="s">
        <v>9</v>
      </c>
      <c r="B197" t="s">
        <v>205</v>
      </c>
      <c r="C197">
        <v>0</v>
      </c>
      <c r="D197">
        <v>1E-4</v>
      </c>
      <c r="E197">
        <v>6.0792885574268292</v>
      </c>
      <c r="F197">
        <v>614.58969355218051</v>
      </c>
      <c r="G197">
        <v>0.42399999999999999</v>
      </c>
      <c r="H197">
        <v>1.2999999999999999E-3</v>
      </c>
      <c r="I197">
        <v>213.40029999999999</v>
      </c>
    </row>
    <row r="198" spans="1:9" x14ac:dyDescent="0.3">
      <c r="A198" t="s">
        <v>9</v>
      </c>
      <c r="B198" t="s">
        <v>206</v>
      </c>
      <c r="C198">
        <v>0</v>
      </c>
      <c r="D198">
        <v>-5.0000000000000001E-4</v>
      </c>
      <c r="E198">
        <v>6.0601848030423282</v>
      </c>
      <c r="F198">
        <v>612.80922364354501</v>
      </c>
      <c r="G198">
        <v>0.42399999999999999</v>
      </c>
      <c r="H198">
        <v>1E-3</v>
      </c>
      <c r="I198">
        <v>213.5985</v>
      </c>
    </row>
    <row r="199" spans="1:9" x14ac:dyDescent="0.3">
      <c r="A199" t="s">
        <v>9</v>
      </c>
      <c r="B199" t="s">
        <v>207</v>
      </c>
      <c r="C199">
        <v>0</v>
      </c>
      <c r="D199">
        <v>-5.0000000000000001E-4</v>
      </c>
      <c r="E199">
        <v>6.0432424510375791</v>
      </c>
      <c r="F199">
        <v>611.23019643670239</v>
      </c>
      <c r="G199">
        <v>0.42399999999999999</v>
      </c>
      <c r="H199">
        <v>6.9999999999999999E-4</v>
      </c>
      <c r="I199">
        <v>213.79929999999999</v>
      </c>
    </row>
    <row r="200" spans="1:9" x14ac:dyDescent="0.3">
      <c r="A200" t="s">
        <v>9</v>
      </c>
      <c r="B200" t="s">
        <v>208</v>
      </c>
      <c r="C200">
        <v>0</v>
      </c>
      <c r="D200">
        <v>-5.9999999999999995E-4</v>
      </c>
      <c r="E200">
        <v>6.0288858954824462</v>
      </c>
      <c r="F200">
        <v>609.89216545896397</v>
      </c>
      <c r="G200">
        <v>0.42399999999999999</v>
      </c>
      <c r="H200">
        <v>5.0000000000000001E-4</v>
      </c>
      <c r="I200">
        <v>213.99879999999999</v>
      </c>
    </row>
    <row r="201" spans="1:9" x14ac:dyDescent="0.3">
      <c r="A201" t="s">
        <v>9</v>
      </c>
      <c r="B201" t="s">
        <v>209</v>
      </c>
      <c r="C201">
        <v>0</v>
      </c>
      <c r="D201">
        <v>-5.9999999999999995E-4</v>
      </c>
      <c r="E201">
        <v>6.0170683774900429</v>
      </c>
      <c r="F201">
        <v>608.79077278207205</v>
      </c>
      <c r="G201">
        <v>0.42399999999999999</v>
      </c>
      <c r="H201">
        <v>2.9999999999999997E-4</v>
      </c>
      <c r="I201">
        <v>214.19800000000001</v>
      </c>
    </row>
    <row r="202" spans="1:9" x14ac:dyDescent="0.3">
      <c r="A202" t="s">
        <v>9</v>
      </c>
      <c r="B202" t="s">
        <v>210</v>
      </c>
      <c r="C202">
        <v>0</v>
      </c>
      <c r="D202">
        <v>-5.9999999999999995E-4</v>
      </c>
      <c r="E202">
        <v>6.0077009651607796</v>
      </c>
      <c r="F202">
        <v>607.9177299529847</v>
      </c>
      <c r="G202">
        <v>0.42399999999999999</v>
      </c>
      <c r="H202">
        <v>2.0000000000000001E-4</v>
      </c>
      <c r="I202">
        <v>214.40010000000001</v>
      </c>
    </row>
    <row r="203" spans="1:9" x14ac:dyDescent="0.3">
      <c r="A203" t="s">
        <v>9</v>
      </c>
      <c r="B203" t="s">
        <v>211</v>
      </c>
      <c r="C203">
        <v>0</v>
      </c>
      <c r="D203">
        <v>-1.1000000000000001E-3</v>
      </c>
      <c r="E203">
        <v>6.0010673501595777</v>
      </c>
      <c r="F203">
        <v>607.29947703487267</v>
      </c>
      <c r="G203">
        <v>0.42399999999999999</v>
      </c>
      <c r="H203">
        <v>1E-4</v>
      </c>
      <c r="I203">
        <v>214.59979999999999</v>
      </c>
    </row>
    <row r="204" spans="1:9" x14ac:dyDescent="0.3">
      <c r="A204" t="s">
        <v>9</v>
      </c>
      <c r="B204" t="s">
        <v>212</v>
      </c>
      <c r="C204">
        <v>0</v>
      </c>
      <c r="D204">
        <v>-1.1999999999999999E-3</v>
      </c>
      <c r="E204">
        <v>5.9970775033829957</v>
      </c>
      <c r="F204">
        <v>606.92762331529525</v>
      </c>
      <c r="G204">
        <v>0.42399999999999999</v>
      </c>
      <c r="H204">
        <v>0</v>
      </c>
      <c r="I204">
        <v>214.79920000000001</v>
      </c>
    </row>
    <row r="205" spans="1:9" x14ac:dyDescent="0.3">
      <c r="A205" t="s">
        <v>9</v>
      </c>
      <c r="B205" t="s">
        <v>213</v>
      </c>
      <c r="C205">
        <v>0</v>
      </c>
      <c r="D205">
        <v>-1.1999999999999999E-3</v>
      </c>
      <c r="E205">
        <v>5.9957334838115024</v>
      </c>
      <c r="F205">
        <v>606.80236069123202</v>
      </c>
      <c r="G205">
        <v>0.42399999999999999</v>
      </c>
      <c r="H205">
        <v>0</v>
      </c>
      <c r="I205">
        <v>214.9992</v>
      </c>
    </row>
    <row r="206" spans="1:9" x14ac:dyDescent="0.3">
      <c r="A206" t="s">
        <v>9</v>
      </c>
      <c r="B206" t="s">
        <v>214</v>
      </c>
      <c r="C206">
        <v>0</v>
      </c>
      <c r="D206">
        <v>-1.1000000000000001E-3</v>
      </c>
      <c r="E206">
        <v>5.998398965805726</v>
      </c>
      <c r="F206">
        <v>709.24806185496345</v>
      </c>
      <c r="G206">
        <v>0.42399999999999999</v>
      </c>
      <c r="H206">
        <v>0</v>
      </c>
      <c r="I206">
        <v>215.19990000000001</v>
      </c>
    </row>
    <row r="207" spans="1:9" x14ac:dyDescent="0.3">
      <c r="A207" t="s">
        <v>9</v>
      </c>
      <c r="B207" t="s">
        <v>215</v>
      </c>
      <c r="C207">
        <v>0</v>
      </c>
      <c r="D207">
        <v>-8.0000000000000004E-4</v>
      </c>
      <c r="E207">
        <v>6.0063459508444312</v>
      </c>
      <c r="F207">
        <v>710.00223073513655</v>
      </c>
      <c r="G207">
        <v>0.42399999999999999</v>
      </c>
      <c r="H207">
        <v>2.0000000000000001E-4</v>
      </c>
      <c r="I207">
        <v>215.3991</v>
      </c>
    </row>
    <row r="208" spans="1:9" x14ac:dyDescent="0.3">
      <c r="A208" t="s">
        <v>9</v>
      </c>
      <c r="B208" t="s">
        <v>216</v>
      </c>
      <c r="C208">
        <v>0</v>
      </c>
      <c r="D208">
        <v>-5.0000000000000001E-4</v>
      </c>
      <c r="E208">
        <v>6.0196534603111376</v>
      </c>
      <c r="F208">
        <v>711.26511338352702</v>
      </c>
      <c r="G208">
        <v>0.42399999999999999</v>
      </c>
      <c r="H208">
        <v>4.0000000000000002E-4</v>
      </c>
      <c r="I208">
        <v>215.59970000000001</v>
      </c>
    </row>
    <row r="209" spans="1:9" x14ac:dyDescent="0.3">
      <c r="A209" t="s">
        <v>9</v>
      </c>
      <c r="B209" t="s">
        <v>217</v>
      </c>
      <c r="C209">
        <v>0</v>
      </c>
      <c r="D209">
        <v>-1E-4</v>
      </c>
      <c r="E209">
        <v>6.0382138027965393</v>
      </c>
      <c r="F209">
        <v>713.02648988539158</v>
      </c>
      <c r="G209">
        <v>0.42399999999999999</v>
      </c>
      <c r="H209">
        <v>6.9999999999999999E-4</v>
      </c>
      <c r="I209">
        <v>215.80019999999999</v>
      </c>
    </row>
    <row r="210" spans="1:9" x14ac:dyDescent="0.3">
      <c r="A210" t="s">
        <v>9</v>
      </c>
      <c r="B210" t="s">
        <v>218</v>
      </c>
      <c r="C210">
        <v>0</v>
      </c>
      <c r="D210">
        <v>2.0000000000000001E-4</v>
      </c>
      <c r="E210">
        <v>6.0616599056306946</v>
      </c>
      <c r="F210">
        <v>715.251525044353</v>
      </c>
      <c r="G210">
        <v>0.42399999999999999</v>
      </c>
      <c r="H210">
        <v>1E-3</v>
      </c>
      <c r="I210">
        <v>215.9983</v>
      </c>
    </row>
    <row r="211" spans="1:9" x14ac:dyDescent="0.3">
      <c r="A211" t="s">
        <v>9</v>
      </c>
      <c r="B211" t="s">
        <v>219</v>
      </c>
      <c r="C211">
        <v>0</v>
      </c>
      <c r="D211">
        <v>5.9999999999999995E-4</v>
      </c>
      <c r="E211">
        <v>6.0904752115887808</v>
      </c>
      <c r="F211">
        <v>717.98609757977533</v>
      </c>
      <c r="G211">
        <v>0.42399999999999999</v>
      </c>
      <c r="H211">
        <v>1.5E-3</v>
      </c>
      <c r="I211">
        <v>216.19890000000001</v>
      </c>
    </row>
    <row r="212" spans="1:9" x14ac:dyDescent="0.3">
      <c r="A212" t="s">
        <v>9</v>
      </c>
      <c r="B212" t="s">
        <v>220</v>
      </c>
      <c r="C212">
        <v>0</v>
      </c>
      <c r="D212">
        <v>1.1999999999999999E-3</v>
      </c>
      <c r="E212">
        <v>6.1239873690732134</v>
      </c>
      <c r="F212">
        <v>721.16640132504801</v>
      </c>
      <c r="G212">
        <v>0.42399999999999999</v>
      </c>
      <c r="H212">
        <v>2E-3</v>
      </c>
      <c r="I212">
        <v>216.39789999999999</v>
      </c>
    </row>
    <row r="213" spans="1:9" x14ac:dyDescent="0.3">
      <c r="A213" t="s">
        <v>9</v>
      </c>
      <c r="B213" t="s">
        <v>221</v>
      </c>
      <c r="C213">
        <v>0</v>
      </c>
      <c r="D213">
        <v>1.5E-3</v>
      </c>
      <c r="E213">
        <v>6.0792866111672286</v>
      </c>
      <c r="F213">
        <v>614.58951216078583</v>
      </c>
      <c r="G213">
        <v>0.42399999999999999</v>
      </c>
      <c r="H213">
        <v>1.2999999999999999E-3</v>
      </c>
      <c r="I213">
        <v>216.59960000000001</v>
      </c>
    </row>
    <row r="214" spans="1:9" x14ac:dyDescent="0.3">
      <c r="A214" t="s">
        <v>9</v>
      </c>
      <c r="B214" t="s">
        <v>222</v>
      </c>
      <c r="C214">
        <v>0</v>
      </c>
      <c r="D214">
        <v>8.0000000000000004E-4</v>
      </c>
      <c r="E214">
        <v>6.1008034436259848</v>
      </c>
      <c r="F214">
        <v>718.96624680010598</v>
      </c>
      <c r="G214">
        <v>0.42399999999999999</v>
      </c>
      <c r="H214">
        <v>1.6000000000000001E-3</v>
      </c>
      <c r="I214">
        <v>216.7988</v>
      </c>
    </row>
    <row r="215" spans="1:9" x14ac:dyDescent="0.3">
      <c r="A215" t="s">
        <v>9</v>
      </c>
      <c r="B215" t="s">
        <v>223</v>
      </c>
      <c r="C215">
        <v>0</v>
      </c>
      <c r="D215">
        <v>1E-3</v>
      </c>
      <c r="E215">
        <v>6.1246215658732304</v>
      </c>
      <c r="F215">
        <v>721.2265866013696</v>
      </c>
      <c r="G215">
        <v>0.42399999999999999</v>
      </c>
      <c r="H215">
        <v>2E-3</v>
      </c>
      <c r="I215">
        <v>216.99860000000001</v>
      </c>
    </row>
    <row r="216" spans="1:9" x14ac:dyDescent="0.3">
      <c r="A216" t="s">
        <v>9</v>
      </c>
      <c r="B216" t="s">
        <v>224</v>
      </c>
      <c r="C216">
        <v>1</v>
      </c>
      <c r="D216">
        <v>1.2999999999999999E-3</v>
      </c>
      <c r="E216">
        <v>6.1507271919034654</v>
      </c>
      <c r="F216">
        <v>723.7040105116389</v>
      </c>
      <c r="G216">
        <v>0.42399999999999999</v>
      </c>
      <c r="H216">
        <v>2.3999999999999998E-3</v>
      </c>
      <c r="I216">
        <v>217.19929999999999</v>
      </c>
    </row>
    <row r="217" spans="1:9" x14ac:dyDescent="0.3">
      <c r="A217" t="s">
        <v>9</v>
      </c>
      <c r="B217" t="s">
        <v>225</v>
      </c>
      <c r="C217">
        <v>1</v>
      </c>
      <c r="D217">
        <v>1.8E-3</v>
      </c>
      <c r="E217">
        <v>6.1789281285812088</v>
      </c>
      <c r="F217">
        <v>726.38027940235679</v>
      </c>
      <c r="G217">
        <v>0.42399999999999999</v>
      </c>
      <c r="H217">
        <v>2.8E-3</v>
      </c>
      <c r="I217">
        <v>217.40020000000001</v>
      </c>
    </row>
    <row r="218" spans="1:9" x14ac:dyDescent="0.3">
      <c r="A218" t="s">
        <v>9</v>
      </c>
      <c r="B218" t="s">
        <v>226</v>
      </c>
      <c r="C218">
        <v>1</v>
      </c>
      <c r="D218">
        <v>2.5000000000000001E-3</v>
      </c>
      <c r="E218">
        <v>6.2089630094610344</v>
      </c>
      <c r="F218">
        <v>729.23058959785214</v>
      </c>
      <c r="G218">
        <v>0.42399999999999999</v>
      </c>
      <c r="H218">
        <v>3.3E-3</v>
      </c>
      <c r="I218">
        <v>217.6003</v>
      </c>
    </row>
    <row r="219" spans="1:9" x14ac:dyDescent="0.3">
      <c r="A219" t="s">
        <v>9</v>
      </c>
      <c r="B219" t="s">
        <v>227</v>
      </c>
      <c r="C219">
        <v>1</v>
      </c>
      <c r="D219">
        <v>2.8999999999999998E-3</v>
      </c>
      <c r="E219">
        <v>6.2406580903265816</v>
      </c>
      <c r="F219">
        <v>732.23845277199268</v>
      </c>
      <c r="G219">
        <v>0.42399999999999999</v>
      </c>
      <c r="H219">
        <v>3.8E-3</v>
      </c>
      <c r="I219">
        <v>217.79939999999999</v>
      </c>
    </row>
    <row r="220" spans="1:9" x14ac:dyDescent="0.3">
      <c r="A220" t="s">
        <v>9</v>
      </c>
      <c r="B220" t="s">
        <v>228</v>
      </c>
      <c r="C220">
        <v>1</v>
      </c>
      <c r="D220">
        <v>4.1000000000000003E-3</v>
      </c>
      <c r="E220">
        <v>6.2742212154842854</v>
      </c>
      <c r="F220">
        <v>735.42359334945877</v>
      </c>
      <c r="G220">
        <v>0.42399999999999999</v>
      </c>
      <c r="H220">
        <v>4.3E-3</v>
      </c>
      <c r="I220">
        <v>217.99950000000001</v>
      </c>
    </row>
    <row r="221" spans="1:9" x14ac:dyDescent="0.3">
      <c r="A221" t="s">
        <v>9</v>
      </c>
      <c r="B221" t="s">
        <v>229</v>
      </c>
      <c r="C221">
        <v>1</v>
      </c>
      <c r="D221">
        <v>4.4999999999999997E-3</v>
      </c>
      <c r="E221">
        <v>6.309419644723663</v>
      </c>
      <c r="F221">
        <v>738.76392428427562</v>
      </c>
      <c r="G221">
        <v>0.42399999999999999</v>
      </c>
      <c r="H221">
        <v>4.8999999999999998E-3</v>
      </c>
      <c r="I221">
        <v>218.2</v>
      </c>
    </row>
    <row r="222" spans="1:9" x14ac:dyDescent="0.3">
      <c r="A222" t="s">
        <v>9</v>
      </c>
      <c r="B222" t="s">
        <v>230</v>
      </c>
      <c r="C222">
        <v>1</v>
      </c>
      <c r="D222">
        <v>5.1999999999999998E-3</v>
      </c>
      <c r="E222">
        <v>6.3458735330461522</v>
      </c>
      <c r="F222">
        <v>742.22339828607983</v>
      </c>
      <c r="G222">
        <v>0.42399999999999999</v>
      </c>
      <c r="H222">
        <v>5.4000000000000003E-3</v>
      </c>
      <c r="I222">
        <v>218.39949999999999</v>
      </c>
    </row>
    <row r="223" spans="1:9" x14ac:dyDescent="0.3">
      <c r="A223" t="s">
        <v>9</v>
      </c>
      <c r="B223" t="s">
        <v>231</v>
      </c>
      <c r="C223">
        <v>1</v>
      </c>
      <c r="D223">
        <v>5.4999999999999997E-3</v>
      </c>
      <c r="E223">
        <v>6.3834945283753344</v>
      </c>
      <c r="F223">
        <v>745.79363074281923</v>
      </c>
      <c r="G223">
        <v>0.42399999999999999</v>
      </c>
      <c r="H223">
        <v>6.0000000000000001E-3</v>
      </c>
      <c r="I223">
        <v>218.5985</v>
      </c>
    </row>
    <row r="224" spans="1:9" x14ac:dyDescent="0.3">
      <c r="A224" t="s">
        <v>9</v>
      </c>
      <c r="B224" t="s">
        <v>232</v>
      </c>
      <c r="C224">
        <v>1</v>
      </c>
      <c r="D224">
        <v>6.4000000000000003E-3</v>
      </c>
      <c r="E224">
        <v>6.4224606323704423</v>
      </c>
      <c r="F224">
        <v>749.49151401195502</v>
      </c>
      <c r="G224">
        <v>0.42399999999999999</v>
      </c>
      <c r="H224">
        <v>6.6E-3</v>
      </c>
      <c r="I224">
        <v>218.79849999999999</v>
      </c>
    </row>
    <row r="225" spans="1:9" x14ac:dyDescent="0.3">
      <c r="A225" t="s">
        <v>9</v>
      </c>
      <c r="B225" t="s">
        <v>233</v>
      </c>
      <c r="C225">
        <v>1</v>
      </c>
      <c r="D225">
        <v>6.7999999999999996E-3</v>
      </c>
      <c r="E225">
        <v>6.4622583974207997</v>
      </c>
      <c r="F225">
        <v>753.26832191523397</v>
      </c>
      <c r="G225">
        <v>0.42399999999999999</v>
      </c>
      <c r="H225">
        <v>7.1999999999999998E-3</v>
      </c>
      <c r="I225">
        <v>218.99780000000001</v>
      </c>
    </row>
    <row r="226" spans="1:9" x14ac:dyDescent="0.3">
      <c r="A226" t="s">
        <v>9</v>
      </c>
      <c r="B226" t="s">
        <v>234</v>
      </c>
      <c r="C226">
        <v>1</v>
      </c>
      <c r="D226">
        <v>7.4999999999999997E-3</v>
      </c>
      <c r="E226">
        <v>6.503380835411285</v>
      </c>
      <c r="F226">
        <v>757.17084128053102</v>
      </c>
      <c r="G226">
        <v>0.42399999999999999</v>
      </c>
      <c r="H226">
        <v>7.9000000000000008E-3</v>
      </c>
      <c r="I226">
        <v>219.1996</v>
      </c>
    </row>
    <row r="227" spans="1:9" x14ac:dyDescent="0.3">
      <c r="A227" t="s">
        <v>9</v>
      </c>
      <c r="B227" t="s">
        <v>235</v>
      </c>
      <c r="C227">
        <v>1</v>
      </c>
      <c r="D227">
        <v>8.2000000000000007E-3</v>
      </c>
      <c r="E227">
        <v>6.544626131039009</v>
      </c>
      <c r="F227">
        <v>761.085019835602</v>
      </c>
      <c r="G227">
        <v>0.42399999999999999</v>
      </c>
      <c r="H227">
        <v>8.5000000000000006E-3</v>
      </c>
      <c r="I227">
        <v>219.39869999999999</v>
      </c>
    </row>
    <row r="228" spans="1:9" x14ac:dyDescent="0.3">
      <c r="A228" t="s">
        <v>9</v>
      </c>
      <c r="B228" t="s">
        <v>236</v>
      </c>
      <c r="C228">
        <v>1</v>
      </c>
      <c r="D228">
        <v>8.6999999999999994E-3</v>
      </c>
      <c r="E228">
        <v>6.5866033013704168</v>
      </c>
      <c r="F228">
        <v>765.06865330005257</v>
      </c>
      <c r="G228">
        <v>0.42399999999999999</v>
      </c>
      <c r="H228">
        <v>9.1999999999999998E-3</v>
      </c>
      <c r="I228">
        <v>219.59899999999999</v>
      </c>
    </row>
    <row r="229" spans="1:9" x14ac:dyDescent="0.3">
      <c r="A229" t="s">
        <v>9</v>
      </c>
      <c r="B229" t="s">
        <v>237</v>
      </c>
      <c r="C229">
        <v>1</v>
      </c>
      <c r="D229">
        <v>9.4999999999999998E-3</v>
      </c>
      <c r="E229">
        <v>6.6291067727352759</v>
      </c>
      <c r="F229">
        <v>769.1022327325777</v>
      </c>
      <c r="G229">
        <v>0.42399999999999999</v>
      </c>
      <c r="H229">
        <v>9.7999999999999997E-3</v>
      </c>
      <c r="I229">
        <v>219.80009999999999</v>
      </c>
    </row>
    <row r="230" spans="1:9" x14ac:dyDescent="0.3">
      <c r="A230" t="s">
        <v>9</v>
      </c>
      <c r="B230" t="s">
        <v>238</v>
      </c>
      <c r="C230">
        <v>1</v>
      </c>
      <c r="D230">
        <v>9.7999999999999997E-3</v>
      </c>
      <c r="E230">
        <v>6.6715473961338896</v>
      </c>
      <c r="F230">
        <v>773.12984789310622</v>
      </c>
      <c r="G230">
        <v>0.42399999999999999</v>
      </c>
      <c r="H230">
        <v>1.0500000000000001E-2</v>
      </c>
      <c r="I230">
        <v>220.0001</v>
      </c>
    </row>
    <row r="231" spans="1:9" x14ac:dyDescent="0.3">
      <c r="A231" t="s">
        <v>9</v>
      </c>
      <c r="B231" t="s">
        <v>239</v>
      </c>
      <c r="C231">
        <v>1</v>
      </c>
      <c r="D231">
        <v>1.1299999999999999E-2</v>
      </c>
      <c r="E231">
        <v>6.7135813323702944</v>
      </c>
      <c r="F231">
        <v>777.11886844194089</v>
      </c>
      <c r="G231">
        <v>0.42399999999999999</v>
      </c>
      <c r="H231">
        <v>1.12E-2</v>
      </c>
      <c r="I231">
        <v>220.19820000000001</v>
      </c>
    </row>
    <row r="232" spans="1:9" x14ac:dyDescent="0.3">
      <c r="A232" t="s">
        <v>9</v>
      </c>
      <c r="B232" t="s">
        <v>240</v>
      </c>
      <c r="C232">
        <v>1</v>
      </c>
      <c r="D232">
        <v>1.17E-2</v>
      </c>
      <c r="E232">
        <v>6.75633741201238</v>
      </c>
      <c r="F232">
        <v>781.17642039997486</v>
      </c>
      <c r="G232">
        <v>0.42399999999999999</v>
      </c>
      <c r="H232">
        <v>1.18E-2</v>
      </c>
      <c r="I232">
        <v>220.4006</v>
      </c>
    </row>
    <row r="233" spans="1:9" x14ac:dyDescent="0.3">
      <c r="A233" t="s">
        <v>9</v>
      </c>
      <c r="B233" t="s">
        <v>241</v>
      </c>
      <c r="C233">
        <v>1</v>
      </c>
      <c r="D233">
        <v>1.2200000000000001E-2</v>
      </c>
      <c r="E233">
        <v>6.7979966932758167</v>
      </c>
      <c r="F233">
        <v>785.12988619187502</v>
      </c>
      <c r="G233">
        <v>0.42399999999999999</v>
      </c>
      <c r="H233">
        <v>1.2500000000000001E-2</v>
      </c>
      <c r="I233">
        <v>220.5993</v>
      </c>
    </row>
    <row r="234" spans="1:9" x14ac:dyDescent="0.3">
      <c r="A234" t="s">
        <v>9</v>
      </c>
      <c r="B234" t="s">
        <v>242</v>
      </c>
      <c r="C234">
        <v>1</v>
      </c>
      <c r="D234">
        <v>1.2999999999999999E-2</v>
      </c>
      <c r="E234">
        <v>6.8394475625737714</v>
      </c>
      <c r="F234">
        <v>789.06357368825081</v>
      </c>
      <c r="G234">
        <v>0.42399999999999999</v>
      </c>
      <c r="H234">
        <v>1.3100000000000001E-2</v>
      </c>
      <c r="I234">
        <v>220.79939999999999</v>
      </c>
    </row>
    <row r="235" spans="1:9" x14ac:dyDescent="0.3">
      <c r="A235" t="s">
        <v>9</v>
      </c>
      <c r="B235" t="s">
        <v>243</v>
      </c>
      <c r="C235">
        <v>1</v>
      </c>
      <c r="D235">
        <v>1.4200000000000001E-2</v>
      </c>
      <c r="E235">
        <v>6.8799804460938114</v>
      </c>
      <c r="F235">
        <v>792.9101443343028</v>
      </c>
      <c r="G235">
        <v>0.42399999999999999</v>
      </c>
      <c r="H235">
        <v>1.37E-2</v>
      </c>
      <c r="I235">
        <v>220.9982</v>
      </c>
    </row>
    <row r="236" spans="1:9" x14ac:dyDescent="0.3">
      <c r="A236" t="s">
        <v>9</v>
      </c>
      <c r="B236" t="s">
        <v>244</v>
      </c>
      <c r="C236">
        <v>1</v>
      </c>
      <c r="D236">
        <v>1.46E-2</v>
      </c>
      <c r="E236">
        <v>6.9202704526346226</v>
      </c>
      <c r="F236">
        <v>796.7336659550258</v>
      </c>
      <c r="G236">
        <v>0.42399999999999999</v>
      </c>
      <c r="H236">
        <v>1.44E-2</v>
      </c>
      <c r="I236">
        <v>221.19990000000001</v>
      </c>
    </row>
    <row r="237" spans="1:9" x14ac:dyDescent="0.3">
      <c r="A237" t="s">
        <v>9</v>
      </c>
      <c r="B237" t="s">
        <v>245</v>
      </c>
      <c r="C237">
        <v>1</v>
      </c>
      <c r="D237">
        <v>1.55E-2</v>
      </c>
      <c r="E237">
        <v>6.9589511457688316</v>
      </c>
      <c r="F237">
        <v>800.40446373346219</v>
      </c>
      <c r="G237">
        <v>0.42399999999999999</v>
      </c>
      <c r="H237">
        <v>1.4999999999999999E-2</v>
      </c>
      <c r="I237">
        <v>221.39840000000001</v>
      </c>
    </row>
    <row r="238" spans="1:9" x14ac:dyDescent="0.3">
      <c r="A238" t="s">
        <v>9</v>
      </c>
      <c r="B238" t="s">
        <v>246</v>
      </c>
      <c r="C238">
        <v>1</v>
      </c>
      <c r="D238">
        <v>1.5699999999999999E-2</v>
      </c>
      <c r="E238">
        <v>6.9970783713293434</v>
      </c>
      <c r="F238">
        <v>804.02273743915464</v>
      </c>
      <c r="G238">
        <v>0.42399999999999999</v>
      </c>
      <c r="H238">
        <v>1.5599999999999999E-2</v>
      </c>
      <c r="I238">
        <v>221.6</v>
      </c>
    </row>
    <row r="239" spans="1:9" x14ac:dyDescent="0.3">
      <c r="A239" t="s">
        <v>9</v>
      </c>
      <c r="B239" t="s">
        <v>247</v>
      </c>
      <c r="C239">
        <v>1</v>
      </c>
      <c r="D239">
        <v>1.6199999999999999E-2</v>
      </c>
      <c r="E239">
        <v>7.033970938456215</v>
      </c>
      <c r="F239">
        <v>807.52384205949488</v>
      </c>
      <c r="G239">
        <v>0.42399999999999999</v>
      </c>
      <c r="H239">
        <v>1.61E-2</v>
      </c>
      <c r="I239">
        <v>221.80189999999999</v>
      </c>
    </row>
    <row r="240" spans="1:9" x14ac:dyDescent="0.3">
      <c r="A240" t="s">
        <v>9</v>
      </c>
      <c r="B240" t="s">
        <v>248</v>
      </c>
      <c r="C240">
        <v>1</v>
      </c>
      <c r="D240">
        <v>1.7000000000000001E-2</v>
      </c>
      <c r="E240">
        <v>7.0690125316095083</v>
      </c>
      <c r="F240">
        <v>810.84928924974236</v>
      </c>
      <c r="G240">
        <v>0.42399999999999999</v>
      </c>
      <c r="H240">
        <v>1.67E-2</v>
      </c>
      <c r="I240">
        <v>222.0016</v>
      </c>
    </row>
    <row r="241" spans="1:9" x14ac:dyDescent="0.3">
      <c r="A241" t="s">
        <v>9</v>
      </c>
      <c r="B241" t="s">
        <v>249</v>
      </c>
      <c r="C241">
        <v>1</v>
      </c>
      <c r="D241">
        <v>1.7399999999999999E-2</v>
      </c>
      <c r="E241">
        <v>7.1022923543542111</v>
      </c>
      <c r="F241">
        <v>814.00754442821471</v>
      </c>
      <c r="G241">
        <v>0.42399999999999999</v>
      </c>
      <c r="H241">
        <v>1.72E-2</v>
      </c>
      <c r="I241">
        <v>222.20009999999999</v>
      </c>
    </row>
    <row r="242" spans="1:9" x14ac:dyDescent="0.3">
      <c r="A242" t="s">
        <v>9</v>
      </c>
      <c r="B242" t="s">
        <v>250</v>
      </c>
      <c r="C242">
        <v>1</v>
      </c>
      <c r="D242">
        <v>1.7600000000000001E-2</v>
      </c>
      <c r="E242">
        <v>7.1338566303558206</v>
      </c>
      <c r="F242">
        <v>817.00299422076739</v>
      </c>
      <c r="G242">
        <v>0.42399999999999999</v>
      </c>
      <c r="H242">
        <v>1.77E-2</v>
      </c>
      <c r="I242">
        <v>222.39830000000001</v>
      </c>
    </row>
    <row r="243" spans="1:9" x14ac:dyDescent="0.3">
      <c r="A243" t="s">
        <v>9</v>
      </c>
      <c r="B243" t="s">
        <v>251</v>
      </c>
      <c r="C243">
        <v>1</v>
      </c>
      <c r="D243">
        <v>1.77E-2</v>
      </c>
      <c r="E243">
        <v>7.1639080949893224</v>
      </c>
      <c r="F243">
        <v>819.85487821448669</v>
      </c>
      <c r="G243">
        <v>0.42399999999999999</v>
      </c>
      <c r="H243">
        <v>1.8200000000000001E-2</v>
      </c>
      <c r="I243">
        <v>222.5984</v>
      </c>
    </row>
    <row r="244" spans="1:9" x14ac:dyDescent="0.3">
      <c r="A244" t="s">
        <v>9</v>
      </c>
      <c r="B244" t="s">
        <v>252</v>
      </c>
      <c r="C244">
        <v>1</v>
      </c>
      <c r="D244">
        <v>1.9E-2</v>
      </c>
      <c r="E244">
        <v>7.1922213065177294</v>
      </c>
      <c r="F244">
        <v>822.5418019885326</v>
      </c>
      <c r="G244">
        <v>0.42399999999999999</v>
      </c>
      <c r="H244">
        <v>1.8599999999999998E-2</v>
      </c>
      <c r="I244">
        <v>222.8</v>
      </c>
    </row>
    <row r="245" spans="1:9" x14ac:dyDescent="0.3">
      <c r="A245" t="s">
        <v>9</v>
      </c>
      <c r="B245" t="s">
        <v>253</v>
      </c>
      <c r="C245">
        <v>1</v>
      </c>
      <c r="D245">
        <v>1.9400000000000001E-2</v>
      </c>
      <c r="E245">
        <v>7.2184248537340814</v>
      </c>
      <c r="F245">
        <v>825.02851861936438</v>
      </c>
      <c r="G245">
        <v>0.42399999999999999</v>
      </c>
      <c r="H245">
        <v>1.9E-2</v>
      </c>
      <c r="I245">
        <v>223.00149999999999</v>
      </c>
    </row>
    <row r="246" spans="1:9" x14ac:dyDescent="0.3">
      <c r="A246" t="s">
        <v>9</v>
      </c>
      <c r="B246" t="s">
        <v>254</v>
      </c>
      <c r="C246">
        <v>1</v>
      </c>
      <c r="D246">
        <v>1.9699999999999999E-2</v>
      </c>
      <c r="E246">
        <v>7.2421675989689067</v>
      </c>
      <c r="F246">
        <v>827.28170514214924</v>
      </c>
      <c r="G246">
        <v>0.42399999999999999</v>
      </c>
      <c r="H246">
        <v>1.9400000000000001E-2</v>
      </c>
      <c r="I246">
        <v>223.20060000000001</v>
      </c>
    </row>
    <row r="247" spans="1:9" x14ac:dyDescent="0.3">
      <c r="A247" t="s">
        <v>9</v>
      </c>
      <c r="B247" t="s">
        <v>255</v>
      </c>
      <c r="C247">
        <v>1</v>
      </c>
      <c r="D247">
        <v>2.0199999999999999E-2</v>
      </c>
      <c r="E247">
        <v>7.2635221214864529</v>
      </c>
      <c r="F247">
        <v>829.30824932906444</v>
      </c>
      <c r="G247">
        <v>0.42399999999999999</v>
      </c>
      <c r="H247">
        <v>1.9699999999999999E-2</v>
      </c>
      <c r="I247">
        <v>223.3981</v>
      </c>
    </row>
    <row r="248" spans="1:9" x14ac:dyDescent="0.3">
      <c r="A248" t="s">
        <v>9</v>
      </c>
      <c r="B248" t="s">
        <v>256</v>
      </c>
      <c r="C248">
        <v>1</v>
      </c>
      <c r="D248">
        <v>2.0299999999999999E-2</v>
      </c>
      <c r="E248">
        <v>7.2828496957249342</v>
      </c>
      <c r="F248">
        <v>831.1424361242963</v>
      </c>
      <c r="G248">
        <v>0.42399999999999999</v>
      </c>
      <c r="H248">
        <v>0.02</v>
      </c>
      <c r="I248">
        <v>223.5985</v>
      </c>
    </row>
    <row r="249" spans="1:9" x14ac:dyDescent="0.3">
      <c r="A249" t="s">
        <v>9</v>
      </c>
      <c r="B249" t="s">
        <v>257</v>
      </c>
      <c r="C249">
        <v>1</v>
      </c>
      <c r="D249">
        <v>2.0500000000000001E-2</v>
      </c>
      <c r="E249">
        <v>7.2998624374518766</v>
      </c>
      <c r="F249">
        <v>832.7569453141831</v>
      </c>
      <c r="G249">
        <v>0.42399999999999999</v>
      </c>
      <c r="H249">
        <v>2.0299999999999999E-2</v>
      </c>
      <c r="I249">
        <v>223.80019999999999</v>
      </c>
    </row>
    <row r="250" spans="1:9" x14ac:dyDescent="0.3">
      <c r="A250" t="s">
        <v>9</v>
      </c>
      <c r="B250" t="s">
        <v>258</v>
      </c>
      <c r="C250">
        <v>1</v>
      </c>
      <c r="D250">
        <v>2.07E-2</v>
      </c>
      <c r="E250">
        <v>7.3142367810088116</v>
      </c>
      <c r="F250">
        <v>834.12107051773626</v>
      </c>
      <c r="G250">
        <v>0.42399999999999999</v>
      </c>
      <c r="H250">
        <v>2.0500000000000001E-2</v>
      </c>
      <c r="I250">
        <v>224.0001</v>
      </c>
    </row>
    <row r="251" spans="1:9" x14ac:dyDescent="0.3">
      <c r="A251" t="s">
        <v>9</v>
      </c>
      <c r="B251" t="s">
        <v>259</v>
      </c>
      <c r="C251">
        <v>1</v>
      </c>
      <c r="D251">
        <v>2.0899999999999998E-2</v>
      </c>
      <c r="E251">
        <v>7.3261564046454701</v>
      </c>
      <c r="F251">
        <v>835.25224280085513</v>
      </c>
      <c r="G251">
        <v>0.42399999999999999</v>
      </c>
      <c r="H251">
        <v>2.07E-2</v>
      </c>
      <c r="I251">
        <v>224.20160000000001</v>
      </c>
    </row>
    <row r="252" spans="1:9" x14ac:dyDescent="0.3">
      <c r="A252" t="s">
        <v>9</v>
      </c>
      <c r="B252" t="s">
        <v>260</v>
      </c>
      <c r="C252">
        <v>1</v>
      </c>
      <c r="D252">
        <v>2.0899999999999998E-2</v>
      </c>
      <c r="E252">
        <v>7.3352636831603863</v>
      </c>
      <c r="F252">
        <v>836.11652353192073</v>
      </c>
      <c r="G252">
        <v>0.42399999999999999</v>
      </c>
      <c r="H252">
        <v>2.0799999999999999E-2</v>
      </c>
      <c r="I252">
        <v>224.39830000000001</v>
      </c>
    </row>
    <row r="253" spans="1:9" x14ac:dyDescent="0.3">
      <c r="A253" t="s">
        <v>9</v>
      </c>
      <c r="B253" t="s">
        <v>261</v>
      </c>
      <c r="C253">
        <v>1</v>
      </c>
      <c r="D253">
        <v>2.1700000000000001E-2</v>
      </c>
      <c r="E253">
        <v>7.3419271894652756</v>
      </c>
      <c r="F253">
        <v>836.74889028025473</v>
      </c>
      <c r="G253">
        <v>0.42399999999999999</v>
      </c>
      <c r="H253">
        <v>2.0899999999999998E-2</v>
      </c>
      <c r="I253">
        <v>224.59829999999999</v>
      </c>
    </row>
    <row r="254" spans="1:9" x14ac:dyDescent="0.3">
      <c r="A254" t="s">
        <v>9</v>
      </c>
      <c r="B254" t="s">
        <v>262</v>
      </c>
      <c r="C254">
        <v>1</v>
      </c>
      <c r="D254">
        <v>2.2200000000000001E-2</v>
      </c>
      <c r="E254">
        <v>7.345946215538909</v>
      </c>
      <c r="F254">
        <v>837.13029585464255</v>
      </c>
      <c r="G254">
        <v>0.42399999999999999</v>
      </c>
      <c r="H254">
        <v>2.1000000000000001E-2</v>
      </c>
      <c r="I254">
        <v>224.79830000000001</v>
      </c>
    </row>
    <row r="255" spans="1:9" x14ac:dyDescent="0.3">
      <c r="A255" t="s">
        <v>9</v>
      </c>
      <c r="B255" t="s">
        <v>263</v>
      </c>
      <c r="C255">
        <v>1</v>
      </c>
      <c r="D255">
        <v>2.2200000000000001E-2</v>
      </c>
      <c r="E255">
        <v>7.3473025151975344</v>
      </c>
      <c r="F255">
        <v>837.25900869224608</v>
      </c>
      <c r="G255">
        <v>0.42399999999999999</v>
      </c>
      <c r="H255">
        <v>2.1000000000000001E-2</v>
      </c>
      <c r="I255">
        <v>224.99789999999999</v>
      </c>
    </row>
    <row r="256" spans="1:9" x14ac:dyDescent="0.3">
      <c r="A256" t="s">
        <v>9</v>
      </c>
      <c r="B256" t="s">
        <v>264</v>
      </c>
      <c r="C256">
        <v>1</v>
      </c>
      <c r="D256">
        <v>2.2200000000000001E-2</v>
      </c>
      <c r="E256">
        <v>7.345970138313155</v>
      </c>
      <c r="F256">
        <v>732.64441689078603</v>
      </c>
      <c r="G256">
        <v>0.42399999999999999</v>
      </c>
      <c r="H256">
        <v>2.1000000000000001E-2</v>
      </c>
      <c r="I256">
        <v>225.19990000000001</v>
      </c>
    </row>
    <row r="257" spans="1:9" x14ac:dyDescent="0.3">
      <c r="A257" t="s">
        <v>9</v>
      </c>
      <c r="B257" t="s">
        <v>265</v>
      </c>
      <c r="C257">
        <v>1</v>
      </c>
      <c r="D257">
        <v>2.12E-2</v>
      </c>
      <c r="E257">
        <v>7.3419807116042719</v>
      </c>
      <c r="F257">
        <v>732.27260232151821</v>
      </c>
      <c r="G257">
        <v>0.42399999999999999</v>
      </c>
      <c r="H257">
        <v>2.0899999999999998E-2</v>
      </c>
      <c r="I257">
        <v>225.3997</v>
      </c>
    </row>
    <row r="258" spans="1:9" x14ac:dyDescent="0.3">
      <c r="A258" t="s">
        <v>9</v>
      </c>
      <c r="B258" t="s">
        <v>266</v>
      </c>
      <c r="C258">
        <v>1</v>
      </c>
      <c r="D258">
        <v>2.06E-2</v>
      </c>
      <c r="E258">
        <v>7.3353764040288754</v>
      </c>
      <c r="F258">
        <v>731.65708085549124</v>
      </c>
      <c r="G258">
        <v>0.42399999999999999</v>
      </c>
      <c r="H258">
        <v>2.0799999999999999E-2</v>
      </c>
      <c r="I258">
        <v>225.59889999999999</v>
      </c>
    </row>
    <row r="259" spans="1:9" x14ac:dyDescent="0.3">
      <c r="A259" t="s">
        <v>9</v>
      </c>
      <c r="B259" t="s">
        <v>267</v>
      </c>
      <c r="C259">
        <v>1</v>
      </c>
      <c r="D259">
        <v>2.0400000000000001E-2</v>
      </c>
      <c r="E259">
        <v>7.3261020715649749</v>
      </c>
      <c r="F259">
        <v>730.79271306985572</v>
      </c>
      <c r="G259">
        <v>0.42399999999999999</v>
      </c>
      <c r="H259">
        <v>2.07E-2</v>
      </c>
      <c r="I259">
        <v>225.79939999999999</v>
      </c>
    </row>
    <row r="260" spans="1:9" x14ac:dyDescent="0.3">
      <c r="A260" t="s">
        <v>9</v>
      </c>
      <c r="B260" t="s">
        <v>268</v>
      </c>
      <c r="C260">
        <v>1</v>
      </c>
      <c r="D260">
        <v>2.0400000000000001E-2</v>
      </c>
      <c r="E260">
        <v>7.3142659749028072</v>
      </c>
      <c r="F260">
        <v>729.68958886094163</v>
      </c>
      <c r="G260">
        <v>0.42399999999999999</v>
      </c>
      <c r="H260">
        <v>2.0500000000000001E-2</v>
      </c>
      <c r="I260">
        <v>225.99940000000001</v>
      </c>
    </row>
    <row r="261" spans="1:9" x14ac:dyDescent="0.3">
      <c r="A261" t="s">
        <v>9</v>
      </c>
      <c r="B261" t="s">
        <v>269</v>
      </c>
      <c r="C261">
        <v>1</v>
      </c>
      <c r="D261">
        <v>2.0199999999999999E-2</v>
      </c>
      <c r="E261">
        <v>7.2998498678586294</v>
      </c>
      <c r="F261">
        <v>728.34600768442419</v>
      </c>
      <c r="G261">
        <v>0.42399999999999999</v>
      </c>
      <c r="H261">
        <v>2.0299999999999999E-2</v>
      </c>
      <c r="I261">
        <v>226.2</v>
      </c>
    </row>
    <row r="262" spans="1:9" x14ac:dyDescent="0.3">
      <c r="A262" t="s">
        <v>9</v>
      </c>
      <c r="B262" t="s">
        <v>270</v>
      </c>
      <c r="C262">
        <v>1</v>
      </c>
      <c r="D262">
        <v>2.0299999999999999E-2</v>
      </c>
      <c r="E262">
        <v>7.283118522832158</v>
      </c>
      <c r="F262">
        <v>726.7866463279571</v>
      </c>
      <c r="G262">
        <v>0.42399999999999999</v>
      </c>
      <c r="H262">
        <v>0.02</v>
      </c>
      <c r="I262">
        <v>226.39850000000001</v>
      </c>
    </row>
    <row r="263" spans="1:9" x14ac:dyDescent="0.3">
      <c r="A263" t="s">
        <v>9</v>
      </c>
      <c r="B263" t="s">
        <v>271</v>
      </c>
      <c r="C263">
        <v>1</v>
      </c>
      <c r="D263">
        <v>1.95E-2</v>
      </c>
      <c r="E263">
        <v>7.2637666203486786</v>
      </c>
      <c r="F263">
        <v>724.98304901649692</v>
      </c>
      <c r="G263">
        <v>0.42399999999999999</v>
      </c>
      <c r="H263">
        <v>1.9699999999999999E-2</v>
      </c>
      <c r="I263">
        <v>226.59950000000001</v>
      </c>
    </row>
    <row r="264" spans="1:9" x14ac:dyDescent="0.3">
      <c r="A264" t="s">
        <v>9</v>
      </c>
      <c r="B264" t="s">
        <v>272</v>
      </c>
      <c r="C264">
        <v>1</v>
      </c>
      <c r="D264">
        <v>1.95E-2</v>
      </c>
      <c r="E264">
        <v>7.2421274573646608</v>
      </c>
      <c r="F264">
        <v>722.96627902638636</v>
      </c>
      <c r="G264">
        <v>0.42399999999999999</v>
      </c>
      <c r="H264">
        <v>1.9400000000000001E-2</v>
      </c>
      <c r="I264">
        <v>226.7998</v>
      </c>
    </row>
    <row r="265" spans="1:9" x14ac:dyDescent="0.3">
      <c r="A265" t="s">
        <v>9</v>
      </c>
      <c r="B265" t="s">
        <v>273</v>
      </c>
      <c r="C265">
        <v>1</v>
      </c>
      <c r="D265">
        <v>1.8700000000000001E-2</v>
      </c>
      <c r="E265">
        <v>7.2184597242185777</v>
      </c>
      <c r="F265">
        <v>720.76044629717148</v>
      </c>
      <c r="G265">
        <v>0.42399999999999999</v>
      </c>
      <c r="H265">
        <v>1.9E-2</v>
      </c>
      <c r="I265">
        <v>226.9982</v>
      </c>
    </row>
    <row r="266" spans="1:9" x14ac:dyDescent="0.3">
      <c r="A266" t="s">
        <v>9</v>
      </c>
      <c r="B266" t="s">
        <v>274</v>
      </c>
      <c r="C266">
        <v>1</v>
      </c>
      <c r="D266">
        <v>1.8499999999999999E-2</v>
      </c>
      <c r="E266">
        <v>7.1922363089354784</v>
      </c>
      <c r="F266">
        <v>718.31642399278655</v>
      </c>
      <c r="G266">
        <v>0.42399999999999999</v>
      </c>
      <c r="H266">
        <v>1.8599999999999998E-2</v>
      </c>
      <c r="I266">
        <v>227.19990000000001</v>
      </c>
    </row>
    <row r="267" spans="1:9" x14ac:dyDescent="0.3">
      <c r="A267" t="s">
        <v>9</v>
      </c>
      <c r="B267" t="s">
        <v>275</v>
      </c>
      <c r="C267">
        <v>1</v>
      </c>
      <c r="D267">
        <v>1.84E-2</v>
      </c>
      <c r="E267">
        <v>7.1640897458853052</v>
      </c>
      <c r="F267">
        <v>715.69316431651043</v>
      </c>
      <c r="G267">
        <v>0.42399999999999999</v>
      </c>
      <c r="H267">
        <v>1.8200000000000001E-2</v>
      </c>
      <c r="I267">
        <v>227.40039999999999</v>
      </c>
    </row>
    <row r="268" spans="1:9" x14ac:dyDescent="0.3">
      <c r="A268" t="s">
        <v>9</v>
      </c>
      <c r="B268" t="s">
        <v>276</v>
      </c>
      <c r="C268">
        <v>1</v>
      </c>
      <c r="D268">
        <v>1.83E-2</v>
      </c>
      <c r="E268">
        <v>7.1344632145977673</v>
      </c>
      <c r="F268">
        <v>712.93197160051193</v>
      </c>
      <c r="G268">
        <v>0.42399999999999999</v>
      </c>
      <c r="H268">
        <v>1.77E-2</v>
      </c>
      <c r="I268">
        <v>227.59780000000001</v>
      </c>
    </row>
    <row r="269" spans="1:9" x14ac:dyDescent="0.3">
      <c r="A269" t="s">
        <v>9</v>
      </c>
      <c r="B269" t="s">
        <v>277</v>
      </c>
      <c r="C269">
        <v>1</v>
      </c>
      <c r="D269">
        <v>1.8200000000000001E-2</v>
      </c>
      <c r="E269">
        <v>7.1022858668222124</v>
      </c>
      <c r="F269">
        <v>709.93304278783012</v>
      </c>
      <c r="G269">
        <v>0.42399999999999999</v>
      </c>
      <c r="H269">
        <v>1.72E-2</v>
      </c>
      <c r="I269">
        <v>227.79990000000001</v>
      </c>
    </row>
    <row r="270" spans="1:9" x14ac:dyDescent="0.3">
      <c r="A270" t="s">
        <v>9</v>
      </c>
      <c r="B270" t="s">
        <v>278</v>
      </c>
      <c r="C270">
        <v>1</v>
      </c>
      <c r="D270">
        <v>1.7500000000000002E-2</v>
      </c>
      <c r="E270">
        <v>7.0690478075647549</v>
      </c>
      <c r="F270">
        <v>706.83525566503522</v>
      </c>
      <c r="G270">
        <v>0.42399999999999999</v>
      </c>
      <c r="H270">
        <v>1.67E-2</v>
      </c>
      <c r="I270">
        <v>227.9982</v>
      </c>
    </row>
    <row r="271" spans="1:9" x14ac:dyDescent="0.3">
      <c r="A271" t="s">
        <v>9</v>
      </c>
      <c r="B271" t="s">
        <v>279</v>
      </c>
      <c r="C271">
        <v>1</v>
      </c>
      <c r="D271">
        <v>1.6899999999999998E-2</v>
      </c>
      <c r="E271">
        <v>7.0339510703894677</v>
      </c>
      <c r="F271">
        <v>703.56423976029839</v>
      </c>
      <c r="G271">
        <v>0.42399999999999999</v>
      </c>
      <c r="H271">
        <v>1.61E-2</v>
      </c>
      <c r="I271">
        <v>228.19820000000001</v>
      </c>
    </row>
    <row r="272" spans="1:9" x14ac:dyDescent="0.3">
      <c r="A272" t="s">
        <v>9</v>
      </c>
      <c r="B272" t="s">
        <v>280</v>
      </c>
      <c r="C272">
        <v>1</v>
      </c>
      <c r="D272">
        <v>1.5699999999999999E-2</v>
      </c>
      <c r="E272">
        <v>6.9969948443548491</v>
      </c>
      <c r="F272">
        <v>700.11991949387198</v>
      </c>
      <c r="G272">
        <v>0.42399999999999999</v>
      </c>
      <c r="H272">
        <v>1.5599999999999999E-2</v>
      </c>
      <c r="I272">
        <v>228.40039999999999</v>
      </c>
    </row>
    <row r="273" spans="1:9" x14ac:dyDescent="0.3">
      <c r="A273" t="s">
        <v>9</v>
      </c>
      <c r="B273" t="s">
        <v>281</v>
      </c>
      <c r="C273">
        <v>1</v>
      </c>
      <c r="D273">
        <v>1.4800000000000001E-2</v>
      </c>
      <c r="E273">
        <v>6.9593075545580492</v>
      </c>
      <c r="F273">
        <v>696.6074640848102</v>
      </c>
      <c r="G273">
        <v>0.42399999999999999</v>
      </c>
      <c r="H273">
        <v>1.4999999999999999E-2</v>
      </c>
      <c r="I273">
        <v>228.59970000000001</v>
      </c>
    </row>
    <row r="274" spans="1:9" x14ac:dyDescent="0.3">
      <c r="A274" t="s">
        <v>9</v>
      </c>
      <c r="B274" t="s">
        <v>282</v>
      </c>
      <c r="C274">
        <v>1</v>
      </c>
      <c r="D274">
        <v>1.44E-2</v>
      </c>
      <c r="E274">
        <v>6.9201719232423811</v>
      </c>
      <c r="F274">
        <v>692.96002324618996</v>
      </c>
      <c r="G274">
        <v>0.42399999999999999</v>
      </c>
      <c r="H274">
        <v>1.44E-2</v>
      </c>
      <c r="I274">
        <v>228.8006</v>
      </c>
    </row>
    <row r="275" spans="1:9" x14ac:dyDescent="0.3">
      <c r="A275" t="s">
        <v>9</v>
      </c>
      <c r="B275" t="s">
        <v>283</v>
      </c>
      <c r="C275">
        <v>1</v>
      </c>
      <c r="D275">
        <v>1.29E-2</v>
      </c>
      <c r="E275">
        <v>6.880413894325522</v>
      </c>
      <c r="F275">
        <v>689.25457495113869</v>
      </c>
      <c r="G275">
        <v>0.42399999999999999</v>
      </c>
      <c r="H275">
        <v>1.37E-2</v>
      </c>
      <c r="I275">
        <v>228.99959999999999</v>
      </c>
    </row>
    <row r="276" spans="1:9" x14ac:dyDescent="0.3">
      <c r="A276" t="s">
        <v>9</v>
      </c>
      <c r="B276" t="s">
        <v>284</v>
      </c>
      <c r="C276">
        <v>1</v>
      </c>
      <c r="D276">
        <v>1.2E-2</v>
      </c>
      <c r="E276">
        <v>6.8396794918427517</v>
      </c>
      <c r="F276">
        <v>685.45812863974447</v>
      </c>
      <c r="G276">
        <v>0.42399999999999999</v>
      </c>
      <c r="H276">
        <v>1.3100000000000001E-2</v>
      </c>
      <c r="I276">
        <v>229.1995</v>
      </c>
    </row>
    <row r="277" spans="1:9" x14ac:dyDescent="0.3">
      <c r="A277" t="s">
        <v>9</v>
      </c>
      <c r="B277" t="s">
        <v>285</v>
      </c>
      <c r="C277">
        <v>1</v>
      </c>
      <c r="D277">
        <v>1.14E-2</v>
      </c>
      <c r="E277">
        <v>6.7983178261097859</v>
      </c>
      <c r="F277">
        <v>681.60322139343202</v>
      </c>
      <c r="G277">
        <v>0.42399999999999999</v>
      </c>
      <c r="H277">
        <v>1.2500000000000001E-2</v>
      </c>
      <c r="I277">
        <v>229.39920000000001</v>
      </c>
    </row>
    <row r="278" spans="1:9" x14ac:dyDescent="0.3">
      <c r="A278" t="s">
        <v>9</v>
      </c>
      <c r="B278" t="s">
        <v>286</v>
      </c>
      <c r="C278">
        <v>1</v>
      </c>
      <c r="D278">
        <v>1.14E-2</v>
      </c>
      <c r="E278">
        <v>6.7563244369483808</v>
      </c>
      <c r="F278">
        <v>677.68943752358916</v>
      </c>
      <c r="G278">
        <v>0.42399999999999999</v>
      </c>
      <c r="H278">
        <v>1.18E-2</v>
      </c>
      <c r="I278">
        <v>229.59950000000001</v>
      </c>
    </row>
    <row r="279" spans="1:9" x14ac:dyDescent="0.3">
      <c r="A279" t="s">
        <v>9</v>
      </c>
      <c r="B279" t="s">
        <v>287</v>
      </c>
      <c r="C279">
        <v>1</v>
      </c>
      <c r="D279">
        <v>9.7999999999999997E-3</v>
      </c>
      <c r="E279">
        <v>6.7143298313747248</v>
      </c>
      <c r="F279">
        <v>673.77554028412442</v>
      </c>
      <c r="G279">
        <v>0.42399999999999999</v>
      </c>
      <c r="H279">
        <v>1.12E-2</v>
      </c>
      <c r="I279">
        <v>229.79820000000001</v>
      </c>
    </row>
    <row r="280" spans="1:9" x14ac:dyDescent="0.3">
      <c r="A280" t="s">
        <v>9</v>
      </c>
      <c r="B280" t="s">
        <v>288</v>
      </c>
      <c r="C280">
        <v>1</v>
      </c>
      <c r="D280">
        <v>9.5999999999999992E-3</v>
      </c>
      <c r="E280">
        <v>6.6717148555536259</v>
      </c>
      <c r="F280">
        <v>669.80382453759796</v>
      </c>
      <c r="G280">
        <v>0.42399999999999999</v>
      </c>
      <c r="H280">
        <v>1.0500000000000001E-2</v>
      </c>
      <c r="I280">
        <v>229.9991</v>
      </c>
    </row>
    <row r="281" spans="1:9" x14ac:dyDescent="0.3">
      <c r="A281" t="s">
        <v>9</v>
      </c>
      <c r="B281" t="s">
        <v>289</v>
      </c>
      <c r="C281">
        <v>1</v>
      </c>
      <c r="D281">
        <v>8.8000000000000005E-3</v>
      </c>
      <c r="E281">
        <v>6.6290986633202751</v>
      </c>
      <c r="F281">
        <v>665.83199542144962</v>
      </c>
      <c r="G281">
        <v>0.42399999999999999</v>
      </c>
      <c r="H281">
        <v>9.7999999999999997E-3</v>
      </c>
      <c r="I281">
        <v>230.19990000000001</v>
      </c>
    </row>
    <row r="282" spans="1:9" x14ac:dyDescent="0.3">
      <c r="A282" t="s">
        <v>9</v>
      </c>
      <c r="B282" t="s">
        <v>290</v>
      </c>
      <c r="C282">
        <v>1</v>
      </c>
      <c r="D282">
        <v>8.0999999999999996E-3</v>
      </c>
      <c r="E282">
        <v>6.5872962508821029</v>
      </c>
      <c r="F282">
        <v>661.93601058221202</v>
      </c>
      <c r="G282">
        <v>0.42399999999999999</v>
      </c>
      <c r="H282">
        <v>9.1999999999999998E-3</v>
      </c>
      <c r="I282">
        <v>230.39769999999999</v>
      </c>
    </row>
    <row r="283" spans="1:9" x14ac:dyDescent="0.3">
      <c r="A283" t="s">
        <v>9</v>
      </c>
      <c r="B283" t="s">
        <v>291</v>
      </c>
      <c r="C283">
        <v>1</v>
      </c>
      <c r="D283">
        <v>7.4000000000000003E-3</v>
      </c>
      <c r="E283">
        <v>6.5453681425114407</v>
      </c>
      <c r="F283">
        <v>658.02831088206631</v>
      </c>
      <c r="G283">
        <v>0.42399999999999999</v>
      </c>
      <c r="H283">
        <v>8.5000000000000006E-3</v>
      </c>
      <c r="I283">
        <v>230.5977</v>
      </c>
    </row>
    <row r="284" spans="1:9" x14ac:dyDescent="0.3">
      <c r="A284" t="s">
        <v>9</v>
      </c>
      <c r="B284" t="s">
        <v>292</v>
      </c>
      <c r="C284">
        <v>1</v>
      </c>
      <c r="D284">
        <v>6.6E-3</v>
      </c>
      <c r="E284">
        <v>6.5036825056492571</v>
      </c>
      <c r="F284">
        <v>654.14320952651076</v>
      </c>
      <c r="G284">
        <v>0.42399999999999999</v>
      </c>
      <c r="H284">
        <v>7.9000000000000008E-3</v>
      </c>
      <c r="I284">
        <v>230.7989</v>
      </c>
    </row>
    <row r="285" spans="1:9" x14ac:dyDescent="0.3">
      <c r="A285" t="s">
        <v>9</v>
      </c>
      <c r="B285" t="s">
        <v>293</v>
      </c>
      <c r="C285">
        <v>1</v>
      </c>
      <c r="D285">
        <v>5.8999999999999999E-3</v>
      </c>
      <c r="E285">
        <v>6.4628098376407488</v>
      </c>
      <c r="F285">
        <v>650.33387686811784</v>
      </c>
      <c r="G285">
        <v>0.42399999999999999</v>
      </c>
      <c r="H285">
        <v>7.3000000000000001E-3</v>
      </c>
      <c r="I285">
        <v>230.99940000000001</v>
      </c>
    </row>
    <row r="286" spans="1:9" x14ac:dyDescent="0.3">
      <c r="A286" t="s">
        <v>9</v>
      </c>
      <c r="B286" t="s">
        <v>294</v>
      </c>
      <c r="C286">
        <v>1</v>
      </c>
      <c r="D286">
        <v>5.4000000000000003E-3</v>
      </c>
      <c r="E286">
        <v>6.4230140999441412</v>
      </c>
      <c r="F286">
        <v>646.62491411479402</v>
      </c>
      <c r="G286">
        <v>0.42399999999999999</v>
      </c>
      <c r="H286">
        <v>6.6E-3</v>
      </c>
      <c r="I286">
        <v>231.1986</v>
      </c>
    </row>
    <row r="287" spans="1:9" x14ac:dyDescent="0.3">
      <c r="A287" t="s">
        <v>9</v>
      </c>
      <c r="B287" t="s">
        <v>295</v>
      </c>
      <c r="C287">
        <v>1</v>
      </c>
      <c r="D287">
        <v>4.4000000000000003E-3</v>
      </c>
      <c r="E287">
        <v>6.3842058051649184</v>
      </c>
      <c r="F287">
        <v>643.00798104137039</v>
      </c>
      <c r="G287">
        <v>0.42399999999999999</v>
      </c>
      <c r="H287">
        <v>6.0000000000000001E-3</v>
      </c>
      <c r="I287">
        <v>231.39779999999999</v>
      </c>
    </row>
    <row r="288" spans="1:9" x14ac:dyDescent="0.3">
      <c r="A288" t="s">
        <v>9</v>
      </c>
      <c r="B288" t="s">
        <v>296</v>
      </c>
      <c r="C288">
        <v>1</v>
      </c>
      <c r="D288">
        <v>3.8E-3</v>
      </c>
      <c r="E288">
        <v>6.3463862102624056</v>
      </c>
      <c r="F288">
        <v>639.48319479645625</v>
      </c>
      <c r="G288">
        <v>0.42399999999999999</v>
      </c>
      <c r="H288">
        <v>5.4000000000000003E-3</v>
      </c>
      <c r="I288">
        <v>231.5977</v>
      </c>
    </row>
    <row r="289" spans="1:9" x14ac:dyDescent="0.3">
      <c r="A289" t="s">
        <v>9</v>
      </c>
      <c r="B289" t="s">
        <v>297</v>
      </c>
      <c r="C289">
        <v>1</v>
      </c>
      <c r="D289">
        <v>3.7000000000000002E-3</v>
      </c>
      <c r="E289">
        <v>6.3095870635963234</v>
      </c>
      <c r="F289">
        <v>636.05351432717737</v>
      </c>
      <c r="G289">
        <v>0.42399999999999999</v>
      </c>
      <c r="H289">
        <v>4.8999999999999998E-3</v>
      </c>
      <c r="I289">
        <v>231.79900000000001</v>
      </c>
    </row>
    <row r="290" spans="1:9" x14ac:dyDescent="0.3">
      <c r="A290" t="s">
        <v>9</v>
      </c>
      <c r="B290" t="s">
        <v>298</v>
      </c>
      <c r="C290">
        <v>1</v>
      </c>
      <c r="D290">
        <v>2.8999999999999998E-3</v>
      </c>
      <c r="E290">
        <v>6.2743440325744508</v>
      </c>
      <c r="F290">
        <v>632.76886383593887</v>
      </c>
      <c r="G290">
        <v>0.42399999999999999</v>
      </c>
      <c r="H290">
        <v>4.3E-3</v>
      </c>
      <c r="I290">
        <v>231.99979999999999</v>
      </c>
    </row>
    <row r="291" spans="1:9" x14ac:dyDescent="0.3">
      <c r="A291" t="s">
        <v>9</v>
      </c>
      <c r="B291" t="s">
        <v>299</v>
      </c>
      <c r="C291">
        <v>1</v>
      </c>
      <c r="D291">
        <v>2.3999999999999998E-3</v>
      </c>
      <c r="E291">
        <v>6.2406201382643864</v>
      </c>
      <c r="F291">
        <v>629.62579688624078</v>
      </c>
      <c r="G291">
        <v>0.42399999999999999</v>
      </c>
      <c r="H291">
        <v>3.8E-3</v>
      </c>
      <c r="I291">
        <v>232.20079999999999</v>
      </c>
    </row>
    <row r="292" spans="1:9" x14ac:dyDescent="0.3">
      <c r="A292" t="s">
        <v>9</v>
      </c>
      <c r="B292" t="s">
        <v>300</v>
      </c>
      <c r="C292">
        <v>1</v>
      </c>
      <c r="D292">
        <v>2.3E-3</v>
      </c>
      <c r="E292">
        <v>6.2086790988419116</v>
      </c>
      <c r="F292">
        <v>626.6488920120662</v>
      </c>
      <c r="G292">
        <v>0.42399999999999999</v>
      </c>
      <c r="H292">
        <v>3.3E-3</v>
      </c>
      <c r="I292">
        <v>232.4015</v>
      </c>
    </row>
    <row r="293" spans="1:9" x14ac:dyDescent="0.3">
      <c r="A293" t="s">
        <v>9</v>
      </c>
      <c r="B293" t="s">
        <v>301</v>
      </c>
      <c r="C293">
        <v>1</v>
      </c>
      <c r="D293">
        <v>1.5E-3</v>
      </c>
      <c r="E293">
        <v>6.1791309855974141</v>
      </c>
      <c r="F293">
        <v>623.89500785767905</v>
      </c>
      <c r="G293">
        <v>0.42399999999999999</v>
      </c>
      <c r="H293">
        <v>2.8E-3</v>
      </c>
      <c r="I293">
        <v>232.59829999999999</v>
      </c>
    </row>
    <row r="294" spans="1:9" x14ac:dyDescent="0.3">
      <c r="A294" t="s">
        <v>9</v>
      </c>
      <c r="B294" t="s">
        <v>302</v>
      </c>
      <c r="C294">
        <v>1</v>
      </c>
      <c r="D294">
        <v>8.9999999999999998E-4</v>
      </c>
      <c r="E294">
        <v>6.1511034687594304</v>
      </c>
      <c r="F294">
        <v>621.2828432883789</v>
      </c>
      <c r="G294">
        <v>0.42399999999999999</v>
      </c>
      <c r="H294">
        <v>2.3999999999999998E-3</v>
      </c>
      <c r="I294">
        <v>232.7979</v>
      </c>
    </row>
    <row r="295" spans="1:9" x14ac:dyDescent="0.3">
      <c r="A295" t="s">
        <v>9</v>
      </c>
      <c r="B295" t="s">
        <v>303</v>
      </c>
      <c r="C295">
        <v>1</v>
      </c>
      <c r="D295">
        <v>8.9999999999999998E-4</v>
      </c>
      <c r="E295">
        <v>6.1247895524049403</v>
      </c>
      <c r="F295">
        <v>618.83038628414045</v>
      </c>
      <c r="G295">
        <v>0.42399999999999999</v>
      </c>
      <c r="H295">
        <v>2E-3</v>
      </c>
      <c r="I295">
        <v>233</v>
      </c>
    </row>
    <row r="296" spans="1:9" x14ac:dyDescent="0.3">
      <c r="A296" t="s">
        <v>9</v>
      </c>
      <c r="B296" t="s">
        <v>304</v>
      </c>
      <c r="C296">
        <v>1</v>
      </c>
      <c r="D296">
        <v>8.9999999999999998E-4</v>
      </c>
      <c r="E296">
        <v>6.1010588496513876</v>
      </c>
      <c r="F296">
        <v>616.61868478750932</v>
      </c>
      <c r="G296">
        <v>0.42399999999999999</v>
      </c>
      <c r="H296">
        <v>1.6000000000000001E-3</v>
      </c>
      <c r="I296">
        <v>233.19890000000001</v>
      </c>
    </row>
    <row r="297" spans="1:9" x14ac:dyDescent="0.3">
      <c r="A297" t="s">
        <v>9</v>
      </c>
      <c r="B297" t="s">
        <v>305</v>
      </c>
      <c r="C297">
        <v>1</v>
      </c>
      <c r="D297">
        <v>2.0000000000000001E-4</v>
      </c>
      <c r="E297">
        <v>6.0794790475851617</v>
      </c>
      <c r="F297">
        <v>614.60744723493713</v>
      </c>
      <c r="G297">
        <v>0.42399999999999999</v>
      </c>
      <c r="H297">
        <v>1.2999999999999999E-3</v>
      </c>
      <c r="I297">
        <v>233.39850000000001</v>
      </c>
    </row>
    <row r="298" spans="1:9" x14ac:dyDescent="0.3">
      <c r="A298" t="s">
        <v>9</v>
      </c>
      <c r="B298" t="s">
        <v>306</v>
      </c>
      <c r="C298">
        <v>1</v>
      </c>
      <c r="D298">
        <v>2.0000000000000001E-4</v>
      </c>
      <c r="E298">
        <v>6.0600215199713183</v>
      </c>
      <c r="F298">
        <v>612.79400566132688</v>
      </c>
      <c r="G298">
        <v>0.42399999999999999</v>
      </c>
      <c r="H298">
        <v>1E-3</v>
      </c>
      <c r="I298">
        <v>233.6003</v>
      </c>
    </row>
    <row r="299" spans="1:9" x14ac:dyDescent="0.3">
      <c r="A299" t="s">
        <v>9</v>
      </c>
      <c r="B299" t="s">
        <v>307</v>
      </c>
      <c r="C299">
        <v>1</v>
      </c>
      <c r="D299">
        <v>-2.9999999999999997E-4</v>
      </c>
      <c r="E299">
        <v>6.0431886450690584</v>
      </c>
      <c r="F299">
        <v>611.22518172043624</v>
      </c>
      <c r="G299">
        <v>0.42399999999999999</v>
      </c>
      <c r="H299">
        <v>6.9999999999999999E-4</v>
      </c>
      <c r="I299">
        <v>233.8</v>
      </c>
    </row>
    <row r="300" spans="1:9" x14ac:dyDescent="0.3">
      <c r="A300" t="s">
        <v>9</v>
      </c>
      <c r="B300" t="s">
        <v>308</v>
      </c>
      <c r="C300">
        <v>1</v>
      </c>
      <c r="D300">
        <v>-4.0000000000000002E-4</v>
      </c>
      <c r="E300">
        <v>6.0288184251496526</v>
      </c>
      <c r="F300">
        <v>609.88587722394766</v>
      </c>
      <c r="G300">
        <v>0.42399999999999999</v>
      </c>
      <c r="H300">
        <v>5.0000000000000001E-4</v>
      </c>
      <c r="I300">
        <v>233.99979999999999</v>
      </c>
    </row>
    <row r="301" spans="1:9" x14ac:dyDescent="0.3">
      <c r="A301" t="s">
        <v>9</v>
      </c>
      <c r="B301" t="s">
        <v>309</v>
      </c>
      <c r="C301">
        <v>1</v>
      </c>
      <c r="D301">
        <v>-4.0000000000000002E-4</v>
      </c>
      <c r="E301">
        <v>6.0169960333988337</v>
      </c>
      <c r="F301">
        <v>608.78403031277128</v>
      </c>
      <c r="G301">
        <v>0.42399999999999999</v>
      </c>
      <c r="H301">
        <v>2.9999999999999997E-4</v>
      </c>
      <c r="I301">
        <v>234.1994</v>
      </c>
    </row>
    <row r="302" spans="1:9" x14ac:dyDescent="0.3">
      <c r="A302" t="s">
        <v>9</v>
      </c>
      <c r="B302" t="s">
        <v>310</v>
      </c>
      <c r="C302">
        <v>1</v>
      </c>
      <c r="D302">
        <v>-5.0000000000000001E-4</v>
      </c>
      <c r="E302">
        <v>6.007728679086541</v>
      </c>
      <c r="F302">
        <v>607.9203128908656</v>
      </c>
      <c r="G302">
        <v>0.42399999999999999</v>
      </c>
      <c r="H302">
        <v>2.0000000000000001E-4</v>
      </c>
      <c r="I302">
        <v>234.39940000000001</v>
      </c>
    </row>
    <row r="303" spans="1:9" x14ac:dyDescent="0.3">
      <c r="A303" t="s">
        <v>9</v>
      </c>
      <c r="B303" t="s">
        <v>311</v>
      </c>
      <c r="C303">
        <v>1</v>
      </c>
      <c r="D303">
        <v>-5.0000000000000001E-4</v>
      </c>
      <c r="E303">
        <v>6.0011150781215559</v>
      </c>
      <c r="F303">
        <v>607.30392528092898</v>
      </c>
      <c r="G303">
        <v>0.42399999999999999</v>
      </c>
      <c r="H303">
        <v>1E-4</v>
      </c>
      <c r="I303">
        <v>234.59800000000001</v>
      </c>
    </row>
    <row r="304" spans="1:9" x14ac:dyDescent="0.3">
      <c r="A304" t="s">
        <v>9</v>
      </c>
      <c r="B304" t="s">
        <v>312</v>
      </c>
      <c r="C304">
        <v>1</v>
      </c>
      <c r="D304">
        <v>-5.0000000000000001E-4</v>
      </c>
      <c r="E304">
        <v>5.9970725083888281</v>
      </c>
      <c r="F304">
        <v>606.92715778183879</v>
      </c>
      <c r="G304">
        <v>0.42399999999999999</v>
      </c>
      <c r="H304">
        <v>0</v>
      </c>
      <c r="I304">
        <v>234.7996</v>
      </c>
    </row>
    <row r="305" spans="1:9" x14ac:dyDescent="0.3">
      <c r="A305" t="s">
        <v>9</v>
      </c>
      <c r="B305" t="s">
        <v>313</v>
      </c>
      <c r="C305">
        <v>1</v>
      </c>
      <c r="D305">
        <v>-5.0000000000000001E-4</v>
      </c>
      <c r="E305">
        <v>5.9957335240914063</v>
      </c>
      <c r="F305">
        <v>606.80236444531909</v>
      </c>
      <c r="G305">
        <v>0.42399999999999999</v>
      </c>
      <c r="H305">
        <v>0</v>
      </c>
      <c r="I305">
        <v>234.9992</v>
      </c>
    </row>
    <row r="306" spans="1:9" x14ac:dyDescent="0.3">
      <c r="A306" t="s">
        <v>9</v>
      </c>
      <c r="B306" t="s">
        <v>314</v>
      </c>
      <c r="C306">
        <v>1</v>
      </c>
      <c r="D306">
        <v>-5.0000000000000001E-4</v>
      </c>
      <c r="E306">
        <v>5.997046971030052</v>
      </c>
      <c r="F306">
        <v>709.11975755075196</v>
      </c>
      <c r="G306">
        <v>0.42399999999999999</v>
      </c>
      <c r="H306">
        <v>0</v>
      </c>
      <c r="I306">
        <v>235.1985</v>
      </c>
    </row>
    <row r="307" spans="1:9" x14ac:dyDescent="0.3">
      <c r="A307" t="s">
        <v>9</v>
      </c>
      <c r="B307" t="s">
        <v>315</v>
      </c>
      <c r="C307">
        <v>1</v>
      </c>
      <c r="D307">
        <v>-2.9999999999999997E-4</v>
      </c>
      <c r="E307">
        <v>6.0010315795300153</v>
      </c>
      <c r="F307">
        <v>709.4978968973985</v>
      </c>
      <c r="G307">
        <v>0.42399999999999999</v>
      </c>
      <c r="H307">
        <v>1E-4</v>
      </c>
      <c r="I307">
        <v>235.39879999999999</v>
      </c>
    </row>
    <row r="308" spans="1:9" x14ac:dyDescent="0.3">
      <c r="A308" t="s">
        <v>9</v>
      </c>
      <c r="B308" t="s">
        <v>316</v>
      </c>
      <c r="C308">
        <v>1</v>
      </c>
      <c r="D308">
        <v>1E-4</v>
      </c>
      <c r="E308">
        <v>6.0076301132019312</v>
      </c>
      <c r="F308">
        <v>710.12409774286334</v>
      </c>
      <c r="G308">
        <v>0.42399999999999999</v>
      </c>
      <c r="H308">
        <v>2.0000000000000001E-4</v>
      </c>
      <c r="I308">
        <v>235.59809999999999</v>
      </c>
    </row>
    <row r="309" spans="1:9" x14ac:dyDescent="0.3">
      <c r="A309" t="s">
        <v>9</v>
      </c>
      <c r="B309" t="s">
        <v>317</v>
      </c>
      <c r="C309">
        <v>1</v>
      </c>
      <c r="D309">
        <v>2.0000000000000001E-4</v>
      </c>
      <c r="E309">
        <v>6.016893319548454</v>
      </c>
      <c r="F309">
        <v>711.00317602514826</v>
      </c>
      <c r="G309">
        <v>0.42399999999999999</v>
      </c>
      <c r="H309">
        <v>2.9999999999999997E-4</v>
      </c>
      <c r="I309">
        <v>235.79859999999999</v>
      </c>
    </row>
    <row r="310" spans="1:9" x14ac:dyDescent="0.3">
      <c r="A310" t="s">
        <v>9</v>
      </c>
      <c r="B310" t="s">
        <v>318</v>
      </c>
      <c r="C310">
        <v>1</v>
      </c>
      <c r="D310">
        <v>5.9999999999999995E-4</v>
      </c>
      <c r="E310">
        <v>6.0287720230770274</v>
      </c>
      <c r="F310">
        <v>712.13046499000984</v>
      </c>
      <c r="G310">
        <v>0.42399999999999999</v>
      </c>
      <c r="H310">
        <v>5.0000000000000001E-4</v>
      </c>
      <c r="I310">
        <v>235.99940000000001</v>
      </c>
    </row>
    <row r="311" spans="1:9" x14ac:dyDescent="0.3">
      <c r="A311" t="s">
        <v>9</v>
      </c>
      <c r="B311" t="s">
        <v>319</v>
      </c>
      <c r="C311">
        <v>1</v>
      </c>
      <c r="D311">
        <v>5.9999999999999995E-4</v>
      </c>
      <c r="E311">
        <v>6.0431125382092912</v>
      </c>
      <c r="F311">
        <v>713.49137987606173</v>
      </c>
      <c r="G311">
        <v>0.42399999999999999</v>
      </c>
      <c r="H311">
        <v>6.9999999999999999E-4</v>
      </c>
      <c r="I311">
        <v>236.19900000000001</v>
      </c>
    </row>
    <row r="312" spans="1:9" x14ac:dyDescent="0.3">
      <c r="A312" t="s">
        <v>9</v>
      </c>
      <c r="B312" t="s">
        <v>320</v>
      </c>
      <c r="C312">
        <v>1</v>
      </c>
      <c r="D312">
        <v>8.9999999999999998E-4</v>
      </c>
      <c r="E312">
        <v>6.0598940399675314</v>
      </c>
      <c r="F312">
        <v>715.08394439291862</v>
      </c>
      <c r="G312">
        <v>0.42399999999999999</v>
      </c>
      <c r="H312">
        <v>1E-3</v>
      </c>
      <c r="I312">
        <v>236.39830000000001</v>
      </c>
    </row>
    <row r="313" spans="1:9" x14ac:dyDescent="0.3">
      <c r="A313" t="s">
        <v>9</v>
      </c>
      <c r="B313" t="s">
        <v>321</v>
      </c>
      <c r="C313">
        <v>1</v>
      </c>
      <c r="D313">
        <v>8.9999999999999998E-4</v>
      </c>
      <c r="E313">
        <v>6.0791633075121663</v>
      </c>
      <c r="F313">
        <v>716.91259788290461</v>
      </c>
      <c r="G313">
        <v>0.42399999999999999</v>
      </c>
      <c r="H313">
        <v>1.2999999999999999E-3</v>
      </c>
      <c r="I313">
        <v>236.5984</v>
      </c>
    </row>
    <row r="314" spans="1:9" x14ac:dyDescent="0.3">
      <c r="A314" t="s">
        <v>9</v>
      </c>
      <c r="B314" t="s">
        <v>322</v>
      </c>
      <c r="C314">
        <v>1</v>
      </c>
      <c r="D314">
        <v>1.1999999999999999E-3</v>
      </c>
      <c r="E314">
        <v>6.1008789828267034</v>
      </c>
      <c r="F314">
        <v>718.97341547025417</v>
      </c>
      <c r="G314">
        <v>0.42399999999999999</v>
      </c>
      <c r="H314">
        <v>1.6000000000000001E-3</v>
      </c>
      <c r="I314">
        <v>236.79949999999999</v>
      </c>
    </row>
    <row r="315" spans="1:9" x14ac:dyDescent="0.3">
      <c r="A315" t="s">
        <v>9</v>
      </c>
      <c r="B315" t="s">
        <v>323</v>
      </c>
      <c r="C315">
        <v>1</v>
      </c>
      <c r="D315">
        <v>1.5E-3</v>
      </c>
      <c r="E315">
        <v>6.1247043630003732</v>
      </c>
      <c r="F315">
        <v>721.23444404873544</v>
      </c>
      <c r="G315">
        <v>0.42399999999999999</v>
      </c>
      <c r="H315">
        <v>2E-3</v>
      </c>
      <c r="I315">
        <v>236.99930000000001</v>
      </c>
    </row>
    <row r="316" spans="1:9" x14ac:dyDescent="0.3">
      <c r="A316" t="s">
        <v>9</v>
      </c>
      <c r="B316" t="s">
        <v>324</v>
      </c>
      <c r="C316">
        <v>1</v>
      </c>
      <c r="D316">
        <v>2E-3</v>
      </c>
      <c r="E316">
        <v>6.1507644546653868</v>
      </c>
      <c r="F316">
        <v>723.70754674774525</v>
      </c>
      <c r="G316">
        <v>0.42399999999999999</v>
      </c>
      <c r="H316">
        <v>2.3999999999999998E-3</v>
      </c>
      <c r="I316">
        <v>237.1996</v>
      </c>
    </row>
    <row r="317" spans="1:9" x14ac:dyDescent="0.3">
      <c r="A317" t="s">
        <v>9</v>
      </c>
      <c r="B317" t="s">
        <v>325</v>
      </c>
      <c r="C317">
        <v>1</v>
      </c>
      <c r="D317">
        <v>2.3999999999999998E-3</v>
      </c>
      <c r="E317">
        <v>6.3618004241046942</v>
      </c>
      <c r="F317">
        <v>743.73486024753549</v>
      </c>
      <c r="G317">
        <v>0.42399999999999999</v>
      </c>
      <c r="H317">
        <v>5.7000000000000002E-3</v>
      </c>
      <c r="I317">
        <v>237.3991</v>
      </c>
    </row>
    <row r="318" spans="1:9" x14ac:dyDescent="0.3">
      <c r="A318" t="s">
        <v>9</v>
      </c>
      <c r="B318" t="s">
        <v>326</v>
      </c>
      <c r="C318">
        <v>1</v>
      </c>
      <c r="D318">
        <v>5.0000000000000001E-3</v>
      </c>
      <c r="E318">
        <v>6.4219996121277347</v>
      </c>
      <c r="F318">
        <v>749.44776319092205</v>
      </c>
      <c r="G318">
        <v>0.42399999999999999</v>
      </c>
      <c r="H318">
        <v>6.6E-3</v>
      </c>
      <c r="I318">
        <v>237.59970000000001</v>
      </c>
    </row>
    <row r="319" spans="1:9" x14ac:dyDescent="0.3">
      <c r="A319" t="s">
        <v>9</v>
      </c>
      <c r="B319" t="s">
        <v>327</v>
      </c>
      <c r="C319">
        <v>1</v>
      </c>
      <c r="D319">
        <v>6.6E-3</v>
      </c>
      <c r="E319">
        <v>6.485068965401461</v>
      </c>
      <c r="F319">
        <v>755.43304481659868</v>
      </c>
      <c r="G319">
        <v>0.42399999999999999</v>
      </c>
      <c r="H319">
        <v>7.6E-3</v>
      </c>
      <c r="I319">
        <v>237.7978</v>
      </c>
    </row>
    <row r="320" spans="1:9" x14ac:dyDescent="0.3">
      <c r="A320" t="s">
        <v>9</v>
      </c>
      <c r="B320" t="s">
        <v>328</v>
      </c>
      <c r="C320">
        <v>1</v>
      </c>
      <c r="D320">
        <v>7.4000000000000003E-3</v>
      </c>
      <c r="E320">
        <v>6.5524363086247943</v>
      </c>
      <c r="F320">
        <v>761.82620568849302</v>
      </c>
      <c r="G320">
        <v>0.42399999999999999</v>
      </c>
      <c r="H320">
        <v>8.6E-3</v>
      </c>
      <c r="I320">
        <v>237.99870000000001</v>
      </c>
    </row>
    <row r="321" spans="1:9" x14ac:dyDescent="0.3">
      <c r="A321" t="s">
        <v>9</v>
      </c>
      <c r="B321" t="s">
        <v>329</v>
      </c>
      <c r="C321">
        <v>1</v>
      </c>
      <c r="D321">
        <v>8.8000000000000005E-3</v>
      </c>
      <c r="E321">
        <v>6.6228823912525936</v>
      </c>
      <c r="F321">
        <v>768.51153892987122</v>
      </c>
      <c r="G321">
        <v>0.42399999999999999</v>
      </c>
      <c r="H321">
        <v>9.7000000000000003E-3</v>
      </c>
      <c r="I321">
        <v>238.1994</v>
      </c>
    </row>
    <row r="322" spans="1:9" x14ac:dyDescent="0.3">
      <c r="A322" t="s">
        <v>9</v>
      </c>
      <c r="B322" t="s">
        <v>330</v>
      </c>
      <c r="C322">
        <v>1</v>
      </c>
      <c r="D322">
        <v>9.9000000000000008E-3</v>
      </c>
      <c r="E322">
        <v>6.6954563843762038</v>
      </c>
      <c r="F322">
        <v>775.3988108773018</v>
      </c>
      <c r="G322">
        <v>0.42399999999999999</v>
      </c>
      <c r="H322">
        <v>1.09E-2</v>
      </c>
      <c r="I322">
        <v>238.398</v>
      </c>
    </row>
    <row r="323" spans="1:9" x14ac:dyDescent="0.3">
      <c r="A323" t="s">
        <v>9</v>
      </c>
      <c r="B323" t="s">
        <v>331</v>
      </c>
      <c r="C323">
        <v>1</v>
      </c>
      <c r="D323">
        <v>1.15E-2</v>
      </c>
      <c r="E323">
        <v>6.7709136800027947</v>
      </c>
      <c r="F323">
        <v>782.55970823226528</v>
      </c>
      <c r="G323">
        <v>0.42399999999999999</v>
      </c>
      <c r="H323">
        <v>1.2E-2</v>
      </c>
      <c r="I323">
        <v>238.5976</v>
      </c>
    </row>
    <row r="324" spans="1:9" x14ac:dyDescent="0.3">
      <c r="A324" t="s">
        <v>9</v>
      </c>
      <c r="B324" t="s">
        <v>332</v>
      </c>
      <c r="C324">
        <v>1</v>
      </c>
      <c r="D324">
        <v>1.24E-2</v>
      </c>
      <c r="E324">
        <v>6.8494886402258537</v>
      </c>
      <c r="F324">
        <v>790.01647195743351</v>
      </c>
      <c r="G324">
        <v>0.42399999999999999</v>
      </c>
      <c r="H324">
        <v>1.3299999999999999E-2</v>
      </c>
      <c r="I324">
        <v>238.79929999999999</v>
      </c>
    </row>
    <row r="325" spans="1:9" x14ac:dyDescent="0.3">
      <c r="A325" t="s">
        <v>9</v>
      </c>
      <c r="B325" t="s">
        <v>333</v>
      </c>
      <c r="C325">
        <v>1</v>
      </c>
      <c r="D325">
        <v>1.38E-2</v>
      </c>
      <c r="E325">
        <v>6.9286693737493534</v>
      </c>
      <c r="F325">
        <v>797.53072356881364</v>
      </c>
      <c r="G325">
        <v>0.42399999999999999</v>
      </c>
      <c r="H325">
        <v>1.4500000000000001E-2</v>
      </c>
      <c r="I325">
        <v>238.99760000000001</v>
      </c>
    </row>
    <row r="326" spans="1:9" x14ac:dyDescent="0.3">
      <c r="A326" t="s">
        <v>9</v>
      </c>
      <c r="B326" t="s">
        <v>334</v>
      </c>
      <c r="C326">
        <v>1</v>
      </c>
      <c r="D326">
        <v>1.46E-2</v>
      </c>
      <c r="E326">
        <v>7.0113310736612879</v>
      </c>
      <c r="F326">
        <v>805.37531889045624</v>
      </c>
      <c r="G326">
        <v>0.42399999999999999</v>
      </c>
      <c r="H326">
        <v>1.5800000000000002E-2</v>
      </c>
      <c r="I326">
        <v>239.2004</v>
      </c>
    </row>
    <row r="327" spans="1:9" x14ac:dyDescent="0.3">
      <c r="A327" t="s">
        <v>9</v>
      </c>
      <c r="B327" t="s">
        <v>335</v>
      </c>
      <c r="C327">
        <v>1</v>
      </c>
      <c r="D327">
        <v>1.6199999999999999E-2</v>
      </c>
      <c r="E327">
        <v>7.0938970824762286</v>
      </c>
      <c r="F327">
        <v>813.21083312699409</v>
      </c>
      <c r="G327">
        <v>0.42399999999999999</v>
      </c>
      <c r="H327">
        <v>1.7100000000000001E-2</v>
      </c>
      <c r="I327">
        <v>239.39959999999999</v>
      </c>
    </row>
    <row r="328" spans="1:9" x14ac:dyDescent="0.3">
      <c r="A328" t="s">
        <v>9</v>
      </c>
      <c r="B328" t="s">
        <v>336</v>
      </c>
      <c r="C328">
        <v>1</v>
      </c>
      <c r="D328">
        <v>1.7000000000000001E-2</v>
      </c>
      <c r="E328">
        <v>7.1781007876502727</v>
      </c>
      <c r="F328">
        <v>821.20176474801087</v>
      </c>
      <c r="G328">
        <v>0.42399999999999999</v>
      </c>
      <c r="H328">
        <v>1.84E-2</v>
      </c>
      <c r="I328">
        <v>239.60040000000001</v>
      </c>
    </row>
    <row r="329" spans="1:9" x14ac:dyDescent="0.3">
      <c r="A329" t="s">
        <v>9</v>
      </c>
      <c r="B329" t="s">
        <v>337</v>
      </c>
      <c r="C329">
        <v>1</v>
      </c>
      <c r="D329">
        <v>1.8100000000000002E-2</v>
      </c>
      <c r="E329">
        <v>7.2619484895058477</v>
      </c>
      <c r="F329">
        <v>829.15891165410494</v>
      </c>
      <c r="G329">
        <v>0.42399999999999999</v>
      </c>
      <c r="H329">
        <v>1.9699999999999999E-2</v>
      </c>
      <c r="I329">
        <v>239.7988</v>
      </c>
    </row>
    <row r="330" spans="1:9" x14ac:dyDescent="0.3">
      <c r="A330" t="s">
        <v>9</v>
      </c>
      <c r="B330" t="s">
        <v>338</v>
      </c>
      <c r="C330">
        <v>1</v>
      </c>
      <c r="D330">
        <v>1.9199999999999998E-2</v>
      </c>
      <c r="E330">
        <v>7.3462612663116298</v>
      </c>
      <c r="F330">
        <v>837.16019417297366</v>
      </c>
      <c r="G330">
        <v>0.42399999999999999</v>
      </c>
      <c r="H330">
        <v>2.1000000000000001E-2</v>
      </c>
      <c r="I330">
        <v>239.9975</v>
      </c>
    </row>
    <row r="331" spans="1:9" x14ac:dyDescent="0.3">
      <c r="A331" t="s">
        <v>9</v>
      </c>
      <c r="B331" t="s">
        <v>339</v>
      </c>
      <c r="C331">
        <v>1</v>
      </c>
      <c r="D331">
        <v>2.12E-2</v>
      </c>
      <c r="E331">
        <v>7.4316903040920614</v>
      </c>
      <c r="F331">
        <v>845.26740985833658</v>
      </c>
      <c r="G331">
        <v>0.42399999999999999</v>
      </c>
      <c r="H331">
        <v>2.23E-2</v>
      </c>
      <c r="I331">
        <v>240.19890000000001</v>
      </c>
    </row>
    <row r="332" spans="1:9" x14ac:dyDescent="0.3">
      <c r="A332" t="s">
        <v>9</v>
      </c>
      <c r="B332" t="s">
        <v>340</v>
      </c>
      <c r="C332">
        <v>1</v>
      </c>
      <c r="D332">
        <v>2.3199999999999998E-2</v>
      </c>
      <c r="E332">
        <v>7.5160347076163383</v>
      </c>
      <c r="F332">
        <v>853.2716937527905</v>
      </c>
      <c r="G332">
        <v>0.42399999999999999</v>
      </c>
      <c r="H332">
        <v>2.3599999999999999E-2</v>
      </c>
      <c r="I332">
        <v>240.39840000000001</v>
      </c>
    </row>
    <row r="333" spans="1:9" x14ac:dyDescent="0.3">
      <c r="A333" t="s">
        <v>9</v>
      </c>
      <c r="B333" t="s">
        <v>341</v>
      </c>
      <c r="C333">
        <v>1</v>
      </c>
      <c r="D333">
        <v>2.47E-2</v>
      </c>
      <c r="E333">
        <v>7.59990835959991</v>
      </c>
      <c r="F333">
        <v>861.23130332603148</v>
      </c>
      <c r="G333">
        <v>0.42399999999999999</v>
      </c>
      <c r="H333">
        <v>2.4899999999999999E-2</v>
      </c>
      <c r="I333">
        <v>240.5984</v>
      </c>
    </row>
    <row r="334" spans="1:9" x14ac:dyDescent="0.3">
      <c r="A334" t="s">
        <v>9</v>
      </c>
      <c r="B334" t="s">
        <v>342</v>
      </c>
      <c r="C334">
        <v>1</v>
      </c>
      <c r="D334">
        <v>2.63E-2</v>
      </c>
      <c r="E334">
        <v>7.6828753789865658</v>
      </c>
      <c r="F334">
        <v>869.10487346582511</v>
      </c>
      <c r="G334">
        <v>0.42399999999999999</v>
      </c>
      <c r="H334">
        <v>2.6200000000000001E-2</v>
      </c>
      <c r="I334">
        <v>240.7987</v>
      </c>
    </row>
    <row r="335" spans="1:9" x14ac:dyDescent="0.3">
      <c r="A335" t="s">
        <v>9</v>
      </c>
      <c r="B335" t="s">
        <v>343</v>
      </c>
      <c r="C335">
        <v>1</v>
      </c>
      <c r="D335">
        <v>2.75E-2</v>
      </c>
      <c r="E335">
        <v>7.7643774325536059</v>
      </c>
      <c r="F335">
        <v>876.83941834933728</v>
      </c>
      <c r="G335">
        <v>0.42399999999999999</v>
      </c>
      <c r="H335">
        <v>2.75E-2</v>
      </c>
      <c r="I335">
        <v>240.99860000000001</v>
      </c>
    </row>
    <row r="336" spans="1:9" x14ac:dyDescent="0.3">
      <c r="A336" t="s">
        <v>9</v>
      </c>
      <c r="B336" t="s">
        <v>344</v>
      </c>
      <c r="C336">
        <v>1</v>
      </c>
      <c r="D336">
        <v>2.8500000000000001E-2</v>
      </c>
      <c r="E336">
        <v>7.8440244574395646</v>
      </c>
      <c r="F336">
        <v>884.39792101101477</v>
      </c>
      <c r="G336">
        <v>0.42399999999999999</v>
      </c>
      <c r="H336">
        <v>2.87E-2</v>
      </c>
      <c r="I336">
        <v>241.1979</v>
      </c>
    </row>
    <row r="337" spans="1:9" x14ac:dyDescent="0.3">
      <c r="A337" t="s">
        <v>9</v>
      </c>
      <c r="B337" t="s">
        <v>345</v>
      </c>
      <c r="C337">
        <v>1</v>
      </c>
      <c r="D337">
        <v>2.98E-2</v>
      </c>
      <c r="E337">
        <v>7.9225540049386272</v>
      </c>
      <c r="F337">
        <v>891.85037506867582</v>
      </c>
      <c r="G337">
        <v>0.42399999999999999</v>
      </c>
      <c r="H337">
        <v>2.9899999999999999E-2</v>
      </c>
      <c r="I337">
        <v>241.39940000000001</v>
      </c>
    </row>
    <row r="338" spans="1:9" x14ac:dyDescent="0.3">
      <c r="A338" t="s">
        <v>9</v>
      </c>
      <c r="B338" t="s">
        <v>346</v>
      </c>
      <c r="C338">
        <v>1</v>
      </c>
      <c r="D338">
        <v>3.09E-2</v>
      </c>
      <c r="E338">
        <v>7.997531628668014</v>
      </c>
      <c r="F338">
        <v>898.96575156059453</v>
      </c>
      <c r="G338">
        <v>0.42399999999999999</v>
      </c>
      <c r="H338">
        <v>3.1099999999999999E-2</v>
      </c>
      <c r="I338">
        <v>241.5976</v>
      </c>
    </row>
    <row r="339" spans="1:9" x14ac:dyDescent="0.3">
      <c r="A339" t="s">
        <v>9</v>
      </c>
      <c r="B339" t="s">
        <v>347</v>
      </c>
      <c r="C339">
        <v>1</v>
      </c>
      <c r="D339">
        <v>3.2399999999999998E-2</v>
      </c>
      <c r="E339">
        <v>8.0706262462345713</v>
      </c>
      <c r="F339">
        <v>905.9024307676608</v>
      </c>
      <c r="G339">
        <v>0.42399999999999999</v>
      </c>
      <c r="H339">
        <v>3.2199999999999999E-2</v>
      </c>
      <c r="I339">
        <v>241.79750000000001</v>
      </c>
    </row>
    <row r="340" spans="1:9" x14ac:dyDescent="0.3">
      <c r="A340" t="s">
        <v>9</v>
      </c>
      <c r="B340" t="s">
        <v>348</v>
      </c>
      <c r="C340">
        <v>1</v>
      </c>
      <c r="D340">
        <v>3.3500000000000002E-2</v>
      </c>
      <c r="E340">
        <v>8.1410431349683758</v>
      </c>
      <c r="F340">
        <v>912.58499350849888</v>
      </c>
      <c r="G340">
        <v>0.42399999999999999</v>
      </c>
      <c r="H340">
        <v>3.3300000000000003E-2</v>
      </c>
      <c r="I340">
        <v>241.99799999999999</v>
      </c>
    </row>
    <row r="341" spans="1:9" x14ac:dyDescent="0.3">
      <c r="A341" t="s">
        <v>9</v>
      </c>
      <c r="B341" t="s">
        <v>349</v>
      </c>
      <c r="C341">
        <v>1</v>
      </c>
      <c r="D341">
        <v>3.3799999999999997E-2</v>
      </c>
      <c r="E341">
        <v>8.2081465167334837</v>
      </c>
      <c r="F341">
        <v>918.9531044380077</v>
      </c>
      <c r="G341">
        <v>0.42399999999999999</v>
      </c>
      <c r="H341">
        <v>3.44E-2</v>
      </c>
      <c r="I341">
        <v>242.1979</v>
      </c>
    </row>
    <row r="342" spans="1:9" x14ac:dyDescent="0.3">
      <c r="A342" t="s">
        <v>9</v>
      </c>
      <c r="B342" t="s">
        <v>350</v>
      </c>
      <c r="C342">
        <v>1</v>
      </c>
      <c r="D342">
        <v>3.5400000000000001E-2</v>
      </c>
      <c r="E342">
        <v>8.2719895081981409</v>
      </c>
      <c r="F342">
        <v>925.01180432800368</v>
      </c>
      <c r="G342">
        <v>0.42399999999999999</v>
      </c>
      <c r="H342">
        <v>3.5400000000000001E-2</v>
      </c>
      <c r="I342">
        <v>242.39830000000001</v>
      </c>
    </row>
    <row r="343" spans="1:9" x14ac:dyDescent="0.3">
      <c r="A343" t="s">
        <v>9</v>
      </c>
      <c r="B343" t="s">
        <v>351</v>
      </c>
      <c r="C343">
        <v>1</v>
      </c>
      <c r="D343">
        <v>3.6299999999999999E-2</v>
      </c>
      <c r="E343">
        <v>8.3321698823783823</v>
      </c>
      <c r="F343">
        <v>930.72292183770855</v>
      </c>
      <c r="G343">
        <v>0.42399999999999999</v>
      </c>
      <c r="H343">
        <v>3.6299999999999999E-2</v>
      </c>
      <c r="I343">
        <v>242.59870000000001</v>
      </c>
    </row>
    <row r="344" spans="1:9" x14ac:dyDescent="0.3">
      <c r="A344" t="s">
        <v>9</v>
      </c>
      <c r="B344" t="s">
        <v>352</v>
      </c>
      <c r="C344">
        <v>1</v>
      </c>
      <c r="D344">
        <v>3.6999999999999998E-2</v>
      </c>
      <c r="E344">
        <v>8.3885145032639716</v>
      </c>
      <c r="F344">
        <v>936.07002635975095</v>
      </c>
      <c r="G344">
        <v>0.42399999999999999</v>
      </c>
      <c r="H344">
        <v>3.7199999999999997E-2</v>
      </c>
      <c r="I344">
        <v>242.79929999999999</v>
      </c>
    </row>
    <row r="345" spans="1:9" x14ac:dyDescent="0.3">
      <c r="A345" t="s">
        <v>9</v>
      </c>
      <c r="B345" t="s">
        <v>353</v>
      </c>
      <c r="C345">
        <v>1</v>
      </c>
      <c r="D345">
        <v>3.7499999999999999E-2</v>
      </c>
      <c r="E345">
        <v>8.4404516570974693</v>
      </c>
      <c r="F345">
        <v>940.99886225854993</v>
      </c>
      <c r="G345">
        <v>0.42399999999999999</v>
      </c>
      <c r="H345">
        <v>3.7999999999999999E-2</v>
      </c>
      <c r="I345">
        <v>242.99879999999999</v>
      </c>
    </row>
    <row r="346" spans="1:9" x14ac:dyDescent="0.3">
      <c r="A346" t="s">
        <v>9</v>
      </c>
      <c r="B346" t="s">
        <v>354</v>
      </c>
      <c r="C346">
        <v>1</v>
      </c>
      <c r="D346">
        <v>3.9E-2</v>
      </c>
      <c r="E346">
        <v>8.4879456624528729</v>
      </c>
      <c r="F346">
        <v>945.5060433667777</v>
      </c>
      <c r="G346">
        <v>0.42399999999999999</v>
      </c>
      <c r="H346">
        <v>3.8699999999999998E-2</v>
      </c>
      <c r="I346">
        <v>243.1977</v>
      </c>
    </row>
    <row r="347" spans="1:9" x14ac:dyDescent="0.3">
      <c r="A347" t="s">
        <v>9</v>
      </c>
      <c r="B347" t="s">
        <v>355</v>
      </c>
      <c r="C347">
        <v>1</v>
      </c>
      <c r="D347">
        <v>3.9800000000000002E-2</v>
      </c>
      <c r="E347">
        <v>8.5316448670593719</v>
      </c>
      <c r="F347">
        <v>949.65309788393449</v>
      </c>
      <c r="G347">
        <v>0.42399999999999999</v>
      </c>
      <c r="H347">
        <v>3.9399999999999998E-2</v>
      </c>
      <c r="I347">
        <v>243.3997</v>
      </c>
    </row>
    <row r="348" spans="1:9" x14ac:dyDescent="0.3">
      <c r="A348" t="s">
        <v>9</v>
      </c>
      <c r="B348" t="s">
        <v>356</v>
      </c>
      <c r="C348">
        <v>1</v>
      </c>
      <c r="D348">
        <v>4.02E-2</v>
      </c>
      <c r="E348">
        <v>8.5699407684518665</v>
      </c>
      <c r="F348">
        <v>953.28737892608217</v>
      </c>
      <c r="G348">
        <v>0.42399999999999999</v>
      </c>
      <c r="H348">
        <v>0.04</v>
      </c>
      <c r="I348">
        <v>243.59829999999999</v>
      </c>
    </row>
    <row r="349" spans="1:9" x14ac:dyDescent="0.3">
      <c r="A349" t="s">
        <v>9</v>
      </c>
      <c r="B349" t="s">
        <v>357</v>
      </c>
      <c r="C349">
        <v>1</v>
      </c>
      <c r="D349">
        <v>4.07E-2</v>
      </c>
      <c r="E349">
        <v>8.6039354361287543</v>
      </c>
      <c r="F349">
        <v>956.51347288861882</v>
      </c>
      <c r="G349">
        <v>0.42399999999999999</v>
      </c>
      <c r="H349">
        <v>4.0500000000000001E-2</v>
      </c>
      <c r="I349">
        <v>243.7998</v>
      </c>
    </row>
    <row r="350" spans="1:9" x14ac:dyDescent="0.3">
      <c r="A350" t="s">
        <v>9</v>
      </c>
      <c r="B350" t="s">
        <v>358</v>
      </c>
      <c r="C350">
        <v>1</v>
      </c>
      <c r="D350">
        <v>4.1099999999999998E-2</v>
      </c>
      <c r="E350">
        <v>8.6324598979178937</v>
      </c>
      <c r="F350">
        <v>959.22044431240818</v>
      </c>
      <c r="G350">
        <v>0.42399999999999999</v>
      </c>
      <c r="H350">
        <v>4.1000000000000002E-2</v>
      </c>
      <c r="I350">
        <v>243.99799999999999</v>
      </c>
    </row>
    <row r="351" spans="1:9" x14ac:dyDescent="0.3">
      <c r="A351" t="s">
        <v>9</v>
      </c>
      <c r="B351" t="s">
        <v>359</v>
      </c>
      <c r="C351">
        <v>1</v>
      </c>
      <c r="D351">
        <v>4.1300000000000003E-2</v>
      </c>
      <c r="E351">
        <v>8.6561466881892244</v>
      </c>
      <c r="F351">
        <v>961.46832070915741</v>
      </c>
      <c r="G351">
        <v>0.42399999999999999</v>
      </c>
      <c r="H351">
        <v>4.1300000000000003E-2</v>
      </c>
      <c r="I351">
        <v>244.19749999999999</v>
      </c>
    </row>
    <row r="352" spans="1:9" x14ac:dyDescent="0.3">
      <c r="A352" t="s">
        <v>9</v>
      </c>
      <c r="B352" t="s">
        <v>360</v>
      </c>
      <c r="C352">
        <v>1</v>
      </c>
      <c r="D352">
        <v>4.1599999999999998E-2</v>
      </c>
      <c r="E352">
        <v>8.6747383330165242</v>
      </c>
      <c r="F352">
        <v>963.23266780326821</v>
      </c>
      <c r="G352">
        <v>0.42399999999999999</v>
      </c>
      <c r="H352">
        <v>4.1599999999999998E-2</v>
      </c>
      <c r="I352">
        <v>244.39760000000001</v>
      </c>
    </row>
    <row r="353" spans="1:9" x14ac:dyDescent="0.3">
      <c r="A353" t="s">
        <v>9</v>
      </c>
      <c r="B353" t="s">
        <v>361</v>
      </c>
      <c r="C353">
        <v>1</v>
      </c>
      <c r="D353">
        <v>4.2900000000000001E-2</v>
      </c>
      <c r="E353">
        <v>8.6882100986840403</v>
      </c>
      <c r="F353">
        <v>964.51113836511547</v>
      </c>
      <c r="G353">
        <v>0.42399999999999999</v>
      </c>
      <c r="H353">
        <v>4.1799999999999997E-2</v>
      </c>
      <c r="I353">
        <v>244.59989999999999</v>
      </c>
    </row>
    <row r="354" spans="1:9" x14ac:dyDescent="0.3">
      <c r="A354" t="s">
        <v>9</v>
      </c>
      <c r="B354" t="s">
        <v>362</v>
      </c>
      <c r="C354">
        <v>1</v>
      </c>
      <c r="D354">
        <v>4.2999999999999997E-2</v>
      </c>
      <c r="E354">
        <v>8.6961917903970587</v>
      </c>
      <c r="F354">
        <v>965.26860090868092</v>
      </c>
      <c r="G354">
        <v>0.42399999999999999</v>
      </c>
      <c r="H354">
        <v>4.2000000000000003E-2</v>
      </c>
      <c r="I354">
        <v>244.79949999999999</v>
      </c>
    </row>
    <row r="355" spans="1:9" x14ac:dyDescent="0.3">
      <c r="A355" t="s">
        <v>9</v>
      </c>
      <c r="B355" t="s">
        <v>363</v>
      </c>
      <c r="C355">
        <v>1</v>
      </c>
      <c r="D355">
        <v>4.2999999999999997E-2</v>
      </c>
      <c r="E355">
        <v>8.6988715465835664</v>
      </c>
      <c r="F355">
        <v>965.52290977078053</v>
      </c>
      <c r="G355">
        <v>0.42399999999999999</v>
      </c>
      <c r="H355">
        <v>4.2000000000000003E-2</v>
      </c>
      <c r="I355">
        <v>244.99809999999999</v>
      </c>
    </row>
    <row r="356" spans="1:9" x14ac:dyDescent="0.3">
      <c r="A356" t="s">
        <v>9</v>
      </c>
      <c r="B356" t="s">
        <v>364</v>
      </c>
      <c r="C356">
        <v>1</v>
      </c>
      <c r="D356">
        <v>4.2999999999999997E-2</v>
      </c>
      <c r="E356">
        <v>8.696226660881555</v>
      </c>
      <c r="F356">
        <v>858.48832479416092</v>
      </c>
      <c r="G356">
        <v>0.42399999999999999</v>
      </c>
      <c r="H356">
        <v>4.2000000000000003E-2</v>
      </c>
      <c r="I356">
        <v>245.19919999999999</v>
      </c>
    </row>
    <row r="357" spans="1:9" x14ac:dyDescent="0.3">
      <c r="A357" t="s">
        <v>9</v>
      </c>
      <c r="B357" t="s">
        <v>365</v>
      </c>
      <c r="C357">
        <v>1</v>
      </c>
      <c r="D357">
        <v>4.2200000000000001E-2</v>
      </c>
      <c r="E357">
        <v>8.6883066007225302</v>
      </c>
      <c r="F357">
        <v>857.75017518733989</v>
      </c>
      <c r="G357">
        <v>0.42399999999999999</v>
      </c>
      <c r="H357">
        <v>4.1799999999999997E-2</v>
      </c>
      <c r="I357">
        <v>245.39830000000001</v>
      </c>
    </row>
    <row r="358" spans="1:9" x14ac:dyDescent="0.3">
      <c r="A358" t="s">
        <v>9</v>
      </c>
      <c r="B358" t="s">
        <v>366</v>
      </c>
      <c r="C358">
        <v>1</v>
      </c>
      <c r="D358">
        <v>4.1500000000000002E-2</v>
      </c>
      <c r="E358">
        <v>8.6750513564354961</v>
      </c>
      <c r="F358">
        <v>856.51478641978827</v>
      </c>
      <c r="G358">
        <v>0.42399999999999999</v>
      </c>
      <c r="H358">
        <v>4.1599999999999998E-2</v>
      </c>
      <c r="I358">
        <v>245.5985</v>
      </c>
    </row>
    <row r="359" spans="1:9" x14ac:dyDescent="0.3">
      <c r="A359" t="s">
        <v>9</v>
      </c>
      <c r="B359" t="s">
        <v>367</v>
      </c>
      <c r="C359">
        <v>1</v>
      </c>
      <c r="D359">
        <v>4.1500000000000002E-2</v>
      </c>
      <c r="E359">
        <v>8.6564260575359491</v>
      </c>
      <c r="F359">
        <v>854.77890856235047</v>
      </c>
      <c r="G359">
        <v>0.42399999999999999</v>
      </c>
      <c r="H359">
        <v>4.1300000000000003E-2</v>
      </c>
      <c r="I359">
        <v>245.7998</v>
      </c>
    </row>
    <row r="360" spans="1:9" x14ac:dyDescent="0.3">
      <c r="A360" t="s">
        <v>9</v>
      </c>
      <c r="B360" t="s">
        <v>368</v>
      </c>
      <c r="C360">
        <v>1</v>
      </c>
      <c r="D360">
        <v>4.1399999999999999E-2</v>
      </c>
      <c r="E360">
        <v>8.6329501120545995</v>
      </c>
      <c r="F360">
        <v>852.59095044348874</v>
      </c>
      <c r="G360">
        <v>0.42399999999999999</v>
      </c>
      <c r="H360">
        <v>4.1000000000000002E-2</v>
      </c>
      <c r="I360">
        <v>245.9982</v>
      </c>
    </row>
    <row r="361" spans="1:9" x14ac:dyDescent="0.3">
      <c r="A361" t="s">
        <v>9</v>
      </c>
      <c r="B361" t="s">
        <v>369</v>
      </c>
      <c r="C361">
        <v>1</v>
      </c>
      <c r="D361">
        <v>4.1200000000000001E-2</v>
      </c>
      <c r="E361">
        <v>8.6041207362614873</v>
      </c>
      <c r="F361">
        <v>849.90405261957062</v>
      </c>
      <c r="G361">
        <v>0.42399999999999999</v>
      </c>
      <c r="H361">
        <v>4.0500000000000001E-2</v>
      </c>
      <c r="I361">
        <v>246.19900000000001</v>
      </c>
    </row>
    <row r="362" spans="1:9" x14ac:dyDescent="0.3">
      <c r="A362" t="s">
        <v>9</v>
      </c>
      <c r="B362" t="s">
        <v>370</v>
      </c>
      <c r="C362">
        <v>1</v>
      </c>
      <c r="D362">
        <v>4.1200000000000001E-2</v>
      </c>
      <c r="E362">
        <v>8.5706199319580527</v>
      </c>
      <c r="F362">
        <v>846.78177765849057</v>
      </c>
      <c r="G362">
        <v>0.42399999999999999</v>
      </c>
      <c r="H362">
        <v>0.04</v>
      </c>
      <c r="I362">
        <v>246.39789999999999</v>
      </c>
    </row>
    <row r="363" spans="1:9" x14ac:dyDescent="0.3">
      <c r="A363" t="s">
        <v>9</v>
      </c>
      <c r="B363" t="s">
        <v>371</v>
      </c>
      <c r="C363">
        <v>1</v>
      </c>
      <c r="D363">
        <v>4.1000000000000002E-2</v>
      </c>
      <c r="E363">
        <v>8.5321452179648265</v>
      </c>
      <c r="F363">
        <v>843.1959343143219</v>
      </c>
      <c r="G363">
        <v>0.42399999999999999</v>
      </c>
      <c r="H363">
        <v>3.9399999999999998E-2</v>
      </c>
      <c r="I363">
        <v>246.59780000000001</v>
      </c>
    </row>
    <row r="364" spans="1:9" x14ac:dyDescent="0.3">
      <c r="A364" t="s">
        <v>9</v>
      </c>
      <c r="B364" t="s">
        <v>372</v>
      </c>
      <c r="C364">
        <v>1</v>
      </c>
      <c r="D364">
        <v>4.1000000000000002E-2</v>
      </c>
      <c r="E364">
        <v>8.4886463159088095</v>
      </c>
      <c r="F364">
        <v>839.14183664270104</v>
      </c>
      <c r="G364">
        <v>0.42399999999999999</v>
      </c>
      <c r="H364">
        <v>3.8699999999999998E-2</v>
      </c>
      <c r="I364">
        <v>246.79920000000001</v>
      </c>
    </row>
    <row r="365" spans="1:9" x14ac:dyDescent="0.3">
      <c r="A365" t="s">
        <v>9</v>
      </c>
      <c r="B365" t="s">
        <v>373</v>
      </c>
      <c r="C365">
        <v>1</v>
      </c>
      <c r="D365">
        <v>4.0599999999999997E-2</v>
      </c>
      <c r="E365">
        <v>8.4409228141089265</v>
      </c>
      <c r="F365">
        <v>834.69400627495202</v>
      </c>
      <c r="G365">
        <v>0.42399999999999999</v>
      </c>
      <c r="H365">
        <v>3.7999999999999999E-2</v>
      </c>
      <c r="I365">
        <v>246.99930000000001</v>
      </c>
    </row>
    <row r="366" spans="1:9" x14ac:dyDescent="0.3">
      <c r="A366" t="s">
        <v>9</v>
      </c>
      <c r="B366" t="s">
        <v>374</v>
      </c>
      <c r="C366">
        <v>1</v>
      </c>
      <c r="D366">
        <v>3.9600000000000003E-2</v>
      </c>
      <c r="E366">
        <v>8.3889536280861829</v>
      </c>
      <c r="F366">
        <v>829.85047813763231</v>
      </c>
      <c r="G366">
        <v>0.42399999999999999</v>
      </c>
      <c r="H366">
        <v>3.7199999999999997E-2</v>
      </c>
      <c r="I366">
        <v>247.19909999999999</v>
      </c>
    </row>
    <row r="367" spans="1:9" x14ac:dyDescent="0.3">
      <c r="A367" t="s">
        <v>9</v>
      </c>
      <c r="B367" t="s">
        <v>375</v>
      </c>
      <c r="C367">
        <v>1</v>
      </c>
      <c r="D367">
        <v>3.9300000000000002E-2</v>
      </c>
      <c r="E367">
        <v>8.3332691135815313</v>
      </c>
      <c r="F367">
        <v>824.66068138579874</v>
      </c>
      <c r="G367">
        <v>0.42399999999999999</v>
      </c>
      <c r="H367">
        <v>3.6299999999999999E-2</v>
      </c>
      <c r="I367">
        <v>247.39750000000001</v>
      </c>
    </row>
    <row r="368" spans="1:9" x14ac:dyDescent="0.3">
      <c r="A368" t="s">
        <v>9</v>
      </c>
      <c r="B368" t="s">
        <v>376</v>
      </c>
      <c r="C368">
        <v>1</v>
      </c>
      <c r="D368">
        <v>3.8300000000000001E-2</v>
      </c>
      <c r="E368">
        <v>8.2729050611515564</v>
      </c>
      <c r="F368">
        <v>819.03475169932506</v>
      </c>
      <c r="G368">
        <v>0.42399999999999999</v>
      </c>
      <c r="H368">
        <v>3.5400000000000001E-2</v>
      </c>
      <c r="I368">
        <v>247.59870000000001</v>
      </c>
    </row>
    <row r="369" spans="1:9" x14ac:dyDescent="0.3">
      <c r="A369" t="s">
        <v>9</v>
      </c>
      <c r="B369" t="s">
        <v>377</v>
      </c>
      <c r="C369">
        <v>1</v>
      </c>
      <c r="D369">
        <v>3.8100000000000002E-2</v>
      </c>
      <c r="E369">
        <v>8.2096305396783471</v>
      </c>
      <c r="F369">
        <v>813.13756629802197</v>
      </c>
      <c r="G369">
        <v>0.42399999999999999</v>
      </c>
      <c r="H369">
        <v>3.44E-2</v>
      </c>
      <c r="I369">
        <v>247.79750000000001</v>
      </c>
    </row>
    <row r="370" spans="1:9" x14ac:dyDescent="0.3">
      <c r="A370" t="s">
        <v>9</v>
      </c>
      <c r="B370" t="s">
        <v>378</v>
      </c>
      <c r="C370">
        <v>1</v>
      </c>
      <c r="D370">
        <v>3.6200000000000003E-2</v>
      </c>
      <c r="E370">
        <v>8.1413999492283438</v>
      </c>
      <c r="F370">
        <v>806.77847526808171</v>
      </c>
      <c r="G370">
        <v>0.42399999999999999</v>
      </c>
      <c r="H370">
        <v>3.3300000000000003E-2</v>
      </c>
      <c r="I370">
        <v>248.001</v>
      </c>
    </row>
    <row r="371" spans="1:9" x14ac:dyDescent="0.3">
      <c r="A371" t="s">
        <v>9</v>
      </c>
      <c r="B371" t="s">
        <v>379</v>
      </c>
      <c r="C371">
        <v>1</v>
      </c>
      <c r="D371">
        <v>3.49E-2</v>
      </c>
      <c r="E371">
        <v>8.0715036849374915</v>
      </c>
      <c r="F371">
        <v>800.26414343617421</v>
      </c>
      <c r="G371">
        <v>0.42399999999999999</v>
      </c>
      <c r="H371">
        <v>3.2300000000000002E-2</v>
      </c>
      <c r="I371">
        <v>248.2</v>
      </c>
    </row>
    <row r="372" spans="1:9" x14ac:dyDescent="0.3">
      <c r="A372" t="s">
        <v>9</v>
      </c>
      <c r="B372" t="s">
        <v>380</v>
      </c>
      <c r="C372">
        <v>1</v>
      </c>
      <c r="D372">
        <v>3.3000000000000002E-2</v>
      </c>
      <c r="E372">
        <v>7.998542061776921</v>
      </c>
      <c r="F372">
        <v>793.46412015760905</v>
      </c>
      <c r="G372">
        <v>0.42399999999999999</v>
      </c>
      <c r="H372">
        <v>3.1099999999999999E-2</v>
      </c>
      <c r="I372">
        <v>248.3997</v>
      </c>
    </row>
    <row r="373" spans="1:9" x14ac:dyDescent="0.3">
      <c r="A373" t="s">
        <v>9</v>
      </c>
      <c r="B373" t="s">
        <v>381</v>
      </c>
      <c r="C373">
        <v>1</v>
      </c>
      <c r="D373">
        <v>3.1600000000000003E-2</v>
      </c>
      <c r="E373">
        <v>7.9236528306710259</v>
      </c>
      <c r="F373">
        <v>786.4844438185396</v>
      </c>
      <c r="G373">
        <v>0.42399999999999999</v>
      </c>
      <c r="H373">
        <v>0.03</v>
      </c>
      <c r="I373">
        <v>248.5977</v>
      </c>
    </row>
    <row r="374" spans="1:9" x14ac:dyDescent="0.3">
      <c r="A374" t="s">
        <v>9</v>
      </c>
      <c r="B374" t="s">
        <v>382</v>
      </c>
      <c r="C374">
        <v>1</v>
      </c>
      <c r="D374">
        <v>3.0200000000000001E-2</v>
      </c>
      <c r="E374">
        <v>7.8449619058134781</v>
      </c>
      <c r="F374">
        <v>779.15044962181616</v>
      </c>
      <c r="G374">
        <v>0.42399999999999999</v>
      </c>
      <c r="H374">
        <v>2.87E-2</v>
      </c>
      <c r="I374">
        <v>248.7997</v>
      </c>
    </row>
    <row r="375" spans="1:9" x14ac:dyDescent="0.3">
      <c r="A375" t="s">
        <v>9</v>
      </c>
      <c r="B375" t="s">
        <v>383</v>
      </c>
      <c r="C375">
        <v>1</v>
      </c>
      <c r="D375">
        <v>2.8799999999999999E-2</v>
      </c>
      <c r="E375">
        <v>7.7653659702420166</v>
      </c>
      <c r="F375">
        <v>771.73210842655601</v>
      </c>
      <c r="G375">
        <v>0.42399999999999999</v>
      </c>
      <c r="H375">
        <v>2.75E-2</v>
      </c>
      <c r="I375">
        <v>248.999</v>
      </c>
    </row>
    <row r="376" spans="1:9" x14ac:dyDescent="0.3">
      <c r="A376" t="s">
        <v>9</v>
      </c>
      <c r="B376" t="s">
        <v>384</v>
      </c>
      <c r="C376">
        <v>1</v>
      </c>
      <c r="D376">
        <v>2.76E-2</v>
      </c>
      <c r="E376">
        <v>7.6837520067479863</v>
      </c>
      <c r="F376">
        <v>764.12568702891235</v>
      </c>
      <c r="G376">
        <v>0.42399999999999999</v>
      </c>
      <c r="H376">
        <v>2.6200000000000001E-2</v>
      </c>
      <c r="I376">
        <v>249.19919999999999</v>
      </c>
    </row>
    <row r="377" spans="1:9" x14ac:dyDescent="0.3">
      <c r="A377" t="s">
        <v>9</v>
      </c>
      <c r="B377" t="s">
        <v>385</v>
      </c>
      <c r="C377">
        <v>1</v>
      </c>
      <c r="D377">
        <v>2.6200000000000001E-2</v>
      </c>
      <c r="E377">
        <v>7.6005445432066034</v>
      </c>
      <c r="F377">
        <v>756.37075142685535</v>
      </c>
      <c r="G377">
        <v>0.42399999999999999</v>
      </c>
      <c r="H377">
        <v>2.4899999999999999E-2</v>
      </c>
      <c r="I377">
        <v>249.4</v>
      </c>
    </row>
    <row r="378" spans="1:9" x14ac:dyDescent="0.3">
      <c r="A378" t="s">
        <v>9</v>
      </c>
      <c r="B378" t="s">
        <v>386</v>
      </c>
      <c r="C378">
        <v>1</v>
      </c>
      <c r="D378">
        <v>2.4400000000000002E-2</v>
      </c>
      <c r="E378">
        <v>7.517055277493994</v>
      </c>
      <c r="F378">
        <v>748.58955186244032</v>
      </c>
      <c r="G378">
        <v>0.42399999999999999</v>
      </c>
      <c r="H378">
        <v>2.3599999999999999E-2</v>
      </c>
      <c r="I378">
        <v>249.59909999999999</v>
      </c>
    </row>
    <row r="379" spans="1:9" x14ac:dyDescent="0.3">
      <c r="A379" t="s">
        <v>9</v>
      </c>
      <c r="B379" t="s">
        <v>387</v>
      </c>
      <c r="C379">
        <v>1</v>
      </c>
      <c r="D379">
        <v>2.35E-2</v>
      </c>
      <c r="E379">
        <v>7.433056740519433</v>
      </c>
      <c r="F379">
        <v>740.76088821641122</v>
      </c>
      <c r="G379">
        <v>0.42399999999999999</v>
      </c>
      <c r="H379">
        <v>2.23E-2</v>
      </c>
      <c r="I379">
        <v>249.7979</v>
      </c>
    </row>
    <row r="380" spans="1:9" x14ac:dyDescent="0.3">
      <c r="A380" t="s">
        <v>9</v>
      </c>
      <c r="B380" t="s">
        <v>388</v>
      </c>
      <c r="C380">
        <v>1</v>
      </c>
      <c r="D380">
        <v>2.18E-2</v>
      </c>
      <c r="E380">
        <v>7.3480741260347129</v>
      </c>
      <c r="F380">
        <v>732.84050854643522</v>
      </c>
      <c r="G380">
        <v>0.42399999999999999</v>
      </c>
      <c r="H380">
        <v>2.1000000000000001E-2</v>
      </c>
      <c r="I380">
        <v>249.9982</v>
      </c>
    </row>
    <row r="381" spans="1:9" x14ac:dyDescent="0.3">
      <c r="A381" t="s">
        <v>9</v>
      </c>
      <c r="B381" t="s">
        <v>389</v>
      </c>
      <c r="C381">
        <v>1</v>
      </c>
      <c r="D381">
        <v>2.0199999999999999E-2</v>
      </c>
      <c r="E381">
        <v>7.2623888307403064</v>
      </c>
      <c r="F381">
        <v>724.85463902499657</v>
      </c>
      <c r="G381">
        <v>0.42399999999999999</v>
      </c>
      <c r="H381">
        <v>1.9699999999999999E-2</v>
      </c>
      <c r="I381">
        <v>250.20009999999999</v>
      </c>
    </row>
    <row r="382" spans="1:9" x14ac:dyDescent="0.3">
      <c r="A382" t="s">
        <v>9</v>
      </c>
      <c r="B382" t="s">
        <v>390</v>
      </c>
      <c r="C382">
        <v>1</v>
      </c>
      <c r="D382">
        <v>1.9199999999999998E-2</v>
      </c>
      <c r="E382">
        <v>7.1788861844929492</v>
      </c>
      <c r="F382">
        <v>717.07219239474284</v>
      </c>
      <c r="G382">
        <v>0.42399999999999999</v>
      </c>
      <c r="H382">
        <v>1.84E-2</v>
      </c>
      <c r="I382">
        <v>250.39769999999999</v>
      </c>
    </row>
    <row r="383" spans="1:9" x14ac:dyDescent="0.3">
      <c r="A383" t="s">
        <v>9</v>
      </c>
      <c r="B383" t="s">
        <v>391</v>
      </c>
      <c r="C383">
        <v>1</v>
      </c>
      <c r="D383">
        <v>1.83E-2</v>
      </c>
      <c r="E383">
        <v>7.0942291630204508</v>
      </c>
      <c r="F383">
        <v>709.18215799350605</v>
      </c>
      <c r="G383">
        <v>0.42399999999999999</v>
      </c>
      <c r="H383">
        <v>1.7100000000000001E-2</v>
      </c>
      <c r="I383">
        <v>250.59950000000001</v>
      </c>
    </row>
    <row r="384" spans="1:9" x14ac:dyDescent="0.3">
      <c r="A384" t="s">
        <v>9</v>
      </c>
      <c r="B384" t="s">
        <v>392</v>
      </c>
      <c r="C384">
        <v>1</v>
      </c>
      <c r="D384">
        <v>1.6500000000000001E-2</v>
      </c>
      <c r="E384">
        <v>7.0114689337162739</v>
      </c>
      <c r="F384">
        <v>701.46890462235672</v>
      </c>
      <c r="G384">
        <v>0.42399999999999999</v>
      </c>
      <c r="H384">
        <v>1.5800000000000002E-2</v>
      </c>
      <c r="I384">
        <v>250.79929999999999</v>
      </c>
    </row>
    <row r="385" spans="1:9" x14ac:dyDescent="0.3">
      <c r="A385" t="s">
        <v>9</v>
      </c>
      <c r="B385" t="s">
        <v>393</v>
      </c>
      <c r="C385">
        <v>1</v>
      </c>
      <c r="D385">
        <v>1.54E-2</v>
      </c>
      <c r="E385">
        <v>6.9300005342214828</v>
      </c>
      <c r="F385">
        <v>693.87604978944216</v>
      </c>
      <c r="G385">
        <v>0.42399999999999999</v>
      </c>
      <c r="H385">
        <v>1.4500000000000001E-2</v>
      </c>
      <c r="I385">
        <v>250.9991</v>
      </c>
    </row>
    <row r="386" spans="1:9" x14ac:dyDescent="0.3">
      <c r="A386" t="s">
        <v>9</v>
      </c>
      <c r="B386" t="s">
        <v>394</v>
      </c>
      <c r="C386">
        <v>1</v>
      </c>
      <c r="D386">
        <v>1.37E-2</v>
      </c>
      <c r="E386">
        <v>6.8503587804552719</v>
      </c>
      <c r="F386">
        <v>686.4534383384314</v>
      </c>
      <c r="G386">
        <v>0.42399999999999999</v>
      </c>
      <c r="H386">
        <v>1.3299999999999999E-2</v>
      </c>
      <c r="I386">
        <v>251.1985</v>
      </c>
    </row>
    <row r="387" spans="1:9" x14ac:dyDescent="0.3">
      <c r="A387" t="s">
        <v>9</v>
      </c>
      <c r="B387" t="s">
        <v>395</v>
      </c>
      <c r="C387">
        <v>1</v>
      </c>
      <c r="D387">
        <v>1.24E-2</v>
      </c>
      <c r="E387">
        <v>6.7724885283956509</v>
      </c>
      <c r="F387">
        <v>679.19593084647465</v>
      </c>
      <c r="G387">
        <v>0.42399999999999999</v>
      </c>
      <c r="H387">
        <v>1.21E-2</v>
      </c>
      <c r="I387">
        <v>251.39830000000001</v>
      </c>
    </row>
    <row r="388" spans="1:9" x14ac:dyDescent="0.3">
      <c r="A388" t="s">
        <v>9</v>
      </c>
      <c r="B388" t="s">
        <v>396</v>
      </c>
      <c r="C388">
        <v>1</v>
      </c>
      <c r="D388">
        <v>1.09E-2</v>
      </c>
      <c r="E388">
        <v>6.6971532794647972</v>
      </c>
      <c r="F388">
        <v>672.17468564611909</v>
      </c>
      <c r="G388">
        <v>0.42399999999999999</v>
      </c>
      <c r="H388">
        <v>1.09E-2</v>
      </c>
      <c r="I388">
        <v>251.59739999999999</v>
      </c>
    </row>
    <row r="389" spans="1:9" x14ac:dyDescent="0.3">
      <c r="A389" t="s">
        <v>9</v>
      </c>
      <c r="B389" t="s">
        <v>397</v>
      </c>
      <c r="C389">
        <v>1</v>
      </c>
      <c r="D389">
        <v>9.9000000000000008E-3</v>
      </c>
      <c r="E389">
        <v>6.6233766600967998</v>
      </c>
      <c r="F389">
        <v>665.29870472102175</v>
      </c>
      <c r="G389">
        <v>0.42399999999999999</v>
      </c>
      <c r="H389">
        <v>9.7999999999999997E-3</v>
      </c>
      <c r="I389">
        <v>251.79920000000001</v>
      </c>
    </row>
    <row r="390" spans="1:9" x14ac:dyDescent="0.3">
      <c r="A390" t="s">
        <v>9</v>
      </c>
      <c r="B390" t="s">
        <v>398</v>
      </c>
      <c r="C390">
        <v>1</v>
      </c>
      <c r="D390">
        <v>8.3999999999999995E-3</v>
      </c>
      <c r="E390">
        <v>6.5531353401977297</v>
      </c>
      <c r="F390">
        <v>658.75221370642839</v>
      </c>
      <c r="G390">
        <v>0.42399999999999999</v>
      </c>
      <c r="H390">
        <v>8.6999999999999994E-3</v>
      </c>
      <c r="I390">
        <v>251.9992</v>
      </c>
    </row>
    <row r="391" spans="1:9" x14ac:dyDescent="0.3">
      <c r="A391" t="s">
        <v>9</v>
      </c>
      <c r="B391" t="s">
        <v>399</v>
      </c>
      <c r="C391">
        <v>1</v>
      </c>
      <c r="D391">
        <v>7.6E-3</v>
      </c>
      <c r="E391">
        <v>6.4856313533316596</v>
      </c>
      <c r="F391">
        <v>652.46084213051074</v>
      </c>
      <c r="G391">
        <v>0.42399999999999999</v>
      </c>
      <c r="H391">
        <v>7.6E-3</v>
      </c>
      <c r="I391">
        <v>252.20050000000001</v>
      </c>
    </row>
    <row r="392" spans="1:9" x14ac:dyDescent="0.3">
      <c r="A392" t="s">
        <v>9</v>
      </c>
      <c r="B392" t="s">
        <v>400</v>
      </c>
      <c r="C392">
        <v>1</v>
      </c>
      <c r="D392">
        <v>6.0000000000000001E-3</v>
      </c>
      <c r="E392">
        <v>6.422388864047698</v>
      </c>
      <c r="F392">
        <v>646.56664212924545</v>
      </c>
      <c r="G392">
        <v>0.42399999999999999</v>
      </c>
      <c r="H392">
        <v>6.6E-3</v>
      </c>
      <c r="I392">
        <v>252.399</v>
      </c>
    </row>
    <row r="393" spans="1:9" x14ac:dyDescent="0.3">
      <c r="A393" t="s">
        <v>9</v>
      </c>
      <c r="B393" t="s">
        <v>401</v>
      </c>
      <c r="C393">
        <v>1</v>
      </c>
      <c r="D393">
        <v>5.1000000000000004E-3</v>
      </c>
      <c r="E393">
        <v>6.362603783301596</v>
      </c>
      <c r="F393">
        <v>640.99467260370875</v>
      </c>
      <c r="G393">
        <v>0.42399999999999999</v>
      </c>
      <c r="H393">
        <v>5.7000000000000002E-3</v>
      </c>
      <c r="I393">
        <v>252.59809999999999</v>
      </c>
    </row>
    <row r="394" spans="1:9" x14ac:dyDescent="0.3">
      <c r="A394" t="s">
        <v>9</v>
      </c>
      <c r="B394" t="s">
        <v>402</v>
      </c>
      <c r="C394">
        <v>1</v>
      </c>
      <c r="D394">
        <v>3.8E-3</v>
      </c>
      <c r="E394">
        <v>6.3061884077701356</v>
      </c>
      <c r="F394">
        <v>635.73675960417665</v>
      </c>
      <c r="G394">
        <v>0.42399999999999999</v>
      </c>
      <c r="H394">
        <v>4.7999999999999996E-3</v>
      </c>
      <c r="I394">
        <v>252.7989</v>
      </c>
    </row>
    <row r="395" spans="1:9" x14ac:dyDescent="0.3">
      <c r="A395" t="s">
        <v>9</v>
      </c>
      <c r="B395" t="s">
        <v>403</v>
      </c>
      <c r="C395">
        <v>1</v>
      </c>
      <c r="D395">
        <v>3.2000000000000002E-3</v>
      </c>
      <c r="E395">
        <v>6.2544985910941167</v>
      </c>
      <c r="F395">
        <v>630.91926868997166</v>
      </c>
      <c r="G395">
        <v>0.42399999999999999</v>
      </c>
      <c r="H395">
        <v>4.0000000000000001E-3</v>
      </c>
      <c r="I395">
        <v>252.9974</v>
      </c>
    </row>
    <row r="396" spans="1:9" x14ac:dyDescent="0.3">
      <c r="A396" t="s">
        <v>9</v>
      </c>
      <c r="B396" t="s">
        <v>404</v>
      </c>
      <c r="C396">
        <v>1</v>
      </c>
      <c r="D396">
        <v>2.3999999999999998E-3</v>
      </c>
      <c r="E396">
        <v>6.2065648527103798</v>
      </c>
      <c r="F396">
        <v>626.45184427260745</v>
      </c>
      <c r="G396">
        <v>0.42399999999999999</v>
      </c>
      <c r="H396">
        <v>3.3E-3</v>
      </c>
      <c r="I396">
        <v>253.19810000000001</v>
      </c>
    </row>
    <row r="397" spans="1:9" x14ac:dyDescent="0.3">
      <c r="A397" t="s">
        <v>9</v>
      </c>
      <c r="B397" t="s">
        <v>405</v>
      </c>
      <c r="C397">
        <v>1</v>
      </c>
      <c r="D397">
        <v>1.9E-3</v>
      </c>
      <c r="E397">
        <v>6.1630738573339858</v>
      </c>
      <c r="F397">
        <v>622.39848350352747</v>
      </c>
      <c r="G397">
        <v>0.42399999999999999</v>
      </c>
      <c r="H397">
        <v>2.5999999999999999E-3</v>
      </c>
      <c r="I397">
        <v>253.39920000000001</v>
      </c>
    </row>
    <row r="398" spans="1:9" x14ac:dyDescent="0.3">
      <c r="A398" t="s">
        <v>9</v>
      </c>
      <c r="B398" t="s">
        <v>406</v>
      </c>
      <c r="C398">
        <v>1</v>
      </c>
      <c r="D398">
        <v>1.1000000000000001E-3</v>
      </c>
      <c r="E398">
        <v>6.124668316650701</v>
      </c>
      <c r="F398">
        <v>618.81908711184531</v>
      </c>
      <c r="G398">
        <v>0.42399999999999999</v>
      </c>
      <c r="H398">
        <v>2E-3</v>
      </c>
      <c r="I398">
        <v>253.59829999999999</v>
      </c>
    </row>
    <row r="399" spans="1:9" x14ac:dyDescent="0.3">
      <c r="A399" t="s">
        <v>9</v>
      </c>
      <c r="B399" t="s">
        <v>407</v>
      </c>
      <c r="C399">
        <v>1</v>
      </c>
      <c r="D399">
        <v>4.0000000000000002E-4</v>
      </c>
      <c r="E399">
        <v>6.0909997285509334</v>
      </c>
      <c r="F399">
        <v>615.68117470094705</v>
      </c>
      <c r="G399">
        <v>0.42399999999999999</v>
      </c>
      <c r="H399">
        <v>1.5E-3</v>
      </c>
      <c r="I399">
        <v>253.79769999999999</v>
      </c>
    </row>
    <row r="400" spans="1:9" x14ac:dyDescent="0.3">
      <c r="A400" t="s">
        <v>9</v>
      </c>
      <c r="B400" t="s">
        <v>408</v>
      </c>
      <c r="C400">
        <v>1</v>
      </c>
      <c r="D400">
        <v>2.9999999999999997E-4</v>
      </c>
      <c r="E400">
        <v>6.0621766375544466</v>
      </c>
      <c r="F400">
        <v>612.9948626200744</v>
      </c>
      <c r="G400">
        <v>0.42399999999999999</v>
      </c>
      <c r="H400">
        <v>1E-3</v>
      </c>
      <c r="I400">
        <v>253.99780000000001</v>
      </c>
    </row>
    <row r="401" spans="1:9" x14ac:dyDescent="0.3">
      <c r="A401" t="s">
        <v>9</v>
      </c>
      <c r="B401" t="s">
        <v>409</v>
      </c>
      <c r="C401">
        <v>1</v>
      </c>
      <c r="D401">
        <v>-2.9999999999999997E-4</v>
      </c>
      <c r="E401">
        <v>6.0383835328524738</v>
      </c>
      <c r="F401">
        <v>610.77734526185054</v>
      </c>
      <c r="G401">
        <v>0.42399999999999999</v>
      </c>
      <c r="H401">
        <v>6.9999999999999999E-4</v>
      </c>
      <c r="I401">
        <v>254.19820000000001</v>
      </c>
    </row>
    <row r="402" spans="1:9" x14ac:dyDescent="0.3">
      <c r="A402" t="s">
        <v>9</v>
      </c>
      <c r="B402" t="s">
        <v>410</v>
      </c>
      <c r="C402">
        <v>1</v>
      </c>
      <c r="D402">
        <v>-4.0000000000000002E-4</v>
      </c>
      <c r="E402">
        <v>6.0198607410132263</v>
      </c>
      <c r="F402">
        <v>609.05102106243271</v>
      </c>
      <c r="G402">
        <v>0.42399999999999999</v>
      </c>
      <c r="H402">
        <v>4.0000000000000002E-4</v>
      </c>
      <c r="I402">
        <v>254.39760000000001</v>
      </c>
    </row>
    <row r="403" spans="1:9" x14ac:dyDescent="0.3">
      <c r="A403" t="s">
        <v>9</v>
      </c>
      <c r="B403" t="s">
        <v>411</v>
      </c>
      <c r="C403">
        <v>1</v>
      </c>
      <c r="D403">
        <v>-1E-3</v>
      </c>
      <c r="E403">
        <v>6.0063913027478142</v>
      </c>
      <c r="F403">
        <v>607.7956694160963</v>
      </c>
      <c r="G403">
        <v>0.42399999999999999</v>
      </c>
      <c r="H403">
        <v>2.0000000000000001E-4</v>
      </c>
      <c r="I403">
        <v>254.6</v>
      </c>
    </row>
    <row r="404" spans="1:9" x14ac:dyDescent="0.3">
      <c r="A404" t="s">
        <v>9</v>
      </c>
      <c r="B404" t="s">
        <v>412</v>
      </c>
      <c r="C404">
        <v>1</v>
      </c>
      <c r="D404">
        <v>-1E-3</v>
      </c>
      <c r="E404">
        <v>5.9984022687704543</v>
      </c>
      <c r="F404">
        <v>607.05109144940639</v>
      </c>
      <c r="G404">
        <v>0.42399999999999999</v>
      </c>
      <c r="H404">
        <v>0</v>
      </c>
      <c r="I404">
        <v>254.79990000000001</v>
      </c>
    </row>
    <row r="405" spans="1:9" x14ac:dyDescent="0.3">
      <c r="A405" t="s">
        <v>9</v>
      </c>
      <c r="B405" t="s">
        <v>413</v>
      </c>
      <c r="C405">
        <v>1</v>
      </c>
      <c r="D405">
        <v>-1E-3</v>
      </c>
      <c r="E405">
        <v>5.9957334838115024</v>
      </c>
      <c r="F405">
        <v>606.80236069123202</v>
      </c>
      <c r="G405">
        <v>0.42399999999999999</v>
      </c>
      <c r="H405">
        <v>0</v>
      </c>
      <c r="I405">
        <v>254.99950000000001</v>
      </c>
    </row>
    <row r="406" spans="1:9" x14ac:dyDescent="0.3">
      <c r="A406" t="s">
        <v>9</v>
      </c>
      <c r="B406" t="s">
        <v>414</v>
      </c>
      <c r="C406">
        <v>1</v>
      </c>
      <c r="D406">
        <v>-1.6000000000000001E-3</v>
      </c>
      <c r="E406">
        <v>5.9983606999091696</v>
      </c>
      <c r="F406">
        <v>709.24443042138023</v>
      </c>
      <c r="G406">
        <v>0.42399999999999999</v>
      </c>
      <c r="H406">
        <v>0</v>
      </c>
      <c r="I406">
        <v>255.1985</v>
      </c>
    </row>
    <row r="407" spans="1:9" x14ac:dyDescent="0.3">
      <c r="A407" t="s">
        <v>9</v>
      </c>
      <c r="B407" t="s">
        <v>415</v>
      </c>
      <c r="C407">
        <v>1</v>
      </c>
      <c r="D407">
        <v>-1E-3</v>
      </c>
      <c r="E407">
        <v>6.0063764827919046</v>
      </c>
      <c r="F407">
        <v>710.00512821695179</v>
      </c>
      <c r="G407">
        <v>0.42399999999999999</v>
      </c>
      <c r="H407">
        <v>2.0000000000000001E-4</v>
      </c>
      <c r="I407">
        <v>255.3997</v>
      </c>
    </row>
    <row r="408" spans="1:9" x14ac:dyDescent="0.3">
      <c r="A408" t="s">
        <v>9</v>
      </c>
      <c r="B408" t="s">
        <v>416</v>
      </c>
      <c r="C408">
        <v>1</v>
      </c>
      <c r="D408">
        <v>-5.0000000000000001E-4</v>
      </c>
      <c r="E408">
        <v>6.0195890958842888</v>
      </c>
      <c r="F408">
        <v>711.25900519941899</v>
      </c>
      <c r="G408">
        <v>0.42399999999999999</v>
      </c>
      <c r="H408">
        <v>4.0000000000000002E-4</v>
      </c>
      <c r="I408">
        <v>255.59889999999999</v>
      </c>
    </row>
    <row r="409" spans="1:9" x14ac:dyDescent="0.3">
      <c r="A409" t="s">
        <v>9</v>
      </c>
      <c r="B409" t="s">
        <v>417</v>
      </c>
      <c r="C409">
        <v>1</v>
      </c>
      <c r="D409">
        <v>-2.0000000000000001E-4</v>
      </c>
      <c r="E409">
        <v>6.0382052473637158</v>
      </c>
      <c r="F409">
        <v>713.02567797481663</v>
      </c>
      <c r="G409">
        <v>0.42399999999999999</v>
      </c>
      <c r="H409">
        <v>6.9999999999999999E-4</v>
      </c>
      <c r="I409">
        <v>255.80009999999999</v>
      </c>
    </row>
    <row r="410" spans="1:9" x14ac:dyDescent="0.3">
      <c r="A410" t="s">
        <v>9</v>
      </c>
      <c r="B410" t="s">
        <v>418</v>
      </c>
      <c r="C410">
        <v>1</v>
      </c>
      <c r="D410">
        <v>2.0000000000000001E-4</v>
      </c>
      <c r="E410">
        <v>6.0617607056591343</v>
      </c>
      <c r="F410">
        <v>715.26109096705193</v>
      </c>
      <c r="G410">
        <v>0.42399999999999999</v>
      </c>
      <c r="H410">
        <v>1E-3</v>
      </c>
      <c r="I410">
        <v>255.9991</v>
      </c>
    </row>
    <row r="411" spans="1:9" x14ac:dyDescent="0.3">
      <c r="A411" t="s">
        <v>9</v>
      </c>
      <c r="B411" t="s">
        <v>419</v>
      </c>
      <c r="C411">
        <v>1</v>
      </c>
      <c r="D411">
        <v>5.9999999999999995E-4</v>
      </c>
      <c r="E411">
        <v>6.0904473152011827</v>
      </c>
      <c r="F411">
        <v>717.98345021259229</v>
      </c>
      <c r="G411">
        <v>0.42399999999999999</v>
      </c>
      <c r="H411">
        <v>1.5E-3</v>
      </c>
      <c r="I411">
        <v>256.19869999999997</v>
      </c>
    </row>
    <row r="412" spans="1:9" x14ac:dyDescent="0.3">
      <c r="A412" t="s">
        <v>9</v>
      </c>
      <c r="B412" t="s">
        <v>420</v>
      </c>
      <c r="C412">
        <v>1</v>
      </c>
      <c r="D412">
        <v>1.4E-3</v>
      </c>
      <c r="E412">
        <v>6.124060515996506</v>
      </c>
      <c r="F412">
        <v>721.17334296806848</v>
      </c>
      <c r="G412">
        <v>0.42399999999999999</v>
      </c>
      <c r="H412">
        <v>2E-3</v>
      </c>
      <c r="I412">
        <v>256.39830000000001</v>
      </c>
    </row>
    <row r="413" spans="1:9" x14ac:dyDescent="0.3">
      <c r="A413" t="s">
        <v>9</v>
      </c>
      <c r="B413" t="s">
        <v>421</v>
      </c>
      <c r="C413">
        <v>1</v>
      </c>
      <c r="D413">
        <v>1.9E-3</v>
      </c>
      <c r="E413">
        <v>6.1626990807197952</v>
      </c>
      <c r="F413">
        <v>724.84014276030859</v>
      </c>
      <c r="G413">
        <v>0.42399999999999999</v>
      </c>
      <c r="H413">
        <v>2.5999999999999999E-3</v>
      </c>
      <c r="I413">
        <v>256.59890000000001</v>
      </c>
    </row>
    <row r="414" spans="1:9" x14ac:dyDescent="0.3">
      <c r="A414" t="s">
        <v>9</v>
      </c>
      <c r="B414" t="s">
        <v>422</v>
      </c>
      <c r="C414">
        <v>1</v>
      </c>
      <c r="D414">
        <v>2.3E-3</v>
      </c>
      <c r="E414">
        <v>6.2056397711943383</v>
      </c>
      <c r="F414">
        <v>728.91521428634269</v>
      </c>
      <c r="G414">
        <v>0.42399999999999999</v>
      </c>
      <c r="H414">
        <v>3.3E-3</v>
      </c>
      <c r="I414">
        <v>256.7978</v>
      </c>
    </row>
    <row r="415" spans="1:9" x14ac:dyDescent="0.3">
      <c r="A415" t="s">
        <v>9</v>
      </c>
      <c r="B415" t="s">
        <v>423</v>
      </c>
      <c r="C415">
        <v>1</v>
      </c>
      <c r="D415">
        <v>3.3999999999999998E-3</v>
      </c>
      <c r="E415">
        <v>6.2535440318545534</v>
      </c>
      <c r="F415">
        <v>733.46132862299714</v>
      </c>
      <c r="G415">
        <v>0.42399999999999999</v>
      </c>
      <c r="H415">
        <v>4.0000000000000001E-3</v>
      </c>
      <c r="I415">
        <v>256.99869999999999</v>
      </c>
    </row>
    <row r="416" spans="1:9" x14ac:dyDescent="0.3">
      <c r="A416" t="s">
        <v>9</v>
      </c>
      <c r="B416" t="s">
        <v>424</v>
      </c>
      <c r="C416">
        <v>1</v>
      </c>
      <c r="D416">
        <v>3.8E-3</v>
      </c>
      <c r="E416">
        <v>6.3056858673226301</v>
      </c>
      <c r="F416">
        <v>738.40958880891765</v>
      </c>
      <c r="G416">
        <v>0.42399999999999999</v>
      </c>
      <c r="H416">
        <v>4.7999999999999996E-3</v>
      </c>
      <c r="I416">
        <v>257.19920000000002</v>
      </c>
    </row>
    <row r="417" spans="1:9" x14ac:dyDescent="0.3">
      <c r="A417" t="s">
        <v>9</v>
      </c>
      <c r="B417" t="s">
        <v>425</v>
      </c>
      <c r="C417">
        <v>1</v>
      </c>
      <c r="D417">
        <v>4.4999999999999997E-3</v>
      </c>
      <c r="E417">
        <v>6.3620780499271934</v>
      </c>
      <c r="F417">
        <v>743.76120693809071</v>
      </c>
      <c r="G417">
        <v>0.42399999999999999</v>
      </c>
      <c r="H417">
        <v>5.7000000000000002E-3</v>
      </c>
      <c r="I417">
        <v>257.40010000000001</v>
      </c>
    </row>
    <row r="418" spans="1:9" x14ac:dyDescent="0.3">
      <c r="A418" t="s">
        <v>9</v>
      </c>
      <c r="B418" t="s">
        <v>426</v>
      </c>
      <c r="C418">
        <v>1</v>
      </c>
      <c r="D418">
        <v>5.7999999999999996E-3</v>
      </c>
      <c r="E418">
        <v>6.4219043265014921</v>
      </c>
      <c r="F418">
        <v>749.43872058499164</v>
      </c>
      <c r="G418">
        <v>0.42399999999999999</v>
      </c>
      <c r="H418">
        <v>6.6E-3</v>
      </c>
      <c r="I418">
        <v>257.5994</v>
      </c>
    </row>
    <row r="419" spans="1:9" x14ac:dyDescent="0.3">
      <c r="A419" t="s">
        <v>9</v>
      </c>
      <c r="B419" t="s">
        <v>427</v>
      </c>
      <c r="C419">
        <v>1</v>
      </c>
      <c r="D419">
        <v>6.4999999999999997E-3</v>
      </c>
      <c r="E419">
        <v>6.4849607047112201</v>
      </c>
      <c r="F419">
        <v>755.42277087709488</v>
      </c>
      <c r="G419">
        <v>0.42399999999999999</v>
      </c>
      <c r="H419">
        <v>7.6E-3</v>
      </c>
      <c r="I419">
        <v>257.79750000000001</v>
      </c>
    </row>
    <row r="420" spans="1:9" x14ac:dyDescent="0.3">
      <c r="A420" t="s">
        <v>9</v>
      </c>
      <c r="B420" t="s">
        <v>428</v>
      </c>
      <c r="C420">
        <v>1</v>
      </c>
      <c r="D420">
        <v>7.9000000000000008E-3</v>
      </c>
      <c r="E420">
        <v>6.5537577377989233</v>
      </c>
      <c r="F420">
        <v>761.95160931711791</v>
      </c>
      <c r="G420">
        <v>0.42399999999999999</v>
      </c>
      <c r="H420">
        <v>8.6999999999999994E-3</v>
      </c>
      <c r="I420">
        <v>258.00259999999997</v>
      </c>
    </row>
    <row r="421" spans="1:9" x14ac:dyDescent="0.3">
      <c r="A421" t="s">
        <v>9</v>
      </c>
      <c r="B421" t="s">
        <v>429</v>
      </c>
      <c r="C421">
        <v>1</v>
      </c>
      <c r="D421">
        <v>8.6E-3</v>
      </c>
      <c r="E421">
        <v>6.6225718006581236</v>
      </c>
      <c r="F421">
        <v>768.48206388245592</v>
      </c>
      <c r="G421">
        <v>0.42399999999999999</v>
      </c>
      <c r="H421">
        <v>9.7000000000000003E-3</v>
      </c>
      <c r="I421">
        <v>258.19850000000002</v>
      </c>
    </row>
    <row r="422" spans="1:9" x14ac:dyDescent="0.3">
      <c r="A422" t="s">
        <v>9</v>
      </c>
      <c r="B422" t="s">
        <v>430</v>
      </c>
      <c r="C422">
        <v>1</v>
      </c>
      <c r="D422">
        <v>0.01</v>
      </c>
      <c r="E422">
        <v>6.6964080242263657</v>
      </c>
      <c r="F422">
        <v>775.4891214990821</v>
      </c>
      <c r="G422">
        <v>0.42399999999999999</v>
      </c>
      <c r="H422">
        <v>1.09E-2</v>
      </c>
      <c r="I422">
        <v>258.4006</v>
      </c>
    </row>
    <row r="423" spans="1:9" x14ac:dyDescent="0.3">
      <c r="A423" t="s">
        <v>9</v>
      </c>
      <c r="B423" t="s">
        <v>431</v>
      </c>
      <c r="C423">
        <v>1</v>
      </c>
      <c r="D423">
        <v>1.1599999999999999E-2</v>
      </c>
      <c r="E423">
        <v>6.77096355290504</v>
      </c>
      <c r="F423">
        <v>782.56444117068838</v>
      </c>
      <c r="G423">
        <v>0.42399999999999999</v>
      </c>
      <c r="H423">
        <v>1.2E-2</v>
      </c>
      <c r="I423">
        <v>258.59769999999997</v>
      </c>
    </row>
    <row r="424" spans="1:9" x14ac:dyDescent="0.3">
      <c r="A424" t="s">
        <v>9</v>
      </c>
      <c r="B424" t="s">
        <v>432</v>
      </c>
      <c r="C424">
        <v>1</v>
      </c>
      <c r="D424">
        <v>1.2200000000000001E-2</v>
      </c>
      <c r="E424">
        <v>6.8490892515371398</v>
      </c>
      <c r="F424">
        <v>789.97856997087456</v>
      </c>
      <c r="G424">
        <v>0.42399999999999999</v>
      </c>
      <c r="H424">
        <v>1.3299999999999999E-2</v>
      </c>
      <c r="I424">
        <v>258.79829999999998</v>
      </c>
    </row>
    <row r="425" spans="1:9" x14ac:dyDescent="0.3">
      <c r="A425" t="s">
        <v>9</v>
      </c>
      <c r="B425" t="s">
        <v>433</v>
      </c>
      <c r="C425">
        <v>1</v>
      </c>
      <c r="D425">
        <v>1.3299999999999999E-2</v>
      </c>
      <c r="E425">
        <v>6.9299668801492356</v>
      </c>
      <c r="F425">
        <v>797.65385692616258</v>
      </c>
      <c r="G425">
        <v>0.42399999999999999</v>
      </c>
      <c r="H425">
        <v>1.4500000000000001E-2</v>
      </c>
      <c r="I425">
        <v>259.00080000000003</v>
      </c>
    </row>
    <row r="426" spans="1:9" x14ac:dyDescent="0.3">
      <c r="A426" t="s">
        <v>9</v>
      </c>
      <c r="B426" t="s">
        <v>434</v>
      </c>
      <c r="C426">
        <v>1</v>
      </c>
      <c r="D426">
        <v>1.49E-2</v>
      </c>
      <c r="E426">
        <v>7.0107548997255904</v>
      </c>
      <c r="F426">
        <v>805.32063998395859</v>
      </c>
      <c r="G426">
        <v>0.42399999999999999</v>
      </c>
      <c r="H426">
        <v>1.5800000000000002E-2</v>
      </c>
      <c r="I426">
        <v>259.19889999999998</v>
      </c>
    </row>
    <row r="427" spans="1:9" x14ac:dyDescent="0.3">
      <c r="A427" t="s">
        <v>9</v>
      </c>
      <c r="B427" t="s">
        <v>435</v>
      </c>
      <c r="C427">
        <v>1</v>
      </c>
      <c r="D427">
        <v>1.5900000000000001E-2</v>
      </c>
      <c r="E427">
        <v>7.0934145722837751</v>
      </c>
      <c r="F427">
        <v>813.16504290973035</v>
      </c>
      <c r="G427">
        <v>0.42399999999999999</v>
      </c>
      <c r="H427">
        <v>1.7100000000000001E-2</v>
      </c>
      <c r="I427">
        <v>259.39850000000001</v>
      </c>
    </row>
    <row r="428" spans="1:9" x14ac:dyDescent="0.3">
      <c r="A428" t="s">
        <v>9</v>
      </c>
      <c r="B428" t="s">
        <v>436</v>
      </c>
      <c r="C428">
        <v>1</v>
      </c>
      <c r="D428">
        <v>1.7500000000000002E-2</v>
      </c>
      <c r="E428">
        <v>7.1780630788705251</v>
      </c>
      <c r="F428">
        <v>821.19818618481293</v>
      </c>
      <c r="G428">
        <v>0.42399999999999999</v>
      </c>
      <c r="H428">
        <v>1.84E-2</v>
      </c>
      <c r="I428">
        <v>259.60039999999998</v>
      </c>
    </row>
    <row r="429" spans="1:9" x14ac:dyDescent="0.3">
      <c r="A429" t="s">
        <v>9</v>
      </c>
      <c r="B429" t="s">
        <v>437</v>
      </c>
      <c r="C429">
        <v>1</v>
      </c>
      <c r="D429">
        <v>1.8700000000000001E-2</v>
      </c>
      <c r="E429">
        <v>7.262579401992789</v>
      </c>
      <c r="F429">
        <v>829.21878524911574</v>
      </c>
      <c r="G429">
        <v>0.42399999999999999</v>
      </c>
      <c r="H429">
        <v>1.9699999999999999E-2</v>
      </c>
      <c r="I429">
        <v>259.80029999999999</v>
      </c>
    </row>
    <row r="430" spans="1:9" x14ac:dyDescent="0.3">
      <c r="A430" t="s">
        <v>9</v>
      </c>
      <c r="B430" t="s">
        <v>438</v>
      </c>
      <c r="C430">
        <v>1</v>
      </c>
      <c r="D430">
        <v>1.9900000000000001E-2</v>
      </c>
      <c r="E430">
        <v>7.3473167066737837</v>
      </c>
      <c r="F430">
        <v>837.26035546334208</v>
      </c>
      <c r="G430">
        <v>0.42399999999999999</v>
      </c>
      <c r="H430">
        <v>2.1000000000000001E-2</v>
      </c>
      <c r="I430">
        <v>260</v>
      </c>
    </row>
    <row r="431" spans="1:9" x14ac:dyDescent="0.3">
      <c r="A431" t="s">
        <v>9</v>
      </c>
      <c r="B431" t="s">
        <v>439</v>
      </c>
      <c r="C431">
        <v>1</v>
      </c>
      <c r="D431">
        <v>2.1600000000000001E-2</v>
      </c>
      <c r="E431">
        <v>7.4316319163040632</v>
      </c>
      <c r="F431">
        <v>845.26186885725565</v>
      </c>
      <c r="G431">
        <v>0.42399999999999999</v>
      </c>
      <c r="H431">
        <v>2.23E-2</v>
      </c>
      <c r="I431">
        <v>260.19869999999997</v>
      </c>
    </row>
    <row r="432" spans="1:9" x14ac:dyDescent="0.3">
      <c r="A432" t="s">
        <v>9</v>
      </c>
      <c r="B432" t="s">
        <v>440</v>
      </c>
      <c r="C432">
        <v>1</v>
      </c>
      <c r="D432">
        <v>2.3E-2</v>
      </c>
      <c r="E432">
        <v>7.516324619202563</v>
      </c>
      <c r="F432">
        <v>853.29920636232328</v>
      </c>
      <c r="G432">
        <v>0.42399999999999999</v>
      </c>
      <c r="H432">
        <v>2.3599999999999999E-2</v>
      </c>
      <c r="I432">
        <v>260.39909999999998</v>
      </c>
    </row>
    <row r="433" spans="1:9" x14ac:dyDescent="0.3">
      <c r="A433" t="s">
        <v>9</v>
      </c>
      <c r="B433" t="s">
        <v>441</v>
      </c>
      <c r="C433">
        <v>1</v>
      </c>
      <c r="D433">
        <v>2.47E-2</v>
      </c>
      <c r="E433">
        <v>7.6005599510951001</v>
      </c>
      <c r="F433">
        <v>861.29313935892503</v>
      </c>
      <c r="G433">
        <v>0.42399999999999999</v>
      </c>
      <c r="H433">
        <v>2.4899999999999999E-2</v>
      </c>
      <c r="I433">
        <v>260.60000000000002</v>
      </c>
    </row>
    <row r="434" spans="1:9" x14ac:dyDescent="0.3">
      <c r="A434" t="s">
        <v>9</v>
      </c>
      <c r="B434" t="s">
        <v>442</v>
      </c>
      <c r="C434">
        <v>1</v>
      </c>
      <c r="D434">
        <v>2.5899999999999999E-2</v>
      </c>
      <c r="E434">
        <v>7.683447903685515</v>
      </c>
      <c r="F434">
        <v>869.15920605975543</v>
      </c>
      <c r="G434">
        <v>0.42399999999999999</v>
      </c>
      <c r="H434">
        <v>2.6200000000000001E-2</v>
      </c>
      <c r="I434">
        <v>260.8</v>
      </c>
    </row>
    <row r="435" spans="1:9" x14ac:dyDescent="0.3">
      <c r="A435" t="s">
        <v>9</v>
      </c>
      <c r="B435" t="s">
        <v>443</v>
      </c>
      <c r="C435">
        <v>1</v>
      </c>
      <c r="D435">
        <v>2.7E-2</v>
      </c>
      <c r="E435">
        <v>7.7647634407075694</v>
      </c>
      <c r="F435">
        <v>876.87605052314836</v>
      </c>
      <c r="G435">
        <v>0.42399999999999999</v>
      </c>
      <c r="H435">
        <v>2.75E-2</v>
      </c>
      <c r="I435">
        <v>260.99950000000001</v>
      </c>
    </row>
    <row r="436" spans="1:9" x14ac:dyDescent="0.3">
      <c r="A436" t="s">
        <v>9</v>
      </c>
      <c r="B436" t="s">
        <v>444</v>
      </c>
      <c r="C436">
        <v>1</v>
      </c>
      <c r="D436">
        <v>2.8299999999999999E-2</v>
      </c>
      <c r="E436">
        <v>7.8442385459955464</v>
      </c>
      <c r="F436">
        <v>884.41823801497742</v>
      </c>
      <c r="G436">
        <v>0.42399999999999999</v>
      </c>
      <c r="H436">
        <v>2.87E-2</v>
      </c>
      <c r="I436">
        <v>261.19850000000002</v>
      </c>
    </row>
    <row r="437" spans="1:9" x14ac:dyDescent="0.3">
      <c r="A437" t="s">
        <v>9</v>
      </c>
      <c r="B437" t="s">
        <v>445</v>
      </c>
      <c r="C437">
        <v>1</v>
      </c>
      <c r="D437">
        <v>2.93E-2</v>
      </c>
      <c r="E437">
        <v>7.9229396076218421</v>
      </c>
      <c r="F437">
        <v>891.88696876331289</v>
      </c>
      <c r="G437">
        <v>0.42399999999999999</v>
      </c>
      <c r="H437">
        <v>2.9899999999999999E-2</v>
      </c>
      <c r="I437">
        <v>261.40039999999999</v>
      </c>
    </row>
    <row r="438" spans="1:9" x14ac:dyDescent="0.3">
      <c r="A438" t="s">
        <v>9</v>
      </c>
      <c r="B438" t="s">
        <v>446</v>
      </c>
      <c r="C438">
        <v>1</v>
      </c>
      <c r="D438">
        <v>3.0800000000000001E-2</v>
      </c>
      <c r="E438">
        <v>7.9981223995507094</v>
      </c>
      <c r="F438">
        <v>899.02181571736241</v>
      </c>
      <c r="G438">
        <v>0.42399999999999999</v>
      </c>
      <c r="H438">
        <v>3.1099999999999999E-2</v>
      </c>
      <c r="I438">
        <v>261.5992</v>
      </c>
    </row>
    <row r="439" spans="1:9" x14ac:dyDescent="0.3">
      <c r="A439" t="s">
        <v>9</v>
      </c>
      <c r="B439" t="s">
        <v>447</v>
      </c>
      <c r="C439">
        <v>1</v>
      </c>
      <c r="D439">
        <v>3.1699999999999999E-2</v>
      </c>
      <c r="E439">
        <v>8.0716220823964822</v>
      </c>
      <c r="F439">
        <v>905.99693561942615</v>
      </c>
      <c r="G439">
        <v>0.42399999999999999</v>
      </c>
      <c r="H439">
        <v>3.2300000000000002E-2</v>
      </c>
      <c r="I439">
        <v>261.80029999999999</v>
      </c>
    </row>
    <row r="440" spans="1:9" x14ac:dyDescent="0.3">
      <c r="A440" t="s">
        <v>9</v>
      </c>
      <c r="B440" t="s">
        <v>448</v>
      </c>
      <c r="C440">
        <v>1</v>
      </c>
      <c r="D440">
        <v>3.32E-2</v>
      </c>
      <c r="E440">
        <v>8.1416047119570756</v>
      </c>
      <c r="F440">
        <v>912.63828716472653</v>
      </c>
      <c r="G440">
        <v>0.42399999999999999</v>
      </c>
      <c r="H440">
        <v>3.3300000000000003E-2</v>
      </c>
      <c r="I440">
        <v>261.99959999999999</v>
      </c>
    </row>
    <row r="441" spans="1:9" x14ac:dyDescent="0.3">
      <c r="A441" t="s">
        <v>9</v>
      </c>
      <c r="B441" t="s">
        <v>449</v>
      </c>
      <c r="C441">
        <v>1</v>
      </c>
      <c r="D441">
        <v>3.4099999999999998E-2</v>
      </c>
      <c r="E441">
        <v>8.2082523445992237</v>
      </c>
      <c r="F441">
        <v>918.96314750246643</v>
      </c>
      <c r="G441">
        <v>0.42399999999999999</v>
      </c>
      <c r="H441">
        <v>3.44E-2</v>
      </c>
      <c r="I441">
        <v>262.19819999999999</v>
      </c>
    </row>
    <row r="442" spans="1:9" x14ac:dyDescent="0.3">
      <c r="A442" t="s">
        <v>9</v>
      </c>
      <c r="B442" t="s">
        <v>450</v>
      </c>
      <c r="C442">
        <v>1</v>
      </c>
      <c r="D442">
        <v>3.4700000000000002E-2</v>
      </c>
      <c r="E442">
        <v>8.2724732348028454</v>
      </c>
      <c r="F442">
        <v>925.05770998279002</v>
      </c>
      <c r="G442">
        <v>0.42399999999999999</v>
      </c>
      <c r="H442">
        <v>3.5400000000000001E-2</v>
      </c>
      <c r="I442">
        <v>262.39980000000003</v>
      </c>
    </row>
    <row r="443" spans="1:9" x14ac:dyDescent="0.3">
      <c r="A443" t="s">
        <v>9</v>
      </c>
      <c r="B443" t="s">
        <v>451</v>
      </c>
      <c r="C443">
        <v>1</v>
      </c>
      <c r="D443">
        <v>3.61E-2</v>
      </c>
      <c r="E443">
        <v>8.3328502622968195</v>
      </c>
      <c r="F443">
        <v>930.78748989196822</v>
      </c>
      <c r="G443">
        <v>0.42399999999999999</v>
      </c>
      <c r="H443">
        <v>3.6299999999999999E-2</v>
      </c>
      <c r="I443">
        <v>262.601</v>
      </c>
    </row>
    <row r="444" spans="1:9" x14ac:dyDescent="0.3">
      <c r="A444" t="s">
        <v>9</v>
      </c>
      <c r="B444" t="s">
        <v>452</v>
      </c>
      <c r="C444">
        <v>1</v>
      </c>
      <c r="D444">
        <v>3.7100000000000001E-2</v>
      </c>
      <c r="E444">
        <v>8.3888583424599439</v>
      </c>
      <c r="F444">
        <v>936.10265669944874</v>
      </c>
      <c r="G444">
        <v>0.42399999999999999</v>
      </c>
      <c r="H444">
        <v>3.7199999999999997E-2</v>
      </c>
      <c r="I444">
        <v>262.80059999999997</v>
      </c>
    </row>
    <row r="445" spans="1:9" x14ac:dyDescent="0.3">
      <c r="A445" t="s">
        <v>9</v>
      </c>
      <c r="B445" t="s">
        <v>453</v>
      </c>
      <c r="C445">
        <v>1</v>
      </c>
      <c r="D445">
        <v>3.7499999999999999E-2</v>
      </c>
      <c r="E445">
        <v>8.4414835801561257</v>
      </c>
      <c r="F445">
        <v>941.0967917568164</v>
      </c>
      <c r="G445">
        <v>0.42399999999999999</v>
      </c>
      <c r="H445">
        <v>3.7999999999999999E-2</v>
      </c>
      <c r="I445">
        <v>263.00299999999999</v>
      </c>
    </row>
    <row r="446" spans="1:9" x14ac:dyDescent="0.3">
      <c r="A446" t="s">
        <v>9</v>
      </c>
      <c r="B446" t="s">
        <v>454</v>
      </c>
      <c r="C446">
        <v>1</v>
      </c>
      <c r="D446">
        <v>3.7999999999999999E-2</v>
      </c>
      <c r="E446">
        <v>8.4879971572381177</v>
      </c>
      <c r="F446">
        <v>945.51093022189741</v>
      </c>
      <c r="G446">
        <v>0.42399999999999999</v>
      </c>
      <c r="H446">
        <v>3.8699999999999998E-2</v>
      </c>
      <c r="I446">
        <v>263.1979</v>
      </c>
    </row>
    <row r="447" spans="1:9" x14ac:dyDescent="0.3">
      <c r="A447" t="s">
        <v>9</v>
      </c>
      <c r="B447" t="s">
        <v>455</v>
      </c>
      <c r="C447">
        <v>1</v>
      </c>
      <c r="D447">
        <v>3.9199999999999999E-2</v>
      </c>
      <c r="E447">
        <v>8.5315325516616323</v>
      </c>
      <c r="F447">
        <v>949.64243915268901</v>
      </c>
      <c r="G447">
        <v>0.42399999999999999</v>
      </c>
      <c r="H447">
        <v>3.9399999999999998E-2</v>
      </c>
      <c r="I447">
        <v>263.39920000000001</v>
      </c>
    </row>
    <row r="448" spans="1:9" x14ac:dyDescent="0.3">
      <c r="A448" t="s">
        <v>9</v>
      </c>
      <c r="B448" t="s">
        <v>456</v>
      </c>
      <c r="C448">
        <v>1</v>
      </c>
      <c r="D448">
        <v>4.0300000000000002E-2</v>
      </c>
      <c r="E448">
        <v>8.5699951015323617</v>
      </c>
      <c r="F448">
        <v>953.29253513542119</v>
      </c>
      <c r="G448">
        <v>0.42399999999999999</v>
      </c>
      <c r="H448">
        <v>0.04</v>
      </c>
      <c r="I448">
        <v>263.59859999999998</v>
      </c>
    </row>
    <row r="449" spans="1:9" x14ac:dyDescent="0.3">
      <c r="A449" t="s">
        <v>9</v>
      </c>
      <c r="B449" t="s">
        <v>457</v>
      </c>
      <c r="C449">
        <v>1</v>
      </c>
      <c r="D449">
        <v>4.07E-2</v>
      </c>
      <c r="E449">
        <v>8.6037850064805177</v>
      </c>
      <c r="F449">
        <v>956.49919711500115</v>
      </c>
      <c r="G449">
        <v>0.42399999999999999</v>
      </c>
      <c r="H449">
        <v>4.0500000000000001E-2</v>
      </c>
      <c r="I449">
        <v>263.7989</v>
      </c>
    </row>
    <row r="450" spans="1:9" x14ac:dyDescent="0.3">
      <c r="A450" t="s">
        <v>9</v>
      </c>
      <c r="B450" t="s">
        <v>458</v>
      </c>
      <c r="C450">
        <v>1</v>
      </c>
      <c r="D450">
        <v>4.1300000000000003E-2</v>
      </c>
      <c r="E450">
        <v>8.6326910162453725</v>
      </c>
      <c r="F450">
        <v>959.2423774416859</v>
      </c>
      <c r="G450">
        <v>0.42399999999999999</v>
      </c>
      <c r="H450">
        <v>4.1000000000000002E-2</v>
      </c>
      <c r="I450">
        <v>263.99979999999999</v>
      </c>
    </row>
    <row r="451" spans="1:9" x14ac:dyDescent="0.3">
      <c r="A451" t="s">
        <v>9</v>
      </c>
      <c r="B451" t="s">
        <v>459</v>
      </c>
      <c r="C451">
        <v>1</v>
      </c>
      <c r="D451">
        <v>4.19E-2</v>
      </c>
      <c r="E451">
        <v>8.6564349778924505</v>
      </c>
      <c r="F451">
        <v>961.49567940199358</v>
      </c>
      <c r="G451">
        <v>0.42399999999999999</v>
      </c>
      <c r="H451">
        <v>4.1300000000000003E-2</v>
      </c>
      <c r="I451">
        <v>264.2002</v>
      </c>
    </row>
    <row r="452" spans="1:9" x14ac:dyDescent="0.3">
      <c r="A452" t="s">
        <v>9</v>
      </c>
      <c r="B452" t="s">
        <v>460</v>
      </c>
      <c r="C452">
        <v>1</v>
      </c>
      <c r="D452">
        <v>4.2000000000000003E-2</v>
      </c>
      <c r="E452">
        <v>8.6748052356902683</v>
      </c>
      <c r="F452">
        <v>963.23901686700651</v>
      </c>
      <c r="G452">
        <v>0.42399999999999999</v>
      </c>
      <c r="H452">
        <v>4.1599999999999998E-2</v>
      </c>
      <c r="I452">
        <v>264.39839999999998</v>
      </c>
    </row>
    <row r="453" spans="1:9" x14ac:dyDescent="0.3">
      <c r="A453" t="s">
        <v>9</v>
      </c>
      <c r="B453" t="s">
        <v>461</v>
      </c>
      <c r="C453">
        <v>1</v>
      </c>
      <c r="D453">
        <v>4.2200000000000001E-2</v>
      </c>
      <c r="E453">
        <v>8.6881614421940458</v>
      </c>
      <c r="F453">
        <v>964.50652086421496</v>
      </c>
      <c r="G453">
        <v>0.42399999999999999</v>
      </c>
      <c r="H453">
        <v>4.1799999999999997E-2</v>
      </c>
      <c r="I453">
        <v>264.59899999999999</v>
      </c>
    </row>
    <row r="454" spans="1:9" x14ac:dyDescent="0.3">
      <c r="A454" t="s">
        <v>9</v>
      </c>
      <c r="B454" t="s">
        <v>462</v>
      </c>
      <c r="C454">
        <v>1</v>
      </c>
      <c r="D454">
        <v>4.2200000000000001E-2</v>
      </c>
      <c r="E454">
        <v>8.6961642183860626</v>
      </c>
      <c r="F454">
        <v>965.2659843248374</v>
      </c>
      <c r="G454">
        <v>0.42399999999999999</v>
      </c>
      <c r="H454">
        <v>4.2000000000000003E-2</v>
      </c>
      <c r="I454">
        <v>264.79849999999999</v>
      </c>
    </row>
    <row r="455" spans="1:9" x14ac:dyDescent="0.3">
      <c r="A455" t="s">
        <v>9</v>
      </c>
      <c r="B455" t="s">
        <v>463</v>
      </c>
      <c r="C455">
        <v>1</v>
      </c>
      <c r="D455">
        <v>4.2299999999999997E-2</v>
      </c>
      <c r="E455">
        <v>8.6988719520543132</v>
      </c>
      <c r="F455">
        <v>965.52294824995442</v>
      </c>
      <c r="G455">
        <v>0.42399999999999999</v>
      </c>
      <c r="H455">
        <v>4.2000000000000003E-2</v>
      </c>
      <c r="I455">
        <v>265.00020000000001</v>
      </c>
    </row>
    <row r="456" spans="1:9" x14ac:dyDescent="0.3">
      <c r="A456" t="s">
        <v>9</v>
      </c>
      <c r="B456" t="s">
        <v>464</v>
      </c>
      <c r="C456">
        <v>1</v>
      </c>
      <c r="D456">
        <v>4.2200000000000001E-2</v>
      </c>
      <c r="E456">
        <v>8.6962189569373081</v>
      </c>
      <c r="F456">
        <v>858.48760678655708</v>
      </c>
      <c r="G456">
        <v>0.42399999999999999</v>
      </c>
      <c r="H456">
        <v>4.2000000000000003E-2</v>
      </c>
      <c r="I456">
        <v>265.1995</v>
      </c>
    </row>
    <row r="457" spans="1:9" x14ac:dyDescent="0.3">
      <c r="A457" t="s">
        <v>9</v>
      </c>
      <c r="B457" t="s">
        <v>465</v>
      </c>
      <c r="C457">
        <v>1</v>
      </c>
      <c r="D457">
        <v>4.1500000000000002E-2</v>
      </c>
      <c r="E457">
        <v>8.6882478074637888</v>
      </c>
      <c r="F457">
        <v>857.74469565562515</v>
      </c>
      <c r="G457">
        <v>0.42399999999999999</v>
      </c>
      <c r="H457">
        <v>4.1799999999999997E-2</v>
      </c>
      <c r="I457">
        <v>265.39940000000001</v>
      </c>
    </row>
    <row r="458" spans="1:9" x14ac:dyDescent="0.3">
      <c r="A458" t="s">
        <v>9</v>
      </c>
      <c r="B458" t="s">
        <v>466</v>
      </c>
      <c r="C458">
        <v>1</v>
      </c>
      <c r="D458">
        <v>4.0899999999999999E-2</v>
      </c>
      <c r="E458">
        <v>8.6749503942187527</v>
      </c>
      <c r="F458">
        <v>856.50537674118777</v>
      </c>
      <c r="G458">
        <v>0.42399999999999999</v>
      </c>
      <c r="H458">
        <v>4.1599999999999998E-2</v>
      </c>
      <c r="I458">
        <v>265.59980000000002</v>
      </c>
    </row>
    <row r="459" spans="1:9" x14ac:dyDescent="0.3">
      <c r="A459" t="s">
        <v>9</v>
      </c>
      <c r="B459" t="s">
        <v>467</v>
      </c>
      <c r="C459">
        <v>1</v>
      </c>
      <c r="D459">
        <v>4.1000000000000002E-2</v>
      </c>
      <c r="E459">
        <v>8.6565201267499425</v>
      </c>
      <c r="F459">
        <v>854.78767581309467</v>
      </c>
      <c r="G459">
        <v>0.42399999999999999</v>
      </c>
      <c r="H459">
        <v>4.1300000000000003E-2</v>
      </c>
      <c r="I459">
        <v>265.79899999999998</v>
      </c>
    </row>
    <row r="460" spans="1:9" x14ac:dyDescent="0.3">
      <c r="A460" t="s">
        <v>9</v>
      </c>
      <c r="B460" t="s">
        <v>468</v>
      </c>
      <c r="C460">
        <v>1</v>
      </c>
      <c r="D460">
        <v>4.0300000000000002E-2</v>
      </c>
      <c r="E460">
        <v>8.6328884805006059</v>
      </c>
      <c r="F460">
        <v>852.58520638265645</v>
      </c>
      <c r="G460">
        <v>0.42399999999999999</v>
      </c>
      <c r="H460">
        <v>4.1000000000000002E-2</v>
      </c>
      <c r="I460">
        <v>265.99869999999999</v>
      </c>
    </row>
    <row r="461" spans="1:9" x14ac:dyDescent="0.3">
      <c r="A461" t="s">
        <v>9</v>
      </c>
      <c r="B461" t="s">
        <v>469</v>
      </c>
      <c r="C461">
        <v>1</v>
      </c>
      <c r="D461">
        <v>4.0300000000000002E-2</v>
      </c>
      <c r="E461">
        <v>8.6039220555940066</v>
      </c>
      <c r="F461">
        <v>849.88553558136141</v>
      </c>
      <c r="G461">
        <v>0.42399999999999999</v>
      </c>
      <c r="H461">
        <v>4.0500000000000001E-2</v>
      </c>
      <c r="I461">
        <v>266.2002</v>
      </c>
    </row>
    <row r="462" spans="1:9" x14ac:dyDescent="0.3">
      <c r="A462" t="s">
        <v>9</v>
      </c>
      <c r="B462" t="s">
        <v>470</v>
      </c>
      <c r="C462">
        <v>1</v>
      </c>
      <c r="D462">
        <v>4.0300000000000002E-2</v>
      </c>
      <c r="E462">
        <v>8.5703993558700748</v>
      </c>
      <c r="F462">
        <v>846.76121996709105</v>
      </c>
      <c r="G462">
        <v>0.42399999999999999</v>
      </c>
      <c r="H462">
        <v>0.04</v>
      </c>
      <c r="I462">
        <v>266.39909999999998</v>
      </c>
    </row>
    <row r="463" spans="1:9" x14ac:dyDescent="0.3">
      <c r="A463" t="s">
        <v>9</v>
      </c>
      <c r="B463" t="s">
        <v>471</v>
      </c>
      <c r="C463">
        <v>1</v>
      </c>
      <c r="D463">
        <v>4.0300000000000002E-2</v>
      </c>
      <c r="E463">
        <v>8.5320397955698368</v>
      </c>
      <c r="F463">
        <v>843.18610894710878</v>
      </c>
      <c r="G463">
        <v>0.42399999999999999</v>
      </c>
      <c r="H463">
        <v>3.9399999999999998E-2</v>
      </c>
      <c r="I463">
        <v>266.59829999999999</v>
      </c>
    </row>
    <row r="464" spans="1:9" x14ac:dyDescent="0.3">
      <c r="A464" t="s">
        <v>9</v>
      </c>
      <c r="B464" t="s">
        <v>472</v>
      </c>
      <c r="C464">
        <v>1</v>
      </c>
      <c r="D464">
        <v>4.0300000000000002E-2</v>
      </c>
      <c r="E464">
        <v>8.4889427150270311</v>
      </c>
      <c r="F464">
        <v>839.16946104051931</v>
      </c>
      <c r="G464">
        <v>0.42399999999999999</v>
      </c>
      <c r="H464">
        <v>3.8699999999999998E-2</v>
      </c>
      <c r="I464">
        <v>266.79790000000003</v>
      </c>
    </row>
    <row r="465" spans="1:9" x14ac:dyDescent="0.3">
      <c r="A465" t="s">
        <v>9</v>
      </c>
      <c r="B465" t="s">
        <v>473</v>
      </c>
      <c r="C465">
        <v>1</v>
      </c>
      <c r="D465">
        <v>4.0099999999999997E-2</v>
      </c>
      <c r="E465">
        <v>8.4408482074909337</v>
      </c>
      <c r="F465">
        <v>834.68705293815503</v>
      </c>
      <c r="G465">
        <v>0.42399999999999999</v>
      </c>
      <c r="H465">
        <v>3.7999999999999999E-2</v>
      </c>
      <c r="I465">
        <v>266.99959999999999</v>
      </c>
    </row>
    <row r="466" spans="1:9" x14ac:dyDescent="0.3">
      <c r="A466" t="s">
        <v>9</v>
      </c>
      <c r="B466" t="s">
        <v>474</v>
      </c>
      <c r="C466">
        <v>1</v>
      </c>
      <c r="D466">
        <v>3.9100000000000003E-2</v>
      </c>
      <c r="E466">
        <v>8.3885436971579708</v>
      </c>
      <c r="F466">
        <v>829.81227257512285</v>
      </c>
      <c r="G466">
        <v>0.42399999999999999</v>
      </c>
      <c r="H466">
        <v>3.7199999999999997E-2</v>
      </c>
      <c r="I466">
        <v>267.20060000000001</v>
      </c>
    </row>
    <row r="467" spans="1:9" x14ac:dyDescent="0.3">
      <c r="A467" t="s">
        <v>9</v>
      </c>
      <c r="B467" t="s">
        <v>475</v>
      </c>
      <c r="C467">
        <v>1</v>
      </c>
      <c r="D467">
        <v>3.85E-2</v>
      </c>
      <c r="E467">
        <v>8.3326600965150881</v>
      </c>
      <c r="F467">
        <v>824.60392099520618</v>
      </c>
      <c r="G467">
        <v>0.42399999999999999</v>
      </c>
      <c r="H467">
        <v>3.6299999999999999E-2</v>
      </c>
      <c r="I467">
        <v>267.39960000000002</v>
      </c>
    </row>
    <row r="468" spans="1:9" x14ac:dyDescent="0.3">
      <c r="A468" t="s">
        <v>9</v>
      </c>
      <c r="B468" t="s">
        <v>476</v>
      </c>
      <c r="C468">
        <v>1</v>
      </c>
      <c r="D468">
        <v>3.7900000000000003E-2</v>
      </c>
      <c r="E468">
        <v>8.2726017690305849</v>
      </c>
      <c r="F468">
        <v>819.00648487365049</v>
      </c>
      <c r="G468">
        <v>0.42399999999999999</v>
      </c>
      <c r="H468">
        <v>3.5400000000000001E-2</v>
      </c>
      <c r="I468">
        <v>267.59969999999998</v>
      </c>
    </row>
    <row r="469" spans="1:9" x14ac:dyDescent="0.3">
      <c r="A469" t="s">
        <v>9</v>
      </c>
      <c r="B469" t="s">
        <v>477</v>
      </c>
      <c r="C469">
        <v>1</v>
      </c>
      <c r="D469">
        <v>3.78E-2</v>
      </c>
      <c r="E469">
        <v>8.2091666811403918</v>
      </c>
      <c r="F469">
        <v>813.09433468228451</v>
      </c>
      <c r="G469">
        <v>0.42399999999999999</v>
      </c>
      <c r="H469">
        <v>3.44E-2</v>
      </c>
      <c r="I469">
        <v>267.79899999999998</v>
      </c>
    </row>
    <row r="470" spans="1:9" x14ac:dyDescent="0.3">
      <c r="A470" t="s">
        <v>9</v>
      </c>
      <c r="B470" t="s">
        <v>478</v>
      </c>
      <c r="C470">
        <v>1</v>
      </c>
      <c r="D470">
        <v>3.6499999999999998E-2</v>
      </c>
      <c r="E470">
        <v>8.1411635597811163</v>
      </c>
      <c r="F470">
        <v>806.75644377160006</v>
      </c>
      <c r="G470">
        <v>0.42399999999999999</v>
      </c>
      <c r="H470">
        <v>3.3300000000000003E-2</v>
      </c>
      <c r="I470">
        <v>268.0016</v>
      </c>
    </row>
    <row r="471" spans="1:9" x14ac:dyDescent="0.3">
      <c r="A471" t="s">
        <v>9</v>
      </c>
      <c r="B471" t="s">
        <v>479</v>
      </c>
      <c r="C471">
        <v>1</v>
      </c>
      <c r="D471">
        <v>3.5200000000000002E-2</v>
      </c>
      <c r="E471">
        <v>8.0718840165009578</v>
      </c>
      <c r="F471">
        <v>800.2995903378893</v>
      </c>
      <c r="G471">
        <v>0.42399999999999999</v>
      </c>
      <c r="H471">
        <v>3.2300000000000002E-2</v>
      </c>
      <c r="I471">
        <v>268.19889999999998</v>
      </c>
    </row>
    <row r="472" spans="1:9" x14ac:dyDescent="0.3">
      <c r="A472" t="s">
        <v>9</v>
      </c>
      <c r="B472" t="s">
        <v>480</v>
      </c>
      <c r="C472">
        <v>1</v>
      </c>
      <c r="D472">
        <v>3.4200000000000001E-2</v>
      </c>
      <c r="E472">
        <v>7.9984577238609287</v>
      </c>
      <c r="F472">
        <v>793.45625986383857</v>
      </c>
      <c r="G472">
        <v>0.42399999999999999</v>
      </c>
      <c r="H472">
        <v>3.1099999999999999E-2</v>
      </c>
      <c r="I472">
        <v>268.3999</v>
      </c>
    </row>
    <row r="473" spans="1:9" x14ac:dyDescent="0.3">
      <c r="A473" t="s">
        <v>9</v>
      </c>
      <c r="B473" t="s">
        <v>481</v>
      </c>
      <c r="C473">
        <v>1</v>
      </c>
      <c r="D473">
        <v>3.2399999999999998E-2</v>
      </c>
      <c r="E473">
        <v>7.9234723961872913</v>
      </c>
      <c r="F473">
        <v>786.46762732465561</v>
      </c>
      <c r="G473">
        <v>0.42399999999999999</v>
      </c>
      <c r="H473">
        <v>0.03</v>
      </c>
      <c r="I473">
        <v>268.59820000000002</v>
      </c>
    </row>
    <row r="474" spans="1:9" x14ac:dyDescent="0.3">
      <c r="A474" t="s">
        <v>9</v>
      </c>
      <c r="B474" t="s">
        <v>482</v>
      </c>
      <c r="C474">
        <v>1</v>
      </c>
      <c r="D474">
        <v>3.0599999999999999E-2</v>
      </c>
      <c r="E474">
        <v>7.8447380859595013</v>
      </c>
      <c r="F474">
        <v>779.12958961142556</v>
      </c>
      <c r="G474">
        <v>0.42399999999999999</v>
      </c>
      <c r="H474">
        <v>2.87E-2</v>
      </c>
      <c r="I474">
        <v>268.80029999999999</v>
      </c>
    </row>
    <row r="475" spans="1:9" x14ac:dyDescent="0.3">
      <c r="A475" t="s">
        <v>9</v>
      </c>
      <c r="B475" t="s">
        <v>483</v>
      </c>
      <c r="C475">
        <v>1</v>
      </c>
      <c r="D475">
        <v>2.9499999999999998E-2</v>
      </c>
      <c r="E475">
        <v>7.7647443835823209</v>
      </c>
      <c r="F475">
        <v>771.6741765498723</v>
      </c>
      <c r="G475">
        <v>0.42399999999999999</v>
      </c>
      <c r="H475">
        <v>2.75E-2</v>
      </c>
      <c r="I475">
        <v>269.00049999999999</v>
      </c>
    </row>
    <row r="476" spans="1:9" x14ac:dyDescent="0.3">
      <c r="A476" t="s">
        <v>9</v>
      </c>
      <c r="B476" t="s">
        <v>484</v>
      </c>
      <c r="C476">
        <v>1</v>
      </c>
      <c r="D476">
        <v>2.7699999999999999E-2</v>
      </c>
      <c r="E476">
        <v>7.6835991442752514</v>
      </c>
      <c r="F476">
        <v>764.11144024645341</v>
      </c>
      <c r="G476">
        <v>0.42399999999999999</v>
      </c>
      <c r="H476">
        <v>2.6200000000000001E-2</v>
      </c>
      <c r="I476">
        <v>269.19959999999998</v>
      </c>
    </row>
    <row r="477" spans="1:9" x14ac:dyDescent="0.3">
      <c r="A477" t="s">
        <v>9</v>
      </c>
      <c r="B477" t="s">
        <v>485</v>
      </c>
      <c r="C477">
        <v>1</v>
      </c>
      <c r="D477">
        <v>2.6100000000000002E-2</v>
      </c>
      <c r="E477">
        <v>7.6005210259031051</v>
      </c>
      <c r="F477">
        <v>756.36855961416938</v>
      </c>
      <c r="G477">
        <v>0.42399999999999999</v>
      </c>
      <c r="H477">
        <v>2.4899999999999999E-2</v>
      </c>
      <c r="I477">
        <v>269.40010000000001</v>
      </c>
    </row>
    <row r="478" spans="1:9" x14ac:dyDescent="0.3">
      <c r="A478" t="s">
        <v>9</v>
      </c>
      <c r="B478" t="s">
        <v>486</v>
      </c>
      <c r="C478">
        <v>1</v>
      </c>
      <c r="D478">
        <v>2.5000000000000001E-2</v>
      </c>
      <c r="E478">
        <v>7.5162642040608167</v>
      </c>
      <c r="F478">
        <v>748.51582381846811</v>
      </c>
      <c r="G478">
        <v>0.42399999999999999</v>
      </c>
      <c r="H478">
        <v>2.3599999999999999E-2</v>
      </c>
      <c r="I478">
        <v>269.601</v>
      </c>
    </row>
    <row r="479" spans="1:9" x14ac:dyDescent="0.3">
      <c r="A479" t="s">
        <v>9</v>
      </c>
      <c r="B479" t="s">
        <v>487</v>
      </c>
      <c r="C479">
        <v>1</v>
      </c>
      <c r="D479">
        <v>2.3300000000000001E-2</v>
      </c>
      <c r="E479">
        <v>7.432435559330492</v>
      </c>
      <c r="F479">
        <v>740.70299412960185</v>
      </c>
      <c r="G479">
        <v>0.42399999999999999</v>
      </c>
      <c r="H479">
        <v>2.23E-2</v>
      </c>
      <c r="I479">
        <v>269.79930000000002</v>
      </c>
    </row>
    <row r="480" spans="1:9" x14ac:dyDescent="0.3">
      <c r="A480" t="s">
        <v>9</v>
      </c>
      <c r="B480" t="s">
        <v>488</v>
      </c>
      <c r="C480">
        <v>1</v>
      </c>
      <c r="D480">
        <v>2.1600000000000001E-2</v>
      </c>
      <c r="E480">
        <v>7.3472765650695351</v>
      </c>
      <c r="F480">
        <v>732.76617586448072</v>
      </c>
      <c r="G480">
        <v>0.42399999999999999</v>
      </c>
      <c r="H480">
        <v>2.1000000000000001E-2</v>
      </c>
      <c r="I480">
        <v>270.00009999999997</v>
      </c>
    </row>
    <row r="481" spans="1:9" x14ac:dyDescent="0.3">
      <c r="A481" t="s">
        <v>9</v>
      </c>
      <c r="B481" t="s">
        <v>489</v>
      </c>
      <c r="C481">
        <v>1</v>
      </c>
      <c r="D481">
        <v>2.06E-2</v>
      </c>
      <c r="E481">
        <v>7.262621976421535</v>
      </c>
      <c r="F481">
        <v>724.87636820248713</v>
      </c>
      <c r="G481">
        <v>0.42399999999999999</v>
      </c>
      <c r="H481">
        <v>1.9699999999999999E-2</v>
      </c>
      <c r="I481">
        <v>270.19959999999998</v>
      </c>
    </row>
    <row r="482" spans="1:9" x14ac:dyDescent="0.3">
      <c r="A482" t="s">
        <v>9</v>
      </c>
      <c r="B482" t="s">
        <v>490</v>
      </c>
      <c r="C482">
        <v>1</v>
      </c>
      <c r="D482">
        <v>1.9E-2</v>
      </c>
      <c r="E482">
        <v>7.1783712366404977</v>
      </c>
      <c r="F482">
        <v>717.02419925489437</v>
      </c>
      <c r="G482">
        <v>0.42399999999999999</v>
      </c>
      <c r="H482">
        <v>1.84E-2</v>
      </c>
      <c r="I482">
        <v>270.39890000000003</v>
      </c>
    </row>
    <row r="483" spans="1:9" x14ac:dyDescent="0.3">
      <c r="A483" t="s">
        <v>9</v>
      </c>
      <c r="B483" t="s">
        <v>491</v>
      </c>
      <c r="C483">
        <v>1</v>
      </c>
      <c r="D483">
        <v>1.7999999999999999E-2</v>
      </c>
      <c r="E483">
        <v>7.0946512580711607</v>
      </c>
      <c r="F483">
        <v>709.22149725223221</v>
      </c>
      <c r="G483">
        <v>0.42399999999999999</v>
      </c>
      <c r="H483">
        <v>1.7100000000000001E-2</v>
      </c>
      <c r="I483">
        <v>270.5985</v>
      </c>
    </row>
    <row r="484" spans="1:9" x14ac:dyDescent="0.3">
      <c r="A484" t="s">
        <v>9</v>
      </c>
      <c r="B484" t="s">
        <v>492</v>
      </c>
      <c r="C484">
        <v>1</v>
      </c>
      <c r="D484">
        <v>1.6500000000000001E-2</v>
      </c>
      <c r="E484">
        <v>7.0117349225282517</v>
      </c>
      <c r="F484">
        <v>701.49369477963307</v>
      </c>
      <c r="G484">
        <v>0.42399999999999999</v>
      </c>
      <c r="H484">
        <v>1.5800000000000002E-2</v>
      </c>
      <c r="I484">
        <v>270.79860000000002</v>
      </c>
    </row>
    <row r="485" spans="1:9" x14ac:dyDescent="0.3">
      <c r="A485" t="s">
        <v>9</v>
      </c>
      <c r="B485" t="s">
        <v>493</v>
      </c>
      <c r="C485">
        <v>1</v>
      </c>
      <c r="D485">
        <v>1.49E-2</v>
      </c>
      <c r="E485">
        <v>6.9303504554787017</v>
      </c>
      <c r="F485">
        <v>693.908662450615</v>
      </c>
      <c r="G485">
        <v>0.42399999999999999</v>
      </c>
      <c r="H485">
        <v>1.4500000000000001E-2</v>
      </c>
      <c r="I485">
        <v>270.9982</v>
      </c>
    </row>
    <row r="486" spans="1:9" x14ac:dyDescent="0.3">
      <c r="A486" t="s">
        <v>9</v>
      </c>
      <c r="B486" t="s">
        <v>494</v>
      </c>
      <c r="C486">
        <v>1</v>
      </c>
      <c r="D486">
        <v>1.32E-2</v>
      </c>
      <c r="E486">
        <v>6.8497996362910758</v>
      </c>
      <c r="F486">
        <v>686.40132610232831</v>
      </c>
      <c r="G486">
        <v>0.42399999999999999</v>
      </c>
      <c r="H486">
        <v>1.3299999999999999E-2</v>
      </c>
      <c r="I486">
        <v>271.19990000000001</v>
      </c>
    </row>
    <row r="487" spans="1:9" x14ac:dyDescent="0.3">
      <c r="A487" t="s">
        <v>9</v>
      </c>
      <c r="B487" t="s">
        <v>495</v>
      </c>
      <c r="C487">
        <v>1</v>
      </c>
      <c r="D487">
        <v>1.2200000000000001E-2</v>
      </c>
      <c r="E487">
        <v>6.7720838685871882</v>
      </c>
      <c r="F487">
        <v>679.15821655232594</v>
      </c>
      <c r="G487">
        <v>0.42399999999999999</v>
      </c>
      <c r="H487">
        <v>1.21E-2</v>
      </c>
      <c r="I487">
        <v>271.39929999999998</v>
      </c>
    </row>
    <row r="488" spans="1:9" x14ac:dyDescent="0.3">
      <c r="A488" t="s">
        <v>9</v>
      </c>
      <c r="B488" t="s">
        <v>496</v>
      </c>
      <c r="C488">
        <v>1</v>
      </c>
      <c r="D488">
        <v>1.0699999999999999E-2</v>
      </c>
      <c r="E488">
        <v>6.6956862862914326</v>
      </c>
      <c r="F488">
        <v>672.03796188236151</v>
      </c>
      <c r="G488">
        <v>0.42399999999999999</v>
      </c>
      <c r="H488">
        <v>1.09E-2</v>
      </c>
      <c r="I488">
        <v>271.60129999999998</v>
      </c>
    </row>
    <row r="489" spans="1:9" x14ac:dyDescent="0.3">
      <c r="A489" t="s">
        <v>9</v>
      </c>
      <c r="B489" t="s">
        <v>497</v>
      </c>
      <c r="C489">
        <v>1</v>
      </c>
      <c r="D489">
        <v>9.7000000000000003E-3</v>
      </c>
      <c r="E489">
        <v>6.484913670104226</v>
      </c>
      <c r="F489">
        <v>652.39395405371386</v>
      </c>
      <c r="G489">
        <v>0.42399999999999999</v>
      </c>
      <c r="H489">
        <v>7.6E-3</v>
      </c>
      <c r="I489">
        <v>272.20260000000002</v>
      </c>
    </row>
    <row r="490" spans="1:9" x14ac:dyDescent="0.3">
      <c r="A490" t="s">
        <v>9</v>
      </c>
      <c r="B490" t="s">
        <v>498</v>
      </c>
      <c r="C490">
        <v>1</v>
      </c>
      <c r="D490">
        <v>6.1999999999999998E-3</v>
      </c>
      <c r="E490">
        <v>6.4218678341339954</v>
      </c>
      <c r="F490">
        <v>646.51808214128835</v>
      </c>
      <c r="G490">
        <v>0.42399999999999999</v>
      </c>
      <c r="H490">
        <v>6.6E-3</v>
      </c>
      <c r="I490">
        <v>272.40069999999997</v>
      </c>
    </row>
    <row r="491" spans="1:9" x14ac:dyDescent="0.3">
      <c r="A491" t="s">
        <v>9</v>
      </c>
      <c r="B491" t="s">
        <v>499</v>
      </c>
      <c r="C491">
        <v>1</v>
      </c>
      <c r="D491">
        <v>6.0000000000000001E-3</v>
      </c>
      <c r="E491">
        <v>6.3621071221799674</v>
      </c>
      <c r="F491">
        <v>640.94838378717293</v>
      </c>
      <c r="G491">
        <v>0.42399999999999999</v>
      </c>
      <c r="H491">
        <v>5.7000000000000002E-3</v>
      </c>
      <c r="I491">
        <v>272.59980000000002</v>
      </c>
    </row>
    <row r="492" spans="1:9" x14ac:dyDescent="0.3">
      <c r="A492" t="s">
        <v>9</v>
      </c>
      <c r="B492" t="s">
        <v>500</v>
      </c>
      <c r="C492">
        <v>1</v>
      </c>
      <c r="D492">
        <v>4.5999999999999999E-3</v>
      </c>
      <c r="E492">
        <v>6.3060546835167974</v>
      </c>
      <c r="F492">
        <v>635.72429650376546</v>
      </c>
      <c r="G492">
        <v>0.42399999999999999</v>
      </c>
      <c r="H492">
        <v>4.7999999999999996E-3</v>
      </c>
      <c r="I492">
        <v>272.79939999999999</v>
      </c>
    </row>
    <row r="493" spans="1:9" x14ac:dyDescent="0.3">
      <c r="A493" t="s">
        <v>9</v>
      </c>
      <c r="B493" t="s">
        <v>501</v>
      </c>
      <c r="C493">
        <v>1</v>
      </c>
      <c r="D493">
        <v>3.7000000000000002E-3</v>
      </c>
      <c r="E493">
        <v>6.2542660130719394</v>
      </c>
      <c r="F493">
        <v>630.89759241830473</v>
      </c>
      <c r="G493">
        <v>0.42399999999999999</v>
      </c>
      <c r="H493">
        <v>4.0000000000000001E-3</v>
      </c>
      <c r="I493">
        <v>272.9984</v>
      </c>
    </row>
    <row r="494" spans="1:9" x14ac:dyDescent="0.3">
      <c r="A494" t="s">
        <v>9</v>
      </c>
      <c r="B494" t="s">
        <v>502</v>
      </c>
      <c r="C494">
        <v>1</v>
      </c>
      <c r="D494">
        <v>2.0999999999999999E-3</v>
      </c>
      <c r="E494">
        <v>6.206491138128035</v>
      </c>
      <c r="F494">
        <v>626.44497407353288</v>
      </c>
      <c r="G494">
        <v>0.42399999999999999</v>
      </c>
      <c r="H494">
        <v>3.3E-3</v>
      </c>
      <c r="I494">
        <v>273.19839999999999</v>
      </c>
    </row>
    <row r="495" spans="1:9" x14ac:dyDescent="0.3">
      <c r="A495" t="s">
        <v>9</v>
      </c>
      <c r="B495" t="s">
        <v>503</v>
      </c>
      <c r="C495">
        <v>1</v>
      </c>
      <c r="D495">
        <v>1.4E-3</v>
      </c>
      <c r="E495">
        <v>6.1630224436428893</v>
      </c>
      <c r="F495">
        <v>622.39369174751732</v>
      </c>
      <c r="G495">
        <v>0.42399999999999999</v>
      </c>
      <c r="H495">
        <v>2.5999999999999999E-3</v>
      </c>
      <c r="I495">
        <v>273.39940000000001</v>
      </c>
    </row>
    <row r="496" spans="1:9" x14ac:dyDescent="0.3">
      <c r="A496" t="s">
        <v>9</v>
      </c>
      <c r="B496" t="s">
        <v>504</v>
      </c>
      <c r="C496">
        <v>1</v>
      </c>
      <c r="D496">
        <v>1.1000000000000001E-3</v>
      </c>
      <c r="E496">
        <v>6.1241749803892214</v>
      </c>
      <c r="F496">
        <v>618.77310817227544</v>
      </c>
      <c r="G496">
        <v>0.42399999999999999</v>
      </c>
      <c r="H496">
        <v>2E-3</v>
      </c>
      <c r="I496">
        <v>273.601</v>
      </c>
    </row>
    <row r="497" spans="1:9" x14ac:dyDescent="0.3">
      <c r="A497" t="s">
        <v>9</v>
      </c>
      <c r="B497" t="s">
        <v>505</v>
      </c>
      <c r="C497">
        <v>1</v>
      </c>
      <c r="D497">
        <v>6.9999999999999999E-4</v>
      </c>
      <c r="E497">
        <v>6.090626087254841</v>
      </c>
      <c r="F497">
        <v>615.6463513321512</v>
      </c>
      <c r="G497">
        <v>0.42399999999999999</v>
      </c>
      <c r="H497">
        <v>1.5E-3</v>
      </c>
      <c r="I497">
        <v>273.80009999999999</v>
      </c>
    </row>
    <row r="498" spans="1:9" x14ac:dyDescent="0.3">
      <c r="A498" t="s">
        <v>9</v>
      </c>
      <c r="B498" t="s">
        <v>506</v>
      </c>
      <c r="C498">
        <v>1</v>
      </c>
      <c r="D498">
        <v>0</v>
      </c>
      <c r="E498">
        <v>6.0617451355823357</v>
      </c>
      <c r="F498">
        <v>612.95464663627376</v>
      </c>
      <c r="G498">
        <v>0.42399999999999999</v>
      </c>
      <c r="H498">
        <v>1E-3</v>
      </c>
      <c r="I498">
        <v>274.00099999999998</v>
      </c>
    </row>
    <row r="499" spans="1:9" x14ac:dyDescent="0.3">
      <c r="A499" t="s">
        <v>9</v>
      </c>
      <c r="B499" t="s">
        <v>507</v>
      </c>
      <c r="C499">
        <v>1</v>
      </c>
      <c r="D499">
        <v>0</v>
      </c>
      <c r="E499">
        <v>6.0383004924428807</v>
      </c>
      <c r="F499">
        <v>610.76960589567648</v>
      </c>
      <c r="G499">
        <v>0.42399999999999999</v>
      </c>
      <c r="H499">
        <v>6.9999999999999999E-4</v>
      </c>
      <c r="I499">
        <v>274.19900000000001</v>
      </c>
    </row>
    <row r="500" spans="1:9" x14ac:dyDescent="0.3">
      <c r="A500" t="s">
        <v>9</v>
      </c>
      <c r="B500" t="s">
        <v>508</v>
      </c>
      <c r="C500">
        <v>1</v>
      </c>
      <c r="D500">
        <v>-5.0000000000000001E-4</v>
      </c>
      <c r="E500">
        <v>6.0197477160416746</v>
      </c>
      <c r="F500">
        <v>609.04048713508405</v>
      </c>
      <c r="G500">
        <v>0.42399999999999999</v>
      </c>
      <c r="H500">
        <v>4.0000000000000002E-4</v>
      </c>
      <c r="I500">
        <v>274.399</v>
      </c>
    </row>
    <row r="501" spans="1:9" x14ac:dyDescent="0.3">
      <c r="A501" t="s">
        <v>9</v>
      </c>
      <c r="B501" t="s">
        <v>509</v>
      </c>
      <c r="C501">
        <v>1</v>
      </c>
      <c r="D501">
        <v>-5.9999999999999995E-4</v>
      </c>
      <c r="E501">
        <v>6.0063663298043242</v>
      </c>
      <c r="F501">
        <v>607.79334193776299</v>
      </c>
      <c r="G501">
        <v>0.42399999999999999</v>
      </c>
      <c r="H501">
        <v>2.0000000000000001E-4</v>
      </c>
      <c r="I501">
        <v>274.60050000000001</v>
      </c>
    </row>
    <row r="502" spans="1:9" x14ac:dyDescent="0.3">
      <c r="A502" t="s">
        <v>9</v>
      </c>
      <c r="B502" t="s">
        <v>510</v>
      </c>
      <c r="C502">
        <v>1</v>
      </c>
      <c r="D502">
        <v>-5.9999999999999995E-4</v>
      </c>
      <c r="E502">
        <v>5.9984202335575034</v>
      </c>
      <c r="F502">
        <v>607.05276576755932</v>
      </c>
      <c r="G502">
        <v>0.42399999999999999</v>
      </c>
      <c r="H502">
        <v>0</v>
      </c>
      <c r="I502">
        <v>274.79930000000002</v>
      </c>
    </row>
    <row r="503" spans="1:9" x14ac:dyDescent="0.3">
      <c r="A503" t="s">
        <v>9</v>
      </c>
      <c r="B503" t="s">
        <v>511</v>
      </c>
      <c r="C503">
        <v>1</v>
      </c>
      <c r="D503">
        <v>-5.9999999999999995E-4</v>
      </c>
      <c r="E503">
        <v>5.9957334838115024</v>
      </c>
      <c r="F503">
        <v>606.80236069123202</v>
      </c>
      <c r="G503">
        <v>0.42399999999999999</v>
      </c>
      <c r="H503">
        <v>0</v>
      </c>
      <c r="I503">
        <v>275.00009999999997</v>
      </c>
    </row>
    <row r="504" spans="1:9" x14ac:dyDescent="0.3">
      <c r="A504" t="s">
        <v>9</v>
      </c>
      <c r="B504" t="s">
        <v>512</v>
      </c>
      <c r="C504">
        <v>1</v>
      </c>
      <c r="D504">
        <v>-5.9999999999999995E-4</v>
      </c>
      <c r="E504">
        <v>5.9984106474180328</v>
      </c>
      <c r="F504">
        <v>709.24917043997129</v>
      </c>
      <c r="G504">
        <v>0.42399999999999999</v>
      </c>
      <c r="H504">
        <v>0</v>
      </c>
      <c r="I504">
        <v>275.2004</v>
      </c>
    </row>
    <row r="505" spans="1:9" x14ac:dyDescent="0.3">
      <c r="A505" t="s">
        <v>9</v>
      </c>
      <c r="B505" t="s">
        <v>513</v>
      </c>
      <c r="C505">
        <v>1</v>
      </c>
      <c r="D505">
        <v>-4.0000000000000002E-4</v>
      </c>
      <c r="E505">
        <v>6.0063705183171718</v>
      </c>
      <c r="F505">
        <v>710.00456218829959</v>
      </c>
      <c r="G505">
        <v>0.42399999999999999</v>
      </c>
      <c r="H505">
        <v>2.0000000000000001E-4</v>
      </c>
      <c r="I505">
        <v>275.39960000000002</v>
      </c>
    </row>
    <row r="506" spans="1:9" x14ac:dyDescent="0.3">
      <c r="A506" t="s">
        <v>9</v>
      </c>
      <c r="B506" t="s">
        <v>514</v>
      </c>
      <c r="C506">
        <v>1</v>
      </c>
      <c r="D506">
        <v>0</v>
      </c>
      <c r="E506">
        <v>6.0196534603111376</v>
      </c>
      <c r="F506">
        <v>711.26511338352702</v>
      </c>
      <c r="G506">
        <v>0.42399999999999999</v>
      </c>
      <c r="H506">
        <v>4.0000000000000002E-4</v>
      </c>
      <c r="I506">
        <v>275.59969999999998</v>
      </c>
    </row>
    <row r="507" spans="1:9" x14ac:dyDescent="0.3">
      <c r="A507" t="s">
        <v>9</v>
      </c>
      <c r="B507" t="s">
        <v>515</v>
      </c>
      <c r="C507">
        <v>1</v>
      </c>
      <c r="D507">
        <v>2.9999999999999997E-4</v>
      </c>
      <c r="E507">
        <v>6.0380933374367256</v>
      </c>
      <c r="F507">
        <v>713.01505772274527</v>
      </c>
      <c r="G507">
        <v>0.42399999999999999</v>
      </c>
      <c r="H507">
        <v>6.9999999999999999E-4</v>
      </c>
      <c r="I507">
        <v>275.79899999999998</v>
      </c>
    </row>
    <row r="508" spans="1:9" x14ac:dyDescent="0.3">
      <c r="A508" t="s">
        <v>9</v>
      </c>
      <c r="B508" t="s">
        <v>516</v>
      </c>
      <c r="C508">
        <v>1</v>
      </c>
      <c r="D508">
        <v>6.9999999999999999E-4</v>
      </c>
      <c r="E508">
        <v>6.0618828334490216</v>
      </c>
      <c r="F508">
        <v>715.27268089431232</v>
      </c>
      <c r="G508">
        <v>0.42399999999999999</v>
      </c>
      <c r="H508">
        <v>1E-3</v>
      </c>
      <c r="I508">
        <v>276</v>
      </c>
    </row>
    <row r="509" spans="1:9" x14ac:dyDescent="0.3">
      <c r="A509" t="s">
        <v>9</v>
      </c>
      <c r="B509" t="s">
        <v>517</v>
      </c>
      <c r="C509">
        <v>1</v>
      </c>
      <c r="D509">
        <v>8.9999999999999998E-4</v>
      </c>
      <c r="E509">
        <v>6.0905055002538022</v>
      </c>
      <c r="F509">
        <v>717.98897197408587</v>
      </c>
      <c r="G509">
        <v>0.42399999999999999</v>
      </c>
      <c r="H509">
        <v>1.5E-3</v>
      </c>
      <c r="I509">
        <v>276.19909999999999</v>
      </c>
    </row>
    <row r="510" spans="1:9" x14ac:dyDescent="0.3">
      <c r="A510" t="s">
        <v>9</v>
      </c>
      <c r="B510" t="s">
        <v>518</v>
      </c>
      <c r="C510">
        <v>1</v>
      </c>
      <c r="D510">
        <v>1.2999999999999999E-3</v>
      </c>
      <c r="E510">
        <v>6.1241672358978967</v>
      </c>
      <c r="F510">
        <v>721.18347068671039</v>
      </c>
      <c r="G510">
        <v>0.42399999999999999</v>
      </c>
      <c r="H510">
        <v>2E-3</v>
      </c>
      <c r="I510">
        <v>276.39890000000003</v>
      </c>
    </row>
    <row r="511" spans="1:9" x14ac:dyDescent="0.3">
      <c r="A511" t="s">
        <v>9</v>
      </c>
      <c r="B511" t="s">
        <v>519</v>
      </c>
      <c r="C511">
        <v>1</v>
      </c>
      <c r="D511">
        <v>1.9E-3</v>
      </c>
      <c r="E511">
        <v>6.1628497131034061</v>
      </c>
      <c r="F511">
        <v>724.85443777351327</v>
      </c>
      <c r="G511">
        <v>0.42399999999999999</v>
      </c>
      <c r="H511">
        <v>2.5999999999999999E-3</v>
      </c>
      <c r="I511">
        <v>276.59969999999998</v>
      </c>
    </row>
    <row r="512" spans="1:9" x14ac:dyDescent="0.3">
      <c r="A512" t="s">
        <v>9</v>
      </c>
      <c r="B512" t="s">
        <v>520</v>
      </c>
      <c r="C512">
        <v>1</v>
      </c>
      <c r="D512">
        <v>2.5000000000000001E-3</v>
      </c>
      <c r="E512">
        <v>6.2061441768072916</v>
      </c>
      <c r="F512">
        <v>728.96308237901212</v>
      </c>
      <c r="G512">
        <v>0.42399999999999999</v>
      </c>
      <c r="H512">
        <v>3.3E-3</v>
      </c>
      <c r="I512">
        <v>276.8</v>
      </c>
    </row>
    <row r="513" spans="1:9" x14ac:dyDescent="0.3">
      <c r="A513" t="s">
        <v>9</v>
      </c>
      <c r="B513" t="s">
        <v>521</v>
      </c>
      <c r="C513">
        <v>1</v>
      </c>
      <c r="D513">
        <v>3.0999999999999999E-3</v>
      </c>
      <c r="E513">
        <v>6.2539398929477423</v>
      </c>
      <c r="F513">
        <v>733.49889584074083</v>
      </c>
      <c r="G513">
        <v>0.42399999999999999</v>
      </c>
      <c r="H513">
        <v>4.0000000000000001E-3</v>
      </c>
      <c r="I513">
        <v>277.00029999999998</v>
      </c>
    </row>
    <row r="514" spans="1:9" x14ac:dyDescent="0.3">
      <c r="A514" t="s">
        <v>9</v>
      </c>
      <c r="B514" t="s">
        <v>522</v>
      </c>
      <c r="C514">
        <v>2</v>
      </c>
      <c r="D514">
        <v>4.3E-3</v>
      </c>
      <c r="E514">
        <v>6.3061745406704857</v>
      </c>
      <c r="F514">
        <v>738.45596390962908</v>
      </c>
      <c r="G514">
        <v>0.42399999999999999</v>
      </c>
      <c r="H514">
        <v>4.7999999999999996E-3</v>
      </c>
      <c r="I514">
        <v>277.20100000000002</v>
      </c>
    </row>
    <row r="515" spans="1:9" x14ac:dyDescent="0.3">
      <c r="A515" t="s">
        <v>9</v>
      </c>
      <c r="B515" t="s">
        <v>523</v>
      </c>
      <c r="C515">
        <v>2</v>
      </c>
      <c r="D515">
        <v>4.7000000000000002E-3</v>
      </c>
      <c r="E515">
        <v>6.3623557973909186</v>
      </c>
      <c r="F515">
        <v>743.78756517239833</v>
      </c>
      <c r="G515">
        <v>0.42399999999999999</v>
      </c>
      <c r="H515">
        <v>5.7000000000000002E-3</v>
      </c>
      <c r="I515">
        <v>277.40100000000001</v>
      </c>
    </row>
    <row r="516" spans="1:9" x14ac:dyDescent="0.3">
      <c r="A516" t="s">
        <v>9</v>
      </c>
      <c r="B516" t="s">
        <v>524</v>
      </c>
      <c r="C516">
        <v>2</v>
      </c>
      <c r="D516">
        <v>6.0000000000000001E-3</v>
      </c>
      <c r="E516">
        <v>6.4221626113692194</v>
      </c>
      <c r="F516">
        <v>749.46323181893888</v>
      </c>
      <c r="G516">
        <v>0.42399999999999999</v>
      </c>
      <c r="H516">
        <v>6.6E-3</v>
      </c>
      <c r="I516">
        <v>277.60019999999997</v>
      </c>
    </row>
    <row r="517" spans="1:9" x14ac:dyDescent="0.3">
      <c r="A517" t="s">
        <v>9</v>
      </c>
      <c r="B517" t="s">
        <v>525</v>
      </c>
      <c r="C517">
        <v>2</v>
      </c>
      <c r="D517">
        <v>6.8999999999999999E-3</v>
      </c>
      <c r="E517">
        <v>6.4856066196159112</v>
      </c>
      <c r="F517">
        <v>755.48406820155003</v>
      </c>
      <c r="G517">
        <v>0.42399999999999999</v>
      </c>
      <c r="H517">
        <v>7.6E-3</v>
      </c>
      <c r="I517">
        <v>277.79950000000002</v>
      </c>
    </row>
    <row r="518" spans="1:9" x14ac:dyDescent="0.3">
      <c r="A518" t="s">
        <v>9</v>
      </c>
      <c r="B518" t="s">
        <v>526</v>
      </c>
      <c r="C518">
        <v>2</v>
      </c>
      <c r="D518">
        <v>8.0000000000000002E-3</v>
      </c>
      <c r="E518">
        <v>6.552400221728047</v>
      </c>
      <c r="F518">
        <v>761.82278104199168</v>
      </c>
      <c r="G518">
        <v>0.42399999999999999</v>
      </c>
      <c r="H518">
        <v>8.6E-3</v>
      </c>
      <c r="I518">
        <v>277.99860000000001</v>
      </c>
    </row>
    <row r="519" spans="1:9" x14ac:dyDescent="0.3">
      <c r="A519" t="s">
        <v>9</v>
      </c>
      <c r="B519" t="s">
        <v>527</v>
      </c>
      <c r="C519">
        <v>2</v>
      </c>
      <c r="D519">
        <v>8.6999999999999994E-3</v>
      </c>
      <c r="E519">
        <v>6.6234017992832976</v>
      </c>
      <c r="F519">
        <v>768.56083075198501</v>
      </c>
      <c r="G519">
        <v>0.42399999999999999</v>
      </c>
      <c r="H519">
        <v>9.7999999999999997E-3</v>
      </c>
      <c r="I519">
        <v>278.20080000000002</v>
      </c>
    </row>
    <row r="520" spans="1:9" x14ac:dyDescent="0.3">
      <c r="A520" t="s">
        <v>9</v>
      </c>
      <c r="B520" t="s">
        <v>528</v>
      </c>
      <c r="C520">
        <v>2</v>
      </c>
      <c r="D520">
        <v>0.01</v>
      </c>
      <c r="E520">
        <v>6.6957604874386742</v>
      </c>
      <c r="F520">
        <v>775.42767025793023</v>
      </c>
      <c r="G520">
        <v>0.42399999999999999</v>
      </c>
      <c r="H520">
        <v>1.09E-2</v>
      </c>
      <c r="I520">
        <v>278.39890000000003</v>
      </c>
    </row>
    <row r="521" spans="1:9" x14ac:dyDescent="0.3">
      <c r="A521" t="s">
        <v>9</v>
      </c>
      <c r="B521" t="s">
        <v>529</v>
      </c>
      <c r="C521">
        <v>2</v>
      </c>
      <c r="D521">
        <v>1.09E-2</v>
      </c>
      <c r="E521">
        <v>6.7715543237877354</v>
      </c>
      <c r="F521">
        <v>782.62050532745616</v>
      </c>
      <c r="G521">
        <v>0.42399999999999999</v>
      </c>
      <c r="H521">
        <v>1.21E-2</v>
      </c>
      <c r="I521">
        <v>278.59930000000003</v>
      </c>
    </row>
    <row r="522" spans="1:9" x14ac:dyDescent="0.3">
      <c r="A522" t="s">
        <v>9</v>
      </c>
      <c r="B522" t="s">
        <v>530</v>
      </c>
      <c r="C522">
        <v>2</v>
      </c>
      <c r="D522">
        <v>1.26E-2</v>
      </c>
      <c r="E522">
        <v>6.8498495091933203</v>
      </c>
      <c r="F522">
        <v>790.05071842244615</v>
      </c>
      <c r="G522">
        <v>0.42399999999999999</v>
      </c>
      <c r="H522">
        <v>1.3299999999999999E-2</v>
      </c>
      <c r="I522">
        <v>278.80020000000002</v>
      </c>
    </row>
    <row r="523" spans="1:9" x14ac:dyDescent="0.3">
      <c r="A523" t="s">
        <v>9</v>
      </c>
      <c r="B523" t="s">
        <v>531</v>
      </c>
      <c r="C523">
        <v>2</v>
      </c>
      <c r="D523">
        <v>1.3299999999999999E-2</v>
      </c>
      <c r="E523">
        <v>6.9296173643627679</v>
      </c>
      <c r="F523">
        <v>797.62068787802673</v>
      </c>
      <c r="G523">
        <v>0.42399999999999999</v>
      </c>
      <c r="H523">
        <v>1.4500000000000001E-2</v>
      </c>
      <c r="I523">
        <v>278.99990000000003</v>
      </c>
    </row>
    <row r="524" spans="1:9" x14ac:dyDescent="0.3">
      <c r="A524" t="s">
        <v>9</v>
      </c>
      <c r="B524" t="s">
        <v>532</v>
      </c>
      <c r="C524">
        <v>2</v>
      </c>
      <c r="D524">
        <v>1.49E-2</v>
      </c>
      <c r="E524">
        <v>7.0117470866507494</v>
      </c>
      <c r="F524">
        <v>805.41479852315615</v>
      </c>
      <c r="G524">
        <v>0.42399999999999999</v>
      </c>
      <c r="H524">
        <v>1.5800000000000002E-2</v>
      </c>
      <c r="I524">
        <v>279.20139999999998</v>
      </c>
    </row>
    <row r="525" spans="1:9" x14ac:dyDescent="0.3">
      <c r="A525" t="s">
        <v>9</v>
      </c>
      <c r="B525" t="s">
        <v>533</v>
      </c>
      <c r="C525">
        <v>2</v>
      </c>
      <c r="D525">
        <v>1.5900000000000001E-2</v>
      </c>
      <c r="E525">
        <v>7.0936104146560073</v>
      </c>
      <c r="F525">
        <v>813.18362835085509</v>
      </c>
      <c r="G525">
        <v>0.42399999999999999</v>
      </c>
      <c r="H525">
        <v>1.7100000000000001E-2</v>
      </c>
      <c r="I525">
        <v>279.399</v>
      </c>
    </row>
    <row r="526" spans="1:9" x14ac:dyDescent="0.3">
      <c r="A526" t="s">
        <v>9</v>
      </c>
      <c r="B526" t="s">
        <v>534</v>
      </c>
      <c r="C526">
        <v>2</v>
      </c>
      <c r="D526">
        <v>1.7600000000000001E-2</v>
      </c>
      <c r="E526">
        <v>7.1779641440075341</v>
      </c>
      <c r="F526">
        <v>821.18879726631508</v>
      </c>
      <c r="G526">
        <v>0.42399999999999999</v>
      </c>
      <c r="H526">
        <v>1.84E-2</v>
      </c>
      <c r="I526">
        <v>279.6001</v>
      </c>
    </row>
    <row r="527" spans="1:9" x14ac:dyDescent="0.3">
      <c r="A527" t="s">
        <v>9</v>
      </c>
      <c r="B527" t="s">
        <v>535</v>
      </c>
      <c r="C527">
        <v>2</v>
      </c>
      <c r="D527">
        <v>1.8599999999999998E-2</v>
      </c>
      <c r="E527">
        <v>7.2625007406672966</v>
      </c>
      <c r="F527">
        <v>829.21132028932652</v>
      </c>
      <c r="G527">
        <v>0.42399999999999999</v>
      </c>
      <c r="H527">
        <v>1.9699999999999999E-2</v>
      </c>
      <c r="I527">
        <v>279.80009999999999</v>
      </c>
    </row>
    <row r="528" spans="1:9" x14ac:dyDescent="0.3">
      <c r="A528" t="s">
        <v>9</v>
      </c>
      <c r="B528" t="s">
        <v>536</v>
      </c>
      <c r="C528">
        <v>2</v>
      </c>
      <c r="D528">
        <v>2.0199999999999999E-2</v>
      </c>
      <c r="E528">
        <v>7.3477327196632451</v>
      </c>
      <c r="F528">
        <v>837.29983509604199</v>
      </c>
      <c r="G528">
        <v>0.42399999999999999</v>
      </c>
      <c r="H528">
        <v>2.1000000000000001E-2</v>
      </c>
      <c r="I528">
        <v>280.00099999999998</v>
      </c>
    </row>
    <row r="529" spans="1:9" x14ac:dyDescent="0.3">
      <c r="A529" t="s">
        <v>9</v>
      </c>
      <c r="B529" t="s">
        <v>537</v>
      </c>
      <c r="C529">
        <v>2</v>
      </c>
      <c r="D529">
        <v>2.1299999999999999E-2</v>
      </c>
      <c r="E529">
        <v>7.4326439712959722</v>
      </c>
      <c r="F529">
        <v>845.35791287598784</v>
      </c>
      <c r="G529">
        <v>0.42399999999999999</v>
      </c>
      <c r="H529">
        <v>2.23E-2</v>
      </c>
      <c r="I529">
        <v>280.2011</v>
      </c>
    </row>
    <row r="530" spans="1:9" x14ac:dyDescent="0.3">
      <c r="A530" t="s">
        <v>9</v>
      </c>
      <c r="B530" t="s">
        <v>538</v>
      </c>
      <c r="C530">
        <v>2</v>
      </c>
      <c r="D530">
        <v>2.3099999999999999E-2</v>
      </c>
      <c r="E530">
        <v>7.5168290248155163</v>
      </c>
      <c r="F530">
        <v>853.34707445499259</v>
      </c>
      <c r="G530">
        <v>0.42399999999999999</v>
      </c>
      <c r="H530">
        <v>2.3599999999999999E-2</v>
      </c>
      <c r="I530">
        <v>280.40030000000002</v>
      </c>
    </row>
    <row r="531" spans="1:9" x14ac:dyDescent="0.3">
      <c r="A531" t="s">
        <v>9</v>
      </c>
      <c r="B531" t="s">
        <v>539</v>
      </c>
      <c r="C531">
        <v>2</v>
      </c>
      <c r="D531">
        <v>2.4500000000000001E-2</v>
      </c>
      <c r="E531">
        <v>7.6021331776049577</v>
      </c>
      <c r="F531">
        <v>861.44243855471052</v>
      </c>
      <c r="G531">
        <v>0.42399999999999999</v>
      </c>
      <c r="H531">
        <v>2.5000000000000001E-2</v>
      </c>
      <c r="I531">
        <v>280.60379999999998</v>
      </c>
    </row>
    <row r="532" spans="1:9" x14ac:dyDescent="0.3">
      <c r="A532" t="s">
        <v>9</v>
      </c>
      <c r="B532" t="s">
        <v>540</v>
      </c>
      <c r="C532">
        <v>2</v>
      </c>
      <c r="D532">
        <v>2.5899999999999999E-2</v>
      </c>
      <c r="E532">
        <v>7.6838906777444738</v>
      </c>
      <c r="F532">
        <v>869.20122531795062</v>
      </c>
      <c r="G532">
        <v>0.42399999999999999</v>
      </c>
      <c r="H532">
        <v>2.6200000000000001E-2</v>
      </c>
      <c r="I532">
        <v>280.80110000000002</v>
      </c>
    </row>
    <row r="533" spans="1:9" x14ac:dyDescent="0.3">
      <c r="A533" t="s">
        <v>9</v>
      </c>
      <c r="B533" t="s">
        <v>541</v>
      </c>
      <c r="C533">
        <v>2</v>
      </c>
      <c r="D533">
        <v>2.75E-2</v>
      </c>
      <c r="E533">
        <v>7.7652374360142762</v>
      </c>
      <c r="F533">
        <v>876.92103267775485</v>
      </c>
      <c r="G533">
        <v>0.42399999999999999</v>
      </c>
      <c r="H533">
        <v>2.75E-2</v>
      </c>
      <c r="I533">
        <v>281.00069999999999</v>
      </c>
    </row>
    <row r="534" spans="1:9" x14ac:dyDescent="0.3">
      <c r="A534" t="s">
        <v>9</v>
      </c>
      <c r="B534" t="s">
        <v>542</v>
      </c>
      <c r="C534">
        <v>2</v>
      </c>
      <c r="D534">
        <v>2.7699999999999999E-2</v>
      </c>
      <c r="E534">
        <v>7.8447019990627522</v>
      </c>
      <c r="F534">
        <v>884.46221971105524</v>
      </c>
      <c r="G534">
        <v>0.42399999999999999</v>
      </c>
      <c r="H534">
        <v>2.87E-2</v>
      </c>
      <c r="I534">
        <v>281.19959999999998</v>
      </c>
    </row>
    <row r="535" spans="1:9" x14ac:dyDescent="0.3">
      <c r="A535" t="s">
        <v>9</v>
      </c>
      <c r="B535" t="s">
        <v>543</v>
      </c>
      <c r="C535">
        <v>2</v>
      </c>
      <c r="D535">
        <v>2.9600000000000001E-2</v>
      </c>
      <c r="E535">
        <v>7.9226724023976161</v>
      </c>
      <c r="F535">
        <v>891.86161098753382</v>
      </c>
      <c r="G535">
        <v>0.42399999999999999</v>
      </c>
      <c r="H535">
        <v>2.9899999999999999E-2</v>
      </c>
      <c r="I535">
        <v>281.3997</v>
      </c>
    </row>
    <row r="536" spans="1:9" x14ac:dyDescent="0.3">
      <c r="A536" t="s">
        <v>9</v>
      </c>
      <c r="B536" t="s">
        <v>544</v>
      </c>
      <c r="C536">
        <v>2</v>
      </c>
      <c r="D536">
        <v>3.0599999999999999E-2</v>
      </c>
      <c r="E536">
        <v>7.9986045042724143</v>
      </c>
      <c r="F536">
        <v>899.06756745545215</v>
      </c>
      <c r="G536">
        <v>0.42399999999999999</v>
      </c>
      <c r="H536">
        <v>3.1099999999999999E-2</v>
      </c>
      <c r="I536">
        <v>281.60050000000001</v>
      </c>
    </row>
    <row r="537" spans="1:9" x14ac:dyDescent="0.3">
      <c r="A537" t="s">
        <v>9</v>
      </c>
      <c r="B537" t="s">
        <v>545</v>
      </c>
      <c r="C537">
        <v>2</v>
      </c>
      <c r="D537">
        <v>3.1600000000000003E-2</v>
      </c>
      <c r="E537">
        <v>8.0718163028857148</v>
      </c>
      <c r="F537">
        <v>906.01536714385441</v>
      </c>
      <c r="G537">
        <v>0.42399999999999999</v>
      </c>
      <c r="H537">
        <v>3.2300000000000002E-2</v>
      </c>
      <c r="I537">
        <v>281.80079999999998</v>
      </c>
    </row>
    <row r="538" spans="1:9" x14ac:dyDescent="0.3">
      <c r="A538" t="s">
        <v>9</v>
      </c>
      <c r="B538" t="s">
        <v>546</v>
      </c>
      <c r="C538">
        <v>2</v>
      </c>
      <c r="D538">
        <v>3.2500000000000001E-2</v>
      </c>
      <c r="E538">
        <v>8.1413492653845996</v>
      </c>
      <c r="F538">
        <v>912.6140452849985</v>
      </c>
      <c r="G538">
        <v>0.42399999999999999</v>
      </c>
      <c r="H538">
        <v>3.3300000000000003E-2</v>
      </c>
      <c r="I538">
        <v>281.99889999999999</v>
      </c>
    </row>
    <row r="539" spans="1:9" x14ac:dyDescent="0.3">
      <c r="A539" t="s">
        <v>9</v>
      </c>
      <c r="B539" t="s">
        <v>547</v>
      </c>
      <c r="C539">
        <v>2</v>
      </c>
      <c r="D539">
        <v>3.3799999999999997E-2</v>
      </c>
      <c r="E539">
        <v>8.2087397204406809</v>
      </c>
      <c r="F539">
        <v>919.00939946982066</v>
      </c>
      <c r="G539">
        <v>0.42399999999999999</v>
      </c>
      <c r="H539">
        <v>3.44E-2</v>
      </c>
      <c r="I539">
        <v>282.19970000000001</v>
      </c>
    </row>
    <row r="540" spans="1:9" x14ac:dyDescent="0.3">
      <c r="A540" t="s">
        <v>9</v>
      </c>
      <c r="B540" t="s">
        <v>548</v>
      </c>
      <c r="C540">
        <v>2</v>
      </c>
      <c r="D540">
        <v>3.4599999999999999E-2</v>
      </c>
      <c r="E540">
        <v>8.2728369420655632</v>
      </c>
      <c r="F540">
        <v>925.09222580202197</v>
      </c>
      <c r="G540">
        <v>0.42399999999999999</v>
      </c>
      <c r="H540">
        <v>3.5400000000000001E-2</v>
      </c>
      <c r="I540">
        <v>282.40100000000001</v>
      </c>
    </row>
    <row r="541" spans="1:9" x14ac:dyDescent="0.3">
      <c r="A541" t="s">
        <v>9</v>
      </c>
      <c r="B541" t="s">
        <v>549</v>
      </c>
      <c r="C541">
        <v>2</v>
      </c>
      <c r="D541">
        <v>3.56E-2</v>
      </c>
      <c r="E541">
        <v>8.3323016603721189</v>
      </c>
      <c r="F541">
        <v>930.73542756931408</v>
      </c>
      <c r="G541">
        <v>0.42399999999999999</v>
      </c>
      <c r="H541">
        <v>3.6299999999999999E-2</v>
      </c>
      <c r="I541">
        <v>282.59910000000002</v>
      </c>
    </row>
    <row r="542" spans="1:9" x14ac:dyDescent="0.3">
      <c r="A542" t="s">
        <v>9</v>
      </c>
      <c r="B542" t="s">
        <v>550</v>
      </c>
      <c r="C542">
        <v>2</v>
      </c>
      <c r="D542">
        <v>3.6700000000000003E-2</v>
      </c>
      <c r="E542">
        <v>8.3887294027614558</v>
      </c>
      <c r="F542">
        <v>936.09042032206219</v>
      </c>
      <c r="G542">
        <v>0.42399999999999999</v>
      </c>
      <c r="H542">
        <v>3.7199999999999997E-2</v>
      </c>
      <c r="I542">
        <v>282.80009999999999</v>
      </c>
    </row>
    <row r="543" spans="1:9" x14ac:dyDescent="0.3">
      <c r="A543" t="s">
        <v>9</v>
      </c>
      <c r="B543" t="s">
        <v>551</v>
      </c>
      <c r="C543">
        <v>2</v>
      </c>
      <c r="D543">
        <v>3.7100000000000001E-2</v>
      </c>
      <c r="E543">
        <v>8.4408676700869307</v>
      </c>
      <c r="F543">
        <v>941.03834189124973</v>
      </c>
      <c r="G543">
        <v>0.42399999999999999</v>
      </c>
      <c r="H543">
        <v>3.7999999999999999E-2</v>
      </c>
      <c r="I543">
        <v>283.00049999999999</v>
      </c>
    </row>
    <row r="544" spans="1:9" x14ac:dyDescent="0.3">
      <c r="A544" t="s">
        <v>9</v>
      </c>
      <c r="B544" t="s">
        <v>552</v>
      </c>
      <c r="C544">
        <v>2</v>
      </c>
      <c r="D544">
        <v>3.8199999999999998E-2</v>
      </c>
      <c r="E544">
        <v>8.4883973568683295</v>
      </c>
      <c r="F544">
        <v>945.54890916680449</v>
      </c>
      <c r="G544">
        <v>0.42399999999999999</v>
      </c>
      <c r="H544">
        <v>3.8699999999999998E-2</v>
      </c>
      <c r="I544">
        <v>283.19970000000001</v>
      </c>
    </row>
    <row r="545" spans="1:9" x14ac:dyDescent="0.3">
      <c r="A545" t="s">
        <v>9</v>
      </c>
      <c r="B545" t="s">
        <v>553</v>
      </c>
      <c r="C545">
        <v>2</v>
      </c>
      <c r="D545">
        <v>3.8899999999999997E-2</v>
      </c>
      <c r="E545">
        <v>8.5316679788921199</v>
      </c>
      <c r="F545">
        <v>949.65529119686221</v>
      </c>
      <c r="G545">
        <v>0.42399999999999999</v>
      </c>
      <c r="H545">
        <v>3.9399999999999998E-2</v>
      </c>
      <c r="I545">
        <v>283.3999</v>
      </c>
    </row>
    <row r="546" spans="1:9" x14ac:dyDescent="0.3">
      <c r="A546" t="s">
        <v>9</v>
      </c>
      <c r="B546" t="s">
        <v>554</v>
      </c>
      <c r="C546">
        <v>2</v>
      </c>
      <c r="D546">
        <v>3.9600000000000003E-2</v>
      </c>
      <c r="E546">
        <v>8.5700932254538529</v>
      </c>
      <c r="F546">
        <v>953.30184709557068</v>
      </c>
      <c r="G546">
        <v>0.42399999999999999</v>
      </c>
      <c r="H546">
        <v>0.04</v>
      </c>
      <c r="I546">
        <v>283.5992</v>
      </c>
    </row>
    <row r="547" spans="1:9" x14ac:dyDescent="0.3">
      <c r="A547" t="s">
        <v>9</v>
      </c>
      <c r="B547" t="s">
        <v>555</v>
      </c>
      <c r="C547">
        <v>2</v>
      </c>
      <c r="D547">
        <v>4.02E-2</v>
      </c>
      <c r="E547">
        <v>8.6038543419787619</v>
      </c>
      <c r="F547">
        <v>956.50577705378453</v>
      </c>
      <c r="G547">
        <v>0.42399999999999999</v>
      </c>
      <c r="H547">
        <v>4.0500000000000001E-2</v>
      </c>
      <c r="I547">
        <v>283.79930000000002</v>
      </c>
    </row>
    <row r="548" spans="1:9" x14ac:dyDescent="0.3">
      <c r="A548" t="s">
        <v>9</v>
      </c>
      <c r="B548" t="s">
        <v>556</v>
      </c>
      <c r="C548">
        <v>2</v>
      </c>
      <c r="D548">
        <v>4.1200000000000001E-2</v>
      </c>
      <c r="E548">
        <v>8.632768461158614</v>
      </c>
      <c r="F548">
        <v>959.24972696395253</v>
      </c>
      <c r="G548">
        <v>0.42399999999999999</v>
      </c>
      <c r="H548">
        <v>4.1000000000000002E-2</v>
      </c>
      <c r="I548">
        <v>284.00029999999998</v>
      </c>
    </row>
    <row r="549" spans="1:9" x14ac:dyDescent="0.3">
      <c r="A549" t="s">
        <v>9</v>
      </c>
      <c r="B549" t="s">
        <v>557</v>
      </c>
      <c r="C549">
        <v>2</v>
      </c>
      <c r="D549">
        <v>4.2099999999999999E-2</v>
      </c>
      <c r="E549">
        <v>8.6565205322206911</v>
      </c>
      <c r="F549">
        <v>961.50379850774368</v>
      </c>
      <c r="G549">
        <v>0.42399999999999999</v>
      </c>
      <c r="H549">
        <v>4.1300000000000003E-2</v>
      </c>
      <c r="I549">
        <v>284.20100000000002</v>
      </c>
    </row>
    <row r="550" spans="1:9" x14ac:dyDescent="0.3">
      <c r="A550" t="s">
        <v>9</v>
      </c>
      <c r="B550" t="s">
        <v>558</v>
      </c>
      <c r="C550">
        <v>2</v>
      </c>
      <c r="D550">
        <v>4.2700000000000002E-2</v>
      </c>
      <c r="E550">
        <v>8.6750031054162502</v>
      </c>
      <c r="F550">
        <v>963.25779470400221</v>
      </c>
      <c r="G550">
        <v>0.42399999999999999</v>
      </c>
      <c r="H550">
        <v>4.1599999999999998E-2</v>
      </c>
      <c r="I550">
        <v>284.40089999999998</v>
      </c>
    </row>
    <row r="551" spans="1:9" x14ac:dyDescent="0.3">
      <c r="A551" t="s">
        <v>9</v>
      </c>
      <c r="B551" t="s">
        <v>559</v>
      </c>
      <c r="C551">
        <v>2</v>
      </c>
      <c r="D551">
        <v>4.2999999999999997E-2</v>
      </c>
      <c r="E551">
        <v>8.6882457801100355</v>
      </c>
      <c r="F551">
        <v>964.51452453244246</v>
      </c>
      <c r="G551">
        <v>0.42399999999999999</v>
      </c>
      <c r="H551">
        <v>4.1799999999999997E-2</v>
      </c>
      <c r="I551">
        <v>284.60059999999999</v>
      </c>
    </row>
    <row r="552" spans="1:9" x14ac:dyDescent="0.3">
      <c r="A552" t="s">
        <v>9</v>
      </c>
      <c r="B552" t="s">
        <v>560</v>
      </c>
      <c r="C552">
        <v>2</v>
      </c>
      <c r="D552">
        <v>4.2999999999999997E-2</v>
      </c>
      <c r="E552">
        <v>8.6961780043915606</v>
      </c>
      <c r="F552">
        <v>965.26729261675916</v>
      </c>
      <c r="G552">
        <v>0.42399999999999999</v>
      </c>
      <c r="H552">
        <v>4.2000000000000003E-2</v>
      </c>
      <c r="I552">
        <v>284.79899999999998</v>
      </c>
    </row>
    <row r="553" spans="1:9" x14ac:dyDescent="0.3">
      <c r="A553" t="s">
        <v>9</v>
      </c>
      <c r="B553" t="s">
        <v>561</v>
      </c>
      <c r="C553">
        <v>2</v>
      </c>
      <c r="D553">
        <v>4.2999999999999997E-2</v>
      </c>
      <c r="E553">
        <v>8.6988719520543132</v>
      </c>
      <c r="F553">
        <v>965.52294824995442</v>
      </c>
      <c r="G553">
        <v>0.42399999999999999</v>
      </c>
      <c r="H553">
        <v>4.2000000000000003E-2</v>
      </c>
      <c r="I553">
        <v>285.00029999999998</v>
      </c>
    </row>
    <row r="554" spans="1:9" x14ac:dyDescent="0.3">
      <c r="A554" t="s">
        <v>9</v>
      </c>
      <c r="B554" t="s">
        <v>562</v>
      </c>
      <c r="C554">
        <v>2</v>
      </c>
      <c r="D554">
        <v>4.3099999999999999E-2</v>
      </c>
      <c r="E554">
        <v>8.6961516487928137</v>
      </c>
      <c r="F554">
        <v>858.48133366749028</v>
      </c>
      <c r="G554">
        <v>0.42399999999999999</v>
      </c>
      <c r="H554">
        <v>4.2000000000000003E-2</v>
      </c>
      <c r="I554">
        <v>285.202</v>
      </c>
    </row>
    <row r="555" spans="1:9" x14ac:dyDescent="0.3">
      <c r="A555" t="s">
        <v>9</v>
      </c>
      <c r="B555" t="s">
        <v>563</v>
      </c>
      <c r="C555">
        <v>2</v>
      </c>
      <c r="D555">
        <v>4.2200000000000001E-2</v>
      </c>
      <c r="E555">
        <v>8.6881711734920444</v>
      </c>
      <c r="F555">
        <v>857.73755336945851</v>
      </c>
      <c r="G555">
        <v>0.42399999999999999</v>
      </c>
      <c r="H555">
        <v>4.1799999999999997E-2</v>
      </c>
      <c r="I555">
        <v>285.4008</v>
      </c>
    </row>
    <row r="556" spans="1:9" x14ac:dyDescent="0.3">
      <c r="A556" t="s">
        <v>9</v>
      </c>
      <c r="B556" t="s">
        <v>564</v>
      </c>
      <c r="C556">
        <v>2</v>
      </c>
      <c r="D556">
        <v>4.1799999999999997E-2</v>
      </c>
      <c r="E556">
        <v>8.6748145615175165</v>
      </c>
      <c r="F556">
        <v>856.49271713343251</v>
      </c>
      <c r="G556">
        <v>0.42399999999999999</v>
      </c>
      <c r="H556">
        <v>4.1599999999999998E-2</v>
      </c>
      <c r="I556">
        <v>285.60149999999999</v>
      </c>
    </row>
    <row r="557" spans="1:9" x14ac:dyDescent="0.3">
      <c r="A557" t="s">
        <v>9</v>
      </c>
      <c r="B557" t="s">
        <v>565</v>
      </c>
      <c r="C557">
        <v>2</v>
      </c>
      <c r="D557">
        <v>4.1599999999999998E-2</v>
      </c>
      <c r="E557">
        <v>8.6564913383266937</v>
      </c>
      <c r="F557">
        <v>854.78499273204784</v>
      </c>
      <c r="G557">
        <v>0.42399999999999999</v>
      </c>
      <c r="H557">
        <v>4.1300000000000003E-2</v>
      </c>
      <c r="I557">
        <v>285.79919999999998</v>
      </c>
    </row>
    <row r="558" spans="1:9" x14ac:dyDescent="0.3">
      <c r="A558" t="s">
        <v>9</v>
      </c>
      <c r="B558" t="s">
        <v>566</v>
      </c>
      <c r="C558">
        <v>2</v>
      </c>
      <c r="D558">
        <v>4.1399999999999999E-2</v>
      </c>
      <c r="E558">
        <v>8.632686961537873</v>
      </c>
      <c r="F558">
        <v>852.56642481532981</v>
      </c>
      <c r="G558">
        <v>0.42399999999999999</v>
      </c>
      <c r="H558">
        <v>4.1000000000000002E-2</v>
      </c>
      <c r="I558">
        <v>286.00020000000001</v>
      </c>
    </row>
    <row r="559" spans="1:9" x14ac:dyDescent="0.3">
      <c r="A559" t="s">
        <v>9</v>
      </c>
      <c r="B559" t="s">
        <v>567</v>
      </c>
      <c r="C559">
        <v>2</v>
      </c>
      <c r="D559">
        <v>4.1300000000000003E-2</v>
      </c>
      <c r="E559">
        <v>8.6037424320517708</v>
      </c>
      <c r="F559">
        <v>849.86879466722507</v>
      </c>
      <c r="G559">
        <v>0.42399999999999999</v>
      </c>
      <c r="H559">
        <v>4.0500000000000001E-2</v>
      </c>
      <c r="I559">
        <v>286.20139999999998</v>
      </c>
    </row>
    <row r="560" spans="1:9" x14ac:dyDescent="0.3">
      <c r="A560" t="s">
        <v>9</v>
      </c>
      <c r="B560" t="s">
        <v>568</v>
      </c>
      <c r="C560">
        <v>2</v>
      </c>
      <c r="D560">
        <v>4.1300000000000003E-2</v>
      </c>
      <c r="E560">
        <v>8.5701126880498517</v>
      </c>
      <c r="F560">
        <v>846.73450252624616</v>
      </c>
      <c r="G560">
        <v>0.42399999999999999</v>
      </c>
      <c r="H560">
        <v>0.04</v>
      </c>
      <c r="I560">
        <v>286.40069999999997</v>
      </c>
    </row>
    <row r="561" spans="1:9" x14ac:dyDescent="0.3">
      <c r="A561" t="s">
        <v>9</v>
      </c>
      <c r="B561" t="s">
        <v>569</v>
      </c>
      <c r="C561">
        <v>2</v>
      </c>
      <c r="D561">
        <v>4.1099999999999998E-2</v>
      </c>
      <c r="E561">
        <v>8.5313869876623958</v>
      </c>
      <c r="F561">
        <v>843.12526725013527</v>
      </c>
      <c r="G561">
        <v>0.42399999999999999</v>
      </c>
      <c r="H561">
        <v>3.9399999999999998E-2</v>
      </c>
      <c r="I561">
        <v>286.60149999999999</v>
      </c>
    </row>
    <row r="562" spans="1:9" x14ac:dyDescent="0.3">
      <c r="A562" t="s">
        <v>9</v>
      </c>
      <c r="B562" t="s">
        <v>570</v>
      </c>
      <c r="C562">
        <v>2</v>
      </c>
      <c r="D562">
        <v>4.1000000000000002E-2</v>
      </c>
      <c r="E562">
        <v>8.488067709148611</v>
      </c>
      <c r="F562">
        <v>839.08791049265062</v>
      </c>
      <c r="G562">
        <v>0.42399999999999999</v>
      </c>
      <c r="H562">
        <v>3.8699999999999998E-2</v>
      </c>
      <c r="I562">
        <v>286.80180000000001</v>
      </c>
    </row>
    <row r="563" spans="1:9" x14ac:dyDescent="0.3">
      <c r="A563" t="s">
        <v>9</v>
      </c>
      <c r="B563" t="s">
        <v>571</v>
      </c>
      <c r="C563">
        <v>2</v>
      </c>
      <c r="D563">
        <v>4.02E-2</v>
      </c>
      <c r="E563">
        <v>8.4406945340766963</v>
      </c>
      <c r="F563">
        <v>834.67273057594809</v>
      </c>
      <c r="G563">
        <v>0.42399999999999999</v>
      </c>
      <c r="H563">
        <v>3.7999999999999999E-2</v>
      </c>
      <c r="I563">
        <v>287.00020000000001</v>
      </c>
    </row>
    <row r="564" spans="1:9" x14ac:dyDescent="0.3">
      <c r="A564" t="s">
        <v>9</v>
      </c>
      <c r="B564" t="s">
        <v>572</v>
      </c>
      <c r="C564">
        <v>2</v>
      </c>
      <c r="D564">
        <v>4.0099999999999997E-2</v>
      </c>
      <c r="E564">
        <v>8.3886730423272109</v>
      </c>
      <c r="F564">
        <v>829.82432754489605</v>
      </c>
      <c r="G564">
        <v>0.42399999999999999</v>
      </c>
      <c r="H564">
        <v>3.7199999999999997E-2</v>
      </c>
      <c r="I564">
        <v>287.20010000000002</v>
      </c>
    </row>
    <row r="565" spans="1:9" x14ac:dyDescent="0.3">
      <c r="A565" t="s">
        <v>9</v>
      </c>
      <c r="B565" t="s">
        <v>573</v>
      </c>
      <c r="C565">
        <v>2</v>
      </c>
      <c r="D565">
        <v>3.9300000000000002E-2</v>
      </c>
      <c r="E565">
        <v>8.3319659305911493</v>
      </c>
      <c r="F565">
        <v>824.53922473109515</v>
      </c>
      <c r="G565">
        <v>0.42399999999999999</v>
      </c>
      <c r="H565">
        <v>3.6299999999999999E-2</v>
      </c>
      <c r="I565">
        <v>287.40199999999999</v>
      </c>
    </row>
    <row r="566" spans="1:9" x14ac:dyDescent="0.3">
      <c r="A566" t="s">
        <v>9</v>
      </c>
      <c r="B566" t="s">
        <v>574</v>
      </c>
      <c r="C566">
        <v>2</v>
      </c>
      <c r="D566">
        <v>3.85E-2</v>
      </c>
      <c r="E566">
        <v>8.2725543289528378</v>
      </c>
      <c r="F566">
        <v>819.00206345840456</v>
      </c>
      <c r="G566">
        <v>0.42399999999999999</v>
      </c>
      <c r="H566">
        <v>3.5400000000000001E-2</v>
      </c>
      <c r="I566">
        <v>287.59989999999999</v>
      </c>
    </row>
    <row r="567" spans="1:9" x14ac:dyDescent="0.3">
      <c r="A567" t="s">
        <v>9</v>
      </c>
      <c r="B567" t="s">
        <v>575</v>
      </c>
      <c r="C567">
        <v>2</v>
      </c>
      <c r="D567">
        <v>3.7199999999999997E-2</v>
      </c>
      <c r="E567">
        <v>8.2083934484202121</v>
      </c>
      <c r="F567">
        <v>813.02226939276375</v>
      </c>
      <c r="G567">
        <v>0.42399999999999999</v>
      </c>
      <c r="H567">
        <v>3.44E-2</v>
      </c>
      <c r="I567">
        <v>287.80130000000003</v>
      </c>
    </row>
    <row r="568" spans="1:9" x14ac:dyDescent="0.3">
      <c r="A568" t="s">
        <v>9</v>
      </c>
      <c r="B568" t="s">
        <v>576</v>
      </c>
      <c r="C568">
        <v>2</v>
      </c>
      <c r="D568">
        <v>3.6600000000000001E-2</v>
      </c>
      <c r="E568">
        <v>8.1414445510108404</v>
      </c>
      <c r="F568">
        <v>806.78263215421032</v>
      </c>
      <c r="G568">
        <v>0.42399999999999999</v>
      </c>
      <c r="H568">
        <v>3.3300000000000003E-2</v>
      </c>
      <c r="I568">
        <v>288.00080000000003</v>
      </c>
    </row>
    <row r="569" spans="1:9" x14ac:dyDescent="0.3">
      <c r="A569" t="s">
        <v>9</v>
      </c>
      <c r="B569" t="s">
        <v>577</v>
      </c>
      <c r="C569">
        <v>2</v>
      </c>
      <c r="D569">
        <v>3.5099999999999999E-2</v>
      </c>
      <c r="E569">
        <v>8.0710710476472816</v>
      </c>
      <c r="F569">
        <v>800.22382164072667</v>
      </c>
      <c r="G569">
        <v>0.42399999999999999</v>
      </c>
      <c r="H569">
        <v>3.2199999999999999E-2</v>
      </c>
      <c r="I569">
        <v>288.20119999999997</v>
      </c>
    </row>
    <row r="570" spans="1:9" x14ac:dyDescent="0.3">
      <c r="A570" t="s">
        <v>9</v>
      </c>
      <c r="B570" t="s">
        <v>578</v>
      </c>
      <c r="C570">
        <v>2</v>
      </c>
      <c r="D570">
        <v>3.39E-2</v>
      </c>
      <c r="E570">
        <v>7.998527059359172</v>
      </c>
      <c r="F570">
        <v>793.4627219322748</v>
      </c>
      <c r="G570">
        <v>0.42399999999999999</v>
      </c>
      <c r="H570">
        <v>3.1099999999999999E-2</v>
      </c>
      <c r="I570">
        <v>288.3997</v>
      </c>
    </row>
    <row r="571" spans="1:9" x14ac:dyDescent="0.3">
      <c r="A571" t="s">
        <v>9</v>
      </c>
      <c r="B571" t="s">
        <v>579</v>
      </c>
      <c r="C571">
        <v>2</v>
      </c>
      <c r="D571">
        <v>3.2500000000000001E-2</v>
      </c>
      <c r="E571">
        <v>7.922527243869129</v>
      </c>
      <c r="F571">
        <v>786.3795391286028</v>
      </c>
      <c r="G571">
        <v>0.42399999999999999</v>
      </c>
      <c r="H571">
        <v>2.9899999999999999E-2</v>
      </c>
      <c r="I571">
        <v>288.60059999999999</v>
      </c>
    </row>
    <row r="572" spans="1:9" x14ac:dyDescent="0.3">
      <c r="A572" t="s">
        <v>9</v>
      </c>
      <c r="B572" t="s">
        <v>580</v>
      </c>
      <c r="C572">
        <v>2</v>
      </c>
      <c r="D572">
        <v>3.1E-2</v>
      </c>
      <c r="E572">
        <v>7.8444185750085298</v>
      </c>
      <c r="F572">
        <v>779.09981119079498</v>
      </c>
      <c r="G572">
        <v>0.42399999999999999</v>
      </c>
      <c r="H572">
        <v>2.87E-2</v>
      </c>
      <c r="I572">
        <v>288.80110000000002</v>
      </c>
    </row>
    <row r="573" spans="1:9" x14ac:dyDescent="0.3">
      <c r="A573" t="s">
        <v>9</v>
      </c>
      <c r="B573" t="s">
        <v>581</v>
      </c>
      <c r="C573">
        <v>2</v>
      </c>
      <c r="D573">
        <v>2.9899999999999999E-2</v>
      </c>
      <c r="E573">
        <v>7.7648295324398138</v>
      </c>
      <c r="F573">
        <v>771.68211242339066</v>
      </c>
      <c r="G573">
        <v>0.42399999999999999</v>
      </c>
      <c r="H573">
        <v>2.75E-2</v>
      </c>
      <c r="I573">
        <v>289.00029999999998</v>
      </c>
    </row>
    <row r="574" spans="1:9" x14ac:dyDescent="0.3">
      <c r="A574" t="s">
        <v>9</v>
      </c>
      <c r="B574" t="s">
        <v>582</v>
      </c>
      <c r="C574">
        <v>2</v>
      </c>
      <c r="D574">
        <v>2.81E-2</v>
      </c>
      <c r="E574">
        <v>7.6835654902030024</v>
      </c>
      <c r="F574">
        <v>764.10830368691984</v>
      </c>
      <c r="G574">
        <v>0.42399999999999999</v>
      </c>
      <c r="H574">
        <v>2.6200000000000001E-2</v>
      </c>
      <c r="I574">
        <v>289.19959999999998</v>
      </c>
    </row>
    <row r="575" spans="1:9" x14ac:dyDescent="0.3">
      <c r="A575" t="s">
        <v>9</v>
      </c>
      <c r="B575" t="s">
        <v>583</v>
      </c>
      <c r="C575">
        <v>2</v>
      </c>
      <c r="D575">
        <v>2.69E-2</v>
      </c>
      <c r="E575">
        <v>7.5999906701621534</v>
      </c>
      <c r="F575">
        <v>756.31913045911267</v>
      </c>
      <c r="G575">
        <v>0.42399999999999999</v>
      </c>
      <c r="H575">
        <v>2.4899999999999999E-2</v>
      </c>
      <c r="I575">
        <v>289.40140000000002</v>
      </c>
    </row>
    <row r="576" spans="1:9" x14ac:dyDescent="0.3">
      <c r="A576" t="s">
        <v>9</v>
      </c>
      <c r="B576" t="s">
        <v>584</v>
      </c>
      <c r="C576">
        <v>2</v>
      </c>
      <c r="D576">
        <v>2.5899999999999999E-2</v>
      </c>
      <c r="E576">
        <v>7.516148239426327</v>
      </c>
      <c r="F576">
        <v>748.50501591453371</v>
      </c>
      <c r="G576">
        <v>0.42399999999999999</v>
      </c>
      <c r="H576">
        <v>2.3599999999999999E-2</v>
      </c>
      <c r="I576">
        <v>289.60129999999998</v>
      </c>
    </row>
    <row r="577" spans="1:9" x14ac:dyDescent="0.3">
      <c r="A577" t="s">
        <v>9</v>
      </c>
      <c r="B577" t="s">
        <v>585</v>
      </c>
      <c r="C577">
        <v>2</v>
      </c>
      <c r="D577">
        <v>2.3599999999999999E-2</v>
      </c>
      <c r="E577">
        <v>7.4317941046040499</v>
      </c>
      <c r="F577">
        <v>740.64321054909749</v>
      </c>
      <c r="G577">
        <v>0.42399999999999999</v>
      </c>
      <c r="H577">
        <v>2.23E-2</v>
      </c>
      <c r="I577">
        <v>289.80090000000001</v>
      </c>
    </row>
    <row r="578" spans="1:9" x14ac:dyDescent="0.3">
      <c r="A578" t="s">
        <v>9</v>
      </c>
      <c r="B578" t="s">
        <v>586</v>
      </c>
      <c r="C578">
        <v>2</v>
      </c>
      <c r="D578">
        <v>2.1999999999999999E-2</v>
      </c>
      <c r="E578">
        <v>7.346767699278332</v>
      </c>
      <c r="F578">
        <v>732.71874957274053</v>
      </c>
      <c r="G578">
        <v>0.42399999999999999</v>
      </c>
      <c r="H578">
        <v>2.1000000000000001E-2</v>
      </c>
      <c r="I578">
        <v>290.00130000000001</v>
      </c>
    </row>
    <row r="579" spans="1:9" x14ac:dyDescent="0.3">
      <c r="A579" t="s">
        <v>9</v>
      </c>
      <c r="B579" t="s">
        <v>587</v>
      </c>
      <c r="C579">
        <v>2</v>
      </c>
      <c r="D579">
        <v>2.0500000000000001E-2</v>
      </c>
      <c r="E579">
        <v>7.2618159005706087</v>
      </c>
      <c r="F579">
        <v>724.80124193318079</v>
      </c>
      <c r="G579">
        <v>0.42399999999999999</v>
      </c>
      <c r="H579">
        <v>1.9699999999999999E-2</v>
      </c>
      <c r="I579">
        <v>290.20139999999998</v>
      </c>
    </row>
    <row r="580" spans="1:9" x14ac:dyDescent="0.3">
      <c r="A580" t="s">
        <v>9</v>
      </c>
      <c r="B580" t="s">
        <v>588</v>
      </c>
      <c r="C580">
        <v>2</v>
      </c>
      <c r="D580">
        <v>1.9599999999999999E-2</v>
      </c>
      <c r="E580">
        <v>7.1777334311508074</v>
      </c>
      <c r="F580">
        <v>716.96475578325521</v>
      </c>
      <c r="G580">
        <v>0.42399999999999999</v>
      </c>
      <c r="H580">
        <v>1.84E-2</v>
      </c>
      <c r="I580">
        <v>290.40039999999999</v>
      </c>
    </row>
    <row r="581" spans="1:9" x14ac:dyDescent="0.3">
      <c r="A581" t="s">
        <v>9</v>
      </c>
      <c r="B581" t="s">
        <v>589</v>
      </c>
      <c r="C581">
        <v>2</v>
      </c>
      <c r="D581">
        <v>1.77E-2</v>
      </c>
      <c r="E581">
        <v>7.0938881621197316</v>
      </c>
      <c r="F581">
        <v>709.15037670955905</v>
      </c>
      <c r="G581">
        <v>0.42399999999999999</v>
      </c>
      <c r="H581">
        <v>1.7100000000000001E-2</v>
      </c>
      <c r="I581">
        <v>290.60039999999998</v>
      </c>
    </row>
    <row r="582" spans="1:9" x14ac:dyDescent="0.3">
      <c r="A582" t="s">
        <v>9</v>
      </c>
      <c r="B582" t="s">
        <v>590</v>
      </c>
      <c r="C582">
        <v>2</v>
      </c>
      <c r="D582">
        <v>1.6799999999999999E-2</v>
      </c>
      <c r="E582">
        <v>7.0114320358780287</v>
      </c>
      <c r="F582">
        <v>701.46546574383228</v>
      </c>
      <c r="G582">
        <v>0.42399999999999999</v>
      </c>
      <c r="H582">
        <v>1.5800000000000002E-2</v>
      </c>
      <c r="I582">
        <v>290.79939999999999</v>
      </c>
    </row>
    <row r="583" spans="1:9" x14ac:dyDescent="0.3">
      <c r="A583" t="s">
        <v>9</v>
      </c>
      <c r="B583" t="s">
        <v>591</v>
      </c>
      <c r="C583">
        <v>2</v>
      </c>
      <c r="D583">
        <v>1.49E-2</v>
      </c>
      <c r="E583">
        <v>6.9292191920863049</v>
      </c>
      <c r="F583">
        <v>693.80322870244368</v>
      </c>
      <c r="G583">
        <v>0.42399999999999999</v>
      </c>
      <c r="H583">
        <v>1.4500000000000001E-2</v>
      </c>
      <c r="I583">
        <v>291.00099999999998</v>
      </c>
    </row>
    <row r="584" spans="1:9" x14ac:dyDescent="0.3">
      <c r="A584" t="s">
        <v>9</v>
      </c>
      <c r="B584" t="s">
        <v>592</v>
      </c>
      <c r="C584">
        <v>2</v>
      </c>
      <c r="D584">
        <v>1.34E-2</v>
      </c>
      <c r="E584">
        <v>6.8494703940421049</v>
      </c>
      <c r="F584">
        <v>686.37064072472424</v>
      </c>
      <c r="G584">
        <v>0.42399999999999999</v>
      </c>
      <c r="H584">
        <v>1.3299999999999999E-2</v>
      </c>
      <c r="I584">
        <v>291.20069999999998</v>
      </c>
    </row>
    <row r="585" spans="1:9" x14ac:dyDescent="0.3">
      <c r="A585" t="s">
        <v>9</v>
      </c>
      <c r="B585" t="s">
        <v>593</v>
      </c>
      <c r="C585">
        <v>2</v>
      </c>
      <c r="D585">
        <v>1.1900000000000001E-2</v>
      </c>
      <c r="E585">
        <v>6.7719500632397009</v>
      </c>
      <c r="F585">
        <v>679.1457458939401</v>
      </c>
      <c r="G585">
        <v>0.42399999999999999</v>
      </c>
      <c r="H585">
        <v>1.21E-2</v>
      </c>
      <c r="I585">
        <v>291.3997</v>
      </c>
    </row>
    <row r="586" spans="1:9" x14ac:dyDescent="0.3">
      <c r="A586" t="s">
        <v>9</v>
      </c>
      <c r="B586" t="s">
        <v>594</v>
      </c>
      <c r="C586">
        <v>2</v>
      </c>
      <c r="D586">
        <v>1.06E-2</v>
      </c>
      <c r="E586">
        <v>6.6959997151811521</v>
      </c>
      <c r="F586">
        <v>672.06717345488335</v>
      </c>
      <c r="G586">
        <v>0.42399999999999999</v>
      </c>
      <c r="H586">
        <v>1.09E-2</v>
      </c>
      <c r="I586">
        <v>291.60050000000001</v>
      </c>
    </row>
    <row r="587" spans="1:9" x14ac:dyDescent="0.3">
      <c r="A587" t="s">
        <v>9</v>
      </c>
      <c r="B587" t="s">
        <v>595</v>
      </c>
      <c r="C587">
        <v>2</v>
      </c>
      <c r="D587">
        <v>1.01E-2</v>
      </c>
      <c r="E587">
        <v>6.6232923221808067</v>
      </c>
      <c r="F587">
        <v>665.29084442725116</v>
      </c>
      <c r="G587">
        <v>0.42399999999999999</v>
      </c>
      <c r="H587">
        <v>9.7999999999999997E-3</v>
      </c>
      <c r="I587">
        <v>291.79939999999999</v>
      </c>
    </row>
    <row r="588" spans="1:9" x14ac:dyDescent="0.3">
      <c r="A588" t="s">
        <v>9</v>
      </c>
      <c r="B588" t="s">
        <v>596</v>
      </c>
      <c r="C588">
        <v>2</v>
      </c>
      <c r="D588">
        <v>8.9999999999999993E-3</v>
      </c>
      <c r="E588">
        <v>6.5525291614265351</v>
      </c>
      <c r="F588">
        <v>658.69571784495304</v>
      </c>
      <c r="G588">
        <v>0.42399999999999999</v>
      </c>
      <c r="H588">
        <v>8.6999999999999994E-3</v>
      </c>
      <c r="I588">
        <v>292.00099999999998</v>
      </c>
    </row>
    <row r="589" spans="1:9" x14ac:dyDescent="0.3">
      <c r="A589" t="s">
        <v>9</v>
      </c>
      <c r="B589" t="s">
        <v>597</v>
      </c>
      <c r="C589">
        <v>2</v>
      </c>
      <c r="D589">
        <v>7.9000000000000008E-3</v>
      </c>
      <c r="E589">
        <v>6.4856893356489032</v>
      </c>
      <c r="F589">
        <v>652.46624608247782</v>
      </c>
      <c r="G589">
        <v>0.42399999999999999</v>
      </c>
      <c r="H589">
        <v>7.6E-3</v>
      </c>
      <c r="I589">
        <v>292.20030000000003</v>
      </c>
    </row>
    <row r="590" spans="1:9" x14ac:dyDescent="0.3">
      <c r="A590" t="s">
        <v>9</v>
      </c>
      <c r="B590" t="s">
        <v>598</v>
      </c>
      <c r="C590">
        <v>2</v>
      </c>
      <c r="D590">
        <v>6.1999999999999998E-3</v>
      </c>
      <c r="E590">
        <v>6.4219027046184944</v>
      </c>
      <c r="F590">
        <v>646.52133207044358</v>
      </c>
      <c r="G590">
        <v>0.42399999999999999</v>
      </c>
      <c r="H590">
        <v>6.6E-3</v>
      </c>
      <c r="I590">
        <v>292.4006</v>
      </c>
    </row>
    <row r="591" spans="1:9" x14ac:dyDescent="0.3">
      <c r="A591" t="s">
        <v>9</v>
      </c>
      <c r="B591" t="s">
        <v>599</v>
      </c>
      <c r="C591">
        <v>2</v>
      </c>
      <c r="D591">
        <v>5.5999999999999999E-3</v>
      </c>
      <c r="E591">
        <v>6.3618435661924906</v>
      </c>
      <c r="F591">
        <v>640.92382036914012</v>
      </c>
      <c r="G591">
        <v>0.42399999999999999</v>
      </c>
      <c r="H591">
        <v>5.7000000000000002E-3</v>
      </c>
      <c r="I591">
        <v>292.60070000000002</v>
      </c>
    </row>
    <row r="592" spans="1:9" x14ac:dyDescent="0.3">
      <c r="A592" t="s">
        <v>9</v>
      </c>
      <c r="B592" t="s">
        <v>600</v>
      </c>
      <c r="C592">
        <v>2</v>
      </c>
      <c r="D592">
        <v>4.0000000000000001E-3</v>
      </c>
      <c r="E592">
        <v>6.3055267606003449</v>
      </c>
      <c r="F592">
        <v>635.67509408795217</v>
      </c>
      <c r="G592">
        <v>0.42399999999999999</v>
      </c>
      <c r="H592">
        <v>4.7999999999999996E-3</v>
      </c>
      <c r="I592">
        <v>292.8014</v>
      </c>
    </row>
    <row r="593" spans="1:9" x14ac:dyDescent="0.3">
      <c r="A593" t="s">
        <v>9</v>
      </c>
      <c r="B593" t="s">
        <v>601</v>
      </c>
      <c r="C593">
        <v>2</v>
      </c>
      <c r="D593">
        <v>3.2000000000000002E-3</v>
      </c>
      <c r="E593">
        <v>6.2539244039650939</v>
      </c>
      <c r="F593">
        <v>630.86575444954678</v>
      </c>
      <c r="G593">
        <v>0.42399999999999999</v>
      </c>
      <c r="H593">
        <v>4.0000000000000001E-3</v>
      </c>
      <c r="I593">
        <v>292.99970000000002</v>
      </c>
    </row>
    <row r="594" spans="1:9" x14ac:dyDescent="0.3">
      <c r="A594" t="s">
        <v>9</v>
      </c>
      <c r="B594" t="s">
        <v>602</v>
      </c>
      <c r="C594">
        <v>2</v>
      </c>
      <c r="D594">
        <v>2.2000000000000001E-3</v>
      </c>
      <c r="E594">
        <v>6.2057710220761013</v>
      </c>
      <c r="F594">
        <v>626.37785925749267</v>
      </c>
      <c r="G594">
        <v>0.42399999999999999</v>
      </c>
      <c r="H594">
        <v>3.3E-3</v>
      </c>
      <c r="I594">
        <v>293.20159999999998</v>
      </c>
    </row>
    <row r="595" spans="1:9" x14ac:dyDescent="0.3">
      <c r="A595" t="s">
        <v>9</v>
      </c>
      <c r="B595" t="s">
        <v>603</v>
      </c>
      <c r="C595">
        <v>2</v>
      </c>
      <c r="D595">
        <v>1.8E-3</v>
      </c>
      <c r="E595">
        <v>6.1626880113683207</v>
      </c>
      <c r="F595">
        <v>622.36252265952749</v>
      </c>
      <c r="G595">
        <v>0.42399999999999999</v>
      </c>
      <c r="H595">
        <v>2.5999999999999999E-3</v>
      </c>
      <c r="I595">
        <v>293.40109999999999</v>
      </c>
    </row>
    <row r="596" spans="1:9" x14ac:dyDescent="0.3">
      <c r="A596" t="s">
        <v>9</v>
      </c>
      <c r="B596" t="s">
        <v>604</v>
      </c>
      <c r="C596">
        <v>2</v>
      </c>
      <c r="D596">
        <v>1.1999999999999999E-3</v>
      </c>
      <c r="E596">
        <v>6.123923547977169</v>
      </c>
      <c r="F596">
        <v>618.74967467147212</v>
      </c>
      <c r="G596">
        <v>0.42399999999999999</v>
      </c>
      <c r="H596">
        <v>2E-3</v>
      </c>
      <c r="I596">
        <v>293.60239999999999</v>
      </c>
    </row>
    <row r="597" spans="1:9" x14ac:dyDescent="0.3">
      <c r="A597" t="s">
        <v>9</v>
      </c>
      <c r="B597" t="s">
        <v>605</v>
      </c>
      <c r="C597">
        <v>2</v>
      </c>
      <c r="D597">
        <v>1.1000000000000001E-3</v>
      </c>
      <c r="E597">
        <v>6.090526179262052</v>
      </c>
      <c r="F597">
        <v>615.63703990722331</v>
      </c>
      <c r="G597">
        <v>0.42399999999999999</v>
      </c>
      <c r="H597">
        <v>1.5E-3</v>
      </c>
      <c r="I597">
        <v>293.80079999999998</v>
      </c>
    </row>
    <row r="598" spans="1:9" x14ac:dyDescent="0.3">
      <c r="A598" t="s">
        <v>9</v>
      </c>
      <c r="B598" t="s">
        <v>606</v>
      </c>
      <c r="C598">
        <v>2</v>
      </c>
      <c r="D598">
        <v>2.9999999999999997E-4</v>
      </c>
      <c r="E598">
        <v>6.0617568536870108</v>
      </c>
      <c r="F598">
        <v>612.95573876362937</v>
      </c>
      <c r="G598">
        <v>0.42399999999999999</v>
      </c>
      <c r="H598">
        <v>1E-3</v>
      </c>
      <c r="I598">
        <v>294.0009</v>
      </c>
    </row>
    <row r="599" spans="1:9" x14ac:dyDescent="0.3">
      <c r="A599" t="s">
        <v>9</v>
      </c>
      <c r="B599" t="s">
        <v>607</v>
      </c>
      <c r="C599">
        <v>2</v>
      </c>
      <c r="D599">
        <v>-2.9999999999999997E-4</v>
      </c>
      <c r="E599">
        <v>6.0381226124248739</v>
      </c>
      <c r="F599">
        <v>610.75302747799822</v>
      </c>
      <c r="G599">
        <v>0.42399999999999999</v>
      </c>
      <c r="H599">
        <v>6.9999999999999999E-4</v>
      </c>
      <c r="I599">
        <v>294.20069999999998</v>
      </c>
    </row>
    <row r="600" spans="1:9" x14ac:dyDescent="0.3">
      <c r="A600" t="s">
        <v>9</v>
      </c>
      <c r="B600" t="s">
        <v>608</v>
      </c>
      <c r="C600">
        <v>2</v>
      </c>
      <c r="D600">
        <v>-2.9999999999999997E-4</v>
      </c>
      <c r="E600">
        <v>6.0195462376260176</v>
      </c>
      <c r="F600">
        <v>609.02170934674496</v>
      </c>
      <c r="G600">
        <v>0.42399999999999999</v>
      </c>
      <c r="H600">
        <v>4.0000000000000002E-4</v>
      </c>
      <c r="I600">
        <v>294.40159999999997</v>
      </c>
    </row>
    <row r="601" spans="1:9" x14ac:dyDescent="0.3">
      <c r="A601" t="s">
        <v>9</v>
      </c>
      <c r="B601" t="s">
        <v>609</v>
      </c>
      <c r="C601">
        <v>2</v>
      </c>
      <c r="D601">
        <v>-2.9999999999999997E-4</v>
      </c>
      <c r="E601">
        <v>6.0063775289064383</v>
      </c>
      <c r="F601">
        <v>607.79438569408012</v>
      </c>
      <c r="G601">
        <v>0.42399999999999999</v>
      </c>
      <c r="H601">
        <v>2.0000000000000001E-4</v>
      </c>
      <c r="I601">
        <v>294.6003</v>
      </c>
    </row>
    <row r="602" spans="1:9" x14ac:dyDescent="0.3">
      <c r="A602" t="s">
        <v>9</v>
      </c>
      <c r="B602" t="s">
        <v>610</v>
      </c>
      <c r="C602">
        <v>2</v>
      </c>
      <c r="D602">
        <v>-8.9999999999999998E-4</v>
      </c>
      <c r="E602">
        <v>5.9984037994225359</v>
      </c>
      <c r="F602">
        <v>607.05123410618035</v>
      </c>
      <c r="G602">
        <v>0.42399999999999999</v>
      </c>
      <c r="H602">
        <v>0</v>
      </c>
      <c r="I602">
        <v>294.79989999999998</v>
      </c>
    </row>
    <row r="603" spans="1:9" x14ac:dyDescent="0.3">
      <c r="A603" t="s">
        <v>9</v>
      </c>
      <c r="B603" t="s">
        <v>611</v>
      </c>
      <c r="C603">
        <v>2</v>
      </c>
      <c r="D603">
        <v>-8.9999999999999998E-4</v>
      </c>
      <c r="E603">
        <v>5.9957334838115024</v>
      </c>
      <c r="F603">
        <v>606.80236069123202</v>
      </c>
      <c r="G603">
        <v>0.42399999999999999</v>
      </c>
      <c r="H603">
        <v>0</v>
      </c>
      <c r="I603">
        <v>294.99959999999999</v>
      </c>
    </row>
    <row r="604" spans="1:9" x14ac:dyDescent="0.3">
      <c r="A604" t="s">
        <v>9</v>
      </c>
      <c r="B604" t="s">
        <v>612</v>
      </c>
      <c r="C604">
        <v>2</v>
      </c>
      <c r="D604">
        <v>-8.9999999999999998E-4</v>
      </c>
      <c r="E604">
        <v>5.9984355400783134</v>
      </c>
      <c r="F604">
        <v>709.251532753432</v>
      </c>
      <c r="G604">
        <v>0.42399999999999999</v>
      </c>
      <c r="H604">
        <v>0</v>
      </c>
      <c r="I604">
        <v>295.2013</v>
      </c>
    </row>
    <row r="605" spans="1:9" x14ac:dyDescent="0.3">
      <c r="A605" t="s">
        <v>9</v>
      </c>
      <c r="B605" t="s">
        <v>613</v>
      </c>
      <c r="C605">
        <v>2</v>
      </c>
      <c r="D605">
        <v>-8.0000000000000004E-4</v>
      </c>
      <c r="E605">
        <v>6.0064939355040456</v>
      </c>
      <c r="F605">
        <v>710.01627447933402</v>
      </c>
      <c r="G605">
        <v>0.42399999999999999</v>
      </c>
      <c r="H605">
        <v>2.0000000000000001E-4</v>
      </c>
      <c r="I605">
        <v>295.40190000000001</v>
      </c>
    </row>
    <row r="606" spans="1:9" x14ac:dyDescent="0.3">
      <c r="A606" t="s">
        <v>9</v>
      </c>
      <c r="B606" t="s">
        <v>614</v>
      </c>
      <c r="C606">
        <v>2</v>
      </c>
      <c r="D606">
        <v>-4.0000000000000002E-4</v>
      </c>
      <c r="E606">
        <v>6.0197120265062631</v>
      </c>
      <c r="F606">
        <v>711.27067131544436</v>
      </c>
      <c r="G606">
        <v>0.42399999999999999</v>
      </c>
      <c r="H606">
        <v>4.0000000000000002E-4</v>
      </c>
      <c r="I606">
        <v>295.60050000000001</v>
      </c>
    </row>
    <row r="607" spans="1:9" x14ac:dyDescent="0.3">
      <c r="A607" t="s">
        <v>9</v>
      </c>
      <c r="B607" t="s">
        <v>615</v>
      </c>
      <c r="C607">
        <v>2</v>
      </c>
      <c r="D607">
        <v>-2.0000000000000001E-4</v>
      </c>
      <c r="E607">
        <v>6.0382890581677326</v>
      </c>
      <c r="F607">
        <v>713.03363162011783</v>
      </c>
      <c r="G607">
        <v>0.42399999999999999</v>
      </c>
      <c r="H607">
        <v>6.9999999999999999E-4</v>
      </c>
      <c r="I607">
        <v>295.80090000000001</v>
      </c>
    </row>
    <row r="608" spans="1:9" x14ac:dyDescent="0.3">
      <c r="A608" t="s">
        <v>9</v>
      </c>
      <c r="B608" t="s">
        <v>616</v>
      </c>
      <c r="C608">
        <v>2</v>
      </c>
      <c r="D608">
        <v>1E-4</v>
      </c>
      <c r="E608">
        <v>6.0620305058961597</v>
      </c>
      <c r="F608">
        <v>715.28669500954561</v>
      </c>
      <c r="G608">
        <v>0.42399999999999999</v>
      </c>
      <c r="H608">
        <v>1E-3</v>
      </c>
      <c r="I608">
        <v>296.00110000000001</v>
      </c>
    </row>
    <row r="609" spans="1:9" x14ac:dyDescent="0.3">
      <c r="A609" t="s">
        <v>9</v>
      </c>
      <c r="B609" t="s">
        <v>617</v>
      </c>
      <c r="C609">
        <v>2</v>
      </c>
      <c r="D609">
        <v>4.0000000000000002E-4</v>
      </c>
      <c r="E609">
        <v>5.9957334838115024</v>
      </c>
      <c r="F609">
        <v>606.80236069123202</v>
      </c>
      <c r="G609">
        <v>0.42399999999999999</v>
      </c>
      <c r="H609">
        <v>0</v>
      </c>
      <c r="I609">
        <v>296.20190000000002</v>
      </c>
    </row>
    <row r="610" spans="1:9" x14ac:dyDescent="0.3">
      <c r="A610" t="s">
        <v>9</v>
      </c>
      <c r="B610" t="s">
        <v>618</v>
      </c>
      <c r="C610">
        <v>2</v>
      </c>
      <c r="D610">
        <v>-1E-4</v>
      </c>
      <c r="E610">
        <v>5.9957334838115024</v>
      </c>
      <c r="F610">
        <v>606.80236069123202</v>
      </c>
      <c r="G610">
        <v>0.42399999999999999</v>
      </c>
      <c r="H610">
        <v>0</v>
      </c>
      <c r="I610">
        <v>296.40129999999999</v>
      </c>
    </row>
    <row r="611" spans="1:9" x14ac:dyDescent="0.3">
      <c r="A611" t="s">
        <v>9</v>
      </c>
      <c r="B611" t="s">
        <v>619</v>
      </c>
      <c r="C611">
        <v>2</v>
      </c>
      <c r="D611">
        <v>-6.9999999999999999E-4</v>
      </c>
      <c r="E611">
        <v>5.9957334838115024</v>
      </c>
      <c r="F611">
        <v>606.80236069123202</v>
      </c>
      <c r="G611">
        <v>0.42399999999999999</v>
      </c>
      <c r="H611">
        <v>0</v>
      </c>
      <c r="I611">
        <v>296.601</v>
      </c>
    </row>
    <row r="612" spans="1:9" x14ac:dyDescent="0.3">
      <c r="A612" t="s">
        <v>9</v>
      </c>
      <c r="B612" t="s">
        <v>620</v>
      </c>
      <c r="C612">
        <v>2</v>
      </c>
      <c r="D612">
        <v>-8.0000000000000004E-4</v>
      </c>
      <c r="E612">
        <v>5.9957334838115024</v>
      </c>
      <c r="F612">
        <v>606.80236069123202</v>
      </c>
      <c r="G612">
        <v>0.42399999999999999</v>
      </c>
      <c r="H612">
        <v>0</v>
      </c>
      <c r="I612">
        <v>296.8021</v>
      </c>
    </row>
    <row r="613" spans="1:9" x14ac:dyDescent="0.3">
      <c r="A613" t="s">
        <v>9</v>
      </c>
      <c r="B613" t="s">
        <v>621</v>
      </c>
      <c r="C613">
        <v>2</v>
      </c>
      <c r="D613">
        <v>-8.9999999999999998E-4</v>
      </c>
      <c r="E613">
        <v>5.9957334838115024</v>
      </c>
      <c r="F613">
        <v>606.80236069123202</v>
      </c>
      <c r="G613">
        <v>0.42399999999999999</v>
      </c>
      <c r="H613">
        <v>0</v>
      </c>
      <c r="I613">
        <v>297.00490000000002</v>
      </c>
    </row>
    <row r="614" spans="1:9" x14ac:dyDescent="0.3">
      <c r="A614" t="s">
        <v>9</v>
      </c>
      <c r="B614" t="s">
        <v>622</v>
      </c>
      <c r="C614">
        <v>2</v>
      </c>
      <c r="D614">
        <v>-8.9999999999999998E-4</v>
      </c>
      <c r="E614">
        <v>5.9957334838115024</v>
      </c>
      <c r="F614">
        <v>606.80236069123202</v>
      </c>
      <c r="G614">
        <v>0.42399999999999999</v>
      </c>
      <c r="H614">
        <v>0</v>
      </c>
      <c r="I614">
        <v>297.20170000000002</v>
      </c>
    </row>
    <row r="615" spans="1:9" x14ac:dyDescent="0.3">
      <c r="A615" t="s">
        <v>9</v>
      </c>
      <c r="B615" t="s">
        <v>623</v>
      </c>
      <c r="C615">
        <v>2</v>
      </c>
      <c r="D615">
        <v>-8.9999999999999998E-4</v>
      </c>
      <c r="E615">
        <v>5.9957334838115024</v>
      </c>
      <c r="F615">
        <v>606.80236069123202</v>
      </c>
      <c r="G615">
        <v>0.42399999999999999</v>
      </c>
      <c r="H615">
        <v>0</v>
      </c>
      <c r="I615">
        <v>297.40190000000001</v>
      </c>
    </row>
    <row r="616" spans="1:9" x14ac:dyDescent="0.3">
      <c r="A616" t="s">
        <v>9</v>
      </c>
      <c r="B616" t="s">
        <v>624</v>
      </c>
      <c r="C616">
        <v>2</v>
      </c>
      <c r="D616">
        <v>-8.9999999999999998E-4</v>
      </c>
      <c r="E616">
        <v>5.9957334838115024</v>
      </c>
      <c r="F616">
        <v>606.80236069123202</v>
      </c>
      <c r="G616">
        <v>0.42399999999999999</v>
      </c>
      <c r="H616">
        <v>0</v>
      </c>
      <c r="I616">
        <v>297.6019</v>
      </c>
    </row>
    <row r="617" spans="1:9" x14ac:dyDescent="0.3">
      <c r="A617" t="s">
        <v>9</v>
      </c>
      <c r="B617" t="s">
        <v>625</v>
      </c>
      <c r="C617">
        <v>2</v>
      </c>
      <c r="D617">
        <v>-8.9999999999999998E-4</v>
      </c>
      <c r="E617">
        <v>6.4867776191418036</v>
      </c>
      <c r="F617">
        <v>755.59519605655726</v>
      </c>
      <c r="G617">
        <v>0.42399999999999999</v>
      </c>
      <c r="H617">
        <v>7.6E-3</v>
      </c>
      <c r="I617">
        <v>297.803</v>
      </c>
    </row>
    <row r="618" spans="1:9" x14ac:dyDescent="0.3">
      <c r="A618" t="s">
        <v>9</v>
      </c>
      <c r="B618" t="s">
        <v>626</v>
      </c>
      <c r="C618">
        <v>2</v>
      </c>
      <c r="D618">
        <v>2.2000000000000001E-3</v>
      </c>
      <c r="E618">
        <v>6.5528369137257574</v>
      </c>
      <c r="F618">
        <v>761.86422311257445</v>
      </c>
      <c r="G618">
        <v>0.42399999999999999</v>
      </c>
      <c r="H618">
        <v>8.6999999999999994E-3</v>
      </c>
      <c r="I618">
        <v>297.99990000000003</v>
      </c>
    </row>
    <row r="619" spans="1:9" x14ac:dyDescent="0.3">
      <c r="A619" t="s">
        <v>9</v>
      </c>
      <c r="B619" t="s">
        <v>627</v>
      </c>
      <c r="C619">
        <v>2</v>
      </c>
      <c r="D619">
        <v>7.0000000000000001E-3</v>
      </c>
      <c r="E619">
        <v>6.6238141630360099</v>
      </c>
      <c r="F619">
        <v>768.59996407211736</v>
      </c>
      <c r="G619">
        <v>0.42399999999999999</v>
      </c>
      <c r="H619">
        <v>9.7999999999999997E-3</v>
      </c>
      <c r="I619">
        <v>298.202</v>
      </c>
    </row>
    <row r="620" spans="1:9" x14ac:dyDescent="0.3">
      <c r="A620" t="s">
        <v>9</v>
      </c>
      <c r="B620" t="s">
        <v>628</v>
      </c>
      <c r="C620">
        <v>2</v>
      </c>
      <c r="D620">
        <v>8.8999999999999999E-3</v>
      </c>
      <c r="E620">
        <v>6.6964505986551117</v>
      </c>
      <c r="F620">
        <v>775.49316181237009</v>
      </c>
      <c r="G620">
        <v>0.42399999999999999</v>
      </c>
      <c r="H620">
        <v>1.09E-2</v>
      </c>
      <c r="I620">
        <v>298.40069999999997</v>
      </c>
    </row>
    <row r="621" spans="1:9" x14ac:dyDescent="0.3">
      <c r="A621" t="s">
        <v>9</v>
      </c>
      <c r="B621" t="s">
        <v>629</v>
      </c>
      <c r="C621">
        <v>2</v>
      </c>
      <c r="D621">
        <v>1.0800000000000001E-2</v>
      </c>
      <c r="E621">
        <v>6.7719585781254503</v>
      </c>
      <c r="F621">
        <v>782.65886906410526</v>
      </c>
      <c r="G621">
        <v>0.42399999999999999</v>
      </c>
      <c r="H621">
        <v>1.21E-2</v>
      </c>
      <c r="I621">
        <v>298.6003</v>
      </c>
    </row>
    <row r="622" spans="1:9" x14ac:dyDescent="0.3">
      <c r="A622" t="s">
        <v>9</v>
      </c>
      <c r="B622" t="s">
        <v>630</v>
      </c>
      <c r="C622">
        <v>2</v>
      </c>
      <c r="D622">
        <v>1.2200000000000001E-2</v>
      </c>
      <c r="E622">
        <v>6.8505720580697531</v>
      </c>
      <c r="F622">
        <v>790.11928831081957</v>
      </c>
      <c r="G622">
        <v>0.42399999999999999</v>
      </c>
      <c r="H622">
        <v>1.3299999999999999E-2</v>
      </c>
      <c r="I622">
        <v>298.8021</v>
      </c>
    </row>
    <row r="623" spans="1:9" x14ac:dyDescent="0.3">
      <c r="A623" t="s">
        <v>9</v>
      </c>
      <c r="B623" t="s">
        <v>631</v>
      </c>
      <c r="C623">
        <v>2</v>
      </c>
      <c r="D623">
        <v>1.37E-2</v>
      </c>
      <c r="E623">
        <v>6.9305227805474354</v>
      </c>
      <c r="F623">
        <v>797.70661187395172</v>
      </c>
      <c r="G623">
        <v>0.42399999999999999</v>
      </c>
      <c r="H623">
        <v>1.4500000000000001E-2</v>
      </c>
      <c r="I623">
        <v>299.00220000000002</v>
      </c>
    </row>
    <row r="624" spans="1:9" x14ac:dyDescent="0.3">
      <c r="A624" t="s">
        <v>9</v>
      </c>
      <c r="B624" t="s">
        <v>632</v>
      </c>
      <c r="C624">
        <v>2</v>
      </c>
      <c r="D624">
        <v>1.47E-2</v>
      </c>
      <c r="E624">
        <v>7.0113809465635333</v>
      </c>
      <c r="F624">
        <v>805.38005182887935</v>
      </c>
      <c r="G624">
        <v>0.42399999999999999</v>
      </c>
      <c r="H624">
        <v>1.5800000000000002E-2</v>
      </c>
      <c r="I624">
        <v>299.20049999999998</v>
      </c>
    </row>
    <row r="625" spans="1:9" x14ac:dyDescent="0.3">
      <c r="A625" t="s">
        <v>9</v>
      </c>
      <c r="B625" t="s">
        <v>633</v>
      </c>
      <c r="C625">
        <v>2</v>
      </c>
      <c r="D625">
        <v>1.6400000000000001E-2</v>
      </c>
      <c r="E625">
        <v>7.0942113223074514</v>
      </c>
      <c r="F625">
        <v>813.24065448697706</v>
      </c>
      <c r="G625">
        <v>0.42399999999999999</v>
      </c>
      <c r="H625">
        <v>1.7100000000000001E-2</v>
      </c>
      <c r="I625">
        <v>299.40039999999999</v>
      </c>
    </row>
    <row r="626" spans="1:9" x14ac:dyDescent="0.3">
      <c r="A626" t="s">
        <v>9</v>
      </c>
      <c r="B626" t="s">
        <v>634</v>
      </c>
      <c r="C626">
        <v>2</v>
      </c>
      <c r="D626">
        <v>1.7500000000000002E-2</v>
      </c>
      <c r="E626">
        <v>7.1779779300130331</v>
      </c>
      <c r="F626">
        <v>821.19010555823684</v>
      </c>
      <c r="G626">
        <v>0.42399999999999999</v>
      </c>
      <c r="H626">
        <v>1.84E-2</v>
      </c>
      <c r="I626">
        <v>299.60019999999997</v>
      </c>
    </row>
    <row r="627" spans="1:9" x14ac:dyDescent="0.3">
      <c r="A627" t="s">
        <v>9</v>
      </c>
      <c r="B627" t="s">
        <v>635</v>
      </c>
      <c r="C627">
        <v>2</v>
      </c>
      <c r="D627">
        <v>1.8700000000000001E-2</v>
      </c>
      <c r="E627">
        <v>7.2629568952610057</v>
      </c>
      <c r="F627">
        <v>829.25460936026946</v>
      </c>
      <c r="G627">
        <v>0.42399999999999999</v>
      </c>
      <c r="H627">
        <v>1.9699999999999999E-2</v>
      </c>
      <c r="I627">
        <v>299.80119999999999</v>
      </c>
    </row>
    <row r="628" spans="1:9" x14ac:dyDescent="0.3">
      <c r="A628" t="s">
        <v>9</v>
      </c>
      <c r="B628" t="s">
        <v>636</v>
      </c>
      <c r="C628">
        <v>2</v>
      </c>
      <c r="D628">
        <v>2.01E-2</v>
      </c>
      <c r="E628">
        <v>7.3482825380001957</v>
      </c>
      <c r="F628">
        <v>837.35201285621861</v>
      </c>
      <c r="G628">
        <v>0.42399999999999999</v>
      </c>
      <c r="H628">
        <v>2.1000000000000001E-2</v>
      </c>
      <c r="I628">
        <v>300.00229999999999</v>
      </c>
    </row>
    <row r="629" spans="1:9" x14ac:dyDescent="0.3">
      <c r="A629" t="s">
        <v>9</v>
      </c>
      <c r="B629" t="s">
        <v>637</v>
      </c>
      <c r="C629">
        <v>2</v>
      </c>
      <c r="D629">
        <v>2.1600000000000001E-2</v>
      </c>
      <c r="E629">
        <v>7.4323487885899988</v>
      </c>
      <c r="F629">
        <v>845.3299000371909</v>
      </c>
      <c r="G629">
        <v>0.42399999999999999</v>
      </c>
      <c r="H629">
        <v>2.23E-2</v>
      </c>
      <c r="I629">
        <v>300.2004</v>
      </c>
    </row>
    <row r="630" spans="1:9" x14ac:dyDescent="0.3">
      <c r="A630" t="s">
        <v>9</v>
      </c>
      <c r="B630" t="s">
        <v>638</v>
      </c>
      <c r="C630">
        <v>2</v>
      </c>
      <c r="D630">
        <v>2.3E-2</v>
      </c>
      <c r="E630">
        <v>7.5166794061087776</v>
      </c>
      <c r="F630">
        <v>853.33287563972317</v>
      </c>
      <c r="G630">
        <v>0.42399999999999999</v>
      </c>
      <c r="H630">
        <v>2.3599999999999999E-2</v>
      </c>
      <c r="I630">
        <v>300.3999</v>
      </c>
    </row>
    <row r="631" spans="1:9" x14ac:dyDescent="0.3">
      <c r="A631" t="s">
        <v>9</v>
      </c>
      <c r="B631" t="s">
        <v>639</v>
      </c>
      <c r="C631">
        <v>2</v>
      </c>
      <c r="D631">
        <v>2.4500000000000001E-2</v>
      </c>
      <c r="E631">
        <v>7.6018834076229824</v>
      </c>
      <c r="F631">
        <v>861.41873538342099</v>
      </c>
      <c r="G631">
        <v>0.42399999999999999</v>
      </c>
      <c r="H631">
        <v>2.5000000000000001E-2</v>
      </c>
      <c r="I631">
        <v>300.60309999999998</v>
      </c>
    </row>
    <row r="632" spans="1:9" x14ac:dyDescent="0.3">
      <c r="A632" t="s">
        <v>9</v>
      </c>
      <c r="B632" t="s">
        <v>640</v>
      </c>
      <c r="C632">
        <v>2</v>
      </c>
      <c r="D632">
        <v>2.5600000000000001E-2</v>
      </c>
      <c r="E632">
        <v>7.6840042095544634</v>
      </c>
      <c r="F632">
        <v>869.21199948671858</v>
      </c>
      <c r="G632">
        <v>0.42399999999999999</v>
      </c>
      <c r="H632">
        <v>2.6200000000000001E-2</v>
      </c>
      <c r="I632">
        <v>300.8014</v>
      </c>
    </row>
    <row r="633" spans="1:9" x14ac:dyDescent="0.3">
      <c r="A633" t="s">
        <v>9</v>
      </c>
      <c r="B633" t="s">
        <v>641</v>
      </c>
      <c r="C633">
        <v>2</v>
      </c>
      <c r="D633">
        <v>2.69E-2</v>
      </c>
      <c r="E633">
        <v>7.766152583496944</v>
      </c>
      <c r="F633">
        <v>877.00788017386003</v>
      </c>
      <c r="G633">
        <v>0.42399999999999999</v>
      </c>
      <c r="H633">
        <v>2.75E-2</v>
      </c>
      <c r="I633">
        <v>301.00290000000001</v>
      </c>
    </row>
    <row r="634" spans="1:9" x14ac:dyDescent="0.3">
      <c r="A634" t="s">
        <v>9</v>
      </c>
      <c r="B634" t="s">
        <v>642</v>
      </c>
      <c r="C634">
        <v>2</v>
      </c>
      <c r="D634">
        <v>2.8299999999999999E-2</v>
      </c>
      <c r="E634">
        <v>7.8457116212301603</v>
      </c>
      <c r="F634">
        <v>884.55803285474224</v>
      </c>
      <c r="G634">
        <v>0.42399999999999999</v>
      </c>
      <c r="H634">
        <v>2.87E-2</v>
      </c>
      <c r="I634">
        <v>301.2022</v>
      </c>
    </row>
    <row r="635" spans="1:9" x14ac:dyDescent="0.3">
      <c r="A635" t="s">
        <v>9</v>
      </c>
      <c r="B635" t="s">
        <v>643</v>
      </c>
      <c r="C635">
        <v>2</v>
      </c>
      <c r="D635">
        <v>2.9399999999999999E-2</v>
      </c>
      <c r="E635">
        <v>7.9230020501173346</v>
      </c>
      <c r="F635">
        <v>891.89289455613516</v>
      </c>
      <c r="G635">
        <v>0.42399999999999999</v>
      </c>
      <c r="H635">
        <v>2.9899999999999999E-2</v>
      </c>
      <c r="I635">
        <v>301.4006</v>
      </c>
    </row>
    <row r="636" spans="1:9" x14ac:dyDescent="0.3">
      <c r="A636" t="s">
        <v>9</v>
      </c>
      <c r="B636" t="s">
        <v>644</v>
      </c>
      <c r="C636">
        <v>2</v>
      </c>
      <c r="D636">
        <v>3.0700000000000002E-2</v>
      </c>
      <c r="E636">
        <v>7.9987427697981506</v>
      </c>
      <c r="F636">
        <v>899.08068885384466</v>
      </c>
      <c r="G636">
        <v>0.42399999999999999</v>
      </c>
      <c r="H636">
        <v>3.1099999999999999E-2</v>
      </c>
      <c r="I636">
        <v>301.60079999999999</v>
      </c>
    </row>
    <row r="637" spans="1:9" x14ac:dyDescent="0.3">
      <c r="A637" t="s">
        <v>9</v>
      </c>
      <c r="B637" t="s">
        <v>645</v>
      </c>
      <c r="C637">
        <v>2</v>
      </c>
      <c r="D637">
        <v>3.1600000000000003E-2</v>
      </c>
      <c r="E637">
        <v>8.0717498056827193</v>
      </c>
      <c r="F637">
        <v>906.00905655929012</v>
      </c>
      <c r="G637">
        <v>0.42399999999999999</v>
      </c>
      <c r="H637">
        <v>3.2300000000000002E-2</v>
      </c>
      <c r="I637">
        <v>301.80070000000001</v>
      </c>
    </row>
    <row r="638" spans="1:9" x14ac:dyDescent="0.3">
      <c r="A638" t="s">
        <v>9</v>
      </c>
      <c r="B638" t="s">
        <v>646</v>
      </c>
      <c r="C638">
        <v>2</v>
      </c>
      <c r="D638">
        <v>3.2500000000000001E-2</v>
      </c>
      <c r="E638">
        <v>8.1426613687314777</v>
      </c>
      <c r="F638">
        <v>912.73856389261732</v>
      </c>
      <c r="G638">
        <v>0.42399999999999999</v>
      </c>
      <c r="H638">
        <v>3.3399999999999999E-2</v>
      </c>
      <c r="I638">
        <v>302.0027</v>
      </c>
    </row>
    <row r="639" spans="1:9" x14ac:dyDescent="0.3">
      <c r="A639" t="s">
        <v>9</v>
      </c>
      <c r="B639" t="s">
        <v>647</v>
      </c>
      <c r="C639">
        <v>2</v>
      </c>
      <c r="D639">
        <v>3.3099999999999997E-2</v>
      </c>
      <c r="E639">
        <v>8.2093146779641284</v>
      </c>
      <c r="F639">
        <v>919.06396293879584</v>
      </c>
      <c r="G639">
        <v>0.42399999999999999</v>
      </c>
      <c r="H639">
        <v>3.44E-2</v>
      </c>
      <c r="I639">
        <v>302.20150000000001</v>
      </c>
    </row>
    <row r="640" spans="1:9" x14ac:dyDescent="0.3">
      <c r="A640" t="s">
        <v>9</v>
      </c>
      <c r="B640" t="s">
        <v>648</v>
      </c>
      <c r="C640">
        <v>2</v>
      </c>
      <c r="D640">
        <v>3.4700000000000002E-2</v>
      </c>
      <c r="E640">
        <v>8.2728543773078105</v>
      </c>
      <c r="F640">
        <v>925.09388040651129</v>
      </c>
      <c r="G640">
        <v>0.42399999999999999</v>
      </c>
      <c r="H640">
        <v>3.5400000000000001E-2</v>
      </c>
      <c r="I640">
        <v>302.40109999999999</v>
      </c>
    </row>
    <row r="641" spans="1:9" x14ac:dyDescent="0.3">
      <c r="A641" t="s">
        <v>9</v>
      </c>
      <c r="B641" t="s">
        <v>649</v>
      </c>
      <c r="C641">
        <v>2</v>
      </c>
      <c r="D641">
        <v>3.5799999999999998E-2</v>
      </c>
      <c r="E641">
        <v>8.3327205116568308</v>
      </c>
      <c r="F641">
        <v>930.7751765562333</v>
      </c>
      <c r="G641">
        <v>0.42399999999999999</v>
      </c>
      <c r="H641">
        <v>3.6299999999999999E-2</v>
      </c>
      <c r="I641">
        <v>302.60059999999999</v>
      </c>
    </row>
    <row r="642" spans="1:9" x14ac:dyDescent="0.3">
      <c r="A642" t="s">
        <v>9</v>
      </c>
      <c r="B642" t="s">
        <v>650</v>
      </c>
      <c r="C642">
        <v>2</v>
      </c>
      <c r="D642">
        <v>3.6400000000000002E-2</v>
      </c>
      <c r="E642">
        <v>8.388961737501182</v>
      </c>
      <c r="F642">
        <v>936.11246888886217</v>
      </c>
      <c r="G642">
        <v>0.42399999999999999</v>
      </c>
      <c r="H642">
        <v>3.7199999999999997E-2</v>
      </c>
      <c r="I642">
        <v>302.80090000000001</v>
      </c>
    </row>
    <row r="643" spans="1:9" x14ac:dyDescent="0.3">
      <c r="A643" t="s">
        <v>9</v>
      </c>
      <c r="B643" t="s">
        <v>651</v>
      </c>
      <c r="C643">
        <v>2</v>
      </c>
      <c r="D643">
        <v>3.6900000000000002E-2</v>
      </c>
      <c r="E643">
        <v>8.4413907273543831</v>
      </c>
      <c r="F643">
        <v>941.08798002593096</v>
      </c>
      <c r="G643">
        <v>0.42399999999999999</v>
      </c>
      <c r="H643">
        <v>3.7999999999999999E-2</v>
      </c>
      <c r="I643">
        <v>303.00259999999997</v>
      </c>
    </row>
    <row r="644" spans="1:9" x14ac:dyDescent="0.3">
      <c r="A644" t="s">
        <v>9</v>
      </c>
      <c r="B644" t="s">
        <v>652</v>
      </c>
      <c r="C644">
        <v>2</v>
      </c>
      <c r="D644">
        <v>3.8199999999999998E-2</v>
      </c>
      <c r="E644">
        <v>8.4887249772343019</v>
      </c>
      <c r="F644">
        <v>945.58000033953533</v>
      </c>
      <c r="G644">
        <v>0.42399999999999999</v>
      </c>
      <c r="H644">
        <v>3.8699999999999998E-2</v>
      </c>
      <c r="I644">
        <v>303.2011</v>
      </c>
    </row>
    <row r="645" spans="1:9" x14ac:dyDescent="0.3">
      <c r="A645" t="s">
        <v>9</v>
      </c>
      <c r="B645" t="s">
        <v>653</v>
      </c>
      <c r="C645">
        <v>2</v>
      </c>
      <c r="D645">
        <v>3.9100000000000003E-2</v>
      </c>
      <c r="E645">
        <v>8.5320819645278316</v>
      </c>
      <c r="F645">
        <v>949.69457843369128</v>
      </c>
      <c r="G645">
        <v>0.42399999999999999</v>
      </c>
      <c r="H645">
        <v>3.9399999999999998E-2</v>
      </c>
      <c r="I645">
        <v>303.40190000000001</v>
      </c>
    </row>
    <row r="646" spans="1:9" x14ac:dyDescent="0.3">
      <c r="A646" t="s">
        <v>9</v>
      </c>
      <c r="B646" t="s">
        <v>654</v>
      </c>
      <c r="C646">
        <v>2</v>
      </c>
      <c r="D646">
        <v>3.9699999999999999E-2</v>
      </c>
      <c r="E646">
        <v>7.2832519227088968</v>
      </c>
      <c r="F646">
        <v>726.79907919646917</v>
      </c>
      <c r="G646">
        <v>0.42399999999999999</v>
      </c>
      <c r="H646">
        <v>0.02</v>
      </c>
      <c r="I646">
        <v>303.60289999999998</v>
      </c>
    </row>
    <row r="647" spans="1:9" x14ac:dyDescent="0.3">
      <c r="A647" t="s">
        <v>9</v>
      </c>
      <c r="B647" t="s">
        <v>655</v>
      </c>
      <c r="C647">
        <v>2</v>
      </c>
      <c r="D647">
        <v>3.4200000000000001E-2</v>
      </c>
      <c r="E647">
        <v>7.2999066337636211</v>
      </c>
      <c r="F647">
        <v>832.76113954416769</v>
      </c>
      <c r="G647">
        <v>0.42399999999999999</v>
      </c>
      <c r="H647">
        <v>2.0299999999999999E-2</v>
      </c>
      <c r="I647">
        <v>303.80079999999998</v>
      </c>
    </row>
    <row r="648" spans="1:9" x14ac:dyDescent="0.3">
      <c r="A648" t="s">
        <v>9</v>
      </c>
      <c r="B648" t="s">
        <v>656</v>
      </c>
      <c r="C648">
        <v>2</v>
      </c>
      <c r="D648">
        <v>3.1300000000000001E-2</v>
      </c>
      <c r="E648">
        <v>7.3142420521285612</v>
      </c>
      <c r="F648">
        <v>834.12157074700053</v>
      </c>
      <c r="G648">
        <v>0.42399999999999999</v>
      </c>
      <c r="H648">
        <v>2.0500000000000001E-2</v>
      </c>
      <c r="I648">
        <v>304.00020000000001</v>
      </c>
    </row>
    <row r="649" spans="1:9" x14ac:dyDescent="0.3">
      <c r="A649" t="s">
        <v>9</v>
      </c>
      <c r="B649" t="s">
        <v>657</v>
      </c>
      <c r="C649">
        <v>2</v>
      </c>
      <c r="D649">
        <v>3.1199999999999999E-2</v>
      </c>
      <c r="E649">
        <v>7.3261685687679678</v>
      </c>
      <c r="F649">
        <v>835.25339717608017</v>
      </c>
      <c r="G649">
        <v>0.42399999999999999</v>
      </c>
      <c r="H649">
        <v>2.07E-2</v>
      </c>
      <c r="I649">
        <v>304.20179999999999</v>
      </c>
    </row>
    <row r="650" spans="1:9" x14ac:dyDescent="0.3">
      <c r="A650" t="s">
        <v>9</v>
      </c>
      <c r="B650" t="s">
        <v>658</v>
      </c>
      <c r="C650">
        <v>2</v>
      </c>
      <c r="D650">
        <v>3.1199999999999999E-2</v>
      </c>
      <c r="E650">
        <v>7.3354676349476167</v>
      </c>
      <c r="F650">
        <v>836.13587855652884</v>
      </c>
      <c r="G650">
        <v>0.42399999999999999</v>
      </c>
      <c r="H650">
        <v>2.0799999999999999E-2</v>
      </c>
      <c r="I650">
        <v>304.40339999999998</v>
      </c>
    </row>
    <row r="651" spans="1:9" x14ac:dyDescent="0.3">
      <c r="A651" t="s">
        <v>9</v>
      </c>
      <c r="B651" t="s">
        <v>659</v>
      </c>
      <c r="C651">
        <v>2</v>
      </c>
      <c r="D651">
        <v>3.1199999999999999E-2</v>
      </c>
      <c r="E651">
        <v>7.341979495192021</v>
      </c>
      <c r="F651">
        <v>836.75385409372279</v>
      </c>
      <c r="G651">
        <v>0.42399999999999999</v>
      </c>
      <c r="H651">
        <v>2.0899999999999998E-2</v>
      </c>
      <c r="I651">
        <v>304.60019999999997</v>
      </c>
    </row>
    <row r="652" spans="1:9" x14ac:dyDescent="0.3">
      <c r="A652" t="s">
        <v>9</v>
      </c>
      <c r="B652" t="s">
        <v>660</v>
      </c>
      <c r="C652">
        <v>2</v>
      </c>
      <c r="D652">
        <v>3.1199999999999999E-2</v>
      </c>
      <c r="E652">
        <v>7.3459855462016552</v>
      </c>
      <c r="F652">
        <v>837.13402833453711</v>
      </c>
      <c r="G652">
        <v>0.42399999999999999</v>
      </c>
      <c r="H652">
        <v>2.1000000000000001E-2</v>
      </c>
      <c r="I652">
        <v>304.80119999999999</v>
      </c>
    </row>
    <row r="653" spans="1:9" x14ac:dyDescent="0.3">
      <c r="A653" t="s">
        <v>9</v>
      </c>
      <c r="B653" t="s">
        <v>661</v>
      </c>
      <c r="C653">
        <v>2</v>
      </c>
      <c r="D653">
        <v>3.1199999999999999E-2</v>
      </c>
      <c r="E653">
        <v>7.3473021097267832</v>
      </c>
      <c r="F653">
        <v>837.25897021307173</v>
      </c>
      <c r="G653">
        <v>0.42399999999999999</v>
      </c>
      <c r="H653">
        <v>2.1000000000000001E-2</v>
      </c>
      <c r="I653">
        <v>305.00369999999998</v>
      </c>
    </row>
    <row r="654" spans="1:9" x14ac:dyDescent="0.3">
      <c r="A654" t="s">
        <v>9</v>
      </c>
      <c r="B654" t="s">
        <v>662</v>
      </c>
      <c r="C654">
        <v>2</v>
      </c>
      <c r="D654">
        <v>3.1199999999999999E-2</v>
      </c>
      <c r="E654">
        <v>7.3459433772436578</v>
      </c>
      <c r="F654">
        <v>732.64192275910898</v>
      </c>
      <c r="G654">
        <v>0.42399999999999999</v>
      </c>
      <c r="H654">
        <v>2.1000000000000001E-2</v>
      </c>
      <c r="I654">
        <v>305.20190000000002</v>
      </c>
    </row>
    <row r="655" spans="1:9" x14ac:dyDescent="0.3">
      <c r="A655" t="s">
        <v>9</v>
      </c>
      <c r="B655" t="s">
        <v>663</v>
      </c>
      <c r="C655">
        <v>2</v>
      </c>
      <c r="D655">
        <v>2.7900000000000001E-2</v>
      </c>
      <c r="E655">
        <v>7.3419081323400279</v>
      </c>
      <c r="F655">
        <v>732.26583793409065</v>
      </c>
      <c r="G655">
        <v>0.42399999999999999</v>
      </c>
      <c r="H655">
        <v>2.0899999999999998E-2</v>
      </c>
      <c r="I655">
        <v>305.40249999999997</v>
      </c>
    </row>
    <row r="656" spans="1:9" x14ac:dyDescent="0.3">
      <c r="A656" t="s">
        <v>9</v>
      </c>
      <c r="B656" t="s">
        <v>664</v>
      </c>
      <c r="C656">
        <v>2</v>
      </c>
      <c r="D656">
        <v>2.3E-2</v>
      </c>
      <c r="E656">
        <v>7.3352636831603863</v>
      </c>
      <c r="F656">
        <v>731.64657527054806</v>
      </c>
      <c r="G656">
        <v>0.42399999999999999</v>
      </c>
      <c r="H656">
        <v>2.0799999999999999E-2</v>
      </c>
      <c r="I656">
        <v>305.60169999999999</v>
      </c>
    </row>
    <row r="657" spans="1:9" x14ac:dyDescent="0.3">
      <c r="A657" t="s">
        <v>9</v>
      </c>
      <c r="B657" t="s">
        <v>665</v>
      </c>
      <c r="C657">
        <v>2</v>
      </c>
      <c r="D657">
        <v>2.07E-2</v>
      </c>
      <c r="E657">
        <v>7.3259552911534893</v>
      </c>
      <c r="F657">
        <v>730.77903313550519</v>
      </c>
      <c r="G657">
        <v>0.42399999999999999</v>
      </c>
      <c r="H657">
        <v>2.07E-2</v>
      </c>
      <c r="I657">
        <v>305.80220000000003</v>
      </c>
    </row>
    <row r="658" spans="1:9" x14ac:dyDescent="0.3">
      <c r="A658" t="s">
        <v>9</v>
      </c>
      <c r="B658" t="s">
        <v>666</v>
      </c>
      <c r="C658">
        <v>2</v>
      </c>
      <c r="D658">
        <v>2.0500000000000001E-2</v>
      </c>
      <c r="E658">
        <v>7.3141856916943162</v>
      </c>
      <c r="F658">
        <v>729.68210646591024</v>
      </c>
      <c r="G658">
        <v>0.42399999999999999</v>
      </c>
      <c r="H658">
        <v>2.0500000000000001E-2</v>
      </c>
      <c r="I658">
        <v>306.00060000000002</v>
      </c>
    </row>
    <row r="659" spans="1:9" x14ac:dyDescent="0.3">
      <c r="A659" t="s">
        <v>9</v>
      </c>
      <c r="B659" t="s">
        <v>667</v>
      </c>
      <c r="C659">
        <v>2</v>
      </c>
      <c r="D659">
        <v>2.0500000000000001E-2</v>
      </c>
      <c r="E659">
        <v>7.2996402394808966</v>
      </c>
      <c r="F659">
        <v>728.32647031961972</v>
      </c>
      <c r="G659">
        <v>0.42399999999999999</v>
      </c>
      <c r="H659">
        <v>2.0299999999999999E-2</v>
      </c>
      <c r="I659">
        <v>306.20260000000002</v>
      </c>
    </row>
    <row r="660" spans="1:9" x14ac:dyDescent="0.3">
      <c r="A660" t="s">
        <v>9</v>
      </c>
      <c r="B660" t="s">
        <v>668</v>
      </c>
      <c r="C660">
        <v>2</v>
      </c>
      <c r="D660">
        <v>1.9199999999999998E-2</v>
      </c>
      <c r="E660">
        <v>7.2829133546326776</v>
      </c>
      <c r="F660">
        <v>726.7675246517656</v>
      </c>
      <c r="G660">
        <v>0.42399999999999999</v>
      </c>
      <c r="H660">
        <v>0.02</v>
      </c>
      <c r="I660">
        <v>306.4008</v>
      </c>
    </row>
    <row r="661" spans="1:9" x14ac:dyDescent="0.3">
      <c r="A661" t="s">
        <v>9</v>
      </c>
      <c r="B661" t="s">
        <v>669</v>
      </c>
      <c r="C661">
        <v>2</v>
      </c>
      <c r="D661">
        <v>1.89E-2</v>
      </c>
      <c r="E661">
        <v>7.2635298254307026</v>
      </c>
      <c r="F661">
        <v>724.96097973014162</v>
      </c>
      <c r="G661">
        <v>0.42399999999999999</v>
      </c>
      <c r="H661">
        <v>1.9699999999999999E-2</v>
      </c>
      <c r="I661">
        <v>306.60180000000003</v>
      </c>
    </row>
    <row r="662" spans="1:9" x14ac:dyDescent="0.3">
      <c r="A662" t="s">
        <v>9</v>
      </c>
      <c r="B662" t="s">
        <v>670</v>
      </c>
      <c r="C662">
        <v>2</v>
      </c>
      <c r="D662">
        <v>1.89E-2</v>
      </c>
      <c r="E662">
        <v>7.2416563003532053</v>
      </c>
      <c r="F662">
        <v>722.92236719291873</v>
      </c>
      <c r="G662">
        <v>0.42399999999999999</v>
      </c>
      <c r="H662">
        <v>1.9400000000000001E-2</v>
      </c>
      <c r="I662">
        <v>306.8039</v>
      </c>
    </row>
    <row r="663" spans="1:9" x14ac:dyDescent="0.3">
      <c r="A663" t="s">
        <v>9</v>
      </c>
      <c r="B663" t="s">
        <v>671</v>
      </c>
      <c r="C663">
        <v>2</v>
      </c>
      <c r="D663">
        <v>1.8700000000000001E-2</v>
      </c>
      <c r="E663">
        <v>7.2180311416358656</v>
      </c>
      <c r="F663">
        <v>720.72050240046269</v>
      </c>
      <c r="G663">
        <v>0.42399999999999999</v>
      </c>
      <c r="H663">
        <v>1.9E-2</v>
      </c>
      <c r="I663">
        <v>307.0016</v>
      </c>
    </row>
    <row r="664" spans="1:9" x14ac:dyDescent="0.3">
      <c r="A664" t="s">
        <v>9</v>
      </c>
      <c r="B664" t="s">
        <v>672</v>
      </c>
      <c r="C664">
        <v>2</v>
      </c>
      <c r="D664">
        <v>1.8700000000000001E-2</v>
      </c>
      <c r="E664">
        <v>7.1912116843503213</v>
      </c>
      <c r="F664">
        <v>718.22092898145002</v>
      </c>
      <c r="G664">
        <v>0.42399999999999999</v>
      </c>
      <c r="H664">
        <v>1.8599999999999998E-2</v>
      </c>
      <c r="I664">
        <v>307.20740000000001</v>
      </c>
    </row>
    <row r="665" spans="1:9" x14ac:dyDescent="0.3">
      <c r="A665" t="s">
        <v>9</v>
      </c>
      <c r="B665" t="s">
        <v>673</v>
      </c>
      <c r="C665">
        <v>2</v>
      </c>
      <c r="D665">
        <v>1.7899999999999999E-2</v>
      </c>
      <c r="E665">
        <v>7.1640110845598119</v>
      </c>
      <c r="F665">
        <v>715.68583308097448</v>
      </c>
      <c r="G665">
        <v>0.42399999999999999</v>
      </c>
      <c r="H665">
        <v>1.8200000000000001E-2</v>
      </c>
      <c r="I665">
        <v>307.40089999999998</v>
      </c>
    </row>
    <row r="666" spans="1:9" x14ac:dyDescent="0.3">
      <c r="A666" t="s">
        <v>9</v>
      </c>
      <c r="B666" t="s">
        <v>674</v>
      </c>
      <c r="C666">
        <v>2</v>
      </c>
      <c r="D666">
        <v>1.78E-2</v>
      </c>
      <c r="E666">
        <v>8.2722510368318662</v>
      </c>
      <c r="F666">
        <v>925.03662339534412</v>
      </c>
      <c r="G666">
        <v>0.42399999999999999</v>
      </c>
      <c r="H666">
        <v>3.5400000000000001E-2</v>
      </c>
      <c r="I666">
        <v>307.60079999999999</v>
      </c>
    </row>
    <row r="667" spans="1:9" x14ac:dyDescent="0.3">
      <c r="A667" t="s">
        <v>9</v>
      </c>
      <c r="B667" t="s">
        <v>675</v>
      </c>
      <c r="C667">
        <v>2</v>
      </c>
      <c r="D667">
        <v>2.6499999999999999E-2</v>
      </c>
      <c r="E667">
        <v>8.208423047784958</v>
      </c>
      <c r="F667">
        <v>813.02502805355812</v>
      </c>
      <c r="G667">
        <v>0.42399999999999999</v>
      </c>
      <c r="H667">
        <v>3.44E-2</v>
      </c>
      <c r="I667">
        <v>307.80119999999999</v>
      </c>
    </row>
    <row r="668" spans="1:9" x14ac:dyDescent="0.3">
      <c r="A668" t="s">
        <v>9</v>
      </c>
      <c r="B668" t="s">
        <v>676</v>
      </c>
      <c r="C668">
        <v>2</v>
      </c>
      <c r="D668">
        <v>2.8899999999999999E-2</v>
      </c>
      <c r="E668">
        <v>8.1415503788765804</v>
      </c>
      <c r="F668">
        <v>806.79249531129733</v>
      </c>
      <c r="G668">
        <v>0.42399999999999999</v>
      </c>
      <c r="H668">
        <v>3.3300000000000003E-2</v>
      </c>
      <c r="I668">
        <v>308.00049999999999</v>
      </c>
    </row>
    <row r="669" spans="1:9" x14ac:dyDescent="0.3">
      <c r="A669" t="s">
        <v>9</v>
      </c>
      <c r="B669" t="s">
        <v>677</v>
      </c>
      <c r="C669">
        <v>2</v>
      </c>
      <c r="D669">
        <v>2.8799999999999999E-2</v>
      </c>
      <c r="E669">
        <v>8.0709725182550418</v>
      </c>
      <c r="F669">
        <v>800.21463870136995</v>
      </c>
      <c r="G669">
        <v>0.42399999999999999</v>
      </c>
      <c r="H669">
        <v>3.2199999999999999E-2</v>
      </c>
      <c r="I669">
        <v>308.20150000000001</v>
      </c>
    </row>
    <row r="670" spans="1:9" x14ac:dyDescent="0.3">
      <c r="A670" t="s">
        <v>9</v>
      </c>
      <c r="B670" t="s">
        <v>678</v>
      </c>
      <c r="C670">
        <v>2</v>
      </c>
      <c r="D670">
        <v>2.8799999999999999E-2</v>
      </c>
      <c r="E670">
        <v>7.9973309206467809</v>
      </c>
      <c r="F670">
        <v>793.35124180427999</v>
      </c>
      <c r="G670">
        <v>0.42399999999999999</v>
      </c>
      <c r="H670">
        <v>3.1099999999999999E-2</v>
      </c>
      <c r="I670">
        <v>308.40289999999999</v>
      </c>
    </row>
    <row r="671" spans="1:9" x14ac:dyDescent="0.3">
      <c r="A671" t="s">
        <v>9</v>
      </c>
      <c r="B671" t="s">
        <v>679</v>
      </c>
      <c r="C671">
        <v>2</v>
      </c>
      <c r="D671">
        <v>2.8500000000000001E-2</v>
      </c>
      <c r="E671">
        <v>7.9220106741336762</v>
      </c>
      <c r="F671">
        <v>786.33139482925867</v>
      </c>
      <c r="G671">
        <v>0.42399999999999999</v>
      </c>
      <c r="H671">
        <v>2.9899999999999999E-2</v>
      </c>
      <c r="I671">
        <v>308.60199999999998</v>
      </c>
    </row>
    <row r="672" spans="1:9" x14ac:dyDescent="0.3">
      <c r="A672" t="s">
        <v>9</v>
      </c>
      <c r="B672" t="s">
        <v>680</v>
      </c>
      <c r="C672">
        <v>2</v>
      </c>
      <c r="D672">
        <v>2.8500000000000001E-2</v>
      </c>
      <c r="E672">
        <v>7.8443768115212844</v>
      </c>
      <c r="F672">
        <v>779.09591883378368</v>
      </c>
      <c r="G672">
        <v>0.42399999999999999</v>
      </c>
      <c r="H672">
        <v>2.87E-2</v>
      </c>
      <c r="I672">
        <v>308.80119999999999</v>
      </c>
    </row>
    <row r="673" spans="1:9" x14ac:dyDescent="0.3">
      <c r="A673" t="s">
        <v>9</v>
      </c>
      <c r="B673" t="s">
        <v>681</v>
      </c>
      <c r="C673">
        <v>2</v>
      </c>
      <c r="D673">
        <v>2.8000000000000001E-2</v>
      </c>
      <c r="E673">
        <v>7.7641398266941266</v>
      </c>
      <c r="F673">
        <v>771.61783184789272</v>
      </c>
      <c r="G673">
        <v>0.42399999999999999</v>
      </c>
      <c r="H673">
        <v>2.75E-2</v>
      </c>
      <c r="I673">
        <v>309.00200000000001</v>
      </c>
    </row>
    <row r="674" spans="1:9" x14ac:dyDescent="0.3">
      <c r="A674" t="s">
        <v>9</v>
      </c>
      <c r="B674" t="s">
        <v>682</v>
      </c>
      <c r="C674">
        <v>2</v>
      </c>
      <c r="D674">
        <v>2.7400000000000001E-2</v>
      </c>
      <c r="E674">
        <v>7.6824236845711056</v>
      </c>
      <c r="F674">
        <v>764.00188740202714</v>
      </c>
      <c r="G674">
        <v>0.42399999999999999</v>
      </c>
      <c r="H674">
        <v>2.6200000000000001E-2</v>
      </c>
      <c r="I674">
        <v>309.20240000000001</v>
      </c>
    </row>
    <row r="675" spans="1:9" x14ac:dyDescent="0.3">
      <c r="A675" t="s">
        <v>9</v>
      </c>
      <c r="B675" t="s">
        <v>683</v>
      </c>
      <c r="C675">
        <v>2</v>
      </c>
      <c r="D675">
        <v>2.6599999999999999E-2</v>
      </c>
      <c r="E675">
        <v>7.5991363432919803</v>
      </c>
      <c r="F675">
        <v>756.23950719481263</v>
      </c>
      <c r="G675">
        <v>0.42399999999999999</v>
      </c>
      <c r="H675">
        <v>2.4899999999999999E-2</v>
      </c>
      <c r="I675">
        <v>309.40339999999998</v>
      </c>
    </row>
    <row r="676" spans="1:9" x14ac:dyDescent="0.3">
      <c r="A676" t="s">
        <v>9</v>
      </c>
      <c r="B676" t="s">
        <v>684</v>
      </c>
      <c r="C676">
        <v>2</v>
      </c>
      <c r="D676">
        <v>2.5899999999999999E-2</v>
      </c>
      <c r="E676">
        <v>7.5164515315473004</v>
      </c>
      <c r="F676">
        <v>748.53328274020828</v>
      </c>
      <c r="G676">
        <v>0.42399999999999999</v>
      </c>
      <c r="H676">
        <v>2.3599999999999999E-2</v>
      </c>
      <c r="I676">
        <v>309.60059999999999</v>
      </c>
    </row>
    <row r="677" spans="1:9" x14ac:dyDescent="0.3">
      <c r="A677" t="s">
        <v>9</v>
      </c>
      <c r="B677" t="s">
        <v>685</v>
      </c>
      <c r="C677">
        <v>2</v>
      </c>
      <c r="D677">
        <v>2.41E-2</v>
      </c>
      <c r="E677">
        <v>7.4312763184563462</v>
      </c>
      <c r="F677">
        <v>740.59495288013147</v>
      </c>
      <c r="G677">
        <v>0.42399999999999999</v>
      </c>
      <c r="H677">
        <v>2.23E-2</v>
      </c>
      <c r="I677">
        <v>309.8021</v>
      </c>
    </row>
    <row r="678" spans="1:9" x14ac:dyDescent="0.3">
      <c r="A678" t="s">
        <v>9</v>
      </c>
      <c r="B678" t="s">
        <v>686</v>
      </c>
      <c r="C678">
        <v>2</v>
      </c>
      <c r="D678">
        <v>2.3E-2</v>
      </c>
      <c r="E678">
        <v>7.3452074478324736</v>
      </c>
      <c r="F678">
        <v>732.57333413798665</v>
      </c>
      <c r="G678">
        <v>0.42399999999999999</v>
      </c>
      <c r="H678">
        <v>2.1000000000000001E-2</v>
      </c>
      <c r="I678">
        <v>310.00490000000002</v>
      </c>
    </row>
    <row r="679" spans="1:9" x14ac:dyDescent="0.3">
      <c r="A679" t="s">
        <v>9</v>
      </c>
      <c r="B679" t="s">
        <v>687</v>
      </c>
      <c r="C679">
        <v>2</v>
      </c>
      <c r="D679">
        <v>2.0799999999999999E-2</v>
      </c>
      <c r="E679">
        <v>7.2615961354241314</v>
      </c>
      <c r="F679">
        <v>724.78075982152893</v>
      </c>
      <c r="G679">
        <v>0.42399999999999999</v>
      </c>
      <c r="H679">
        <v>1.9699999999999999E-2</v>
      </c>
      <c r="I679">
        <v>310.202</v>
      </c>
    </row>
    <row r="680" spans="1:9" x14ac:dyDescent="0.3">
      <c r="A680" t="s">
        <v>9</v>
      </c>
      <c r="B680" t="s">
        <v>688</v>
      </c>
      <c r="C680">
        <v>2</v>
      </c>
      <c r="D680">
        <v>1.9E-2</v>
      </c>
      <c r="E680">
        <v>7.1771982097608538</v>
      </c>
      <c r="F680">
        <v>716.91487314971164</v>
      </c>
      <c r="G680">
        <v>0.42399999999999999</v>
      </c>
      <c r="H680">
        <v>1.84E-2</v>
      </c>
      <c r="I680">
        <v>310.40170000000001</v>
      </c>
    </row>
    <row r="681" spans="1:9" x14ac:dyDescent="0.3">
      <c r="A681" t="s">
        <v>9</v>
      </c>
      <c r="B681" t="s">
        <v>689</v>
      </c>
      <c r="C681">
        <v>2</v>
      </c>
      <c r="D681">
        <v>1.7999999999999999E-2</v>
      </c>
      <c r="E681">
        <v>7.0931554764745481</v>
      </c>
      <c r="F681">
        <v>709.08209040742793</v>
      </c>
      <c r="G681">
        <v>0.42399999999999999</v>
      </c>
      <c r="H681">
        <v>1.7100000000000001E-2</v>
      </c>
      <c r="I681">
        <v>310.60210000000001</v>
      </c>
    </row>
    <row r="682" spans="1:9" x14ac:dyDescent="0.3">
      <c r="A682" t="s">
        <v>9</v>
      </c>
      <c r="B682" t="s">
        <v>690</v>
      </c>
      <c r="C682">
        <v>2</v>
      </c>
      <c r="D682">
        <v>1.6199999999999999E-2</v>
      </c>
      <c r="E682">
        <v>7.0105400002281106</v>
      </c>
      <c r="F682">
        <v>701.38232802125992</v>
      </c>
      <c r="G682">
        <v>0.42399999999999999</v>
      </c>
      <c r="H682">
        <v>1.5800000000000002E-2</v>
      </c>
      <c r="I682">
        <v>310.80149999999998</v>
      </c>
    </row>
    <row r="683" spans="1:9" x14ac:dyDescent="0.3">
      <c r="A683" t="s">
        <v>9</v>
      </c>
      <c r="B683" t="s">
        <v>691</v>
      </c>
      <c r="C683">
        <v>2</v>
      </c>
      <c r="D683">
        <v>1.4500000000000001E-2</v>
      </c>
      <c r="E683">
        <v>6.9283827059291294</v>
      </c>
      <c r="F683">
        <v>693.72526819259485</v>
      </c>
      <c r="G683">
        <v>0.42399999999999999</v>
      </c>
      <c r="H683">
        <v>1.4500000000000001E-2</v>
      </c>
      <c r="I683">
        <v>311.00310000000002</v>
      </c>
    </row>
    <row r="684" spans="1:9" x14ac:dyDescent="0.3">
      <c r="A684" t="s">
        <v>9</v>
      </c>
      <c r="B684" t="s">
        <v>692</v>
      </c>
      <c r="C684">
        <v>2</v>
      </c>
      <c r="D684">
        <v>1.2800000000000001E-2</v>
      </c>
      <c r="E684">
        <v>6.8493041510346204</v>
      </c>
      <c r="F684">
        <v>686.3551468764266</v>
      </c>
      <c r="G684">
        <v>0.42399999999999999</v>
      </c>
      <c r="H684">
        <v>1.3299999999999999E-2</v>
      </c>
      <c r="I684">
        <v>311.2011</v>
      </c>
    </row>
    <row r="685" spans="1:9" x14ac:dyDescent="0.3">
      <c r="A685" t="s">
        <v>9</v>
      </c>
      <c r="B685" t="s">
        <v>693</v>
      </c>
      <c r="C685">
        <v>2</v>
      </c>
      <c r="D685">
        <v>1.1900000000000001E-2</v>
      </c>
      <c r="E685">
        <v>6.7713126632207574</v>
      </c>
      <c r="F685">
        <v>679.0863402121746</v>
      </c>
      <c r="G685">
        <v>0.42399999999999999</v>
      </c>
      <c r="H685">
        <v>1.21E-2</v>
      </c>
      <c r="I685">
        <v>311.40129999999999</v>
      </c>
    </row>
    <row r="686" spans="1:9" x14ac:dyDescent="0.3">
      <c r="A686" t="s">
        <v>9</v>
      </c>
      <c r="B686" t="s">
        <v>694</v>
      </c>
      <c r="C686">
        <v>2</v>
      </c>
      <c r="D686">
        <v>1.04E-2</v>
      </c>
      <c r="E686">
        <v>6.6948583150200074</v>
      </c>
      <c r="F686">
        <v>671.96079495986464</v>
      </c>
      <c r="G686">
        <v>0.42399999999999999</v>
      </c>
      <c r="H686">
        <v>1.09E-2</v>
      </c>
      <c r="I686">
        <v>311.6035</v>
      </c>
    </row>
    <row r="687" spans="1:9" x14ac:dyDescent="0.3">
      <c r="A687" t="s">
        <v>9</v>
      </c>
      <c r="B687" t="s">
        <v>695</v>
      </c>
      <c r="C687">
        <v>2</v>
      </c>
      <c r="D687">
        <v>9.5999999999999992E-3</v>
      </c>
      <c r="E687">
        <v>6.6223755528151411</v>
      </c>
      <c r="F687">
        <v>665.20540152237118</v>
      </c>
      <c r="G687">
        <v>0.42399999999999999</v>
      </c>
      <c r="H687">
        <v>9.7000000000000003E-3</v>
      </c>
      <c r="I687">
        <v>311.80200000000002</v>
      </c>
    </row>
    <row r="688" spans="1:9" x14ac:dyDescent="0.3">
      <c r="A688" t="s">
        <v>9</v>
      </c>
      <c r="B688" t="s">
        <v>696</v>
      </c>
      <c r="C688">
        <v>2</v>
      </c>
      <c r="D688">
        <v>8.5000000000000006E-3</v>
      </c>
      <c r="E688">
        <v>6.5517676873581063</v>
      </c>
      <c r="F688">
        <v>658.62474846177554</v>
      </c>
      <c r="G688">
        <v>0.42399999999999999</v>
      </c>
      <c r="H688">
        <v>8.6E-3</v>
      </c>
      <c r="I688">
        <v>312.00319999999999</v>
      </c>
    </row>
    <row r="689" spans="1:9" x14ac:dyDescent="0.3">
      <c r="A689" t="s">
        <v>9</v>
      </c>
      <c r="B689" t="s">
        <v>697</v>
      </c>
      <c r="C689">
        <v>2</v>
      </c>
      <c r="D689">
        <v>8.0999999999999996E-3</v>
      </c>
      <c r="E689">
        <v>6.4852421014116937</v>
      </c>
      <c r="F689">
        <v>652.42456385156981</v>
      </c>
      <c r="G689">
        <v>0.42399999999999999</v>
      </c>
      <c r="H689">
        <v>7.6E-3</v>
      </c>
      <c r="I689">
        <v>312.20159999999998</v>
      </c>
    </row>
    <row r="690" spans="1:9" x14ac:dyDescent="0.3">
      <c r="A690" t="s">
        <v>9</v>
      </c>
      <c r="B690" t="s">
        <v>698</v>
      </c>
      <c r="C690">
        <v>2</v>
      </c>
      <c r="D690">
        <v>6.4999999999999997E-3</v>
      </c>
      <c r="E690">
        <v>6.4211712353855592</v>
      </c>
      <c r="F690">
        <v>646.45315913793411</v>
      </c>
      <c r="G690">
        <v>0.42399999999999999</v>
      </c>
      <c r="H690">
        <v>6.6E-3</v>
      </c>
      <c r="I690">
        <v>312.40300000000002</v>
      </c>
    </row>
    <row r="691" spans="1:9" x14ac:dyDescent="0.3">
      <c r="A691" t="s">
        <v>9</v>
      </c>
      <c r="B691" t="s">
        <v>699</v>
      </c>
      <c r="C691">
        <v>2</v>
      </c>
      <c r="D691">
        <v>5.5999999999999999E-3</v>
      </c>
      <c r="E691">
        <v>6.3610018494626424</v>
      </c>
      <c r="F691">
        <v>640.84537236991832</v>
      </c>
      <c r="G691">
        <v>0.42399999999999999</v>
      </c>
      <c r="H691">
        <v>5.7000000000000002E-3</v>
      </c>
      <c r="I691">
        <v>312.60359999999997</v>
      </c>
    </row>
    <row r="692" spans="1:9" x14ac:dyDescent="0.3">
      <c r="A692" t="s">
        <v>9</v>
      </c>
      <c r="B692" t="s">
        <v>700</v>
      </c>
      <c r="C692">
        <v>2</v>
      </c>
      <c r="D692">
        <v>4.1000000000000003E-3</v>
      </c>
      <c r="E692">
        <v>6.3048219713427596</v>
      </c>
      <c r="F692">
        <v>635.60940772914523</v>
      </c>
      <c r="G692">
        <v>0.42399999999999999</v>
      </c>
      <c r="H692">
        <v>4.7999999999999996E-3</v>
      </c>
      <c r="I692">
        <v>312.80399999999997</v>
      </c>
    </row>
    <row r="693" spans="1:9" x14ac:dyDescent="0.3">
      <c r="A693" t="s">
        <v>9</v>
      </c>
      <c r="B693" t="s">
        <v>701</v>
      </c>
      <c r="C693">
        <v>2</v>
      </c>
      <c r="D693">
        <v>3.3999999999999998E-3</v>
      </c>
      <c r="E693">
        <v>6.2532922750659017</v>
      </c>
      <c r="F693">
        <v>630.80684003614203</v>
      </c>
      <c r="G693">
        <v>0.42399999999999999</v>
      </c>
      <c r="H693">
        <v>4.0000000000000001E-3</v>
      </c>
      <c r="I693">
        <v>313.00229999999999</v>
      </c>
    </row>
    <row r="694" spans="1:9" x14ac:dyDescent="0.3">
      <c r="A694" t="s">
        <v>9</v>
      </c>
      <c r="B694" t="s">
        <v>702</v>
      </c>
      <c r="C694">
        <v>2</v>
      </c>
      <c r="D694">
        <v>2.0999999999999999E-3</v>
      </c>
      <c r="E694">
        <v>6.2057194461967073</v>
      </c>
      <c r="F694">
        <v>626.37305238553313</v>
      </c>
      <c r="G694">
        <v>0.42399999999999999</v>
      </c>
      <c r="H694">
        <v>3.3E-3</v>
      </c>
      <c r="I694">
        <v>313.20179999999999</v>
      </c>
    </row>
    <row r="695" spans="1:9" x14ac:dyDescent="0.3">
      <c r="A695" t="s">
        <v>9</v>
      </c>
      <c r="B695" t="s">
        <v>703</v>
      </c>
      <c r="C695">
        <v>2</v>
      </c>
      <c r="D695">
        <v>1.9E-3</v>
      </c>
      <c r="E695">
        <v>6.1622149891914137</v>
      </c>
      <c r="F695">
        <v>622.31843699263982</v>
      </c>
      <c r="G695">
        <v>0.42399999999999999</v>
      </c>
      <c r="H695">
        <v>2.5999999999999999E-3</v>
      </c>
      <c r="I695">
        <v>313.40339999999998</v>
      </c>
    </row>
    <row r="696" spans="1:9" x14ac:dyDescent="0.3">
      <c r="A696" t="s">
        <v>9</v>
      </c>
      <c r="B696" t="s">
        <v>704</v>
      </c>
      <c r="C696">
        <v>2</v>
      </c>
      <c r="D696">
        <v>1.1999999999999999E-3</v>
      </c>
      <c r="E696">
        <v>6.1240668007931296</v>
      </c>
      <c r="F696">
        <v>618.76302583391976</v>
      </c>
      <c r="G696">
        <v>0.42399999999999999</v>
      </c>
      <c r="H696">
        <v>2E-3</v>
      </c>
      <c r="I696">
        <v>313.60169999999999</v>
      </c>
    </row>
    <row r="697" spans="1:9" x14ac:dyDescent="0.3">
      <c r="A697" t="s">
        <v>9</v>
      </c>
      <c r="B697" t="s">
        <v>705</v>
      </c>
      <c r="C697">
        <v>2</v>
      </c>
      <c r="D697">
        <v>4.0000000000000002E-4</v>
      </c>
      <c r="E697">
        <v>6.0902481885158757</v>
      </c>
      <c r="F697">
        <v>615.61113116967965</v>
      </c>
      <c r="G697">
        <v>0.42399999999999999</v>
      </c>
      <c r="H697">
        <v>1.5E-3</v>
      </c>
      <c r="I697">
        <v>313.80250000000001</v>
      </c>
    </row>
    <row r="698" spans="1:9" x14ac:dyDescent="0.3">
      <c r="A698" t="s">
        <v>9</v>
      </c>
      <c r="B698" t="s">
        <v>706</v>
      </c>
      <c r="C698">
        <v>2</v>
      </c>
      <c r="D698">
        <v>-2.0000000000000001E-4</v>
      </c>
      <c r="E698">
        <v>6.0616474982257458</v>
      </c>
      <c r="F698">
        <v>612.94554683463957</v>
      </c>
      <c r="G698">
        <v>0.42399999999999999</v>
      </c>
      <c r="H698">
        <v>1E-3</v>
      </c>
      <c r="I698">
        <v>314.0018</v>
      </c>
    </row>
    <row r="699" spans="1:9" x14ac:dyDescent="0.3">
      <c r="A699" t="s">
        <v>9</v>
      </c>
      <c r="B699" t="s">
        <v>707</v>
      </c>
      <c r="C699">
        <v>2</v>
      </c>
      <c r="D699">
        <v>-2.0000000000000001E-4</v>
      </c>
      <c r="E699">
        <v>6.0377919104812037</v>
      </c>
      <c r="F699">
        <v>610.72220605684822</v>
      </c>
      <c r="G699">
        <v>0.42399999999999999</v>
      </c>
      <c r="H699">
        <v>6.9999999999999999E-4</v>
      </c>
      <c r="I699">
        <v>314.2038</v>
      </c>
    </row>
    <row r="700" spans="1:9" x14ac:dyDescent="0.3">
      <c r="A700" t="s">
        <v>9</v>
      </c>
      <c r="B700" t="s">
        <v>708</v>
      </c>
      <c r="C700">
        <v>2</v>
      </c>
      <c r="D700">
        <v>-8.9999999999999998E-4</v>
      </c>
      <c r="E700">
        <v>6.0196092315617324</v>
      </c>
      <c r="F700">
        <v>609.02758038155343</v>
      </c>
      <c r="G700">
        <v>0.42399999999999999</v>
      </c>
      <c r="H700">
        <v>4.0000000000000002E-4</v>
      </c>
      <c r="I700">
        <v>314.4008</v>
      </c>
    </row>
    <row r="701" spans="1:9" x14ac:dyDescent="0.3">
      <c r="A701" t="s">
        <v>9</v>
      </c>
      <c r="B701" t="s">
        <v>709</v>
      </c>
      <c r="C701">
        <v>2</v>
      </c>
      <c r="D701">
        <v>-8.9999999999999998E-4</v>
      </c>
      <c r="E701">
        <v>6.006266275842064</v>
      </c>
      <c r="F701">
        <v>607.78401690848034</v>
      </c>
      <c r="G701">
        <v>0.42399999999999999</v>
      </c>
      <c r="H701">
        <v>2.0000000000000001E-4</v>
      </c>
      <c r="I701">
        <v>314.60230000000001</v>
      </c>
    </row>
    <row r="702" spans="1:9" x14ac:dyDescent="0.3">
      <c r="A702" t="s">
        <v>9</v>
      </c>
      <c r="B702" t="s">
        <v>710</v>
      </c>
      <c r="C702">
        <v>2</v>
      </c>
      <c r="D702">
        <v>-8.9999999999999998E-4</v>
      </c>
      <c r="E702">
        <v>5.9983494217402589</v>
      </c>
      <c r="F702">
        <v>607.04616610619212</v>
      </c>
      <c r="G702">
        <v>0.42399999999999999</v>
      </c>
      <c r="H702">
        <v>0</v>
      </c>
      <c r="I702">
        <v>314.80189999999999</v>
      </c>
    </row>
    <row r="703" spans="1:9" x14ac:dyDescent="0.3">
      <c r="A703" t="s">
        <v>9</v>
      </c>
      <c r="B703" t="s">
        <v>711</v>
      </c>
      <c r="C703">
        <v>2</v>
      </c>
      <c r="D703">
        <v>-1E-3</v>
      </c>
      <c r="E703">
        <v>5.9957337254908847</v>
      </c>
      <c r="F703">
        <v>606.80238321575052</v>
      </c>
      <c r="G703">
        <v>0.42399999999999999</v>
      </c>
      <c r="H703">
        <v>0</v>
      </c>
      <c r="I703">
        <v>315.00200000000001</v>
      </c>
    </row>
    <row r="704" spans="1:9" x14ac:dyDescent="0.3">
      <c r="A704" t="s">
        <v>9</v>
      </c>
      <c r="B704" t="s">
        <v>712</v>
      </c>
      <c r="C704">
        <v>2</v>
      </c>
      <c r="D704">
        <v>-8.9999999999999998E-4</v>
      </c>
      <c r="E704">
        <v>5.9987349003494241</v>
      </c>
      <c r="F704">
        <v>709.27994204316042</v>
      </c>
      <c r="G704">
        <v>0.42399999999999999</v>
      </c>
      <c r="H704">
        <v>0</v>
      </c>
      <c r="I704">
        <v>315.2122</v>
      </c>
    </row>
    <row r="705" spans="1:9" x14ac:dyDescent="0.3">
      <c r="A705" t="s">
        <v>9</v>
      </c>
      <c r="B705" t="s">
        <v>713</v>
      </c>
      <c r="C705">
        <v>2</v>
      </c>
      <c r="D705">
        <v>-6.9999999999999999E-4</v>
      </c>
      <c r="E705">
        <v>6.0064943409747968</v>
      </c>
      <c r="F705">
        <v>710.01631295850825</v>
      </c>
      <c r="G705">
        <v>0.42399999999999999</v>
      </c>
      <c r="H705">
        <v>2.0000000000000001E-4</v>
      </c>
      <c r="I705">
        <v>315.40190000000001</v>
      </c>
    </row>
    <row r="706" spans="1:9" x14ac:dyDescent="0.3">
      <c r="A706" t="s">
        <v>9</v>
      </c>
      <c r="B706" t="s">
        <v>714</v>
      </c>
      <c r="C706">
        <v>2</v>
      </c>
      <c r="D706">
        <v>-2.9999999999999997E-4</v>
      </c>
      <c r="E706">
        <v>6.0199958398124069</v>
      </c>
      <c r="F706">
        <v>711.2976051981974</v>
      </c>
      <c r="G706">
        <v>0.42399999999999999</v>
      </c>
      <c r="H706">
        <v>4.0000000000000002E-4</v>
      </c>
      <c r="I706">
        <v>315.60399999999998</v>
      </c>
    </row>
    <row r="707" spans="1:9" x14ac:dyDescent="0.3">
      <c r="A707" t="s">
        <v>9</v>
      </c>
      <c r="B707" t="s">
        <v>715</v>
      </c>
      <c r="C707">
        <v>2</v>
      </c>
      <c r="D707">
        <v>0</v>
      </c>
      <c r="E707">
        <v>6.0383644351801511</v>
      </c>
      <c r="F707">
        <v>713.04078489859637</v>
      </c>
      <c r="G707">
        <v>0.42399999999999999</v>
      </c>
      <c r="H707">
        <v>6.9999999999999999E-4</v>
      </c>
      <c r="I707">
        <v>315.80160000000001</v>
      </c>
    </row>
    <row r="708" spans="1:9" x14ac:dyDescent="0.3">
      <c r="A708" t="s">
        <v>9</v>
      </c>
      <c r="B708" t="s">
        <v>716</v>
      </c>
      <c r="C708">
        <v>2</v>
      </c>
      <c r="D708">
        <v>4.0000000000000002E-4</v>
      </c>
      <c r="E708">
        <v>6.0623350144293822</v>
      </c>
      <c r="F708">
        <v>715.31559286934839</v>
      </c>
      <c r="G708">
        <v>0.42399999999999999</v>
      </c>
      <c r="H708">
        <v>1E-3</v>
      </c>
      <c r="I708">
        <v>316.0034</v>
      </c>
    </row>
    <row r="709" spans="1:9" x14ac:dyDescent="0.3">
      <c r="A709" t="s">
        <v>9</v>
      </c>
      <c r="B709" t="s">
        <v>717</v>
      </c>
      <c r="C709">
        <v>2</v>
      </c>
      <c r="D709">
        <v>5.0000000000000001E-4</v>
      </c>
      <c r="E709">
        <v>6.0909942546958078</v>
      </c>
      <c r="F709">
        <v>718.03535477063224</v>
      </c>
      <c r="G709">
        <v>0.42399999999999999</v>
      </c>
      <c r="H709">
        <v>1.5E-3</v>
      </c>
      <c r="I709">
        <v>316.2022</v>
      </c>
    </row>
    <row r="710" spans="1:9" x14ac:dyDescent="0.3">
      <c r="A710" t="s">
        <v>9</v>
      </c>
      <c r="B710" t="s">
        <v>718</v>
      </c>
      <c r="C710">
        <v>2</v>
      </c>
      <c r="D710">
        <v>8.9999999999999998E-4</v>
      </c>
      <c r="E710">
        <v>6.1252648046709721</v>
      </c>
      <c r="F710">
        <v>721.28762996327532</v>
      </c>
      <c r="G710">
        <v>0.42399999999999999</v>
      </c>
      <c r="H710">
        <v>2E-3</v>
      </c>
      <c r="I710">
        <v>316.4049</v>
      </c>
    </row>
    <row r="711" spans="1:9" x14ac:dyDescent="0.3">
      <c r="A711" t="s">
        <v>9</v>
      </c>
      <c r="B711" t="s">
        <v>719</v>
      </c>
      <c r="C711">
        <v>2</v>
      </c>
      <c r="D711">
        <v>1.6999999999999999E-3</v>
      </c>
      <c r="E711">
        <v>6.1631312719921798</v>
      </c>
      <c r="F711">
        <v>724.88115771205787</v>
      </c>
      <c r="G711">
        <v>0.42399999999999999</v>
      </c>
      <c r="H711">
        <v>2.5999999999999999E-3</v>
      </c>
      <c r="I711">
        <v>316.601</v>
      </c>
    </row>
    <row r="712" spans="1:9" x14ac:dyDescent="0.3">
      <c r="A712" t="s">
        <v>9</v>
      </c>
      <c r="B712" t="s">
        <v>720</v>
      </c>
      <c r="C712">
        <v>2</v>
      </c>
      <c r="D712">
        <v>2.5000000000000001E-3</v>
      </c>
      <c r="E712">
        <v>6.2070327254087614</v>
      </c>
      <c r="F712">
        <v>729.04740564129145</v>
      </c>
      <c r="G712">
        <v>0.42399999999999999</v>
      </c>
      <c r="H712">
        <v>3.3E-3</v>
      </c>
      <c r="I712">
        <v>316.8039</v>
      </c>
    </row>
    <row r="713" spans="1:9" x14ac:dyDescent="0.3">
      <c r="A713" t="s">
        <v>9</v>
      </c>
      <c r="B713" t="s">
        <v>721</v>
      </c>
      <c r="C713">
        <v>2</v>
      </c>
      <c r="D713">
        <v>3.3E-3</v>
      </c>
      <c r="E713">
        <v>6.2541926228661939</v>
      </c>
      <c r="F713">
        <v>733.52287991000185</v>
      </c>
      <c r="G713">
        <v>0.42399999999999999</v>
      </c>
      <c r="H713">
        <v>4.0000000000000001E-3</v>
      </c>
      <c r="I713">
        <v>317.00130000000001</v>
      </c>
    </row>
    <row r="714" spans="1:9" x14ac:dyDescent="0.3">
      <c r="A714" t="s">
        <v>9</v>
      </c>
      <c r="B714" t="s">
        <v>722</v>
      </c>
      <c r="C714">
        <v>2</v>
      </c>
      <c r="D714">
        <v>3.7000000000000002E-3</v>
      </c>
      <c r="E714">
        <v>6.3062315093108552</v>
      </c>
      <c r="F714">
        <v>738.46137023360018</v>
      </c>
      <c r="G714">
        <v>0.42399999999999999</v>
      </c>
      <c r="H714">
        <v>4.7999999999999996E-3</v>
      </c>
      <c r="I714">
        <v>317.20119999999997</v>
      </c>
    </row>
    <row r="715" spans="1:9" x14ac:dyDescent="0.3">
      <c r="A715" t="s">
        <v>9</v>
      </c>
      <c r="B715" t="s">
        <v>723</v>
      </c>
      <c r="C715">
        <v>2</v>
      </c>
      <c r="D715">
        <v>4.7999999999999996E-3</v>
      </c>
      <c r="E715">
        <v>6.3625935654386971</v>
      </c>
      <c r="F715">
        <v>743.81012936013235</v>
      </c>
      <c r="G715">
        <v>0.42399999999999999</v>
      </c>
      <c r="H715">
        <v>5.7000000000000002E-3</v>
      </c>
      <c r="I715">
        <v>317.40190000000001</v>
      </c>
    </row>
    <row r="716" spans="1:9" x14ac:dyDescent="0.3">
      <c r="A716" t="s">
        <v>9</v>
      </c>
      <c r="B716" t="s">
        <v>724</v>
      </c>
      <c r="C716">
        <v>2</v>
      </c>
      <c r="D716">
        <v>5.4000000000000003E-3</v>
      </c>
      <c r="E716">
        <v>6.4229346276771482</v>
      </c>
      <c r="F716">
        <v>749.53649616656139</v>
      </c>
      <c r="G716">
        <v>0.42399999999999999</v>
      </c>
      <c r="H716">
        <v>6.6E-3</v>
      </c>
      <c r="I716">
        <v>317.60270000000003</v>
      </c>
    </row>
    <row r="717" spans="1:9" x14ac:dyDescent="0.3">
      <c r="A717" t="s">
        <v>9</v>
      </c>
      <c r="B717" t="s">
        <v>725</v>
      </c>
      <c r="C717">
        <v>2</v>
      </c>
      <c r="D717">
        <v>6.6E-3</v>
      </c>
      <c r="E717">
        <v>6.4864305361798351</v>
      </c>
      <c r="F717">
        <v>755.56225788346637</v>
      </c>
      <c r="G717">
        <v>0.42399999999999999</v>
      </c>
      <c r="H717">
        <v>7.6E-3</v>
      </c>
      <c r="I717">
        <v>317.80200000000002</v>
      </c>
    </row>
    <row r="718" spans="1:9" x14ac:dyDescent="0.3">
      <c r="A718" t="s">
        <v>9</v>
      </c>
      <c r="B718" t="s">
        <v>726</v>
      </c>
      <c r="C718">
        <v>2</v>
      </c>
      <c r="D718">
        <v>7.4000000000000003E-3</v>
      </c>
      <c r="E718">
        <v>6.5535991987356894</v>
      </c>
      <c r="F718">
        <v>761.93656396001688</v>
      </c>
      <c r="G718">
        <v>0.42399999999999999</v>
      </c>
      <c r="H718">
        <v>8.6999999999999994E-3</v>
      </c>
      <c r="I718">
        <v>318.00209999999998</v>
      </c>
    </row>
    <row r="719" spans="1:9" x14ac:dyDescent="0.3">
      <c r="A719" t="s">
        <v>9</v>
      </c>
      <c r="B719" t="s">
        <v>727</v>
      </c>
      <c r="C719">
        <v>2</v>
      </c>
      <c r="D719">
        <v>8.6999999999999994E-3</v>
      </c>
      <c r="E719">
        <v>6.6242788325154676</v>
      </c>
      <c r="F719">
        <v>768.64406120571789</v>
      </c>
      <c r="G719">
        <v>0.42399999999999999</v>
      </c>
      <c r="H719">
        <v>9.7999999999999997E-3</v>
      </c>
      <c r="I719">
        <v>318.20330000000001</v>
      </c>
    </row>
    <row r="720" spans="1:9" x14ac:dyDescent="0.3">
      <c r="A720" t="s">
        <v>9</v>
      </c>
      <c r="B720" t="s">
        <v>728</v>
      </c>
      <c r="C720">
        <v>2</v>
      </c>
      <c r="D720">
        <v>9.7000000000000003E-3</v>
      </c>
      <c r="E720">
        <v>6.6974748177695176</v>
      </c>
      <c r="F720">
        <v>775.5903602063272</v>
      </c>
      <c r="G720">
        <v>0.42399999999999999</v>
      </c>
      <c r="H720">
        <v>1.09E-2</v>
      </c>
      <c r="I720">
        <v>318.40350000000001</v>
      </c>
    </row>
    <row r="721" spans="1:9" x14ac:dyDescent="0.3">
      <c r="A721" t="s">
        <v>9</v>
      </c>
      <c r="B721" t="s">
        <v>729</v>
      </c>
      <c r="C721">
        <v>2</v>
      </c>
      <c r="D721">
        <v>1.1599999999999999E-2</v>
      </c>
      <c r="E721">
        <v>6.7732216195115846</v>
      </c>
      <c r="F721">
        <v>782.77873169164945</v>
      </c>
      <c r="G721">
        <v>0.42399999999999999</v>
      </c>
      <c r="H721">
        <v>1.21E-2</v>
      </c>
      <c r="I721">
        <v>318.60359999999997</v>
      </c>
    </row>
    <row r="722" spans="1:9" x14ac:dyDescent="0.3">
      <c r="A722" t="s">
        <v>9</v>
      </c>
      <c r="B722" t="s">
        <v>730</v>
      </c>
      <c r="C722">
        <v>2</v>
      </c>
      <c r="D722">
        <v>1.21E-2</v>
      </c>
      <c r="E722">
        <v>6.8508343976449799</v>
      </c>
      <c r="F722">
        <v>790.1441843365086</v>
      </c>
      <c r="G722">
        <v>0.42399999999999999</v>
      </c>
      <c r="H722">
        <v>1.3299999999999999E-2</v>
      </c>
      <c r="I722">
        <v>318.80270000000002</v>
      </c>
    </row>
    <row r="723" spans="1:9" x14ac:dyDescent="0.3">
      <c r="A723" t="s">
        <v>9</v>
      </c>
      <c r="B723" t="s">
        <v>731</v>
      </c>
      <c r="C723">
        <v>2</v>
      </c>
      <c r="D723">
        <v>1.3899999999999999E-2</v>
      </c>
      <c r="E723">
        <v>6.9303297764704528</v>
      </c>
      <c r="F723">
        <v>797.68829578704606</v>
      </c>
      <c r="G723">
        <v>0.42399999999999999</v>
      </c>
      <c r="H723">
        <v>1.4500000000000001E-2</v>
      </c>
      <c r="I723">
        <v>319.00170000000003</v>
      </c>
    </row>
    <row r="724" spans="1:9" x14ac:dyDescent="0.3">
      <c r="A724" t="s">
        <v>9</v>
      </c>
      <c r="B724" t="s">
        <v>732</v>
      </c>
      <c r="C724">
        <v>2</v>
      </c>
      <c r="D724">
        <v>1.5100000000000001E-2</v>
      </c>
      <c r="E724">
        <v>7.013132580203373</v>
      </c>
      <c r="F724">
        <v>805.54628186130014</v>
      </c>
      <c r="G724">
        <v>0.42399999999999999</v>
      </c>
      <c r="H724">
        <v>1.5800000000000002E-2</v>
      </c>
      <c r="I724">
        <v>319.2047</v>
      </c>
    </row>
    <row r="725" spans="1:9" x14ac:dyDescent="0.3">
      <c r="A725" t="s">
        <v>9</v>
      </c>
      <c r="B725" t="s">
        <v>733</v>
      </c>
      <c r="C725">
        <v>2</v>
      </c>
      <c r="D725">
        <v>1.67E-2</v>
      </c>
      <c r="E725">
        <v>7.0947716828839003</v>
      </c>
      <c r="F725">
        <v>813.29383270568212</v>
      </c>
      <c r="G725">
        <v>0.42399999999999999</v>
      </c>
      <c r="H725">
        <v>1.7100000000000001E-2</v>
      </c>
      <c r="I725">
        <v>319.40170000000001</v>
      </c>
    </row>
    <row r="726" spans="1:9" x14ac:dyDescent="0.3">
      <c r="A726" t="s">
        <v>9</v>
      </c>
      <c r="B726" t="s">
        <v>734</v>
      </c>
      <c r="C726">
        <v>2</v>
      </c>
      <c r="D726">
        <v>1.7999999999999999E-2</v>
      </c>
      <c r="E726">
        <v>7.1792296182181694</v>
      </c>
      <c r="F726">
        <v>821.30889076890435</v>
      </c>
      <c r="G726">
        <v>0.42399999999999999</v>
      </c>
      <c r="H726">
        <v>1.84E-2</v>
      </c>
      <c r="I726">
        <v>319.60309999999998</v>
      </c>
    </row>
    <row r="727" spans="1:9" x14ac:dyDescent="0.3">
      <c r="A727" t="s">
        <v>9</v>
      </c>
      <c r="B727" t="s">
        <v>735</v>
      </c>
      <c r="C727">
        <v>2</v>
      </c>
      <c r="D727">
        <v>1.89E-2</v>
      </c>
      <c r="E727">
        <v>7.2637426975744326</v>
      </c>
      <c r="F727">
        <v>829.32918199981373</v>
      </c>
      <c r="G727">
        <v>0.42399999999999999</v>
      </c>
      <c r="H727">
        <v>1.9699999999999999E-2</v>
      </c>
      <c r="I727">
        <v>319.80309999999997</v>
      </c>
    </row>
    <row r="728" spans="1:9" x14ac:dyDescent="0.3">
      <c r="A728" t="s">
        <v>9</v>
      </c>
      <c r="B728" t="s">
        <v>736</v>
      </c>
      <c r="C728">
        <v>2</v>
      </c>
      <c r="D728">
        <v>1.9800000000000002E-2</v>
      </c>
      <c r="E728">
        <v>7.3480591236169639</v>
      </c>
      <c r="F728">
        <v>837.33081083124989</v>
      </c>
      <c r="G728">
        <v>0.42399999999999999</v>
      </c>
      <c r="H728">
        <v>2.1000000000000001E-2</v>
      </c>
      <c r="I728">
        <v>320.0018</v>
      </c>
    </row>
    <row r="729" spans="1:9" x14ac:dyDescent="0.3">
      <c r="A729" t="s">
        <v>9</v>
      </c>
      <c r="B729" t="s">
        <v>737</v>
      </c>
      <c r="C729">
        <v>2</v>
      </c>
      <c r="D729">
        <v>2.1100000000000001E-2</v>
      </c>
      <c r="E729">
        <v>7.4330830961181826</v>
      </c>
      <c r="F729">
        <v>845.39958582161557</v>
      </c>
      <c r="G729">
        <v>0.42399999999999999</v>
      </c>
      <c r="H729">
        <v>2.23E-2</v>
      </c>
      <c r="I729">
        <v>320.20209999999997</v>
      </c>
    </row>
    <row r="730" spans="1:9" x14ac:dyDescent="0.3">
      <c r="A730" t="s">
        <v>9</v>
      </c>
      <c r="B730" t="s">
        <v>738</v>
      </c>
      <c r="C730">
        <v>2</v>
      </c>
      <c r="D730">
        <v>2.29E-2</v>
      </c>
      <c r="E730">
        <v>7.5184622609963663</v>
      </c>
      <c r="F730">
        <v>853.50206856855516</v>
      </c>
      <c r="G730">
        <v>0.42399999999999999</v>
      </c>
      <c r="H730">
        <v>2.3699999999999999E-2</v>
      </c>
      <c r="I730">
        <v>320.4042</v>
      </c>
    </row>
    <row r="731" spans="1:9" x14ac:dyDescent="0.3">
      <c r="A731" t="s">
        <v>9</v>
      </c>
      <c r="B731" t="s">
        <v>739</v>
      </c>
      <c r="C731">
        <v>2</v>
      </c>
      <c r="D731">
        <v>2.3699999999999999E-2</v>
      </c>
      <c r="E731">
        <v>7.6014110341992733</v>
      </c>
      <c r="F731">
        <v>861.37390714551111</v>
      </c>
      <c r="G731">
        <v>0.42399999999999999</v>
      </c>
      <c r="H731">
        <v>2.4899999999999999E-2</v>
      </c>
      <c r="I731">
        <v>320.60199999999998</v>
      </c>
    </row>
    <row r="732" spans="1:9" x14ac:dyDescent="0.3">
      <c r="A732" t="s">
        <v>9</v>
      </c>
      <c r="B732" t="s">
        <v>740</v>
      </c>
      <c r="C732">
        <v>2</v>
      </c>
      <c r="D732">
        <v>2.52E-2</v>
      </c>
      <c r="E732">
        <v>7.6839474436494672</v>
      </c>
      <c r="F732">
        <v>869.20661240233449</v>
      </c>
      <c r="G732">
        <v>0.42399999999999999</v>
      </c>
      <c r="H732">
        <v>2.6200000000000001E-2</v>
      </c>
      <c r="I732">
        <v>320.80130000000003</v>
      </c>
    </row>
    <row r="733" spans="1:9" x14ac:dyDescent="0.3">
      <c r="A733" t="s">
        <v>9</v>
      </c>
      <c r="B733" t="s">
        <v>741</v>
      </c>
      <c r="C733">
        <v>2</v>
      </c>
      <c r="D733">
        <v>2.63E-2</v>
      </c>
      <c r="E733">
        <v>7.7666752352936452</v>
      </c>
      <c r="F733">
        <v>877.05747982936703</v>
      </c>
      <c r="G733">
        <v>0.42399999999999999</v>
      </c>
      <c r="H733">
        <v>2.75E-2</v>
      </c>
      <c r="I733">
        <v>321.00420000000003</v>
      </c>
    </row>
    <row r="734" spans="1:9" x14ac:dyDescent="0.3">
      <c r="A734" t="s">
        <v>9</v>
      </c>
      <c r="B734" t="s">
        <v>742</v>
      </c>
      <c r="C734">
        <v>2</v>
      </c>
      <c r="D734">
        <v>2.75E-2</v>
      </c>
      <c r="E734">
        <v>7.8453507522626929</v>
      </c>
      <c r="F734">
        <v>884.52378638972959</v>
      </c>
      <c r="G734">
        <v>0.42399999999999999</v>
      </c>
      <c r="H734">
        <v>2.87E-2</v>
      </c>
      <c r="I734">
        <v>321.2013</v>
      </c>
    </row>
    <row r="735" spans="1:9" x14ac:dyDescent="0.3">
      <c r="A735" t="s">
        <v>9</v>
      </c>
      <c r="B735" t="s">
        <v>743</v>
      </c>
      <c r="C735">
        <v>2</v>
      </c>
      <c r="D735">
        <v>2.9000000000000001E-2</v>
      </c>
      <c r="E735">
        <v>7.9244974262432004</v>
      </c>
      <c r="F735">
        <v>892.03480575047968</v>
      </c>
      <c r="G735">
        <v>0.42399999999999999</v>
      </c>
      <c r="H735">
        <v>0.03</v>
      </c>
      <c r="I735">
        <v>321.40449999999998</v>
      </c>
    </row>
    <row r="736" spans="1:9" x14ac:dyDescent="0.3">
      <c r="A736" t="s">
        <v>9</v>
      </c>
      <c r="B736" t="s">
        <v>744</v>
      </c>
      <c r="C736">
        <v>2</v>
      </c>
      <c r="D736">
        <v>0.03</v>
      </c>
      <c r="E736">
        <v>7.9998298368788046</v>
      </c>
      <c r="F736">
        <v>899.18385151979862</v>
      </c>
      <c r="G736">
        <v>0.42399999999999999</v>
      </c>
      <c r="H736">
        <v>3.1099999999999999E-2</v>
      </c>
      <c r="I736">
        <v>321.60379999999998</v>
      </c>
    </row>
    <row r="737" spans="1:9" x14ac:dyDescent="0.3">
      <c r="A737" t="s">
        <v>9</v>
      </c>
      <c r="B737" t="s">
        <v>745</v>
      </c>
      <c r="C737">
        <v>2</v>
      </c>
      <c r="D737">
        <v>3.1099999999999999E-2</v>
      </c>
      <c r="E737">
        <v>8.0722310994629254</v>
      </c>
      <c r="F737">
        <v>906.05473133903172</v>
      </c>
      <c r="G737">
        <v>0.42399999999999999</v>
      </c>
      <c r="H737">
        <v>3.2300000000000002E-2</v>
      </c>
      <c r="I737">
        <v>321.80200000000002</v>
      </c>
    </row>
    <row r="738" spans="1:9" x14ac:dyDescent="0.3">
      <c r="A738" t="s">
        <v>9</v>
      </c>
      <c r="B738" t="s">
        <v>746</v>
      </c>
      <c r="C738">
        <v>2</v>
      </c>
      <c r="D738">
        <v>3.1800000000000002E-2</v>
      </c>
      <c r="E738">
        <v>8.1421971047227704</v>
      </c>
      <c r="F738">
        <v>912.69450523819091</v>
      </c>
      <c r="G738">
        <v>0.42399999999999999</v>
      </c>
      <c r="H738">
        <v>3.3399999999999999E-2</v>
      </c>
      <c r="I738">
        <v>322.00130000000001</v>
      </c>
    </row>
    <row r="739" spans="1:9" x14ac:dyDescent="0.3">
      <c r="A739" t="s">
        <v>9</v>
      </c>
      <c r="B739" t="s">
        <v>747</v>
      </c>
      <c r="C739">
        <v>2</v>
      </c>
      <c r="D739">
        <v>3.3500000000000002E-2</v>
      </c>
      <c r="E739">
        <v>8.2093090013736276</v>
      </c>
      <c r="F739">
        <v>919.06342423035733</v>
      </c>
      <c r="G739">
        <v>0.42399999999999999</v>
      </c>
      <c r="H739">
        <v>3.44E-2</v>
      </c>
      <c r="I739">
        <v>322.20150000000001</v>
      </c>
    </row>
    <row r="740" spans="1:9" x14ac:dyDescent="0.3">
      <c r="A740" t="s">
        <v>9</v>
      </c>
      <c r="B740" t="s">
        <v>748</v>
      </c>
      <c r="C740">
        <v>2</v>
      </c>
      <c r="D740">
        <v>3.44E-2</v>
      </c>
      <c r="E740">
        <v>8.2732926911885212</v>
      </c>
      <c r="F740">
        <v>925.13547639379067</v>
      </c>
      <c r="G740">
        <v>0.42399999999999999</v>
      </c>
      <c r="H740">
        <v>3.5400000000000001E-2</v>
      </c>
      <c r="I740">
        <v>322.40249999999997</v>
      </c>
    </row>
    <row r="741" spans="1:9" x14ac:dyDescent="0.3">
      <c r="A741" t="s">
        <v>9</v>
      </c>
      <c r="B741" t="s">
        <v>749</v>
      </c>
      <c r="C741">
        <v>2</v>
      </c>
      <c r="D741">
        <v>3.5400000000000001E-2</v>
      </c>
      <c r="E741">
        <v>8.3329840676443059</v>
      </c>
      <c r="F741">
        <v>930.8001880194447</v>
      </c>
      <c r="G741">
        <v>0.42399999999999999</v>
      </c>
      <c r="H741">
        <v>3.6299999999999999E-2</v>
      </c>
      <c r="I741">
        <v>322.60149999999999</v>
      </c>
    </row>
    <row r="742" spans="1:9" x14ac:dyDescent="0.3">
      <c r="A742" t="s">
        <v>9</v>
      </c>
      <c r="B742" t="s">
        <v>750</v>
      </c>
      <c r="C742">
        <v>2</v>
      </c>
      <c r="D742">
        <v>3.6900000000000002E-2</v>
      </c>
      <c r="E742">
        <v>8.3899158101758466</v>
      </c>
      <c r="F742">
        <v>936.20301038568789</v>
      </c>
      <c r="G742">
        <v>0.42399999999999999</v>
      </c>
      <c r="H742">
        <v>3.7199999999999997E-2</v>
      </c>
      <c r="I742">
        <v>322.80450000000002</v>
      </c>
    </row>
    <row r="743" spans="1:9" x14ac:dyDescent="0.3">
      <c r="A743" t="s">
        <v>9</v>
      </c>
      <c r="B743" t="s">
        <v>751</v>
      </c>
      <c r="C743">
        <v>2</v>
      </c>
      <c r="D743">
        <v>3.7900000000000003E-2</v>
      </c>
      <c r="E743">
        <v>8.4420885425150693</v>
      </c>
      <c r="F743">
        <v>941.15420268468017</v>
      </c>
      <c r="G743">
        <v>0.42399999999999999</v>
      </c>
      <c r="H743">
        <v>3.7999999999999999E-2</v>
      </c>
      <c r="I743">
        <v>323.00540000000001</v>
      </c>
    </row>
    <row r="744" spans="1:9" x14ac:dyDescent="0.3">
      <c r="A744" t="s">
        <v>9</v>
      </c>
      <c r="B744" t="s">
        <v>752</v>
      </c>
      <c r="C744">
        <v>2</v>
      </c>
      <c r="D744">
        <v>3.8600000000000002E-2</v>
      </c>
      <c r="E744">
        <v>8.4896149855304692</v>
      </c>
      <c r="F744">
        <v>945.66446212684161</v>
      </c>
      <c r="G744">
        <v>0.42399999999999999</v>
      </c>
      <c r="H744">
        <v>3.8699999999999998E-2</v>
      </c>
      <c r="I744">
        <v>323.20499999999998</v>
      </c>
    </row>
    <row r="745" spans="1:9" x14ac:dyDescent="0.3">
      <c r="A745" t="s">
        <v>9</v>
      </c>
      <c r="B745" t="s">
        <v>753</v>
      </c>
      <c r="C745">
        <v>2</v>
      </c>
      <c r="D745">
        <v>3.9E-2</v>
      </c>
      <c r="E745">
        <v>8.5325547434222884</v>
      </c>
      <c r="F745">
        <v>949.73944515077517</v>
      </c>
      <c r="G745">
        <v>0.42399999999999999</v>
      </c>
      <c r="H745">
        <v>3.9399999999999998E-2</v>
      </c>
      <c r="I745">
        <v>323.4042</v>
      </c>
    </row>
    <row r="746" spans="1:9" x14ac:dyDescent="0.3">
      <c r="A746" t="s">
        <v>9</v>
      </c>
      <c r="B746" t="s">
        <v>754</v>
      </c>
      <c r="C746">
        <v>2</v>
      </c>
      <c r="D746">
        <v>3.9899999999999998E-2</v>
      </c>
      <c r="E746">
        <v>8.5709163310762779</v>
      </c>
      <c r="F746">
        <v>953.37995981913878</v>
      </c>
      <c r="G746">
        <v>0.42399999999999999</v>
      </c>
      <c r="H746">
        <v>0.04</v>
      </c>
      <c r="I746">
        <v>323.6037</v>
      </c>
    </row>
    <row r="747" spans="1:9" x14ac:dyDescent="0.3">
      <c r="A747" t="s">
        <v>9</v>
      </c>
      <c r="B747" t="s">
        <v>755</v>
      </c>
      <c r="C747">
        <v>2</v>
      </c>
      <c r="D747">
        <v>4.1399999999999999E-2</v>
      </c>
      <c r="E747">
        <v>8.6044224064994612</v>
      </c>
      <c r="F747">
        <v>956.55968637679894</v>
      </c>
      <c r="G747">
        <v>0.42399999999999999</v>
      </c>
      <c r="H747">
        <v>4.0500000000000001E-2</v>
      </c>
      <c r="I747">
        <v>323.80290000000002</v>
      </c>
    </row>
    <row r="748" spans="1:9" x14ac:dyDescent="0.3">
      <c r="A748" t="s">
        <v>9</v>
      </c>
      <c r="B748" t="s">
        <v>756</v>
      </c>
      <c r="C748">
        <v>2</v>
      </c>
      <c r="D748">
        <v>4.1599999999999998E-2</v>
      </c>
      <c r="E748">
        <v>8.6331301410675838</v>
      </c>
      <c r="F748">
        <v>959.28405038731375</v>
      </c>
      <c r="G748">
        <v>0.42399999999999999</v>
      </c>
      <c r="H748">
        <v>4.1000000000000002E-2</v>
      </c>
      <c r="I748">
        <v>324.00310000000002</v>
      </c>
    </row>
    <row r="749" spans="1:9" x14ac:dyDescent="0.3">
      <c r="A749" t="s">
        <v>9</v>
      </c>
      <c r="B749" t="s">
        <v>757</v>
      </c>
      <c r="C749">
        <v>2</v>
      </c>
      <c r="D749">
        <v>4.2299999999999997E-2</v>
      </c>
      <c r="E749">
        <v>8.6568112547484137</v>
      </c>
      <c r="F749">
        <v>961.53138807562448</v>
      </c>
      <c r="G749">
        <v>0.42399999999999999</v>
      </c>
      <c r="H749">
        <v>4.1300000000000003E-2</v>
      </c>
      <c r="I749">
        <v>324.2038</v>
      </c>
    </row>
    <row r="750" spans="1:9" x14ac:dyDescent="0.3">
      <c r="A750" t="s">
        <v>9</v>
      </c>
      <c r="B750" t="s">
        <v>758</v>
      </c>
      <c r="C750">
        <v>2</v>
      </c>
      <c r="D750">
        <v>4.2500000000000003E-2</v>
      </c>
      <c r="E750">
        <v>8.6751506967692347</v>
      </c>
      <c r="F750">
        <v>963.27180112340045</v>
      </c>
      <c r="G750">
        <v>0.42399999999999999</v>
      </c>
      <c r="H750">
        <v>4.1599999999999998E-2</v>
      </c>
      <c r="I750">
        <v>324.40269999999998</v>
      </c>
    </row>
    <row r="751" spans="1:9" x14ac:dyDescent="0.3">
      <c r="A751" t="s">
        <v>9</v>
      </c>
      <c r="B751" t="s">
        <v>759</v>
      </c>
      <c r="C751">
        <v>2</v>
      </c>
      <c r="D751">
        <v>4.3299999999999998E-2</v>
      </c>
      <c r="E751">
        <v>8.6883443095022788</v>
      </c>
      <c r="F751">
        <v>964.5238749717663</v>
      </c>
      <c r="G751">
        <v>0.42399999999999999</v>
      </c>
      <c r="H751">
        <v>4.1799999999999997E-2</v>
      </c>
      <c r="I751">
        <v>324.60239999999999</v>
      </c>
    </row>
    <row r="752" spans="1:9" x14ac:dyDescent="0.3">
      <c r="A752" t="s">
        <v>9</v>
      </c>
      <c r="B752" t="s">
        <v>760</v>
      </c>
      <c r="C752">
        <v>2</v>
      </c>
      <c r="D752">
        <v>4.3700000000000003E-2</v>
      </c>
      <c r="E752">
        <v>8.6962550438340553</v>
      </c>
      <c r="F752">
        <v>965.27460365985189</v>
      </c>
      <c r="G752">
        <v>0.42399999999999999</v>
      </c>
      <c r="H752">
        <v>4.2000000000000003E-2</v>
      </c>
      <c r="I752">
        <v>324.80189999999999</v>
      </c>
    </row>
    <row r="753" spans="1:9" x14ac:dyDescent="0.3">
      <c r="A753" t="s">
        <v>9</v>
      </c>
      <c r="B753" t="s">
        <v>761</v>
      </c>
      <c r="C753">
        <v>2</v>
      </c>
      <c r="D753">
        <v>4.3700000000000003E-2</v>
      </c>
      <c r="E753">
        <v>8.6988703301713155</v>
      </c>
      <c r="F753">
        <v>965.52279433325793</v>
      </c>
      <c r="G753">
        <v>0.42399999999999999</v>
      </c>
      <c r="H753">
        <v>4.2000000000000003E-2</v>
      </c>
      <c r="I753">
        <v>325.005</v>
      </c>
    </row>
    <row r="754" spans="1:9" x14ac:dyDescent="0.3">
      <c r="A754" t="s">
        <v>9</v>
      </c>
      <c r="B754" t="s">
        <v>762</v>
      </c>
      <c r="C754">
        <v>2</v>
      </c>
      <c r="D754">
        <v>4.3799999999999999E-2</v>
      </c>
      <c r="E754">
        <v>5.9957334838115024</v>
      </c>
      <c r="F754">
        <v>606.80236069123202</v>
      </c>
      <c r="G754">
        <v>0.42399999999999999</v>
      </c>
      <c r="H754">
        <v>0</v>
      </c>
      <c r="I754">
        <v>325.20170000000002</v>
      </c>
    </row>
    <row r="755" spans="1:9" x14ac:dyDescent="0.3">
      <c r="A755" t="s">
        <v>9</v>
      </c>
      <c r="B755" t="s">
        <v>763</v>
      </c>
      <c r="C755">
        <v>2</v>
      </c>
      <c r="D755">
        <v>3.6900000000000002E-2</v>
      </c>
      <c r="E755">
        <v>5.9957334838115024</v>
      </c>
      <c r="F755">
        <v>606.80236069123202</v>
      </c>
      <c r="G755">
        <v>0.42399999999999999</v>
      </c>
      <c r="H755">
        <v>0</v>
      </c>
      <c r="I755">
        <v>325.40179999999998</v>
      </c>
    </row>
    <row r="756" spans="1:9" x14ac:dyDescent="0.3">
      <c r="A756" t="s">
        <v>9</v>
      </c>
      <c r="B756" t="s">
        <v>764</v>
      </c>
      <c r="C756">
        <v>2</v>
      </c>
      <c r="D756">
        <v>2.3300000000000001E-2</v>
      </c>
      <c r="E756">
        <v>5.9957334838115024</v>
      </c>
      <c r="F756">
        <v>606.80236069123202</v>
      </c>
      <c r="G756">
        <v>0.42399999999999999</v>
      </c>
      <c r="H756">
        <v>0</v>
      </c>
      <c r="I756">
        <v>325.60149999999999</v>
      </c>
    </row>
    <row r="757" spans="1:9" x14ac:dyDescent="0.3">
      <c r="A757" t="s">
        <v>9</v>
      </c>
      <c r="B757" t="s">
        <v>765</v>
      </c>
      <c r="C757">
        <v>2</v>
      </c>
      <c r="D757">
        <v>8.0999999999999996E-3</v>
      </c>
      <c r="E757">
        <v>5.9957334838115024</v>
      </c>
      <c r="F757">
        <v>606.80236069123202</v>
      </c>
      <c r="G757">
        <v>0.42399999999999999</v>
      </c>
      <c r="H757">
        <v>0</v>
      </c>
      <c r="I757">
        <v>325.80169999999998</v>
      </c>
    </row>
    <row r="758" spans="1:9" x14ac:dyDescent="0.3">
      <c r="A758" t="s">
        <v>9</v>
      </c>
      <c r="B758" t="s">
        <v>766</v>
      </c>
      <c r="C758">
        <v>2</v>
      </c>
      <c r="D758">
        <v>2.3999999999999998E-3</v>
      </c>
      <c r="E758">
        <v>5.9957334838115024</v>
      </c>
      <c r="F758">
        <v>606.80236069123202</v>
      </c>
      <c r="G758">
        <v>0.42399999999999999</v>
      </c>
      <c r="H758">
        <v>0</v>
      </c>
      <c r="I758">
        <v>326.00150000000002</v>
      </c>
    </row>
    <row r="759" spans="1:9" x14ac:dyDescent="0.3">
      <c r="A759" t="s">
        <v>9</v>
      </c>
      <c r="B759" t="s">
        <v>767</v>
      </c>
      <c r="C759">
        <v>2</v>
      </c>
      <c r="D759">
        <v>-2.0000000000000001E-4</v>
      </c>
      <c r="E759">
        <v>5.9957334838115024</v>
      </c>
      <c r="F759">
        <v>606.80236069123202</v>
      </c>
      <c r="G759">
        <v>0.42399999999999999</v>
      </c>
      <c r="H759">
        <v>0</v>
      </c>
      <c r="I759">
        <v>326.20170000000002</v>
      </c>
    </row>
    <row r="760" spans="1:9" x14ac:dyDescent="0.3">
      <c r="A760" t="s">
        <v>9</v>
      </c>
      <c r="B760" t="s">
        <v>768</v>
      </c>
      <c r="C760">
        <v>2</v>
      </c>
      <c r="D760">
        <v>-8.0000000000000004E-4</v>
      </c>
      <c r="E760">
        <v>5.9957334838115024</v>
      </c>
      <c r="F760">
        <v>606.80236069123202</v>
      </c>
      <c r="G760">
        <v>0.42399999999999999</v>
      </c>
      <c r="H760">
        <v>0</v>
      </c>
      <c r="I760">
        <v>326.4015</v>
      </c>
    </row>
    <row r="761" spans="1:9" x14ac:dyDescent="0.3">
      <c r="A761" t="s">
        <v>9</v>
      </c>
      <c r="B761" t="s">
        <v>769</v>
      </c>
      <c r="C761">
        <v>2</v>
      </c>
      <c r="D761">
        <v>-1.1000000000000001E-3</v>
      </c>
      <c r="E761">
        <v>5.9957334838115024</v>
      </c>
      <c r="F761">
        <v>606.80236069123202</v>
      </c>
      <c r="G761">
        <v>0.42399999999999999</v>
      </c>
      <c r="H761">
        <v>0</v>
      </c>
      <c r="I761">
        <v>326.60219999999998</v>
      </c>
    </row>
    <row r="762" spans="1:9" x14ac:dyDescent="0.3">
      <c r="A762" t="s">
        <v>9</v>
      </c>
      <c r="B762" t="s">
        <v>770</v>
      </c>
      <c r="C762">
        <v>2</v>
      </c>
      <c r="D762">
        <v>-1.1000000000000001E-3</v>
      </c>
      <c r="E762">
        <v>5.9957334838115024</v>
      </c>
      <c r="F762">
        <v>606.80236069123202</v>
      </c>
      <c r="G762">
        <v>0.42399999999999999</v>
      </c>
      <c r="H762">
        <v>0</v>
      </c>
      <c r="I762">
        <v>326.80489999999998</v>
      </c>
    </row>
    <row r="763" spans="1:9" x14ac:dyDescent="0.3">
      <c r="A763" t="s">
        <v>9</v>
      </c>
      <c r="B763" t="s">
        <v>771</v>
      </c>
      <c r="C763">
        <v>2</v>
      </c>
      <c r="D763">
        <v>-1.1000000000000001E-3</v>
      </c>
      <c r="E763">
        <v>5.9957334838115024</v>
      </c>
      <c r="F763">
        <v>606.80236069123202</v>
      </c>
      <c r="G763">
        <v>0.42399999999999999</v>
      </c>
      <c r="H763">
        <v>0</v>
      </c>
      <c r="I763">
        <v>327.0027</v>
      </c>
    </row>
    <row r="764" spans="1:9" x14ac:dyDescent="0.3">
      <c r="A764" t="s">
        <v>9</v>
      </c>
      <c r="B764" t="s">
        <v>772</v>
      </c>
      <c r="C764">
        <v>2</v>
      </c>
      <c r="D764">
        <v>-1.1000000000000001E-3</v>
      </c>
      <c r="E764">
        <v>5.9957334838115024</v>
      </c>
      <c r="F764">
        <v>606.80236069123202</v>
      </c>
      <c r="G764">
        <v>0.42399999999999999</v>
      </c>
      <c r="H764">
        <v>0</v>
      </c>
      <c r="I764">
        <v>327.20229999999998</v>
      </c>
    </row>
    <row r="765" spans="1:9" x14ac:dyDescent="0.3">
      <c r="A765" t="s">
        <v>9</v>
      </c>
      <c r="B765" t="s">
        <v>773</v>
      </c>
      <c r="C765">
        <v>2</v>
      </c>
      <c r="D765">
        <v>-1.1000000000000001E-3</v>
      </c>
      <c r="E765">
        <v>8.3313816472404536</v>
      </c>
      <c r="F765">
        <v>930.64811832311909</v>
      </c>
      <c r="G765">
        <v>0.42399999999999999</v>
      </c>
      <c r="H765">
        <v>3.6299999999999999E-2</v>
      </c>
      <c r="I765">
        <v>327.404</v>
      </c>
    </row>
    <row r="766" spans="1:9" x14ac:dyDescent="0.3">
      <c r="A766" t="s">
        <v>9</v>
      </c>
      <c r="B766" t="s">
        <v>774</v>
      </c>
      <c r="C766">
        <v>2</v>
      </c>
      <c r="D766">
        <v>2.1999999999999999E-2</v>
      </c>
      <c r="E766">
        <v>8.2711205843809701</v>
      </c>
      <c r="F766">
        <v>818.86843846430645</v>
      </c>
      <c r="G766">
        <v>0.42399999999999999</v>
      </c>
      <c r="H766">
        <v>3.5400000000000001E-2</v>
      </c>
      <c r="I766">
        <v>327.60449999999997</v>
      </c>
    </row>
    <row r="767" spans="1:9" x14ac:dyDescent="0.3">
      <c r="A767" t="s">
        <v>9</v>
      </c>
      <c r="B767" t="s">
        <v>775</v>
      </c>
      <c r="C767">
        <v>2</v>
      </c>
      <c r="D767">
        <v>2.6200000000000001E-2</v>
      </c>
      <c r="E767">
        <v>8.2081181337809888</v>
      </c>
      <c r="F767">
        <v>812.99661006838812</v>
      </c>
      <c r="G767">
        <v>0.42399999999999999</v>
      </c>
      <c r="H767">
        <v>3.44E-2</v>
      </c>
      <c r="I767">
        <v>327.80220000000003</v>
      </c>
    </row>
    <row r="768" spans="1:9" x14ac:dyDescent="0.3">
      <c r="A768" t="s">
        <v>9</v>
      </c>
      <c r="B768" t="s">
        <v>776</v>
      </c>
      <c r="C768">
        <v>2</v>
      </c>
      <c r="D768">
        <v>2.63E-2</v>
      </c>
      <c r="E768">
        <v>8.1410719233916247</v>
      </c>
      <c r="F768">
        <v>806.74790326009941</v>
      </c>
      <c r="G768">
        <v>0.42399999999999999</v>
      </c>
      <c r="H768">
        <v>3.3300000000000003E-2</v>
      </c>
      <c r="I768">
        <v>328.00189999999998</v>
      </c>
    </row>
    <row r="769" spans="1:9" x14ac:dyDescent="0.3">
      <c r="A769" t="s">
        <v>9</v>
      </c>
      <c r="B769" t="s">
        <v>777</v>
      </c>
      <c r="C769">
        <v>2</v>
      </c>
      <c r="D769">
        <v>2.6200000000000001E-2</v>
      </c>
      <c r="E769">
        <v>8.0704385132773417</v>
      </c>
      <c r="F769">
        <v>800.16486943744826</v>
      </c>
      <c r="G769">
        <v>0.42399999999999999</v>
      </c>
      <c r="H769">
        <v>3.2199999999999999E-2</v>
      </c>
      <c r="I769">
        <v>328.20299999999997</v>
      </c>
    </row>
    <row r="770" spans="1:9" x14ac:dyDescent="0.3">
      <c r="A770" t="s">
        <v>9</v>
      </c>
      <c r="B770" t="s">
        <v>778</v>
      </c>
      <c r="C770">
        <v>2</v>
      </c>
      <c r="D770">
        <v>2.6200000000000001E-2</v>
      </c>
      <c r="E770">
        <v>7.9974813502950166</v>
      </c>
      <c r="F770">
        <v>793.36526184749562</v>
      </c>
      <c r="G770">
        <v>0.42399999999999999</v>
      </c>
      <c r="H770">
        <v>3.1099999999999999E-2</v>
      </c>
      <c r="I770">
        <v>328.40249999999997</v>
      </c>
    </row>
    <row r="771" spans="1:9" x14ac:dyDescent="0.3">
      <c r="A771" t="s">
        <v>9</v>
      </c>
      <c r="B771" t="s">
        <v>779</v>
      </c>
      <c r="C771">
        <v>2</v>
      </c>
      <c r="D771">
        <v>2.6200000000000001E-2</v>
      </c>
      <c r="E771">
        <v>7.921036733392266</v>
      </c>
      <c r="F771">
        <v>786.24062355215926</v>
      </c>
      <c r="G771">
        <v>0.42399999999999999</v>
      </c>
      <c r="H771">
        <v>2.9899999999999999E-2</v>
      </c>
      <c r="I771">
        <v>328.60449999999997</v>
      </c>
    </row>
    <row r="772" spans="1:9" x14ac:dyDescent="0.3">
      <c r="A772" t="s">
        <v>9</v>
      </c>
      <c r="B772" t="s">
        <v>780</v>
      </c>
      <c r="C772">
        <v>2</v>
      </c>
      <c r="D772">
        <v>2.5999999999999999E-2</v>
      </c>
      <c r="E772">
        <v>7.8439899924258176</v>
      </c>
      <c r="F772">
        <v>779.05986729408619</v>
      </c>
      <c r="G772">
        <v>0.42399999999999999</v>
      </c>
      <c r="H772">
        <v>2.87E-2</v>
      </c>
      <c r="I772">
        <v>328.80220000000003</v>
      </c>
    </row>
    <row r="773" spans="1:9" x14ac:dyDescent="0.3">
      <c r="A773" t="s">
        <v>9</v>
      </c>
      <c r="B773" t="s">
        <v>781</v>
      </c>
      <c r="C773">
        <v>2</v>
      </c>
      <c r="D773">
        <v>2.6100000000000002E-2</v>
      </c>
      <c r="E773">
        <v>7.7642051074848721</v>
      </c>
      <c r="F773">
        <v>771.62391601759009</v>
      </c>
      <c r="G773">
        <v>0.42399999999999999</v>
      </c>
      <c r="H773">
        <v>2.75E-2</v>
      </c>
      <c r="I773">
        <v>329.00189999999998</v>
      </c>
    </row>
    <row r="774" spans="1:9" x14ac:dyDescent="0.3">
      <c r="A774" t="s">
        <v>9</v>
      </c>
      <c r="B774" t="s">
        <v>782</v>
      </c>
      <c r="C774">
        <v>2</v>
      </c>
      <c r="D774">
        <v>2.6100000000000002E-2</v>
      </c>
      <c r="E774">
        <v>7.6818706224681588</v>
      </c>
      <c r="F774">
        <v>763.95034201403246</v>
      </c>
      <c r="G774">
        <v>0.42399999999999999</v>
      </c>
      <c r="H774">
        <v>2.6200000000000001E-2</v>
      </c>
      <c r="I774">
        <v>329.2038</v>
      </c>
    </row>
    <row r="775" spans="1:9" x14ac:dyDescent="0.3">
      <c r="A775" t="s">
        <v>9</v>
      </c>
      <c r="B775" t="s">
        <v>783</v>
      </c>
      <c r="C775">
        <v>2</v>
      </c>
      <c r="D775">
        <v>2.5499999999999998E-2</v>
      </c>
      <c r="E775">
        <v>7.5996395324926862</v>
      </c>
      <c r="F775">
        <v>756.28640442831841</v>
      </c>
      <c r="G775">
        <v>0.42399999999999999</v>
      </c>
      <c r="H775">
        <v>2.4899999999999999E-2</v>
      </c>
      <c r="I775">
        <v>329.40219999999999</v>
      </c>
    </row>
    <row r="776" spans="1:9" x14ac:dyDescent="0.3">
      <c r="A776" t="s">
        <v>9</v>
      </c>
      <c r="B776" t="s">
        <v>784</v>
      </c>
      <c r="C776">
        <v>2</v>
      </c>
      <c r="D776">
        <v>2.4899999999999999E-2</v>
      </c>
      <c r="E776">
        <v>7.5154556953853922</v>
      </c>
      <c r="F776">
        <v>748.44047080991857</v>
      </c>
      <c r="G776">
        <v>0.42399999999999999</v>
      </c>
      <c r="H776">
        <v>2.3599999999999999E-2</v>
      </c>
      <c r="I776">
        <v>329.60289999999998</v>
      </c>
    </row>
    <row r="777" spans="1:9" x14ac:dyDescent="0.3">
      <c r="A777" t="s">
        <v>9</v>
      </c>
      <c r="B777" t="s">
        <v>785</v>
      </c>
      <c r="C777">
        <v>2</v>
      </c>
      <c r="D777">
        <v>2.4199999999999999E-2</v>
      </c>
      <c r="E777">
        <v>7.4311802218886074</v>
      </c>
      <c r="F777">
        <v>740.58599668001818</v>
      </c>
      <c r="G777">
        <v>0.42399999999999999</v>
      </c>
      <c r="H777">
        <v>2.23E-2</v>
      </c>
      <c r="I777">
        <v>329.8023</v>
      </c>
    </row>
    <row r="778" spans="1:9" x14ac:dyDescent="0.3">
      <c r="A778" t="s">
        <v>9</v>
      </c>
      <c r="B778" t="s">
        <v>786</v>
      </c>
      <c r="C778">
        <v>2</v>
      </c>
      <c r="D778">
        <v>2.29E-2</v>
      </c>
      <c r="E778">
        <v>7.3455338517861959</v>
      </c>
      <c r="F778">
        <v>732.60375498647352</v>
      </c>
      <c r="G778">
        <v>0.42399999999999999</v>
      </c>
      <c r="H778">
        <v>2.1000000000000001E-2</v>
      </c>
      <c r="I778">
        <v>330.00420000000003</v>
      </c>
    </row>
    <row r="779" spans="1:9" x14ac:dyDescent="0.3">
      <c r="A779" t="s">
        <v>9</v>
      </c>
      <c r="B779" t="s">
        <v>787</v>
      </c>
      <c r="C779">
        <v>2</v>
      </c>
      <c r="D779">
        <v>2.1000000000000001E-2</v>
      </c>
      <c r="E779">
        <v>7.2611294385909222</v>
      </c>
      <c r="F779">
        <v>724.73726367667393</v>
      </c>
      <c r="G779">
        <v>0.42399999999999999</v>
      </c>
      <c r="H779">
        <v>1.9699999999999999E-2</v>
      </c>
      <c r="I779">
        <v>330.20310000000001</v>
      </c>
    </row>
    <row r="780" spans="1:9" x14ac:dyDescent="0.3">
      <c r="A780" t="s">
        <v>9</v>
      </c>
      <c r="B780" t="s">
        <v>788</v>
      </c>
      <c r="C780">
        <v>2</v>
      </c>
      <c r="D780">
        <v>1.9900000000000001E-2</v>
      </c>
      <c r="E780">
        <v>7.1756708014457447</v>
      </c>
      <c r="F780">
        <v>716.77251869474344</v>
      </c>
      <c r="G780">
        <v>0.42399999999999999</v>
      </c>
      <c r="H780">
        <v>1.83E-2</v>
      </c>
      <c r="I780">
        <v>330.40530000000001</v>
      </c>
    </row>
    <row r="781" spans="1:9" x14ac:dyDescent="0.3">
      <c r="A781" t="s">
        <v>9</v>
      </c>
      <c r="B781" t="s">
        <v>789</v>
      </c>
      <c r="C781">
        <v>2</v>
      </c>
      <c r="D781">
        <v>1.7899999999999999E-2</v>
      </c>
      <c r="E781">
        <v>7.0921393667751396</v>
      </c>
      <c r="F781">
        <v>708.98738898344311</v>
      </c>
      <c r="G781">
        <v>0.42399999999999999</v>
      </c>
      <c r="H781">
        <v>1.7000000000000001E-2</v>
      </c>
      <c r="I781">
        <v>330.6046</v>
      </c>
    </row>
    <row r="782" spans="1:9" x14ac:dyDescent="0.3">
      <c r="A782" t="s">
        <v>9</v>
      </c>
      <c r="B782" t="s">
        <v>790</v>
      </c>
      <c r="C782">
        <v>2</v>
      </c>
      <c r="D782">
        <v>1.6799999999999999E-2</v>
      </c>
      <c r="E782">
        <v>7.0094780723339571</v>
      </c>
      <c r="F782">
        <v>701.28335634152484</v>
      </c>
      <c r="G782">
        <v>0.42399999999999999</v>
      </c>
      <c r="H782">
        <v>1.5800000000000002E-2</v>
      </c>
      <c r="I782">
        <v>330.80410000000001</v>
      </c>
    </row>
    <row r="783" spans="1:9" x14ac:dyDescent="0.3">
      <c r="A783" t="s">
        <v>9</v>
      </c>
      <c r="B783" t="s">
        <v>791</v>
      </c>
      <c r="C783">
        <v>2</v>
      </c>
      <c r="D783">
        <v>1.46E-2</v>
      </c>
      <c r="E783">
        <v>6.9260074582758477</v>
      </c>
      <c r="F783">
        <v>693.50389511130902</v>
      </c>
      <c r="G783">
        <v>0.42399999999999999</v>
      </c>
      <c r="H783">
        <v>1.4500000000000001E-2</v>
      </c>
      <c r="I783">
        <v>331.00900000000001</v>
      </c>
    </row>
    <row r="784" spans="1:9" x14ac:dyDescent="0.3">
      <c r="A784" t="s">
        <v>9</v>
      </c>
      <c r="B784" t="s">
        <v>792</v>
      </c>
      <c r="C784">
        <v>2</v>
      </c>
      <c r="D784">
        <v>1.29E-2</v>
      </c>
      <c r="E784">
        <v>6.8489846400836489</v>
      </c>
      <c r="F784">
        <v>686.32536845579614</v>
      </c>
      <c r="G784">
        <v>0.42399999999999999</v>
      </c>
      <c r="H784">
        <v>1.3299999999999999E-2</v>
      </c>
      <c r="I784">
        <v>331.20190000000002</v>
      </c>
    </row>
    <row r="785" spans="1:9" x14ac:dyDescent="0.3">
      <c r="A785" t="s">
        <v>9</v>
      </c>
      <c r="B785" t="s">
        <v>793</v>
      </c>
      <c r="C785">
        <v>2</v>
      </c>
      <c r="D785">
        <v>1.2E-2</v>
      </c>
      <c r="E785">
        <v>6.7697799837858996</v>
      </c>
      <c r="F785">
        <v>678.94349448884589</v>
      </c>
      <c r="G785">
        <v>0.42399999999999999</v>
      </c>
      <c r="H785">
        <v>1.2E-2</v>
      </c>
      <c r="I785">
        <v>331.40530000000001</v>
      </c>
    </row>
    <row r="786" spans="1:9" x14ac:dyDescent="0.3">
      <c r="A786" t="s">
        <v>9</v>
      </c>
      <c r="B786" t="s">
        <v>794</v>
      </c>
      <c r="C786">
        <v>2</v>
      </c>
      <c r="D786">
        <v>1.0999999999999999E-2</v>
      </c>
      <c r="E786">
        <v>6.6935283709601281</v>
      </c>
      <c r="F786">
        <v>671.836844173484</v>
      </c>
      <c r="G786">
        <v>0.42399999999999999</v>
      </c>
      <c r="H786">
        <v>1.0800000000000001E-2</v>
      </c>
      <c r="I786">
        <v>331.6071</v>
      </c>
    </row>
    <row r="787" spans="1:9" x14ac:dyDescent="0.3">
      <c r="A787" t="s">
        <v>9</v>
      </c>
      <c r="B787" t="s">
        <v>795</v>
      </c>
      <c r="C787">
        <v>2</v>
      </c>
      <c r="D787">
        <v>9.2999999999999992E-3</v>
      </c>
      <c r="E787">
        <v>6.6212678067262436</v>
      </c>
      <c r="F787">
        <v>665.10215958688605</v>
      </c>
      <c r="G787">
        <v>0.42399999999999999</v>
      </c>
      <c r="H787">
        <v>9.7000000000000003E-3</v>
      </c>
      <c r="I787">
        <v>331.80509999999998</v>
      </c>
    </row>
    <row r="788" spans="1:9" x14ac:dyDescent="0.3">
      <c r="A788" t="s">
        <v>9</v>
      </c>
      <c r="B788" t="s">
        <v>796</v>
      </c>
      <c r="C788">
        <v>2</v>
      </c>
      <c r="D788">
        <v>8.6999999999999994E-3</v>
      </c>
      <c r="E788">
        <v>6.5491410478398446</v>
      </c>
      <c r="F788">
        <v>658.37994565867359</v>
      </c>
      <c r="G788">
        <v>0.42399999999999999</v>
      </c>
      <c r="H788">
        <v>8.6E-3</v>
      </c>
      <c r="I788">
        <v>332.01089999999999</v>
      </c>
    </row>
    <row r="789" spans="1:9" x14ac:dyDescent="0.3">
      <c r="A789" t="s">
        <v>9</v>
      </c>
      <c r="B789" t="s">
        <v>797</v>
      </c>
      <c r="C789">
        <v>2</v>
      </c>
      <c r="D789">
        <v>6.7000000000000002E-3</v>
      </c>
      <c r="E789">
        <v>6.3612532818746947</v>
      </c>
      <c r="F789">
        <v>640.86880587072153</v>
      </c>
      <c r="G789">
        <v>0.42399999999999999</v>
      </c>
      <c r="H789">
        <v>5.7000000000000002E-3</v>
      </c>
      <c r="I789">
        <v>332.60270000000003</v>
      </c>
    </row>
    <row r="790" spans="1:9" x14ac:dyDescent="0.3">
      <c r="A790" t="s">
        <v>9</v>
      </c>
      <c r="B790" t="s">
        <v>798</v>
      </c>
      <c r="C790">
        <v>2</v>
      </c>
      <c r="D790">
        <v>5.4000000000000003E-3</v>
      </c>
      <c r="E790">
        <v>6.3051808535035514</v>
      </c>
      <c r="F790">
        <v>635.642855546531</v>
      </c>
      <c r="G790">
        <v>0.42399999999999999</v>
      </c>
      <c r="H790">
        <v>4.7999999999999996E-3</v>
      </c>
      <c r="I790">
        <v>332.80259999999998</v>
      </c>
    </row>
    <row r="791" spans="1:9" x14ac:dyDescent="0.3">
      <c r="A791" t="s">
        <v>9</v>
      </c>
      <c r="B791" t="s">
        <v>799</v>
      </c>
      <c r="C791">
        <v>2</v>
      </c>
      <c r="D791">
        <v>3.5999999999999999E-3</v>
      </c>
      <c r="E791">
        <v>6.2531268024528419</v>
      </c>
      <c r="F791">
        <v>630.79141798860485</v>
      </c>
      <c r="G791">
        <v>0.42399999999999999</v>
      </c>
      <c r="H791">
        <v>4.0000000000000001E-3</v>
      </c>
      <c r="I791">
        <v>333.00290000000001</v>
      </c>
    </row>
    <row r="792" spans="1:9" x14ac:dyDescent="0.3">
      <c r="A792" t="s">
        <v>9</v>
      </c>
      <c r="B792" t="s">
        <v>800</v>
      </c>
      <c r="C792">
        <v>2</v>
      </c>
      <c r="D792">
        <v>2.5000000000000001E-3</v>
      </c>
      <c r="E792">
        <v>6.2053148269353189</v>
      </c>
      <c r="F792">
        <v>626.33534187037174</v>
      </c>
      <c r="G792">
        <v>0.42399999999999999</v>
      </c>
      <c r="H792">
        <v>3.3E-3</v>
      </c>
      <c r="I792">
        <v>333.20359999999999</v>
      </c>
    </row>
    <row r="793" spans="1:9" x14ac:dyDescent="0.3">
      <c r="A793" t="s">
        <v>9</v>
      </c>
      <c r="B793" t="s">
        <v>801</v>
      </c>
      <c r="C793">
        <v>2</v>
      </c>
      <c r="D793">
        <v>1.8E-3</v>
      </c>
      <c r="E793">
        <v>6.162337360263753</v>
      </c>
      <c r="F793">
        <v>622.32984197658175</v>
      </c>
      <c r="G793">
        <v>0.42399999999999999</v>
      </c>
      <c r="H793">
        <v>2.5999999999999999E-3</v>
      </c>
      <c r="I793">
        <v>333.40280000000001</v>
      </c>
    </row>
    <row r="794" spans="1:9" x14ac:dyDescent="0.3">
      <c r="A794" t="s">
        <v>9</v>
      </c>
      <c r="B794" t="s">
        <v>802</v>
      </c>
      <c r="C794">
        <v>2</v>
      </c>
      <c r="D794">
        <v>1E-3</v>
      </c>
      <c r="E794">
        <v>6.1236227292277716</v>
      </c>
      <c r="F794">
        <v>618.72163836402831</v>
      </c>
      <c r="G794">
        <v>0.42399999999999999</v>
      </c>
      <c r="H794">
        <v>2E-3</v>
      </c>
      <c r="I794">
        <v>333.60410000000002</v>
      </c>
    </row>
    <row r="795" spans="1:9" x14ac:dyDescent="0.3">
      <c r="A795" t="s">
        <v>9</v>
      </c>
      <c r="B795" t="s">
        <v>803</v>
      </c>
      <c r="C795">
        <v>2</v>
      </c>
      <c r="D795">
        <v>1E-3</v>
      </c>
      <c r="E795">
        <v>6.0902393087064519</v>
      </c>
      <c r="F795">
        <v>615.61030357144136</v>
      </c>
      <c r="G795">
        <v>0.42399999999999999</v>
      </c>
      <c r="H795">
        <v>1.5E-3</v>
      </c>
      <c r="I795">
        <v>333.80259999999998</v>
      </c>
    </row>
    <row r="796" spans="1:9" x14ac:dyDescent="0.3">
      <c r="A796" t="s">
        <v>9</v>
      </c>
      <c r="B796" t="s">
        <v>804</v>
      </c>
      <c r="C796">
        <v>2</v>
      </c>
      <c r="D796">
        <v>0</v>
      </c>
      <c r="E796">
        <v>6.0612462443715813</v>
      </c>
      <c r="F796">
        <v>612.90814997543134</v>
      </c>
      <c r="G796">
        <v>0.42399999999999999</v>
      </c>
      <c r="H796">
        <v>1E-3</v>
      </c>
      <c r="I796">
        <v>334.00490000000002</v>
      </c>
    </row>
    <row r="797" spans="1:9" x14ac:dyDescent="0.3">
      <c r="A797" t="s">
        <v>9</v>
      </c>
      <c r="B797" t="s">
        <v>805</v>
      </c>
      <c r="C797">
        <v>2</v>
      </c>
      <c r="D797">
        <v>-4.0000000000000002E-4</v>
      </c>
      <c r="E797">
        <v>6.0376431027159674</v>
      </c>
      <c r="F797">
        <v>610.70833717312814</v>
      </c>
      <c r="G797">
        <v>0.42399999999999999</v>
      </c>
      <c r="H797">
        <v>6.9999999999999999E-4</v>
      </c>
      <c r="I797">
        <v>334.20519999999999</v>
      </c>
    </row>
    <row r="798" spans="1:9" x14ac:dyDescent="0.3">
      <c r="A798" t="s">
        <v>9</v>
      </c>
      <c r="B798" t="s">
        <v>806</v>
      </c>
      <c r="C798">
        <v>2</v>
      </c>
      <c r="D798">
        <v>-4.0000000000000002E-4</v>
      </c>
      <c r="E798">
        <v>6.01942370436538</v>
      </c>
      <c r="F798">
        <v>609.0102892468534</v>
      </c>
      <c r="G798">
        <v>0.42399999999999999</v>
      </c>
      <c r="H798">
        <v>4.0000000000000002E-4</v>
      </c>
      <c r="I798">
        <v>334.40309999999999</v>
      </c>
    </row>
    <row r="799" spans="1:9" x14ac:dyDescent="0.3">
      <c r="A799" t="s">
        <v>9</v>
      </c>
      <c r="B799" t="s">
        <v>807</v>
      </c>
      <c r="C799">
        <v>2</v>
      </c>
      <c r="D799">
        <v>-1.1000000000000001E-3</v>
      </c>
      <c r="E799">
        <v>6.0061978810359609</v>
      </c>
      <c r="F799">
        <v>607.77764251255155</v>
      </c>
      <c r="G799">
        <v>0.42399999999999999</v>
      </c>
      <c r="H799">
        <v>2.0000000000000001E-4</v>
      </c>
      <c r="I799">
        <v>334.60359999999997</v>
      </c>
    </row>
    <row r="800" spans="1:9" x14ac:dyDescent="0.3">
      <c r="A800" t="s">
        <v>9</v>
      </c>
      <c r="B800" t="s">
        <v>808</v>
      </c>
      <c r="C800">
        <v>2</v>
      </c>
      <c r="D800">
        <v>-1.1000000000000001E-3</v>
      </c>
      <c r="E800">
        <v>5.9983453131051503</v>
      </c>
      <c r="F800">
        <v>607.0457831814</v>
      </c>
      <c r="G800">
        <v>0.42399999999999999</v>
      </c>
      <c r="H800">
        <v>0</v>
      </c>
      <c r="I800">
        <v>334.8021</v>
      </c>
    </row>
    <row r="801" spans="1:9" x14ac:dyDescent="0.3">
      <c r="A801" t="s">
        <v>9</v>
      </c>
      <c r="B801" t="s">
        <v>809</v>
      </c>
      <c r="C801">
        <v>2</v>
      </c>
      <c r="D801">
        <v>-1.6999999999999999E-3</v>
      </c>
      <c r="E801">
        <v>5.9957346116486683</v>
      </c>
      <c r="F801">
        <v>606.80246580565586</v>
      </c>
      <c r="G801">
        <v>0.42399999999999999</v>
      </c>
      <c r="H801">
        <v>0</v>
      </c>
      <c r="I801">
        <v>335.00409999999999</v>
      </c>
    </row>
    <row r="802" spans="1:9" x14ac:dyDescent="0.3">
      <c r="A802" t="s">
        <v>9</v>
      </c>
      <c r="B802" t="s">
        <v>810</v>
      </c>
      <c r="C802">
        <v>2</v>
      </c>
      <c r="D802">
        <v>-1.8E-3</v>
      </c>
      <c r="E802">
        <v>5.9985299559697971</v>
      </c>
      <c r="F802">
        <v>709.26049282153383</v>
      </c>
      <c r="G802">
        <v>0.42399999999999999</v>
      </c>
      <c r="H802">
        <v>0</v>
      </c>
      <c r="I802">
        <v>335.20479999999998</v>
      </c>
    </row>
    <row r="803" spans="1:9" x14ac:dyDescent="0.3">
      <c r="A803" t="s">
        <v>9</v>
      </c>
      <c r="B803" t="s">
        <v>811</v>
      </c>
      <c r="C803">
        <v>2</v>
      </c>
      <c r="D803">
        <v>-1.2999999999999999E-3</v>
      </c>
      <c r="E803">
        <v>6.0065181867095996</v>
      </c>
      <c r="F803">
        <v>710.01857591874113</v>
      </c>
      <c r="G803">
        <v>0.42399999999999999</v>
      </c>
      <c r="H803">
        <v>2.0000000000000001E-4</v>
      </c>
      <c r="I803">
        <v>335.4024</v>
      </c>
    </row>
    <row r="804" spans="1:9" x14ac:dyDescent="0.3">
      <c r="A804" t="s">
        <v>9</v>
      </c>
      <c r="B804" t="s">
        <v>812</v>
      </c>
      <c r="C804">
        <v>2</v>
      </c>
      <c r="D804">
        <v>-5.9999999999999995E-4</v>
      </c>
      <c r="E804">
        <v>6.0198741134385596</v>
      </c>
      <c r="F804">
        <v>711.28605336531939</v>
      </c>
      <c r="G804">
        <v>0.42399999999999999</v>
      </c>
      <c r="H804">
        <v>4.0000000000000002E-4</v>
      </c>
      <c r="I804">
        <v>335.60250000000002</v>
      </c>
    </row>
    <row r="805" spans="1:9" x14ac:dyDescent="0.3">
      <c r="A805" t="s">
        <v>9</v>
      </c>
      <c r="B805" t="s">
        <v>813</v>
      </c>
      <c r="C805">
        <v>2</v>
      </c>
      <c r="D805">
        <v>-2.0000000000000001E-4</v>
      </c>
      <c r="E805">
        <v>6.038640601307951</v>
      </c>
      <c r="F805">
        <v>713.06699306412463</v>
      </c>
      <c r="G805">
        <v>0.42399999999999999</v>
      </c>
      <c r="H805">
        <v>6.9999999999999999E-4</v>
      </c>
      <c r="I805">
        <v>335.80419999999998</v>
      </c>
    </row>
    <row r="806" spans="1:9" x14ac:dyDescent="0.3">
      <c r="A806" t="s">
        <v>9</v>
      </c>
      <c r="B806" t="s">
        <v>814</v>
      </c>
      <c r="C806">
        <v>2</v>
      </c>
      <c r="D806">
        <v>0</v>
      </c>
      <c r="E806">
        <v>6.0624991895360409</v>
      </c>
      <c r="F806">
        <v>715.33117308697035</v>
      </c>
      <c r="G806">
        <v>0.42399999999999999</v>
      </c>
      <c r="H806">
        <v>1E-3</v>
      </c>
      <c r="I806">
        <v>336.00470000000001</v>
      </c>
    </row>
    <row r="807" spans="1:9" x14ac:dyDescent="0.3">
      <c r="A807" t="s">
        <v>9</v>
      </c>
      <c r="B807" t="s">
        <v>815</v>
      </c>
      <c r="C807">
        <v>2</v>
      </c>
      <c r="D807">
        <v>6.9999999999999999E-4</v>
      </c>
      <c r="E807">
        <v>6.0913037505192547</v>
      </c>
      <c r="F807">
        <v>718.06472592427735</v>
      </c>
      <c r="G807">
        <v>0.42399999999999999</v>
      </c>
      <c r="H807">
        <v>1.5E-3</v>
      </c>
      <c r="I807">
        <v>336.20420000000001</v>
      </c>
    </row>
    <row r="808" spans="1:9" x14ac:dyDescent="0.3">
      <c r="A808" t="s">
        <v>9</v>
      </c>
      <c r="B808" t="s">
        <v>816</v>
      </c>
      <c r="C808">
        <v>2</v>
      </c>
      <c r="D808">
        <v>8.9999999999999998E-4</v>
      </c>
      <c r="E808">
        <v>6.1254733788247524</v>
      </c>
      <c r="F808">
        <v>721.30742365046899</v>
      </c>
      <c r="G808">
        <v>0.42399999999999999</v>
      </c>
      <c r="H808">
        <v>2E-3</v>
      </c>
      <c r="I808">
        <v>336.40609999999998</v>
      </c>
    </row>
    <row r="809" spans="1:9" x14ac:dyDescent="0.3">
      <c r="A809" t="s">
        <v>9</v>
      </c>
      <c r="B809" t="s">
        <v>817</v>
      </c>
      <c r="C809">
        <v>2</v>
      </c>
      <c r="D809">
        <v>1.1999999999999999E-3</v>
      </c>
      <c r="E809">
        <v>6.163988923722501</v>
      </c>
      <c r="F809">
        <v>724.96254886126542</v>
      </c>
      <c r="G809">
        <v>0.42399999999999999</v>
      </c>
      <c r="H809">
        <v>2.5999999999999999E-3</v>
      </c>
      <c r="I809">
        <v>336.60520000000002</v>
      </c>
    </row>
    <row r="810" spans="1:9" x14ac:dyDescent="0.3">
      <c r="A810" t="s">
        <v>9</v>
      </c>
      <c r="B810" t="s">
        <v>818</v>
      </c>
      <c r="C810">
        <v>2</v>
      </c>
      <c r="D810">
        <v>2.5999999999999999E-3</v>
      </c>
      <c r="E810">
        <v>6.2073336252523088</v>
      </c>
      <c r="F810">
        <v>729.07596103644414</v>
      </c>
      <c r="G810">
        <v>0.42399999999999999</v>
      </c>
      <c r="H810">
        <v>3.3E-3</v>
      </c>
      <c r="I810">
        <v>336.80520000000001</v>
      </c>
    </row>
    <row r="811" spans="1:9" x14ac:dyDescent="0.3">
      <c r="A811" t="s">
        <v>9</v>
      </c>
      <c r="B811" t="s">
        <v>819</v>
      </c>
      <c r="C811">
        <v>2</v>
      </c>
      <c r="D811">
        <v>3.3E-3</v>
      </c>
      <c r="E811">
        <v>6.2556458300340623</v>
      </c>
      <c r="F811">
        <v>733.6607892702325</v>
      </c>
      <c r="G811">
        <v>0.42399999999999999</v>
      </c>
      <c r="H811">
        <v>4.0000000000000001E-3</v>
      </c>
      <c r="I811">
        <v>337.00709999999998</v>
      </c>
    </row>
    <row r="812" spans="1:9" x14ac:dyDescent="0.3">
      <c r="A812" t="s">
        <v>9</v>
      </c>
      <c r="B812" t="s">
        <v>820</v>
      </c>
      <c r="C812">
        <v>3</v>
      </c>
      <c r="D812">
        <v>3.7000000000000002E-3</v>
      </c>
      <c r="E812">
        <v>6.3072142487675409</v>
      </c>
      <c r="F812">
        <v>738.55463220803972</v>
      </c>
      <c r="G812">
        <v>0.42399999999999999</v>
      </c>
      <c r="H812">
        <v>4.7999999999999996E-3</v>
      </c>
      <c r="I812">
        <v>337.20479999999998</v>
      </c>
    </row>
    <row r="813" spans="1:9" x14ac:dyDescent="0.3">
      <c r="A813" t="s">
        <v>9</v>
      </c>
      <c r="B813" t="s">
        <v>821</v>
      </c>
      <c r="C813">
        <v>3</v>
      </c>
      <c r="D813">
        <v>4.5999999999999999E-3</v>
      </c>
      <c r="E813">
        <v>6.3630976061279751</v>
      </c>
      <c r="F813">
        <v>743.8579628215449</v>
      </c>
      <c r="G813">
        <v>0.42399999999999999</v>
      </c>
      <c r="H813">
        <v>5.7000000000000002E-3</v>
      </c>
      <c r="I813">
        <v>337.40359999999998</v>
      </c>
    </row>
    <row r="814" spans="1:9" x14ac:dyDescent="0.3">
      <c r="A814" t="s">
        <v>9</v>
      </c>
      <c r="B814" t="s">
        <v>822</v>
      </c>
      <c r="C814">
        <v>3</v>
      </c>
      <c r="D814">
        <v>5.4999999999999997E-3</v>
      </c>
      <c r="E814">
        <v>6.4232983349398651</v>
      </c>
      <c r="F814">
        <v>749.57101198579323</v>
      </c>
      <c r="G814">
        <v>0.42399999999999999</v>
      </c>
      <c r="H814">
        <v>6.6E-3</v>
      </c>
      <c r="I814">
        <v>337.60390000000001</v>
      </c>
    </row>
    <row r="815" spans="1:9" x14ac:dyDescent="0.3">
      <c r="A815" t="s">
        <v>9</v>
      </c>
      <c r="B815" t="s">
        <v>823</v>
      </c>
      <c r="C815">
        <v>3</v>
      </c>
      <c r="D815">
        <v>6.6E-3</v>
      </c>
      <c r="E815">
        <v>6.4872601293342598</v>
      </c>
      <c r="F815">
        <v>755.64098627382134</v>
      </c>
      <c r="G815">
        <v>0.42399999999999999</v>
      </c>
      <c r="H815">
        <v>7.6E-3</v>
      </c>
      <c r="I815">
        <v>337.80450000000002</v>
      </c>
    </row>
    <row r="816" spans="1:9" x14ac:dyDescent="0.3">
      <c r="A816" t="s">
        <v>9</v>
      </c>
      <c r="B816" t="s">
        <v>824</v>
      </c>
      <c r="C816">
        <v>3</v>
      </c>
      <c r="D816">
        <v>7.7999999999999996E-3</v>
      </c>
      <c r="E816">
        <v>6.554628688969844</v>
      </c>
      <c r="F816">
        <v>762.03426258323827</v>
      </c>
      <c r="G816">
        <v>0.42399999999999999</v>
      </c>
      <c r="H816">
        <v>8.6999999999999994E-3</v>
      </c>
      <c r="I816">
        <v>338.00510000000003</v>
      </c>
    </row>
    <row r="817" spans="1:9" x14ac:dyDescent="0.3">
      <c r="A817" t="s">
        <v>9</v>
      </c>
      <c r="B817" t="s">
        <v>825</v>
      </c>
      <c r="C817">
        <v>3</v>
      </c>
      <c r="D817">
        <v>8.9999999999999993E-3</v>
      </c>
      <c r="E817">
        <v>6.6248566283341637</v>
      </c>
      <c r="F817">
        <v>768.69889402891215</v>
      </c>
      <c r="G817">
        <v>0.42399999999999999</v>
      </c>
      <c r="H817">
        <v>9.7999999999999997E-3</v>
      </c>
      <c r="I817">
        <v>338.20490000000001</v>
      </c>
    </row>
    <row r="818" spans="1:9" x14ac:dyDescent="0.3">
      <c r="A818" t="s">
        <v>9</v>
      </c>
      <c r="B818" t="s">
        <v>826</v>
      </c>
      <c r="C818">
        <v>3</v>
      </c>
      <c r="D818">
        <v>9.7999999999999997E-3</v>
      </c>
      <c r="E818">
        <v>6.6972068016037927</v>
      </c>
      <c r="F818">
        <v>775.5649254722</v>
      </c>
      <c r="G818">
        <v>0.42399999999999999</v>
      </c>
      <c r="H818">
        <v>1.09E-2</v>
      </c>
      <c r="I818">
        <v>338.40269999999998</v>
      </c>
    </row>
    <row r="819" spans="1:9" x14ac:dyDescent="0.3">
      <c r="A819" t="s">
        <v>9</v>
      </c>
      <c r="B819" t="s">
        <v>827</v>
      </c>
      <c r="C819">
        <v>3</v>
      </c>
      <c r="D819">
        <v>1.14E-2</v>
      </c>
      <c r="E819">
        <v>6.773187559968588</v>
      </c>
      <c r="F819">
        <v>782.77549944101906</v>
      </c>
      <c r="G819">
        <v>0.42399999999999999</v>
      </c>
      <c r="H819">
        <v>1.21E-2</v>
      </c>
      <c r="I819">
        <v>338.6035</v>
      </c>
    </row>
    <row r="820" spans="1:9" x14ac:dyDescent="0.3">
      <c r="A820" t="s">
        <v>9</v>
      </c>
      <c r="B820" t="s">
        <v>828</v>
      </c>
      <c r="C820">
        <v>3</v>
      </c>
      <c r="D820">
        <v>1.2500000000000001E-2</v>
      </c>
      <c r="E820">
        <v>6.8506936992947427</v>
      </c>
      <c r="F820">
        <v>790.13083206307113</v>
      </c>
      <c r="G820">
        <v>0.42399999999999999</v>
      </c>
      <c r="H820">
        <v>1.3299999999999999E-2</v>
      </c>
      <c r="I820">
        <v>338.80239999999998</v>
      </c>
    </row>
    <row r="821" spans="1:9" x14ac:dyDescent="0.3">
      <c r="A821" t="s">
        <v>9</v>
      </c>
      <c r="B821" t="s">
        <v>829</v>
      </c>
      <c r="C821">
        <v>3</v>
      </c>
      <c r="D821">
        <v>1.38E-2</v>
      </c>
      <c r="E821">
        <v>6.9314910446983449</v>
      </c>
      <c r="F821">
        <v>797.79850014187298</v>
      </c>
      <c r="G821">
        <v>0.42399999999999999</v>
      </c>
      <c r="H821">
        <v>1.4500000000000001E-2</v>
      </c>
      <c r="I821">
        <v>339.00450000000001</v>
      </c>
    </row>
    <row r="822" spans="1:9" x14ac:dyDescent="0.3">
      <c r="A822" t="s">
        <v>9</v>
      </c>
      <c r="B822" t="s">
        <v>830</v>
      </c>
      <c r="C822">
        <v>3</v>
      </c>
      <c r="D822">
        <v>1.49E-2</v>
      </c>
      <c r="E822">
        <v>7.0124566604631857</v>
      </c>
      <c r="F822">
        <v>805.48213707795639</v>
      </c>
      <c r="G822">
        <v>0.42399999999999999</v>
      </c>
      <c r="H822">
        <v>1.5800000000000002E-2</v>
      </c>
      <c r="I822">
        <v>339.20310000000001</v>
      </c>
    </row>
    <row r="823" spans="1:9" x14ac:dyDescent="0.3">
      <c r="A823" t="s">
        <v>9</v>
      </c>
      <c r="B823" t="s">
        <v>831</v>
      </c>
      <c r="C823">
        <v>3</v>
      </c>
      <c r="D823">
        <v>1.6500000000000001E-2</v>
      </c>
      <c r="E823">
        <v>7.0955753259103256</v>
      </c>
      <c r="F823">
        <v>813.37009842888995</v>
      </c>
      <c r="G823">
        <v>0.42399999999999999</v>
      </c>
      <c r="H823">
        <v>1.7100000000000001E-2</v>
      </c>
      <c r="I823">
        <v>339.40370000000001</v>
      </c>
    </row>
    <row r="824" spans="1:9" x14ac:dyDescent="0.3">
      <c r="A824" t="s">
        <v>9</v>
      </c>
      <c r="B824" t="s">
        <v>832</v>
      </c>
      <c r="C824">
        <v>3</v>
      </c>
      <c r="D824">
        <v>1.77E-2</v>
      </c>
      <c r="E824">
        <v>7.1789465996346964</v>
      </c>
      <c r="F824">
        <v>821.28203230533268</v>
      </c>
      <c r="G824">
        <v>0.42399999999999999</v>
      </c>
      <c r="H824">
        <v>1.84E-2</v>
      </c>
      <c r="I824">
        <v>339.60239999999999</v>
      </c>
    </row>
    <row r="825" spans="1:9" x14ac:dyDescent="0.3">
      <c r="A825" t="s">
        <v>9</v>
      </c>
      <c r="B825" t="s">
        <v>833</v>
      </c>
      <c r="C825">
        <v>3</v>
      </c>
      <c r="D825">
        <v>1.8800000000000001E-2</v>
      </c>
      <c r="E825">
        <v>7.2638590676796708</v>
      </c>
      <c r="F825">
        <v>829.34022552280078</v>
      </c>
      <c r="G825">
        <v>0.42399999999999999</v>
      </c>
      <c r="H825">
        <v>1.9699999999999999E-2</v>
      </c>
      <c r="I825">
        <v>339.80329999999998</v>
      </c>
    </row>
    <row r="826" spans="1:9" x14ac:dyDescent="0.3">
      <c r="A826" t="s">
        <v>9</v>
      </c>
      <c r="B826" t="s">
        <v>834</v>
      </c>
      <c r="C826">
        <v>3</v>
      </c>
      <c r="D826">
        <v>1.9699999999999999E-2</v>
      </c>
      <c r="E826">
        <v>7.3492382325578562</v>
      </c>
      <c r="F826">
        <v>837.44270826974059</v>
      </c>
      <c r="G826">
        <v>0.42399999999999999</v>
      </c>
      <c r="H826">
        <v>2.1000000000000001E-2</v>
      </c>
      <c r="I826">
        <v>340.00450000000001</v>
      </c>
    </row>
    <row r="827" spans="1:9" x14ac:dyDescent="0.3">
      <c r="A827" t="s">
        <v>9</v>
      </c>
      <c r="B827" t="s">
        <v>835</v>
      </c>
      <c r="C827">
        <v>3</v>
      </c>
      <c r="D827">
        <v>2.0899999999999998E-2</v>
      </c>
      <c r="E827">
        <v>7.4334776191578964</v>
      </c>
      <c r="F827">
        <v>845.43702605808437</v>
      </c>
      <c r="G827">
        <v>0.42399999999999999</v>
      </c>
      <c r="H827">
        <v>2.23E-2</v>
      </c>
      <c r="I827">
        <v>340.20310000000001</v>
      </c>
    </row>
    <row r="828" spans="1:9" x14ac:dyDescent="0.3">
      <c r="A828" t="s">
        <v>9</v>
      </c>
      <c r="B828" t="s">
        <v>836</v>
      </c>
      <c r="C828">
        <v>3</v>
      </c>
      <c r="D828">
        <v>2.2499999999999999E-2</v>
      </c>
      <c r="E828">
        <v>7.518066927015151</v>
      </c>
      <c r="F828">
        <v>853.46455137373789</v>
      </c>
      <c r="G828">
        <v>0.42399999999999999</v>
      </c>
      <c r="H828">
        <v>2.3699999999999999E-2</v>
      </c>
      <c r="I828">
        <v>340.40320000000003</v>
      </c>
    </row>
    <row r="829" spans="1:9" x14ac:dyDescent="0.3">
      <c r="A829" t="s">
        <v>9</v>
      </c>
      <c r="B829" t="s">
        <v>837</v>
      </c>
      <c r="C829">
        <v>3</v>
      </c>
      <c r="D829">
        <v>2.3400000000000001E-2</v>
      </c>
      <c r="E829">
        <v>7.6022548188299464</v>
      </c>
      <c r="F829">
        <v>861.45398230696196</v>
      </c>
      <c r="G829">
        <v>0.42399999999999999</v>
      </c>
      <c r="H829">
        <v>2.5000000000000001E-2</v>
      </c>
      <c r="I829">
        <v>340.60399999999998</v>
      </c>
    </row>
    <row r="830" spans="1:9" x14ac:dyDescent="0.3">
      <c r="A830" t="s">
        <v>9</v>
      </c>
      <c r="B830" t="s">
        <v>838</v>
      </c>
      <c r="C830">
        <v>3</v>
      </c>
      <c r="D830">
        <v>2.4199999999999999E-2</v>
      </c>
      <c r="E830">
        <v>7.6851091173481132</v>
      </c>
      <c r="F830">
        <v>869.31685523633598</v>
      </c>
      <c r="G830">
        <v>0.42399999999999999</v>
      </c>
      <c r="H830">
        <v>2.6200000000000001E-2</v>
      </c>
      <c r="I830">
        <v>340.80410000000001</v>
      </c>
    </row>
    <row r="831" spans="1:9" x14ac:dyDescent="0.3">
      <c r="A831" t="s">
        <v>9</v>
      </c>
      <c r="B831" t="s">
        <v>839</v>
      </c>
      <c r="C831">
        <v>3</v>
      </c>
      <c r="D831">
        <v>2.5700000000000001E-2</v>
      </c>
      <c r="E831">
        <v>7.7661882649229392</v>
      </c>
      <c r="F831">
        <v>877.01126634118702</v>
      </c>
      <c r="G831">
        <v>0.42399999999999999</v>
      </c>
      <c r="H831">
        <v>2.75E-2</v>
      </c>
      <c r="I831">
        <v>341.00299999999999</v>
      </c>
    </row>
    <row r="832" spans="1:9" x14ac:dyDescent="0.3">
      <c r="A832" t="s">
        <v>9</v>
      </c>
      <c r="B832" t="s">
        <v>840</v>
      </c>
      <c r="C832">
        <v>3</v>
      </c>
      <c r="D832">
        <v>2.7099999999999999E-2</v>
      </c>
      <c r="E832">
        <v>7.8460631643703778</v>
      </c>
      <c r="F832">
        <v>884.59139429874892</v>
      </c>
      <c r="G832">
        <v>0.42399999999999999</v>
      </c>
      <c r="H832">
        <v>2.87E-2</v>
      </c>
      <c r="I832">
        <v>341.20310000000001</v>
      </c>
    </row>
    <row r="833" spans="1:9" x14ac:dyDescent="0.3">
      <c r="A833" t="s">
        <v>9</v>
      </c>
      <c r="B833" t="s">
        <v>841</v>
      </c>
      <c r="C833">
        <v>3</v>
      </c>
      <c r="D833">
        <v>2.8799999999999999E-2</v>
      </c>
      <c r="E833">
        <v>7.9242488726734708</v>
      </c>
      <c r="F833">
        <v>892.01121801671241</v>
      </c>
      <c r="G833">
        <v>0.42399999999999999</v>
      </c>
      <c r="H833">
        <v>0.03</v>
      </c>
      <c r="I833">
        <v>341.40379999999999</v>
      </c>
    </row>
    <row r="834" spans="1:9" x14ac:dyDescent="0.3">
      <c r="A834" t="s">
        <v>9</v>
      </c>
      <c r="B834" t="s">
        <v>842</v>
      </c>
      <c r="C834">
        <v>3</v>
      </c>
      <c r="D834">
        <v>2.98E-2</v>
      </c>
      <c r="E834">
        <v>7.9999591820480411</v>
      </c>
      <c r="F834">
        <v>899.19612637635919</v>
      </c>
      <c r="G834">
        <v>0.42399999999999999</v>
      </c>
      <c r="H834">
        <v>3.1099999999999999E-2</v>
      </c>
      <c r="I834">
        <v>341.60410000000002</v>
      </c>
    </row>
    <row r="835" spans="1:9" x14ac:dyDescent="0.3">
      <c r="A835" t="s">
        <v>9</v>
      </c>
      <c r="B835" t="s">
        <v>843</v>
      </c>
      <c r="C835">
        <v>3</v>
      </c>
      <c r="D835">
        <v>3.1099999999999999E-2</v>
      </c>
      <c r="E835">
        <v>8.0727910545686239</v>
      </c>
      <c r="F835">
        <v>906.10787107856243</v>
      </c>
      <c r="G835">
        <v>0.42399999999999999</v>
      </c>
      <c r="H835">
        <v>3.2300000000000002E-2</v>
      </c>
      <c r="I835">
        <v>341.80360000000002</v>
      </c>
    </row>
    <row r="836" spans="1:9" x14ac:dyDescent="0.3">
      <c r="A836" t="s">
        <v>9</v>
      </c>
      <c r="B836" t="s">
        <v>844</v>
      </c>
      <c r="C836">
        <v>3</v>
      </c>
      <c r="D836">
        <v>3.2500000000000001E-2</v>
      </c>
      <c r="E836">
        <v>8.1434504148109053</v>
      </c>
      <c r="F836">
        <v>912.81344436555491</v>
      </c>
      <c r="G836">
        <v>0.42399999999999999</v>
      </c>
      <c r="H836">
        <v>3.3399999999999999E-2</v>
      </c>
      <c r="I836">
        <v>342.005</v>
      </c>
    </row>
    <row r="837" spans="1:9" x14ac:dyDescent="0.3">
      <c r="A837" t="s">
        <v>9</v>
      </c>
      <c r="B837" t="s">
        <v>845</v>
      </c>
      <c r="C837">
        <v>3</v>
      </c>
      <c r="D837">
        <v>3.3300000000000003E-2</v>
      </c>
      <c r="E837">
        <v>8.2103518721425335</v>
      </c>
      <c r="F837">
        <v>919.16239266632647</v>
      </c>
      <c r="G837">
        <v>0.42399999999999999</v>
      </c>
      <c r="H837">
        <v>3.44E-2</v>
      </c>
      <c r="I837">
        <v>342.2047</v>
      </c>
    </row>
    <row r="838" spans="1:9" x14ac:dyDescent="0.3">
      <c r="A838" t="s">
        <v>9</v>
      </c>
      <c r="B838" t="s">
        <v>846</v>
      </c>
      <c r="C838">
        <v>3</v>
      </c>
      <c r="D838">
        <v>3.4599999999999999E-2</v>
      </c>
      <c r="E838">
        <v>8.2741810776016891</v>
      </c>
      <c r="F838">
        <v>925.21978426440035</v>
      </c>
      <c r="G838">
        <v>0.42399999999999999</v>
      </c>
      <c r="H838">
        <v>3.5400000000000001E-2</v>
      </c>
      <c r="I838">
        <v>342.40539999999999</v>
      </c>
    </row>
    <row r="839" spans="1:9" x14ac:dyDescent="0.3">
      <c r="A839" t="s">
        <v>9</v>
      </c>
      <c r="B839" t="s">
        <v>847</v>
      </c>
      <c r="C839">
        <v>3</v>
      </c>
      <c r="D839">
        <v>3.5799999999999998E-2</v>
      </c>
      <c r="E839">
        <v>8.3335156397975076</v>
      </c>
      <c r="F839">
        <v>930.85063421678353</v>
      </c>
      <c r="G839">
        <v>0.42399999999999999</v>
      </c>
      <c r="H839">
        <v>3.6299999999999999E-2</v>
      </c>
      <c r="I839">
        <v>342.60329999999999</v>
      </c>
    </row>
    <row r="840" spans="1:9" x14ac:dyDescent="0.3">
      <c r="A840" t="s">
        <v>9</v>
      </c>
      <c r="B840" t="s">
        <v>848</v>
      </c>
      <c r="C840">
        <v>3</v>
      </c>
      <c r="D840">
        <v>3.6700000000000003E-2</v>
      </c>
      <c r="E840">
        <v>8.3900427225205831</v>
      </c>
      <c r="F840">
        <v>936.21505436720338</v>
      </c>
      <c r="G840">
        <v>0.42399999999999999</v>
      </c>
      <c r="H840">
        <v>3.7199999999999997E-2</v>
      </c>
      <c r="I840">
        <v>342.80489999999998</v>
      </c>
    </row>
    <row r="841" spans="1:9" x14ac:dyDescent="0.3">
      <c r="A841" t="s">
        <v>9</v>
      </c>
      <c r="B841" t="s">
        <v>849</v>
      </c>
      <c r="C841">
        <v>3</v>
      </c>
      <c r="D841">
        <v>3.8100000000000002E-2</v>
      </c>
      <c r="E841">
        <v>8.4416611763446081</v>
      </c>
      <c r="F841">
        <v>941.11364563510335</v>
      </c>
      <c r="G841">
        <v>0.42399999999999999</v>
      </c>
      <c r="H841">
        <v>3.7999999999999999E-2</v>
      </c>
      <c r="I841">
        <v>343.00369999999998</v>
      </c>
    </row>
    <row r="842" spans="1:9" x14ac:dyDescent="0.3">
      <c r="A842" t="s">
        <v>9</v>
      </c>
      <c r="B842" t="s">
        <v>850</v>
      </c>
      <c r="C842">
        <v>3</v>
      </c>
      <c r="D842">
        <v>3.8600000000000002E-2</v>
      </c>
      <c r="E842">
        <v>8.4896831046164625</v>
      </c>
      <c r="F842">
        <v>945.67092662810239</v>
      </c>
      <c r="G842">
        <v>0.42399999999999999</v>
      </c>
      <c r="H842">
        <v>3.8699999999999998E-2</v>
      </c>
      <c r="I842">
        <v>343.20530000000002</v>
      </c>
    </row>
    <row r="843" spans="1:9" x14ac:dyDescent="0.3">
      <c r="A843" t="s">
        <v>9</v>
      </c>
      <c r="B843" t="s">
        <v>851</v>
      </c>
      <c r="C843">
        <v>3</v>
      </c>
      <c r="D843">
        <v>3.9399999999999998E-2</v>
      </c>
      <c r="E843">
        <v>8.5328041079335151</v>
      </c>
      <c r="F843">
        <v>949.76310984289069</v>
      </c>
      <c r="G843">
        <v>0.42399999999999999</v>
      </c>
      <c r="H843">
        <v>3.9399999999999998E-2</v>
      </c>
      <c r="I843">
        <v>343.40539999999999</v>
      </c>
    </row>
    <row r="844" spans="1:9" x14ac:dyDescent="0.3">
      <c r="A844" t="s">
        <v>9</v>
      </c>
      <c r="B844" t="s">
        <v>852</v>
      </c>
      <c r="C844">
        <v>3</v>
      </c>
      <c r="D844">
        <v>3.9899999999999998E-2</v>
      </c>
      <c r="E844">
        <v>8.5708433463412845</v>
      </c>
      <c r="F844">
        <v>953.37303356778796</v>
      </c>
      <c r="G844">
        <v>0.42399999999999999</v>
      </c>
      <c r="H844">
        <v>0.04</v>
      </c>
      <c r="I844">
        <v>343.60329999999999</v>
      </c>
    </row>
    <row r="845" spans="1:9" x14ac:dyDescent="0.3">
      <c r="A845" t="s">
        <v>9</v>
      </c>
      <c r="B845" t="s">
        <v>853</v>
      </c>
      <c r="C845">
        <v>3</v>
      </c>
      <c r="D845">
        <v>4.1300000000000003E-2</v>
      </c>
      <c r="E845">
        <v>8.6047792207594291</v>
      </c>
      <c r="F845">
        <v>956.5935480500699</v>
      </c>
      <c r="G845">
        <v>0.42399999999999999</v>
      </c>
      <c r="H845">
        <v>4.0500000000000001E-2</v>
      </c>
      <c r="I845">
        <v>343.80520000000001</v>
      </c>
    </row>
    <row r="846" spans="1:9" x14ac:dyDescent="0.3">
      <c r="A846" t="s">
        <v>9</v>
      </c>
      <c r="B846" t="s">
        <v>854</v>
      </c>
      <c r="C846">
        <v>3</v>
      </c>
      <c r="D846">
        <v>4.2299999999999997E-2</v>
      </c>
      <c r="E846">
        <v>8.6331593349615794</v>
      </c>
      <c r="F846">
        <v>959.28682088785388</v>
      </c>
      <c r="G846">
        <v>0.42399999999999999</v>
      </c>
      <c r="H846">
        <v>4.1000000000000002E-2</v>
      </c>
      <c r="I846">
        <v>344.00330000000002</v>
      </c>
    </row>
    <row r="847" spans="1:9" x14ac:dyDescent="0.3">
      <c r="A847" t="s">
        <v>9</v>
      </c>
      <c r="B847" t="s">
        <v>855</v>
      </c>
      <c r="C847">
        <v>3</v>
      </c>
      <c r="D847">
        <v>4.2700000000000002E-2</v>
      </c>
      <c r="E847">
        <v>8.6569065403746563</v>
      </c>
      <c r="F847">
        <v>961.54043068155488</v>
      </c>
      <c r="G847">
        <v>0.42399999999999999</v>
      </c>
      <c r="H847">
        <v>4.1300000000000003E-2</v>
      </c>
      <c r="I847">
        <v>344.2047</v>
      </c>
    </row>
    <row r="848" spans="1:9" x14ac:dyDescent="0.3">
      <c r="A848" t="s">
        <v>9</v>
      </c>
      <c r="B848" t="s">
        <v>856</v>
      </c>
      <c r="C848">
        <v>3</v>
      </c>
      <c r="D848">
        <v>4.2999999999999997E-2</v>
      </c>
      <c r="E848">
        <v>8.6752512535152277</v>
      </c>
      <c r="F848">
        <v>963.28134395859513</v>
      </c>
      <c r="G848">
        <v>0.42399999999999999</v>
      </c>
      <c r="H848">
        <v>4.1599999999999998E-2</v>
      </c>
      <c r="I848">
        <v>344.404</v>
      </c>
    </row>
    <row r="849" spans="1:9" x14ac:dyDescent="0.3">
      <c r="A849" t="s">
        <v>9</v>
      </c>
      <c r="B849" t="s">
        <v>857</v>
      </c>
      <c r="C849">
        <v>3</v>
      </c>
      <c r="D849">
        <v>4.3200000000000002E-2</v>
      </c>
      <c r="E849">
        <v>8.6884882516185158</v>
      </c>
      <c r="F849">
        <v>964.53753507859722</v>
      </c>
      <c r="G849">
        <v>0.42399999999999999</v>
      </c>
      <c r="H849">
        <v>4.1799999999999997E-2</v>
      </c>
      <c r="I849">
        <v>344.60520000000002</v>
      </c>
    </row>
    <row r="850" spans="1:9" x14ac:dyDescent="0.3">
      <c r="A850" t="s">
        <v>9</v>
      </c>
      <c r="B850" t="s">
        <v>858</v>
      </c>
      <c r="C850">
        <v>3</v>
      </c>
      <c r="D850">
        <v>4.3200000000000002E-2</v>
      </c>
      <c r="E850">
        <v>8.6964143938387899</v>
      </c>
      <c r="F850">
        <v>965.28972597530117</v>
      </c>
      <c r="G850">
        <v>0.42399999999999999</v>
      </c>
      <c r="H850">
        <v>4.2000000000000003E-2</v>
      </c>
      <c r="I850">
        <v>344.80799999999999</v>
      </c>
    </row>
    <row r="851" spans="1:9" x14ac:dyDescent="0.3">
      <c r="A851" t="s">
        <v>9</v>
      </c>
      <c r="B851" t="s">
        <v>859</v>
      </c>
      <c r="C851">
        <v>3</v>
      </c>
      <c r="D851">
        <v>4.3200000000000002E-2</v>
      </c>
      <c r="E851">
        <v>8.6988703301713155</v>
      </c>
      <c r="F851">
        <v>965.52279433325793</v>
      </c>
      <c r="G851">
        <v>0.42399999999999999</v>
      </c>
      <c r="H851">
        <v>4.2000000000000003E-2</v>
      </c>
      <c r="I851">
        <v>345.00510000000003</v>
      </c>
    </row>
    <row r="852" spans="1:9" x14ac:dyDescent="0.3">
      <c r="A852" t="s">
        <v>9</v>
      </c>
      <c r="B852" t="s">
        <v>860</v>
      </c>
      <c r="C852">
        <v>3</v>
      </c>
      <c r="D852">
        <v>4.3200000000000002E-2</v>
      </c>
      <c r="E852">
        <v>8.6960441990440742</v>
      </c>
      <c r="F852">
        <v>858.47131935090772</v>
      </c>
      <c r="G852">
        <v>0.42399999999999999</v>
      </c>
      <c r="H852">
        <v>4.2000000000000003E-2</v>
      </c>
      <c r="I852">
        <v>345.20589999999999</v>
      </c>
    </row>
    <row r="853" spans="1:9" x14ac:dyDescent="0.3">
      <c r="A853" t="s">
        <v>9</v>
      </c>
      <c r="B853" t="s">
        <v>861</v>
      </c>
      <c r="C853">
        <v>3</v>
      </c>
      <c r="D853">
        <v>4.2200000000000001E-2</v>
      </c>
      <c r="E853">
        <v>8.6880702112753028</v>
      </c>
      <c r="F853">
        <v>857.72814369085825</v>
      </c>
      <c r="G853">
        <v>0.42399999999999999</v>
      </c>
      <c r="H853">
        <v>4.1799999999999997E-2</v>
      </c>
      <c r="I853">
        <v>345.40269999999998</v>
      </c>
    </row>
    <row r="854" spans="1:9" x14ac:dyDescent="0.3">
      <c r="A854" t="s">
        <v>9</v>
      </c>
      <c r="B854" t="s">
        <v>862</v>
      </c>
      <c r="C854">
        <v>3</v>
      </c>
      <c r="D854">
        <v>4.1599999999999998E-2</v>
      </c>
      <c r="E854">
        <v>8.6745287046387922</v>
      </c>
      <c r="F854">
        <v>856.4660752723355</v>
      </c>
      <c r="G854">
        <v>0.42399999999999999</v>
      </c>
      <c r="H854">
        <v>4.1599999999999998E-2</v>
      </c>
      <c r="I854">
        <v>345.60500000000002</v>
      </c>
    </row>
    <row r="855" spans="1:9" x14ac:dyDescent="0.3">
      <c r="A855" t="s">
        <v>9</v>
      </c>
      <c r="B855" t="s">
        <v>863</v>
      </c>
      <c r="C855">
        <v>3</v>
      </c>
      <c r="D855">
        <v>4.1500000000000002E-2</v>
      </c>
      <c r="E855">
        <v>8.6559540895829929</v>
      </c>
      <c r="F855">
        <v>854.73492114913495</v>
      </c>
      <c r="G855">
        <v>0.42399999999999999</v>
      </c>
      <c r="H855">
        <v>4.1300000000000003E-2</v>
      </c>
      <c r="I855">
        <v>345.80430000000001</v>
      </c>
    </row>
    <row r="856" spans="1:9" x14ac:dyDescent="0.3">
      <c r="A856" t="s">
        <v>9</v>
      </c>
      <c r="B856" t="s">
        <v>864</v>
      </c>
      <c r="C856">
        <v>3</v>
      </c>
      <c r="D856">
        <v>4.1200000000000001E-2</v>
      </c>
      <c r="E856">
        <v>8.6320767280591788</v>
      </c>
      <c r="F856">
        <v>852.50955105511548</v>
      </c>
      <c r="G856">
        <v>0.42399999999999999</v>
      </c>
      <c r="H856">
        <v>4.1000000000000002E-2</v>
      </c>
      <c r="I856">
        <v>346.00490000000002</v>
      </c>
    </row>
    <row r="857" spans="1:9" x14ac:dyDescent="0.3">
      <c r="A857" t="s">
        <v>9</v>
      </c>
      <c r="B857" t="s">
        <v>865</v>
      </c>
      <c r="C857">
        <v>3</v>
      </c>
      <c r="D857">
        <v>4.1200000000000001E-2</v>
      </c>
      <c r="E857">
        <v>8.6032287006115702</v>
      </c>
      <c r="F857">
        <v>849.82091489699837</v>
      </c>
      <c r="G857">
        <v>0.42399999999999999</v>
      </c>
      <c r="H857">
        <v>4.0500000000000001E-2</v>
      </c>
      <c r="I857">
        <v>346.2047</v>
      </c>
    </row>
    <row r="858" spans="1:9" x14ac:dyDescent="0.3">
      <c r="A858" t="s">
        <v>9</v>
      </c>
      <c r="B858" t="s">
        <v>866</v>
      </c>
      <c r="C858">
        <v>3</v>
      </c>
      <c r="D858">
        <v>4.1200000000000001E-2</v>
      </c>
      <c r="E858">
        <v>8.5695320539359034</v>
      </c>
      <c r="F858">
        <v>846.6803874268262</v>
      </c>
      <c r="G858">
        <v>0.42399999999999999</v>
      </c>
      <c r="H858">
        <v>0.04</v>
      </c>
      <c r="I858">
        <v>346.40390000000002</v>
      </c>
    </row>
    <row r="859" spans="1:9" x14ac:dyDescent="0.3">
      <c r="A859" t="s">
        <v>9</v>
      </c>
      <c r="B859" t="s">
        <v>867</v>
      </c>
      <c r="C859">
        <v>3</v>
      </c>
      <c r="D859">
        <v>4.1000000000000002E-2</v>
      </c>
      <c r="E859">
        <v>8.530745127465206</v>
      </c>
      <c r="F859">
        <v>843.06544587975725</v>
      </c>
      <c r="G859">
        <v>0.42399999999999999</v>
      </c>
      <c r="H859">
        <v>3.9399999999999998E-2</v>
      </c>
      <c r="I859">
        <v>346.6046</v>
      </c>
    </row>
    <row r="860" spans="1:9" x14ac:dyDescent="0.3">
      <c r="A860" t="s">
        <v>9</v>
      </c>
      <c r="B860" t="s">
        <v>868</v>
      </c>
      <c r="C860">
        <v>3</v>
      </c>
      <c r="D860">
        <v>4.0800000000000003E-2</v>
      </c>
      <c r="E860">
        <v>8.4877360340751427</v>
      </c>
      <c r="F860">
        <v>839.05699837580335</v>
      </c>
      <c r="G860">
        <v>0.42399999999999999</v>
      </c>
      <c r="H860">
        <v>3.8699999999999998E-2</v>
      </c>
      <c r="I860">
        <v>346.8032</v>
      </c>
    </row>
    <row r="861" spans="1:9" x14ac:dyDescent="0.3">
      <c r="A861" t="s">
        <v>9</v>
      </c>
      <c r="B861" t="s">
        <v>869</v>
      </c>
      <c r="C861">
        <v>3</v>
      </c>
      <c r="D861">
        <v>3.9800000000000002E-2</v>
      </c>
      <c r="E861">
        <v>8.4396026013470493</v>
      </c>
      <c r="F861">
        <v>834.57096244554498</v>
      </c>
      <c r="G861">
        <v>0.42399999999999999</v>
      </c>
      <c r="H861">
        <v>3.7999999999999999E-2</v>
      </c>
      <c r="I861">
        <v>347.00450000000001</v>
      </c>
    </row>
    <row r="862" spans="1:9" x14ac:dyDescent="0.3">
      <c r="A862" t="s">
        <v>9</v>
      </c>
      <c r="B862" t="s">
        <v>870</v>
      </c>
      <c r="C862">
        <v>3</v>
      </c>
      <c r="D862">
        <v>3.9600000000000003E-2</v>
      </c>
      <c r="E862">
        <v>8.3875742165948104</v>
      </c>
      <c r="F862">
        <v>829.7219169866363</v>
      </c>
      <c r="G862">
        <v>0.42399999999999999</v>
      </c>
      <c r="H862">
        <v>3.7199999999999997E-2</v>
      </c>
      <c r="I862">
        <v>347.20420000000001</v>
      </c>
    </row>
    <row r="863" spans="1:9" x14ac:dyDescent="0.3">
      <c r="A863" t="s">
        <v>9</v>
      </c>
      <c r="B863" t="s">
        <v>871</v>
      </c>
      <c r="C863">
        <v>3</v>
      </c>
      <c r="D863">
        <v>3.8800000000000001E-2</v>
      </c>
      <c r="E863">
        <v>8.3309554974822415</v>
      </c>
      <c r="F863">
        <v>824.44505236534496</v>
      </c>
      <c r="G863">
        <v>0.42399999999999999</v>
      </c>
      <c r="H863">
        <v>3.6299999999999999E-2</v>
      </c>
      <c r="I863">
        <v>347.40550000000002</v>
      </c>
    </row>
    <row r="864" spans="1:9" x14ac:dyDescent="0.3">
      <c r="A864" t="s">
        <v>9</v>
      </c>
      <c r="B864" t="s">
        <v>872</v>
      </c>
      <c r="C864">
        <v>3</v>
      </c>
      <c r="D864">
        <v>3.8300000000000001E-2</v>
      </c>
      <c r="E864">
        <v>8.2707414692297547</v>
      </c>
      <c r="F864">
        <v>818.83310493221313</v>
      </c>
      <c r="G864">
        <v>0.42399999999999999</v>
      </c>
      <c r="H864">
        <v>3.5299999999999998E-2</v>
      </c>
      <c r="I864">
        <v>347.60570000000001</v>
      </c>
    </row>
    <row r="865" spans="1:9" x14ac:dyDescent="0.3">
      <c r="A865" t="s">
        <v>9</v>
      </c>
      <c r="B865" t="s">
        <v>873</v>
      </c>
      <c r="C865">
        <v>3</v>
      </c>
      <c r="D865">
        <v>3.7600000000000001E-2</v>
      </c>
      <c r="E865">
        <v>8.2076542752430282</v>
      </c>
      <c r="F865">
        <v>812.95337845265021</v>
      </c>
      <c r="G865">
        <v>0.42399999999999999</v>
      </c>
      <c r="H865">
        <v>3.44E-2</v>
      </c>
      <c r="I865">
        <v>347.80360000000002</v>
      </c>
    </row>
    <row r="866" spans="1:9" x14ac:dyDescent="0.3">
      <c r="A866" t="s">
        <v>9</v>
      </c>
      <c r="B866" t="s">
        <v>874</v>
      </c>
      <c r="C866">
        <v>3</v>
      </c>
      <c r="D866">
        <v>3.6200000000000003E-2</v>
      </c>
      <c r="E866">
        <v>8.1403343720974419</v>
      </c>
      <c r="F866">
        <v>806.67916347948164</v>
      </c>
      <c r="G866">
        <v>0.42399999999999999</v>
      </c>
      <c r="H866">
        <v>3.3300000000000003E-2</v>
      </c>
      <c r="I866">
        <v>348.00409999999999</v>
      </c>
    </row>
    <row r="867" spans="1:9" x14ac:dyDescent="0.3">
      <c r="A867" t="s">
        <v>9</v>
      </c>
      <c r="B867" t="s">
        <v>875</v>
      </c>
      <c r="C867">
        <v>3</v>
      </c>
      <c r="D867">
        <v>3.5000000000000003E-2</v>
      </c>
      <c r="E867">
        <v>8.0695643183404204</v>
      </c>
      <c r="F867">
        <v>800.08339446932723</v>
      </c>
      <c r="G867">
        <v>0.42399999999999999</v>
      </c>
      <c r="H867">
        <v>3.2199999999999999E-2</v>
      </c>
      <c r="I867">
        <v>348.2054</v>
      </c>
    </row>
    <row r="868" spans="1:9" x14ac:dyDescent="0.3">
      <c r="A868" t="s">
        <v>9</v>
      </c>
      <c r="B868" t="s">
        <v>876</v>
      </c>
      <c r="C868">
        <v>3</v>
      </c>
      <c r="D868">
        <v>3.3300000000000003E-2</v>
      </c>
      <c r="E868">
        <v>7.9965925584111002</v>
      </c>
      <c r="F868">
        <v>793.28242644391457</v>
      </c>
      <c r="G868">
        <v>0.42399999999999999</v>
      </c>
      <c r="H868">
        <v>3.1099999999999999E-2</v>
      </c>
      <c r="I868">
        <v>348.4049</v>
      </c>
    </row>
    <row r="869" spans="1:9" x14ac:dyDescent="0.3">
      <c r="A869" t="s">
        <v>9</v>
      </c>
      <c r="B869" t="s">
        <v>877</v>
      </c>
      <c r="C869">
        <v>3</v>
      </c>
      <c r="D869">
        <v>3.2399999999999998E-2</v>
      </c>
      <c r="E869">
        <v>7.9176234806190768</v>
      </c>
      <c r="F869">
        <v>785.92250839369797</v>
      </c>
      <c r="G869">
        <v>0.42399999999999999</v>
      </c>
      <c r="H869">
        <v>2.9899999999999999E-2</v>
      </c>
      <c r="I869">
        <v>348.61340000000001</v>
      </c>
    </row>
    <row r="870" spans="1:9" x14ac:dyDescent="0.3">
      <c r="A870" t="s">
        <v>9</v>
      </c>
      <c r="B870" t="s">
        <v>878</v>
      </c>
      <c r="C870">
        <v>3</v>
      </c>
      <c r="D870">
        <v>3.1800000000000002E-2</v>
      </c>
      <c r="E870">
        <v>7.8432102721736383</v>
      </c>
      <c r="F870">
        <v>778.98719736658313</v>
      </c>
      <c r="G870">
        <v>0.42399999999999999</v>
      </c>
      <c r="H870">
        <v>2.87E-2</v>
      </c>
      <c r="I870">
        <v>348.80410000000001</v>
      </c>
    </row>
    <row r="871" spans="1:9" x14ac:dyDescent="0.3">
      <c r="A871" t="s">
        <v>9</v>
      </c>
      <c r="B871" t="s">
        <v>879</v>
      </c>
      <c r="C871">
        <v>3</v>
      </c>
      <c r="D871">
        <v>0.03</v>
      </c>
      <c r="E871">
        <v>7.7629558521042359</v>
      </c>
      <c r="F871">
        <v>771.50748541611483</v>
      </c>
      <c r="G871">
        <v>0.42399999999999999</v>
      </c>
      <c r="H871">
        <v>2.75E-2</v>
      </c>
      <c r="I871">
        <v>349.00490000000002</v>
      </c>
    </row>
    <row r="872" spans="1:9" x14ac:dyDescent="0.3">
      <c r="A872" t="s">
        <v>9</v>
      </c>
      <c r="B872" t="s">
        <v>880</v>
      </c>
      <c r="C872">
        <v>3</v>
      </c>
      <c r="D872">
        <v>2.9000000000000001E-2</v>
      </c>
      <c r="E872">
        <v>7.681467990013445</v>
      </c>
      <c r="F872">
        <v>763.91281666925306</v>
      </c>
      <c r="G872">
        <v>0.42399999999999999</v>
      </c>
      <c r="H872">
        <v>2.6200000000000001E-2</v>
      </c>
      <c r="I872">
        <v>349.2047</v>
      </c>
    </row>
    <row r="873" spans="1:9" x14ac:dyDescent="0.3">
      <c r="A873" t="s">
        <v>9</v>
      </c>
      <c r="B873" t="s">
        <v>881</v>
      </c>
      <c r="C873">
        <v>3</v>
      </c>
      <c r="D873">
        <v>2.7300000000000001E-2</v>
      </c>
      <c r="E873">
        <v>7.597974669593337</v>
      </c>
      <c r="F873">
        <v>756.13123920609905</v>
      </c>
      <c r="G873">
        <v>0.42399999999999999</v>
      </c>
      <c r="H873">
        <v>2.4899999999999999E-2</v>
      </c>
      <c r="I873">
        <v>349.40620000000001</v>
      </c>
    </row>
    <row r="874" spans="1:9" x14ac:dyDescent="0.3">
      <c r="A874" t="s">
        <v>9</v>
      </c>
      <c r="B874" t="s">
        <v>882</v>
      </c>
      <c r="C874">
        <v>3</v>
      </c>
      <c r="D874">
        <v>2.6100000000000002E-2</v>
      </c>
      <c r="E874">
        <v>7.5136310770105581</v>
      </c>
      <c r="F874">
        <v>748.27041637738398</v>
      </c>
      <c r="G874">
        <v>0.42399999999999999</v>
      </c>
      <c r="H874">
        <v>2.3599999999999999E-2</v>
      </c>
      <c r="I874">
        <v>349.60730000000001</v>
      </c>
    </row>
    <row r="875" spans="1:9" x14ac:dyDescent="0.3">
      <c r="A875" t="s">
        <v>9</v>
      </c>
      <c r="B875" t="s">
        <v>883</v>
      </c>
      <c r="C875">
        <v>3</v>
      </c>
      <c r="D875">
        <v>2.4500000000000001E-2</v>
      </c>
      <c r="E875">
        <v>7.4298798771934758</v>
      </c>
      <c r="F875">
        <v>740.46480455443191</v>
      </c>
      <c r="G875">
        <v>0.42399999999999999</v>
      </c>
      <c r="H875">
        <v>2.23E-2</v>
      </c>
      <c r="I875">
        <v>349.80540000000002</v>
      </c>
    </row>
    <row r="876" spans="1:9" x14ac:dyDescent="0.3">
      <c r="A876" t="s">
        <v>9</v>
      </c>
      <c r="B876" t="s">
        <v>884</v>
      </c>
      <c r="C876">
        <v>3</v>
      </c>
      <c r="D876">
        <v>2.3300000000000001E-2</v>
      </c>
      <c r="E876">
        <v>7.3448599593997583</v>
      </c>
      <c r="F876">
        <v>732.54094821605747</v>
      </c>
      <c r="G876">
        <v>0.42399999999999999</v>
      </c>
      <c r="H876">
        <v>2.1000000000000001E-2</v>
      </c>
      <c r="I876">
        <v>350.00569999999999</v>
      </c>
    </row>
    <row r="877" spans="1:9" x14ac:dyDescent="0.3">
      <c r="A877" t="s">
        <v>9</v>
      </c>
      <c r="B877" t="s">
        <v>885</v>
      </c>
      <c r="C877">
        <v>3</v>
      </c>
      <c r="D877">
        <v>2.1399999999999999E-2</v>
      </c>
      <c r="E877">
        <v>7.2600764310532693</v>
      </c>
      <c r="F877">
        <v>724.63912337416468</v>
      </c>
      <c r="G877">
        <v>0.42399999999999999</v>
      </c>
      <c r="H877">
        <v>1.9599999999999999E-2</v>
      </c>
      <c r="I877">
        <v>350.2056</v>
      </c>
    </row>
    <row r="878" spans="1:9" x14ac:dyDescent="0.3">
      <c r="A878" t="s">
        <v>9</v>
      </c>
      <c r="B878" t="s">
        <v>886</v>
      </c>
      <c r="C878">
        <v>3</v>
      </c>
      <c r="D878">
        <v>2.0299999999999999E-2</v>
      </c>
      <c r="E878">
        <v>7.1756772889777443</v>
      </c>
      <c r="F878">
        <v>716.77312333272573</v>
      </c>
      <c r="G878">
        <v>0.42399999999999999</v>
      </c>
      <c r="H878">
        <v>1.83E-2</v>
      </c>
      <c r="I878">
        <v>350.40530000000001</v>
      </c>
    </row>
    <row r="879" spans="1:9" x14ac:dyDescent="0.3">
      <c r="A879" t="s">
        <v>9</v>
      </c>
      <c r="B879" t="s">
        <v>887</v>
      </c>
      <c r="C879">
        <v>3</v>
      </c>
      <c r="D879">
        <v>1.83E-2</v>
      </c>
      <c r="E879">
        <v>7.0918320199466693</v>
      </c>
      <c r="F879">
        <v>708.95874425902957</v>
      </c>
      <c r="G879">
        <v>0.42399999999999999</v>
      </c>
      <c r="H879">
        <v>1.7000000000000001E-2</v>
      </c>
      <c r="I879">
        <v>350.6053</v>
      </c>
    </row>
    <row r="880" spans="1:9" x14ac:dyDescent="0.3">
      <c r="A880" t="s">
        <v>9</v>
      </c>
      <c r="B880" t="s">
        <v>888</v>
      </c>
      <c r="C880">
        <v>3</v>
      </c>
      <c r="D880">
        <v>1.7100000000000001E-2</v>
      </c>
      <c r="E880">
        <v>7.0094148188969623</v>
      </c>
      <c r="F880">
        <v>701.27746112119689</v>
      </c>
      <c r="G880">
        <v>0.42399999999999999</v>
      </c>
      <c r="H880">
        <v>1.5800000000000002E-2</v>
      </c>
      <c r="I880">
        <v>350.80430000000001</v>
      </c>
    </row>
    <row r="881" spans="1:9" x14ac:dyDescent="0.3">
      <c r="A881" t="s">
        <v>9</v>
      </c>
      <c r="B881" t="s">
        <v>889</v>
      </c>
      <c r="C881">
        <v>3</v>
      </c>
      <c r="D881">
        <v>1.5100000000000001E-2</v>
      </c>
      <c r="E881">
        <v>6.9273272655669782</v>
      </c>
      <c r="F881">
        <v>693.6269011508424</v>
      </c>
      <c r="G881">
        <v>0.42399999999999999</v>
      </c>
      <c r="H881">
        <v>1.4500000000000001E-2</v>
      </c>
      <c r="I881">
        <v>351.00569999999999</v>
      </c>
    </row>
    <row r="882" spans="1:9" x14ac:dyDescent="0.3">
      <c r="A882" t="s">
        <v>9</v>
      </c>
      <c r="B882" t="s">
        <v>890</v>
      </c>
      <c r="C882">
        <v>3</v>
      </c>
      <c r="D882">
        <v>1.37E-2</v>
      </c>
      <c r="E882">
        <v>6.8483967074962022</v>
      </c>
      <c r="F882">
        <v>686.27057313864611</v>
      </c>
      <c r="G882">
        <v>0.42399999999999999</v>
      </c>
      <c r="H882">
        <v>1.32E-2</v>
      </c>
      <c r="I882">
        <v>351.20339999999999</v>
      </c>
    </row>
    <row r="883" spans="1:9" x14ac:dyDescent="0.3">
      <c r="A883" t="s">
        <v>9</v>
      </c>
      <c r="B883" t="s">
        <v>891</v>
      </c>
      <c r="C883">
        <v>3</v>
      </c>
      <c r="D883">
        <v>1.2E-2</v>
      </c>
      <c r="E883">
        <v>6.7703269638275989</v>
      </c>
      <c r="F883">
        <v>678.99447302873227</v>
      </c>
      <c r="G883">
        <v>0.42399999999999999</v>
      </c>
      <c r="H883">
        <v>1.2E-2</v>
      </c>
      <c r="I883">
        <v>351.40390000000002</v>
      </c>
    </row>
    <row r="884" spans="1:9" x14ac:dyDescent="0.3">
      <c r="A884" t="s">
        <v>9</v>
      </c>
      <c r="B884" t="s">
        <v>892</v>
      </c>
      <c r="C884">
        <v>3</v>
      </c>
      <c r="D884">
        <v>1.0999999999999999E-2</v>
      </c>
      <c r="E884">
        <v>6.694915486395753</v>
      </c>
      <c r="F884">
        <v>671.96612333208418</v>
      </c>
      <c r="G884">
        <v>0.42399999999999999</v>
      </c>
      <c r="H884">
        <v>1.09E-2</v>
      </c>
      <c r="I884">
        <v>351.60340000000002</v>
      </c>
    </row>
    <row r="885" spans="1:9" x14ac:dyDescent="0.3">
      <c r="A885" t="s">
        <v>9</v>
      </c>
      <c r="B885" t="s">
        <v>893</v>
      </c>
      <c r="C885">
        <v>3</v>
      </c>
      <c r="D885">
        <v>9.4000000000000004E-3</v>
      </c>
      <c r="E885">
        <v>6.6211518420917539</v>
      </c>
      <c r="F885">
        <v>665.09135168295143</v>
      </c>
      <c r="G885">
        <v>0.42399999999999999</v>
      </c>
      <c r="H885">
        <v>9.7000000000000003E-3</v>
      </c>
      <c r="I885">
        <v>351.80540000000002</v>
      </c>
    </row>
    <row r="886" spans="1:9" x14ac:dyDescent="0.3">
      <c r="A886" t="s">
        <v>9</v>
      </c>
      <c r="B886" t="s">
        <v>894</v>
      </c>
      <c r="C886">
        <v>3</v>
      </c>
      <c r="D886">
        <v>8.3999999999999995E-3</v>
      </c>
      <c r="E886">
        <v>6.5507369807116991</v>
      </c>
      <c r="F886">
        <v>658.52868660233037</v>
      </c>
      <c r="G886">
        <v>0.42399999999999999</v>
      </c>
      <c r="H886">
        <v>8.6E-3</v>
      </c>
      <c r="I886">
        <v>352.00619999999998</v>
      </c>
    </row>
    <row r="887" spans="1:9" x14ac:dyDescent="0.3">
      <c r="A887" t="s">
        <v>9</v>
      </c>
      <c r="B887" t="s">
        <v>895</v>
      </c>
      <c r="C887">
        <v>3</v>
      </c>
      <c r="D887">
        <v>7.0000000000000001E-3</v>
      </c>
      <c r="E887">
        <v>6.4838553914468218</v>
      </c>
      <c r="F887">
        <v>652.29532248284386</v>
      </c>
      <c r="G887">
        <v>0.42399999999999999</v>
      </c>
      <c r="H887">
        <v>7.6E-3</v>
      </c>
      <c r="I887">
        <v>352.20589999999999</v>
      </c>
    </row>
    <row r="888" spans="1:9" x14ac:dyDescent="0.3">
      <c r="A888" t="s">
        <v>9</v>
      </c>
      <c r="B888" t="s">
        <v>896</v>
      </c>
      <c r="C888">
        <v>3</v>
      </c>
      <c r="D888">
        <v>6.1000000000000004E-3</v>
      </c>
      <c r="E888">
        <v>6.4204158433783789</v>
      </c>
      <c r="F888">
        <v>646.3827566028649</v>
      </c>
      <c r="G888">
        <v>0.42399999999999999</v>
      </c>
      <c r="H888">
        <v>6.6E-3</v>
      </c>
      <c r="I888">
        <v>352.40539999999999</v>
      </c>
    </row>
    <row r="889" spans="1:9" x14ac:dyDescent="0.3">
      <c r="A889" t="s">
        <v>9</v>
      </c>
      <c r="B889" t="s">
        <v>897</v>
      </c>
      <c r="C889">
        <v>3</v>
      </c>
      <c r="D889">
        <v>4.7999999999999996E-3</v>
      </c>
      <c r="E889">
        <v>6.3606869608782208</v>
      </c>
      <c r="F889">
        <v>640.81602475385023</v>
      </c>
      <c r="G889">
        <v>0.42399999999999999</v>
      </c>
      <c r="H889">
        <v>5.7000000000000002E-3</v>
      </c>
      <c r="I889">
        <v>352.60469999999998</v>
      </c>
    </row>
    <row r="890" spans="1:9" x14ac:dyDescent="0.3">
      <c r="A890" t="s">
        <v>9</v>
      </c>
      <c r="B890" t="s">
        <v>898</v>
      </c>
      <c r="C890">
        <v>3</v>
      </c>
      <c r="D890">
        <v>3.8999999999999998E-3</v>
      </c>
      <c r="E890">
        <v>6.3049357058881252</v>
      </c>
      <c r="F890">
        <v>635.62000778877325</v>
      </c>
      <c r="G890">
        <v>0.42399999999999999</v>
      </c>
      <c r="H890">
        <v>4.7999999999999996E-3</v>
      </c>
      <c r="I890">
        <v>352.80360000000002</v>
      </c>
    </row>
    <row r="891" spans="1:9" x14ac:dyDescent="0.3">
      <c r="A891" t="s">
        <v>9</v>
      </c>
      <c r="B891" t="s">
        <v>899</v>
      </c>
      <c r="C891">
        <v>3</v>
      </c>
      <c r="D891">
        <v>3.0999999999999999E-3</v>
      </c>
      <c r="E891">
        <v>6.2524955655893004</v>
      </c>
      <c r="F891">
        <v>630.73258671292285</v>
      </c>
      <c r="G891">
        <v>0.42399999999999999</v>
      </c>
      <c r="H891">
        <v>4.0000000000000001E-3</v>
      </c>
      <c r="I891">
        <v>353.00549999999998</v>
      </c>
    </row>
    <row r="892" spans="1:9" x14ac:dyDescent="0.3">
      <c r="A892" t="s">
        <v>9</v>
      </c>
      <c r="B892" t="s">
        <v>900</v>
      </c>
      <c r="C892">
        <v>3</v>
      </c>
      <c r="D892">
        <v>2.5000000000000001E-3</v>
      </c>
      <c r="E892">
        <v>6.2053404932337912</v>
      </c>
      <c r="F892">
        <v>626.33773396938932</v>
      </c>
      <c r="G892">
        <v>0.42399999999999999</v>
      </c>
      <c r="H892">
        <v>3.3E-3</v>
      </c>
      <c r="I892">
        <v>353.20350000000002</v>
      </c>
    </row>
    <row r="893" spans="1:9" x14ac:dyDescent="0.3">
      <c r="A893" t="s">
        <v>9</v>
      </c>
      <c r="B893" t="s">
        <v>901</v>
      </c>
      <c r="C893">
        <v>3</v>
      </c>
      <c r="D893">
        <v>1.6999999999999999E-3</v>
      </c>
      <c r="E893">
        <v>6.1620580720111784</v>
      </c>
      <c r="F893">
        <v>622.30381231144179</v>
      </c>
      <c r="G893">
        <v>0.42399999999999999</v>
      </c>
      <c r="H893">
        <v>2.5999999999999999E-3</v>
      </c>
      <c r="I893">
        <v>353.4042</v>
      </c>
    </row>
    <row r="894" spans="1:9" x14ac:dyDescent="0.3">
      <c r="A894" t="s">
        <v>9</v>
      </c>
      <c r="B894" t="s">
        <v>902</v>
      </c>
      <c r="C894">
        <v>3</v>
      </c>
      <c r="D894">
        <v>1E-3</v>
      </c>
      <c r="E894">
        <v>6.1235600029027513</v>
      </c>
      <c r="F894">
        <v>618.71579227053644</v>
      </c>
      <c r="G894">
        <v>0.42399999999999999</v>
      </c>
      <c r="H894">
        <v>2E-3</v>
      </c>
      <c r="I894">
        <v>353.60449999999997</v>
      </c>
    </row>
    <row r="895" spans="1:9" x14ac:dyDescent="0.3">
      <c r="A895" t="s">
        <v>9</v>
      </c>
      <c r="B895" t="s">
        <v>903</v>
      </c>
      <c r="C895">
        <v>3</v>
      </c>
      <c r="D895">
        <v>4.0000000000000002E-4</v>
      </c>
      <c r="E895">
        <v>6.0899276233409569</v>
      </c>
      <c r="F895">
        <v>615.58125449537715</v>
      </c>
      <c r="G895">
        <v>0.42399999999999999</v>
      </c>
      <c r="H895">
        <v>1.5E-3</v>
      </c>
      <c r="I895">
        <v>353.80459999999999</v>
      </c>
    </row>
    <row r="896" spans="1:9" x14ac:dyDescent="0.3">
      <c r="A896" t="s">
        <v>9</v>
      </c>
      <c r="B896" t="s">
        <v>904</v>
      </c>
      <c r="C896">
        <v>3</v>
      </c>
      <c r="D896">
        <v>2.9999999999999997E-4</v>
      </c>
      <c r="E896">
        <v>6.0613499232423456</v>
      </c>
      <c r="F896">
        <v>612.91781284618673</v>
      </c>
      <c r="G896">
        <v>0.42399999999999999</v>
      </c>
      <c r="H896">
        <v>1E-3</v>
      </c>
      <c r="I896">
        <v>354.00409999999999</v>
      </c>
    </row>
    <row r="897" spans="1:9" x14ac:dyDescent="0.3">
      <c r="A897" t="s">
        <v>9</v>
      </c>
      <c r="B897" t="s">
        <v>905</v>
      </c>
      <c r="C897">
        <v>3</v>
      </c>
      <c r="D897">
        <v>-4.0000000000000002E-4</v>
      </c>
      <c r="E897">
        <v>6.0376346689243672</v>
      </c>
      <c r="F897">
        <v>610.70755114375106</v>
      </c>
      <c r="G897">
        <v>0.42399999999999999</v>
      </c>
      <c r="H897">
        <v>6.9999999999999999E-4</v>
      </c>
      <c r="I897">
        <v>354.20530000000002</v>
      </c>
    </row>
    <row r="898" spans="1:9" x14ac:dyDescent="0.3">
      <c r="A898" t="s">
        <v>9</v>
      </c>
      <c r="B898" t="s">
        <v>906</v>
      </c>
      <c r="C898">
        <v>3</v>
      </c>
      <c r="D898">
        <v>-4.0000000000000002E-4</v>
      </c>
      <c r="E898">
        <v>6.0192446200992427</v>
      </c>
      <c r="F898">
        <v>608.99359859324943</v>
      </c>
      <c r="G898">
        <v>0.42399999999999999</v>
      </c>
      <c r="H898">
        <v>4.0000000000000002E-4</v>
      </c>
      <c r="I898">
        <v>354.40539999999999</v>
      </c>
    </row>
    <row r="899" spans="1:9" x14ac:dyDescent="0.3">
      <c r="A899" t="s">
        <v>9</v>
      </c>
      <c r="B899" t="s">
        <v>907</v>
      </c>
      <c r="C899">
        <v>3</v>
      </c>
      <c r="D899">
        <v>-4.0000000000000002E-4</v>
      </c>
      <c r="E899">
        <v>6.0061961861682249</v>
      </c>
      <c r="F899">
        <v>607.77748455087863</v>
      </c>
      <c r="G899">
        <v>0.42399999999999999</v>
      </c>
      <c r="H899">
        <v>2.0000000000000001E-4</v>
      </c>
      <c r="I899">
        <v>354.6037</v>
      </c>
    </row>
    <row r="900" spans="1:9" x14ac:dyDescent="0.3">
      <c r="A900" t="s">
        <v>9</v>
      </c>
      <c r="B900" t="s">
        <v>908</v>
      </c>
      <c r="C900">
        <v>3</v>
      </c>
      <c r="D900">
        <v>-1.1999999999999999E-3</v>
      </c>
      <c r="E900">
        <v>5.9982442912842089</v>
      </c>
      <c r="F900">
        <v>607.03636794768829</v>
      </c>
      <c r="G900">
        <v>0.42399999999999999</v>
      </c>
      <c r="H900">
        <v>0</v>
      </c>
      <c r="I900">
        <v>354.80590000000001</v>
      </c>
    </row>
    <row r="901" spans="1:9" x14ac:dyDescent="0.3">
      <c r="A901" t="s">
        <v>9</v>
      </c>
      <c r="B901" t="s">
        <v>909</v>
      </c>
      <c r="C901">
        <v>3</v>
      </c>
      <c r="D901">
        <v>-1.9E-3</v>
      </c>
      <c r="E901">
        <v>5.9957347727681478</v>
      </c>
      <c r="F901">
        <v>606.80248082199137</v>
      </c>
      <c r="G901">
        <v>0.42399999999999999</v>
      </c>
      <c r="H901">
        <v>0</v>
      </c>
      <c r="I901">
        <v>355.00439999999998</v>
      </c>
    </row>
    <row r="902" spans="1:9" x14ac:dyDescent="0.3">
      <c r="A902" t="s">
        <v>9</v>
      </c>
      <c r="B902" t="s">
        <v>910</v>
      </c>
      <c r="C902">
        <v>3</v>
      </c>
      <c r="D902">
        <v>-2E-3</v>
      </c>
      <c r="E902">
        <v>5.9985474378411814</v>
      </c>
      <c r="F902">
        <v>709.26215185112812</v>
      </c>
      <c r="G902">
        <v>0.42399999999999999</v>
      </c>
      <c r="H902">
        <v>0</v>
      </c>
      <c r="I902">
        <v>355.2054</v>
      </c>
    </row>
    <row r="903" spans="1:9" x14ac:dyDescent="0.3">
      <c r="A903" t="s">
        <v>9</v>
      </c>
      <c r="B903" t="s">
        <v>911</v>
      </c>
      <c r="C903">
        <v>3</v>
      </c>
      <c r="D903">
        <v>-1.4E-3</v>
      </c>
      <c r="E903">
        <v>6.0066594892112546</v>
      </c>
      <c r="F903">
        <v>710.03198552614822</v>
      </c>
      <c r="G903">
        <v>0.42399999999999999</v>
      </c>
      <c r="H903">
        <v>2.0000000000000001E-4</v>
      </c>
      <c r="I903">
        <v>355.40499999999997</v>
      </c>
    </row>
    <row r="904" spans="1:9" x14ac:dyDescent="0.3">
      <c r="A904" t="s">
        <v>9</v>
      </c>
      <c r="B904" t="s">
        <v>912</v>
      </c>
      <c r="C904">
        <v>3</v>
      </c>
      <c r="D904">
        <v>-5.9999999999999995E-4</v>
      </c>
      <c r="E904">
        <v>6.0199504838543163</v>
      </c>
      <c r="F904">
        <v>711.29330091777467</v>
      </c>
      <c r="G904">
        <v>0.42399999999999999</v>
      </c>
      <c r="H904">
        <v>4.0000000000000002E-4</v>
      </c>
      <c r="I904">
        <v>355.6035</v>
      </c>
    </row>
    <row r="905" spans="1:9" x14ac:dyDescent="0.3">
      <c r="A905" t="s">
        <v>9</v>
      </c>
      <c r="B905" t="s">
        <v>913</v>
      </c>
      <c r="C905">
        <v>3</v>
      </c>
      <c r="D905">
        <v>-4.0000000000000002E-4</v>
      </c>
      <c r="E905">
        <v>6.0385616561529316</v>
      </c>
      <c r="F905">
        <v>713.05950116891336</v>
      </c>
      <c r="G905">
        <v>0.42399999999999999</v>
      </c>
      <c r="H905">
        <v>6.9999999999999999E-4</v>
      </c>
      <c r="I905">
        <v>355.80340000000001</v>
      </c>
    </row>
    <row r="906" spans="1:9" x14ac:dyDescent="0.3">
      <c r="A906" t="s">
        <v>9</v>
      </c>
      <c r="B906" t="s">
        <v>914</v>
      </c>
      <c r="C906">
        <v>3</v>
      </c>
      <c r="D906">
        <v>-2.0000000000000001E-4</v>
      </c>
      <c r="E906">
        <v>6.0625034469789174</v>
      </c>
      <c r="F906">
        <v>715.33157711829926</v>
      </c>
      <c r="G906">
        <v>0.42399999999999999</v>
      </c>
      <c r="H906">
        <v>1E-3</v>
      </c>
      <c r="I906">
        <v>356.00470000000001</v>
      </c>
    </row>
    <row r="907" spans="1:9" x14ac:dyDescent="0.3">
      <c r="A907" t="s">
        <v>9</v>
      </c>
      <c r="B907" t="s">
        <v>915</v>
      </c>
      <c r="C907">
        <v>3</v>
      </c>
      <c r="D907">
        <v>2.0000000000000001E-4</v>
      </c>
      <c r="E907">
        <v>6.0914726696336894</v>
      </c>
      <c r="F907">
        <v>718.08075634823717</v>
      </c>
      <c r="G907">
        <v>0.42399999999999999</v>
      </c>
      <c r="H907">
        <v>1.5E-3</v>
      </c>
      <c r="I907">
        <v>356.20530000000002</v>
      </c>
    </row>
    <row r="908" spans="1:9" x14ac:dyDescent="0.3">
      <c r="A908" t="s">
        <v>9</v>
      </c>
      <c r="B908" t="s">
        <v>916</v>
      </c>
      <c r="C908">
        <v>3</v>
      </c>
      <c r="D908">
        <v>6.9999999999999999E-4</v>
      </c>
      <c r="E908">
        <v>6.125417626596632</v>
      </c>
      <c r="F908">
        <v>721.30213276402037</v>
      </c>
      <c r="G908">
        <v>0.42399999999999999</v>
      </c>
      <c r="H908">
        <v>2E-3</v>
      </c>
      <c r="I908">
        <v>356.4058</v>
      </c>
    </row>
    <row r="909" spans="1:9" x14ac:dyDescent="0.3">
      <c r="A909" t="s">
        <v>9</v>
      </c>
      <c r="B909" t="s">
        <v>917</v>
      </c>
      <c r="C909">
        <v>3</v>
      </c>
      <c r="D909">
        <v>1.4E-3</v>
      </c>
      <c r="E909">
        <v>6.1636121197545606</v>
      </c>
      <c r="F909">
        <v>724.92679016470788</v>
      </c>
      <c r="G909">
        <v>0.42399999999999999</v>
      </c>
      <c r="H909">
        <v>2.5999999999999999E-3</v>
      </c>
      <c r="I909">
        <v>356.60340000000002</v>
      </c>
    </row>
    <row r="910" spans="1:9" x14ac:dyDescent="0.3">
      <c r="A910" t="s">
        <v>9</v>
      </c>
      <c r="B910" t="s">
        <v>918</v>
      </c>
      <c r="C910">
        <v>3</v>
      </c>
      <c r="D910">
        <v>2.5000000000000001E-3</v>
      </c>
      <c r="E910">
        <v>6.2071803978558977</v>
      </c>
      <c r="F910">
        <v>729.06141975652474</v>
      </c>
      <c r="G910">
        <v>0.42399999999999999</v>
      </c>
      <c r="H910">
        <v>3.3E-3</v>
      </c>
      <c r="I910">
        <v>356.80459999999999</v>
      </c>
    </row>
    <row r="911" spans="1:9" x14ac:dyDescent="0.3">
      <c r="A911" t="s">
        <v>9</v>
      </c>
      <c r="B911" t="s">
        <v>919</v>
      </c>
      <c r="C911">
        <v>3</v>
      </c>
      <c r="D911">
        <v>3.0000000000000001E-3</v>
      </c>
      <c r="E911">
        <v>6.2549309445548014</v>
      </c>
      <c r="F911">
        <v>733.59294663825074</v>
      </c>
      <c r="G911">
        <v>0.42399999999999999</v>
      </c>
      <c r="H911">
        <v>4.0000000000000001E-3</v>
      </c>
      <c r="I911">
        <v>357.0043</v>
      </c>
    </row>
    <row r="912" spans="1:9" x14ac:dyDescent="0.3">
      <c r="A912" t="s">
        <v>9</v>
      </c>
      <c r="B912" t="s">
        <v>920</v>
      </c>
      <c r="C912">
        <v>3</v>
      </c>
      <c r="D912">
        <v>3.5999999999999999E-3</v>
      </c>
      <c r="E912">
        <v>6.3075852950508322</v>
      </c>
      <c r="F912">
        <v>738.58984450032403</v>
      </c>
      <c r="G912">
        <v>0.42399999999999999</v>
      </c>
      <c r="H912">
        <v>4.7999999999999996E-3</v>
      </c>
      <c r="I912">
        <v>357.20620000000002</v>
      </c>
    </row>
    <row r="913" spans="1:9" x14ac:dyDescent="0.3">
      <c r="A913" t="s">
        <v>9</v>
      </c>
      <c r="B913" t="s">
        <v>921</v>
      </c>
      <c r="C913">
        <v>3</v>
      </c>
      <c r="D913">
        <v>4.7999999999999996E-3</v>
      </c>
      <c r="E913">
        <v>6.363396802994373</v>
      </c>
      <c r="F913">
        <v>743.88635660416605</v>
      </c>
      <c r="G913">
        <v>0.42399999999999999</v>
      </c>
      <c r="H913">
        <v>5.7000000000000002E-3</v>
      </c>
      <c r="I913">
        <v>357.40460000000002</v>
      </c>
    </row>
    <row r="914" spans="1:9" x14ac:dyDescent="0.3">
      <c r="A914" t="s">
        <v>9</v>
      </c>
      <c r="B914" t="s">
        <v>922</v>
      </c>
      <c r="C914">
        <v>3</v>
      </c>
      <c r="D914">
        <v>5.4999999999999997E-3</v>
      </c>
      <c r="E914">
        <v>6.4236547437290819</v>
      </c>
      <c r="F914">
        <v>749.60483517988996</v>
      </c>
      <c r="G914">
        <v>0.42399999999999999</v>
      </c>
      <c r="H914">
        <v>6.6E-3</v>
      </c>
      <c r="I914">
        <v>357.60500000000002</v>
      </c>
    </row>
    <row r="915" spans="1:9" x14ac:dyDescent="0.3">
      <c r="A915" t="s">
        <v>9</v>
      </c>
      <c r="B915" t="s">
        <v>923</v>
      </c>
      <c r="C915">
        <v>3</v>
      </c>
      <c r="D915">
        <v>6.1000000000000004E-3</v>
      </c>
      <c r="E915">
        <v>6.4871194309840234</v>
      </c>
      <c r="F915">
        <v>755.62763400038375</v>
      </c>
      <c r="G915">
        <v>0.42399999999999999</v>
      </c>
      <c r="H915">
        <v>7.6E-3</v>
      </c>
      <c r="I915">
        <v>357.80410000000001</v>
      </c>
    </row>
    <row r="916" spans="1:9" x14ac:dyDescent="0.3">
      <c r="A916" t="s">
        <v>9</v>
      </c>
      <c r="B916" t="s">
        <v>924</v>
      </c>
      <c r="C916">
        <v>3</v>
      </c>
      <c r="D916">
        <v>7.7999999999999996E-3</v>
      </c>
      <c r="E916">
        <v>6.5549656351630627</v>
      </c>
      <c r="F916">
        <v>762.06623877697473</v>
      </c>
      <c r="G916">
        <v>0.42399999999999999</v>
      </c>
      <c r="H916">
        <v>8.6999999999999994E-3</v>
      </c>
      <c r="I916">
        <v>358.0061</v>
      </c>
    </row>
    <row r="917" spans="1:9" x14ac:dyDescent="0.3">
      <c r="A917" t="s">
        <v>9</v>
      </c>
      <c r="B917" t="s">
        <v>925</v>
      </c>
      <c r="C917">
        <v>3</v>
      </c>
      <c r="D917">
        <v>8.3999999999999995E-3</v>
      </c>
      <c r="E917">
        <v>6.6245809082241891</v>
      </c>
      <c r="F917">
        <v>768.6727281904756</v>
      </c>
      <c r="G917">
        <v>0.42399999999999999</v>
      </c>
      <c r="H917">
        <v>9.7999999999999997E-3</v>
      </c>
      <c r="I917">
        <v>358.20409999999998</v>
      </c>
    </row>
    <row r="918" spans="1:9" x14ac:dyDescent="0.3">
      <c r="A918" t="s">
        <v>9</v>
      </c>
      <c r="B918" t="s">
        <v>926</v>
      </c>
      <c r="C918">
        <v>3</v>
      </c>
      <c r="D918">
        <v>9.7999999999999997E-3</v>
      </c>
      <c r="E918">
        <v>6.6977249932222449</v>
      </c>
      <c r="F918">
        <v>775.61410185679108</v>
      </c>
      <c r="G918">
        <v>0.42399999999999999</v>
      </c>
      <c r="H918">
        <v>1.09E-2</v>
      </c>
      <c r="I918">
        <v>358.40410000000003</v>
      </c>
    </row>
    <row r="919" spans="1:9" x14ac:dyDescent="0.3">
      <c r="A919" t="s">
        <v>9</v>
      </c>
      <c r="B919" t="s">
        <v>927</v>
      </c>
      <c r="C919">
        <v>3</v>
      </c>
      <c r="D919">
        <v>1.0999999999999999E-2</v>
      </c>
      <c r="E919">
        <v>6.7742551644532396</v>
      </c>
      <c r="F919">
        <v>782.87681510661253</v>
      </c>
      <c r="G919">
        <v>0.42399999999999999</v>
      </c>
      <c r="H919">
        <v>1.21E-2</v>
      </c>
      <c r="I919">
        <v>358.60629999999998</v>
      </c>
    </row>
    <row r="920" spans="1:9" x14ac:dyDescent="0.3">
      <c r="A920" t="s">
        <v>9</v>
      </c>
      <c r="B920" t="s">
        <v>928</v>
      </c>
      <c r="C920">
        <v>3</v>
      </c>
      <c r="D920">
        <v>1.26E-2</v>
      </c>
      <c r="E920">
        <v>6.8519247084916302</v>
      </c>
      <c r="F920">
        <v>790.24765483585577</v>
      </c>
      <c r="G920">
        <v>0.42399999999999999</v>
      </c>
      <c r="H920">
        <v>1.3299999999999999E-2</v>
      </c>
      <c r="I920">
        <v>358.80549999999999</v>
      </c>
    </row>
    <row r="921" spans="1:9" x14ac:dyDescent="0.3">
      <c r="A921" t="s">
        <v>9</v>
      </c>
      <c r="B921" t="s">
        <v>929</v>
      </c>
      <c r="C921">
        <v>3</v>
      </c>
      <c r="D921">
        <v>1.34E-2</v>
      </c>
      <c r="E921">
        <v>6.9322496804715268</v>
      </c>
      <c r="F921">
        <v>797.87049467674797</v>
      </c>
      <c r="G921">
        <v>0.42399999999999999</v>
      </c>
      <c r="H921">
        <v>1.46E-2</v>
      </c>
      <c r="I921">
        <v>359.00639999999999</v>
      </c>
    </row>
    <row r="922" spans="1:9" x14ac:dyDescent="0.3">
      <c r="A922" t="s">
        <v>9</v>
      </c>
      <c r="B922" t="s">
        <v>930</v>
      </c>
      <c r="C922">
        <v>3</v>
      </c>
      <c r="D922">
        <v>1.4999999999999999E-2</v>
      </c>
      <c r="E922">
        <v>7.0140886802317848</v>
      </c>
      <c r="F922">
        <v>805.63701575399637</v>
      </c>
      <c r="G922">
        <v>0.42399999999999999</v>
      </c>
      <c r="H922">
        <v>1.5800000000000002E-2</v>
      </c>
      <c r="I922">
        <v>359.20710000000003</v>
      </c>
    </row>
    <row r="923" spans="1:9" x14ac:dyDescent="0.3">
      <c r="A923" t="s">
        <v>9</v>
      </c>
      <c r="B923" t="s">
        <v>931</v>
      </c>
      <c r="C923">
        <v>3</v>
      </c>
      <c r="D923">
        <v>1.61E-2</v>
      </c>
      <c r="E923">
        <v>7.0966830719992249</v>
      </c>
      <c r="F923">
        <v>813.47522353272643</v>
      </c>
      <c r="G923">
        <v>0.42399999999999999</v>
      </c>
      <c r="H923">
        <v>1.7100000000000001E-2</v>
      </c>
      <c r="I923">
        <v>359.40629999999999</v>
      </c>
    </row>
    <row r="924" spans="1:9" x14ac:dyDescent="0.3">
      <c r="A924" t="s">
        <v>9</v>
      </c>
      <c r="B924" t="s">
        <v>932</v>
      </c>
      <c r="C924">
        <v>3</v>
      </c>
      <c r="D924">
        <v>1.7500000000000002E-2</v>
      </c>
      <c r="E924">
        <v>7.1801370617565867</v>
      </c>
      <c r="F924">
        <v>821.39500716070017</v>
      </c>
      <c r="G924">
        <v>0.42399999999999999</v>
      </c>
      <c r="H924">
        <v>1.84E-2</v>
      </c>
      <c r="I924">
        <v>359.6053</v>
      </c>
    </row>
    <row r="925" spans="1:9" x14ac:dyDescent="0.3">
      <c r="A925" t="s">
        <v>9</v>
      </c>
      <c r="B925" t="s">
        <v>933</v>
      </c>
      <c r="C925">
        <v>3</v>
      </c>
      <c r="D925">
        <v>1.8599999999999998E-2</v>
      </c>
      <c r="E925">
        <v>7.2642333171818878</v>
      </c>
      <c r="F925">
        <v>829.37574180056117</v>
      </c>
      <c r="G925">
        <v>0.42399999999999999</v>
      </c>
      <c r="H925">
        <v>1.9699999999999999E-2</v>
      </c>
      <c r="I925">
        <v>359.80419999999998</v>
      </c>
    </row>
    <row r="926" spans="1:9" x14ac:dyDescent="0.3">
      <c r="A926" t="s">
        <v>9</v>
      </c>
      <c r="B926" t="s">
        <v>934</v>
      </c>
      <c r="C926">
        <v>3</v>
      </c>
      <c r="D926">
        <v>1.9400000000000001E-2</v>
      </c>
      <c r="E926">
        <v>7.3497470983490594</v>
      </c>
      <c r="F926">
        <v>837.49099963332583</v>
      </c>
      <c r="G926">
        <v>0.42399999999999999</v>
      </c>
      <c r="H926">
        <v>2.1000000000000001E-2</v>
      </c>
      <c r="I926">
        <v>360.00569999999999</v>
      </c>
    </row>
    <row r="927" spans="1:9" x14ac:dyDescent="0.3">
      <c r="A927" t="s">
        <v>9</v>
      </c>
      <c r="B927" t="s">
        <v>935</v>
      </c>
      <c r="C927">
        <v>3</v>
      </c>
      <c r="D927">
        <v>2.07E-2</v>
      </c>
      <c r="E927">
        <v>7.4348805479527664</v>
      </c>
      <c r="F927">
        <v>845.57016400071745</v>
      </c>
      <c r="G927">
        <v>0.42399999999999999</v>
      </c>
      <c r="H927">
        <v>2.24E-2</v>
      </c>
      <c r="I927">
        <v>360.20639999999997</v>
      </c>
    </row>
    <row r="928" spans="1:9" x14ac:dyDescent="0.3">
      <c r="A928" t="s">
        <v>9</v>
      </c>
      <c r="B928" t="s">
        <v>936</v>
      </c>
      <c r="C928">
        <v>3</v>
      </c>
      <c r="D928">
        <v>2.2499999999999999E-2</v>
      </c>
      <c r="E928">
        <v>7.5182238441953881</v>
      </c>
      <c r="F928">
        <v>853.47944281414243</v>
      </c>
      <c r="G928">
        <v>0.42399999999999999</v>
      </c>
      <c r="H928">
        <v>2.3699999999999999E-2</v>
      </c>
      <c r="I928">
        <v>360.40359999999998</v>
      </c>
    </row>
    <row r="929" spans="1:9" x14ac:dyDescent="0.3">
      <c r="A929" t="s">
        <v>9</v>
      </c>
      <c r="B929" t="s">
        <v>937</v>
      </c>
      <c r="C929">
        <v>3</v>
      </c>
      <c r="D929">
        <v>2.35E-2</v>
      </c>
      <c r="E929">
        <v>7.6032202446856072</v>
      </c>
      <c r="F929">
        <v>861.54560122066414</v>
      </c>
      <c r="G929">
        <v>0.42399999999999999</v>
      </c>
      <c r="H929">
        <v>2.5000000000000001E-2</v>
      </c>
      <c r="I929">
        <v>360.60640000000001</v>
      </c>
    </row>
    <row r="930" spans="1:9" x14ac:dyDescent="0.3">
      <c r="A930" t="s">
        <v>9</v>
      </c>
      <c r="B930" t="s">
        <v>938</v>
      </c>
      <c r="C930">
        <v>3</v>
      </c>
      <c r="D930">
        <v>2.47E-2</v>
      </c>
      <c r="E930">
        <v>7.6851322291808604</v>
      </c>
      <c r="F930">
        <v>869.3190485492637</v>
      </c>
      <c r="G930">
        <v>0.42399999999999999</v>
      </c>
      <c r="H930">
        <v>2.6200000000000001E-2</v>
      </c>
      <c r="I930">
        <v>360.80410000000001</v>
      </c>
    </row>
    <row r="931" spans="1:9" x14ac:dyDescent="0.3">
      <c r="A931" t="s">
        <v>9</v>
      </c>
      <c r="B931" t="s">
        <v>939</v>
      </c>
      <c r="C931">
        <v>3</v>
      </c>
      <c r="D931">
        <v>2.6100000000000002E-2</v>
      </c>
      <c r="E931">
        <v>7.7667015908923922</v>
      </c>
      <c r="F931">
        <v>877.05998097568806</v>
      </c>
      <c r="G931">
        <v>0.42399999999999999</v>
      </c>
      <c r="H931">
        <v>2.75E-2</v>
      </c>
      <c r="I931">
        <v>361.0043</v>
      </c>
    </row>
    <row r="932" spans="1:9" x14ac:dyDescent="0.3">
      <c r="A932" t="s">
        <v>9</v>
      </c>
      <c r="B932" t="s">
        <v>940</v>
      </c>
      <c r="C932">
        <v>3</v>
      </c>
      <c r="D932">
        <v>2.76E-2</v>
      </c>
      <c r="E932">
        <v>7.8467179996315677</v>
      </c>
      <c r="F932">
        <v>884.6535381650358</v>
      </c>
      <c r="G932">
        <v>0.42399999999999999</v>
      </c>
      <c r="H932">
        <v>2.8799999999999999E-2</v>
      </c>
      <c r="I932">
        <v>361.2047</v>
      </c>
    </row>
    <row r="933" spans="1:9" x14ac:dyDescent="0.3">
      <c r="A933" t="s">
        <v>9</v>
      </c>
      <c r="B933" t="s">
        <v>941</v>
      </c>
      <c r="C933">
        <v>3</v>
      </c>
      <c r="D933">
        <v>2.8799999999999999E-2</v>
      </c>
      <c r="E933">
        <v>7.9249604738396568</v>
      </c>
      <c r="F933">
        <v>892.07874896738349</v>
      </c>
      <c r="G933">
        <v>0.42399999999999999</v>
      </c>
      <c r="H933">
        <v>0.03</v>
      </c>
      <c r="I933">
        <v>361.40570000000002</v>
      </c>
    </row>
    <row r="934" spans="1:9" x14ac:dyDescent="0.3">
      <c r="A934" t="s">
        <v>9</v>
      </c>
      <c r="B934" t="s">
        <v>942</v>
      </c>
      <c r="C934">
        <v>3</v>
      </c>
      <c r="D934">
        <v>2.9600000000000001E-2</v>
      </c>
      <c r="E934">
        <v>8.0003143744250096</v>
      </c>
      <c r="F934">
        <v>899.22983413293343</v>
      </c>
      <c r="G934">
        <v>0.42399999999999999</v>
      </c>
      <c r="H934">
        <v>3.1099999999999999E-2</v>
      </c>
      <c r="I934">
        <v>361.60509999999999</v>
      </c>
    </row>
    <row r="935" spans="1:9" x14ac:dyDescent="0.3">
      <c r="A935" t="s">
        <v>9</v>
      </c>
      <c r="B935" t="s">
        <v>943</v>
      </c>
      <c r="C935">
        <v>3</v>
      </c>
      <c r="D935">
        <v>3.1E-2</v>
      </c>
      <c r="E935">
        <v>5.9957334838115024</v>
      </c>
      <c r="F935">
        <v>606.80236069123202</v>
      </c>
      <c r="G935">
        <v>0.42399999999999999</v>
      </c>
      <c r="H935">
        <v>0</v>
      </c>
      <c r="I935">
        <v>361.80489999999998</v>
      </c>
    </row>
    <row r="936" spans="1:9" x14ac:dyDescent="0.3">
      <c r="A936" t="s">
        <v>9</v>
      </c>
      <c r="B936" t="s">
        <v>944</v>
      </c>
      <c r="C936">
        <v>3</v>
      </c>
      <c r="D936">
        <v>2.46E-2</v>
      </c>
      <c r="E936">
        <v>5.9957334838115024</v>
      </c>
      <c r="F936">
        <v>606.80236069123202</v>
      </c>
      <c r="G936">
        <v>0.42399999999999999</v>
      </c>
      <c r="H936">
        <v>0</v>
      </c>
      <c r="I936">
        <v>362.0077</v>
      </c>
    </row>
    <row r="937" spans="1:9" x14ac:dyDescent="0.3">
      <c r="A937" t="s">
        <v>9</v>
      </c>
      <c r="B937" t="s">
        <v>945</v>
      </c>
      <c r="C937">
        <v>3</v>
      </c>
      <c r="D937">
        <v>1.06E-2</v>
      </c>
      <c r="E937">
        <v>5.9957334838115024</v>
      </c>
      <c r="F937">
        <v>606.80236069123202</v>
      </c>
      <c r="G937">
        <v>0.42399999999999999</v>
      </c>
      <c r="H937">
        <v>0</v>
      </c>
      <c r="I937">
        <v>362.20389999999998</v>
      </c>
    </row>
    <row r="938" spans="1:9" x14ac:dyDescent="0.3">
      <c r="A938" t="s">
        <v>9</v>
      </c>
      <c r="B938" t="s">
        <v>946</v>
      </c>
      <c r="C938">
        <v>3</v>
      </c>
      <c r="D938">
        <v>2.3E-3</v>
      </c>
      <c r="E938">
        <v>5.9957334838115024</v>
      </c>
      <c r="F938">
        <v>606.80236069123202</v>
      </c>
      <c r="G938">
        <v>0.42399999999999999</v>
      </c>
      <c r="H938">
        <v>0</v>
      </c>
      <c r="I938">
        <v>362.40460000000002</v>
      </c>
    </row>
    <row r="939" spans="1:9" x14ac:dyDescent="0.3">
      <c r="A939" t="s">
        <v>9</v>
      </c>
      <c r="B939" t="s">
        <v>947</v>
      </c>
      <c r="C939">
        <v>3</v>
      </c>
      <c r="D939">
        <v>-4.0000000000000002E-4</v>
      </c>
      <c r="E939">
        <v>5.9957334838115024</v>
      </c>
      <c r="F939">
        <v>606.80236069123202</v>
      </c>
      <c r="G939">
        <v>0.42399999999999999</v>
      </c>
      <c r="H939">
        <v>0</v>
      </c>
      <c r="I939">
        <v>362.60610000000003</v>
      </c>
    </row>
    <row r="940" spans="1:9" x14ac:dyDescent="0.3">
      <c r="A940" t="s">
        <v>9</v>
      </c>
      <c r="B940" t="s">
        <v>948</v>
      </c>
      <c r="C940">
        <v>3</v>
      </c>
      <c r="D940">
        <v>-1.1999999999999999E-3</v>
      </c>
      <c r="E940">
        <v>5.9957334838115024</v>
      </c>
      <c r="F940">
        <v>606.80236069123202</v>
      </c>
      <c r="G940">
        <v>0.42399999999999999</v>
      </c>
      <c r="H940">
        <v>0</v>
      </c>
      <c r="I940">
        <v>362.8057</v>
      </c>
    </row>
    <row r="941" spans="1:9" x14ac:dyDescent="0.3">
      <c r="A941" t="s">
        <v>9</v>
      </c>
      <c r="B941" t="s">
        <v>949</v>
      </c>
      <c r="C941">
        <v>3</v>
      </c>
      <c r="D941">
        <v>-1.1999999999999999E-3</v>
      </c>
      <c r="E941">
        <v>5.9957334838115024</v>
      </c>
      <c r="F941">
        <v>606.80236069123202</v>
      </c>
      <c r="G941">
        <v>0.42399999999999999</v>
      </c>
      <c r="H941">
        <v>0</v>
      </c>
      <c r="I941">
        <v>363.00630000000001</v>
      </c>
    </row>
    <row r="942" spans="1:9" x14ac:dyDescent="0.3">
      <c r="A942" t="s">
        <v>9</v>
      </c>
      <c r="B942" t="s">
        <v>950</v>
      </c>
      <c r="C942">
        <v>3</v>
      </c>
      <c r="D942">
        <v>-1.8E-3</v>
      </c>
      <c r="E942">
        <v>5.9957334838115024</v>
      </c>
      <c r="F942">
        <v>606.80236069123202</v>
      </c>
      <c r="G942">
        <v>0.42399999999999999</v>
      </c>
      <c r="H942">
        <v>0</v>
      </c>
      <c r="I942">
        <v>363.20679999999999</v>
      </c>
    </row>
    <row r="943" spans="1:9" x14ac:dyDescent="0.3">
      <c r="A943" t="s">
        <v>9</v>
      </c>
      <c r="B943" t="s">
        <v>951</v>
      </c>
      <c r="C943">
        <v>3</v>
      </c>
      <c r="D943">
        <v>-1.9E-3</v>
      </c>
      <c r="E943">
        <v>5.9957334838115024</v>
      </c>
      <c r="F943">
        <v>606.80236069123202</v>
      </c>
      <c r="G943">
        <v>0.42399999999999999</v>
      </c>
      <c r="H943">
        <v>0</v>
      </c>
      <c r="I943">
        <v>363.40410000000003</v>
      </c>
    </row>
    <row r="944" spans="1:9" x14ac:dyDescent="0.3">
      <c r="A944" t="s">
        <v>9</v>
      </c>
      <c r="B944" t="s">
        <v>952</v>
      </c>
      <c r="C944">
        <v>3</v>
      </c>
      <c r="D944">
        <v>-1.9E-3</v>
      </c>
      <c r="E944">
        <v>5.9957334838115024</v>
      </c>
      <c r="F944">
        <v>606.80236069123202</v>
      </c>
      <c r="G944">
        <v>0.42399999999999999</v>
      </c>
      <c r="H944">
        <v>0</v>
      </c>
      <c r="I944">
        <v>363.60910000000001</v>
      </c>
    </row>
    <row r="945" spans="1:9" x14ac:dyDescent="0.3">
      <c r="A945" t="s">
        <v>9</v>
      </c>
      <c r="B945" t="s">
        <v>953</v>
      </c>
      <c r="C945">
        <v>3</v>
      </c>
      <c r="D945">
        <v>-1.9E-3</v>
      </c>
      <c r="E945">
        <v>5.9957334838115024</v>
      </c>
      <c r="F945">
        <v>606.80236069123202</v>
      </c>
      <c r="G945">
        <v>0.42399999999999999</v>
      </c>
      <c r="H945">
        <v>0</v>
      </c>
      <c r="I945">
        <v>363.80579999999998</v>
      </c>
    </row>
    <row r="946" spans="1:9" x14ac:dyDescent="0.3">
      <c r="A946" t="s">
        <v>9</v>
      </c>
      <c r="B946" t="s">
        <v>954</v>
      </c>
      <c r="C946">
        <v>3</v>
      </c>
      <c r="D946">
        <v>-1.9E-3</v>
      </c>
      <c r="E946">
        <v>5.9957334838115024</v>
      </c>
      <c r="F946">
        <v>606.80236069123202</v>
      </c>
      <c r="G946">
        <v>0.42399999999999999</v>
      </c>
      <c r="H946">
        <v>0</v>
      </c>
      <c r="I946">
        <v>364.0068</v>
      </c>
    </row>
    <row r="947" spans="1:9" x14ac:dyDescent="0.3">
      <c r="A947" t="s">
        <v>9</v>
      </c>
      <c r="B947" t="s">
        <v>955</v>
      </c>
      <c r="C947">
        <v>3</v>
      </c>
      <c r="D947">
        <v>-2E-3</v>
      </c>
      <c r="E947">
        <v>5.9957334838115024</v>
      </c>
      <c r="F947">
        <v>606.80236069123202</v>
      </c>
      <c r="G947">
        <v>0.42399999999999999</v>
      </c>
      <c r="H947">
        <v>0</v>
      </c>
      <c r="I947">
        <v>364.20530000000002</v>
      </c>
    </row>
    <row r="948" spans="1:9" x14ac:dyDescent="0.3">
      <c r="A948" t="s">
        <v>9</v>
      </c>
      <c r="B948" t="s">
        <v>956</v>
      </c>
      <c r="C948">
        <v>3</v>
      </c>
      <c r="D948">
        <v>-1.9E-3</v>
      </c>
      <c r="E948">
        <v>8.6754300661159611</v>
      </c>
      <c r="F948">
        <v>963.29831327440479</v>
      </c>
      <c r="G948">
        <v>0.42399999999999999</v>
      </c>
      <c r="H948">
        <v>4.1599999999999998E-2</v>
      </c>
      <c r="I948">
        <v>364.40629999999999</v>
      </c>
    </row>
    <row r="949" spans="1:9" x14ac:dyDescent="0.3">
      <c r="A949" t="s">
        <v>9</v>
      </c>
      <c r="B949" t="s">
        <v>957</v>
      </c>
      <c r="C949">
        <v>3</v>
      </c>
      <c r="D949">
        <v>2.2700000000000001E-2</v>
      </c>
      <c r="E949">
        <v>8.6885344752840101</v>
      </c>
      <c r="F949">
        <v>964.54192170445265</v>
      </c>
      <c r="G949">
        <v>0.42399999999999999</v>
      </c>
      <c r="H949">
        <v>4.1799999999999997E-2</v>
      </c>
      <c r="I949">
        <v>364.60599999999999</v>
      </c>
    </row>
    <row r="950" spans="1:9" x14ac:dyDescent="0.3">
      <c r="A950" t="s">
        <v>9</v>
      </c>
      <c r="B950" t="s">
        <v>958</v>
      </c>
      <c r="C950">
        <v>3</v>
      </c>
      <c r="D950">
        <v>3.5799999999999998E-2</v>
      </c>
      <c r="E950">
        <v>8.6963365434547963</v>
      </c>
      <c r="F950">
        <v>965.28233797386019</v>
      </c>
      <c r="G950">
        <v>0.42399999999999999</v>
      </c>
      <c r="H950">
        <v>4.2000000000000003E-2</v>
      </c>
      <c r="I950">
        <v>364.80500000000001</v>
      </c>
    </row>
    <row r="951" spans="1:9" x14ac:dyDescent="0.3">
      <c r="A951" t="s">
        <v>9</v>
      </c>
      <c r="B951" t="s">
        <v>959</v>
      </c>
      <c r="C951">
        <v>3</v>
      </c>
      <c r="D951">
        <v>4.07E-2</v>
      </c>
      <c r="E951">
        <v>8.6988691137590646</v>
      </c>
      <c r="F951">
        <v>965.52267889573523</v>
      </c>
      <c r="G951">
        <v>0.42399999999999999</v>
      </c>
      <c r="H951">
        <v>4.2000000000000003E-2</v>
      </c>
      <c r="I951">
        <v>365.00619999999998</v>
      </c>
    </row>
    <row r="952" spans="1:9" x14ac:dyDescent="0.3">
      <c r="A952" t="s">
        <v>9</v>
      </c>
      <c r="B952" t="s">
        <v>960</v>
      </c>
      <c r="C952">
        <v>3</v>
      </c>
      <c r="D952">
        <v>4.3299999999999998E-2</v>
      </c>
      <c r="E952">
        <v>8.696042577161073</v>
      </c>
      <c r="F952">
        <v>858.47116819141206</v>
      </c>
      <c r="G952">
        <v>0.42399999999999999</v>
      </c>
      <c r="H952">
        <v>4.2000000000000003E-2</v>
      </c>
      <c r="I952">
        <v>365.20600000000002</v>
      </c>
    </row>
    <row r="953" spans="1:9" x14ac:dyDescent="0.3">
      <c r="A953" t="s">
        <v>9</v>
      </c>
      <c r="B953" t="s">
        <v>961</v>
      </c>
      <c r="C953">
        <v>3</v>
      </c>
      <c r="D953">
        <v>4.2599999999999999E-2</v>
      </c>
      <c r="E953">
        <v>8.6878869384963195</v>
      </c>
      <c r="F953">
        <v>857.71106266785705</v>
      </c>
      <c r="G953">
        <v>0.42399999999999999</v>
      </c>
      <c r="H953">
        <v>4.1799999999999997E-2</v>
      </c>
      <c r="I953">
        <v>365.40609999999998</v>
      </c>
    </row>
    <row r="954" spans="1:9" x14ac:dyDescent="0.3">
      <c r="A954" t="s">
        <v>9</v>
      </c>
      <c r="B954" t="s">
        <v>962</v>
      </c>
      <c r="C954">
        <v>3</v>
      </c>
      <c r="D954">
        <v>4.2000000000000003E-2</v>
      </c>
      <c r="E954">
        <v>8.6744832919147967</v>
      </c>
      <c r="F954">
        <v>856.46184280645912</v>
      </c>
      <c r="G954">
        <v>0.42399999999999999</v>
      </c>
      <c r="H954">
        <v>4.1599999999999998E-2</v>
      </c>
      <c r="I954">
        <v>365.60559999999998</v>
      </c>
    </row>
    <row r="955" spans="1:9" x14ac:dyDescent="0.3">
      <c r="A955" t="s">
        <v>9</v>
      </c>
      <c r="B955" t="s">
        <v>963</v>
      </c>
      <c r="C955">
        <v>3</v>
      </c>
      <c r="D955">
        <v>4.1700000000000001E-2</v>
      </c>
      <c r="E955">
        <v>8.6556949937737677</v>
      </c>
      <c r="F955">
        <v>854.71077341971522</v>
      </c>
      <c r="G955">
        <v>0.42399999999999999</v>
      </c>
      <c r="H955">
        <v>4.1300000000000003E-2</v>
      </c>
      <c r="I955">
        <v>365.80669999999998</v>
      </c>
    </row>
    <row r="956" spans="1:9" x14ac:dyDescent="0.3">
      <c r="A956" t="s">
        <v>9</v>
      </c>
      <c r="B956" t="s">
        <v>964</v>
      </c>
      <c r="C956">
        <v>3</v>
      </c>
      <c r="D956">
        <v>4.1000000000000002E-2</v>
      </c>
      <c r="E956">
        <v>8.6319956339091863</v>
      </c>
      <c r="F956">
        <v>852.50199308033621</v>
      </c>
      <c r="G956">
        <v>0.42399999999999999</v>
      </c>
      <c r="H956">
        <v>4.1000000000000002E-2</v>
      </c>
      <c r="I956">
        <v>366.00549999999998</v>
      </c>
    </row>
    <row r="957" spans="1:9" x14ac:dyDescent="0.3">
      <c r="A957" t="s">
        <v>9</v>
      </c>
      <c r="B957" t="s">
        <v>965</v>
      </c>
      <c r="C957">
        <v>3</v>
      </c>
      <c r="D957">
        <v>4.1000000000000002E-2</v>
      </c>
      <c r="E957">
        <v>8.60331101117381</v>
      </c>
      <c r="F957">
        <v>849.82858624139908</v>
      </c>
      <c r="G957">
        <v>0.42399999999999999</v>
      </c>
      <c r="H957">
        <v>4.0500000000000001E-2</v>
      </c>
      <c r="I957">
        <v>366.20409999999998</v>
      </c>
    </row>
    <row r="958" spans="1:9" x14ac:dyDescent="0.3">
      <c r="A958" t="s">
        <v>9</v>
      </c>
      <c r="B958" t="s">
        <v>966</v>
      </c>
      <c r="C958">
        <v>3</v>
      </c>
      <c r="D958">
        <v>4.1000000000000002E-2</v>
      </c>
      <c r="E958">
        <v>8.5694513652566613</v>
      </c>
      <c r="F958">
        <v>846.67286724192081</v>
      </c>
      <c r="G958">
        <v>0.42399999999999999</v>
      </c>
      <c r="H958">
        <v>0.04</v>
      </c>
      <c r="I958">
        <v>366.40429999999998</v>
      </c>
    </row>
    <row r="959" spans="1:9" x14ac:dyDescent="0.3">
      <c r="A959" t="s">
        <v>9</v>
      </c>
      <c r="B959" t="s">
        <v>967</v>
      </c>
      <c r="C959">
        <v>3</v>
      </c>
      <c r="D959">
        <v>4.0399999999999998E-2</v>
      </c>
      <c r="E959">
        <v>8.5304795441239776</v>
      </c>
      <c r="F959">
        <v>843.04069351235478</v>
      </c>
      <c r="G959">
        <v>0.42399999999999999</v>
      </c>
      <c r="H959">
        <v>3.9399999999999998E-2</v>
      </c>
      <c r="I959">
        <v>366.60590000000002</v>
      </c>
    </row>
    <row r="960" spans="1:9" x14ac:dyDescent="0.3">
      <c r="A960" t="s">
        <v>9</v>
      </c>
      <c r="B960" t="s">
        <v>968</v>
      </c>
      <c r="C960">
        <v>3</v>
      </c>
      <c r="D960">
        <v>4.0099999999999997E-2</v>
      </c>
      <c r="E960">
        <v>8.4871359373651956</v>
      </c>
      <c r="F960">
        <v>839.00106936243628</v>
      </c>
      <c r="G960">
        <v>0.42399999999999999</v>
      </c>
      <c r="H960">
        <v>3.8699999999999998E-2</v>
      </c>
      <c r="I960">
        <v>366.80579999999998</v>
      </c>
    </row>
    <row r="961" spans="1:9" x14ac:dyDescent="0.3">
      <c r="A961" t="s">
        <v>9</v>
      </c>
      <c r="B961" t="s">
        <v>969</v>
      </c>
      <c r="C961">
        <v>3</v>
      </c>
      <c r="D961">
        <v>3.9899999999999998E-2</v>
      </c>
      <c r="E961">
        <v>8.4394363583395631</v>
      </c>
      <c r="F961">
        <v>834.55546859724734</v>
      </c>
      <c r="G961">
        <v>0.42399999999999999</v>
      </c>
      <c r="H961">
        <v>3.7999999999999999E-2</v>
      </c>
      <c r="I961">
        <v>367.0052</v>
      </c>
    </row>
    <row r="962" spans="1:9" x14ac:dyDescent="0.3">
      <c r="A962" t="s">
        <v>9</v>
      </c>
      <c r="B962" t="s">
        <v>970</v>
      </c>
      <c r="C962">
        <v>3</v>
      </c>
      <c r="D962">
        <v>3.9199999999999999E-2</v>
      </c>
      <c r="E962">
        <v>8.3873812125178286</v>
      </c>
      <c r="F962">
        <v>829.70392900666161</v>
      </c>
      <c r="G962">
        <v>0.42399999999999999</v>
      </c>
      <c r="H962">
        <v>3.7199999999999997E-2</v>
      </c>
      <c r="I962">
        <v>367.20490000000001</v>
      </c>
    </row>
    <row r="963" spans="1:9" x14ac:dyDescent="0.3">
      <c r="A963" t="s">
        <v>9</v>
      </c>
      <c r="B963" t="s">
        <v>971</v>
      </c>
      <c r="C963">
        <v>3</v>
      </c>
      <c r="D963">
        <v>3.9199999999999999E-2</v>
      </c>
      <c r="E963">
        <v>8.3313062296809601</v>
      </c>
      <c r="F963">
        <v>824.47774060626546</v>
      </c>
      <c r="G963">
        <v>0.42399999999999999</v>
      </c>
      <c r="H963">
        <v>3.6299999999999999E-2</v>
      </c>
      <c r="I963">
        <v>367.40429999999998</v>
      </c>
    </row>
    <row r="964" spans="1:9" x14ac:dyDescent="0.3">
      <c r="A964" t="s">
        <v>9</v>
      </c>
      <c r="B964" t="s">
        <v>972</v>
      </c>
      <c r="C964">
        <v>3</v>
      </c>
      <c r="D964">
        <v>3.8399999999999997E-2</v>
      </c>
      <c r="E964">
        <v>8.2707386309345043</v>
      </c>
      <c r="F964">
        <v>818.83284040309582</v>
      </c>
      <c r="G964">
        <v>0.42399999999999999</v>
      </c>
      <c r="H964">
        <v>3.5299999999999998E-2</v>
      </c>
      <c r="I964">
        <v>367.60570000000001</v>
      </c>
    </row>
    <row r="965" spans="1:9" x14ac:dyDescent="0.3">
      <c r="A965" t="s">
        <v>9</v>
      </c>
      <c r="B965" t="s">
        <v>973</v>
      </c>
      <c r="C965">
        <v>3</v>
      </c>
      <c r="D965">
        <v>3.6900000000000002E-2</v>
      </c>
      <c r="E965">
        <v>8.2070870216638312</v>
      </c>
      <c r="F965">
        <v>812.90051041906906</v>
      </c>
      <c r="G965">
        <v>0.42399999999999999</v>
      </c>
      <c r="H965">
        <v>3.44E-2</v>
      </c>
      <c r="I965">
        <v>367.80529999999999</v>
      </c>
    </row>
    <row r="966" spans="1:9" x14ac:dyDescent="0.3">
      <c r="A966" t="s">
        <v>9</v>
      </c>
      <c r="B966" t="s">
        <v>974</v>
      </c>
      <c r="C966">
        <v>3</v>
      </c>
      <c r="D966">
        <v>3.6499999999999998E-2</v>
      </c>
      <c r="E966">
        <v>8.1398555111417341</v>
      </c>
      <c r="F966">
        <v>806.63453363840961</v>
      </c>
      <c r="G966">
        <v>0.42399999999999999</v>
      </c>
      <c r="H966">
        <v>3.3300000000000003E-2</v>
      </c>
      <c r="I966">
        <v>368.00549999999998</v>
      </c>
    </row>
    <row r="967" spans="1:9" x14ac:dyDescent="0.3">
      <c r="A967" t="s">
        <v>9</v>
      </c>
      <c r="B967" t="s">
        <v>975</v>
      </c>
      <c r="C967">
        <v>3</v>
      </c>
      <c r="D967">
        <v>3.4799999999999998E-2</v>
      </c>
      <c r="E967">
        <v>8.0692038548437033</v>
      </c>
      <c r="F967">
        <v>800.04979927143313</v>
      </c>
      <c r="G967">
        <v>0.42399999999999999</v>
      </c>
      <c r="H967">
        <v>3.2199999999999999E-2</v>
      </c>
      <c r="I967">
        <v>368.20639999999997</v>
      </c>
    </row>
    <row r="968" spans="1:9" x14ac:dyDescent="0.3">
      <c r="A968" t="s">
        <v>9</v>
      </c>
      <c r="B968" t="s">
        <v>976</v>
      </c>
      <c r="C968">
        <v>3</v>
      </c>
      <c r="D968">
        <v>3.3700000000000001E-2</v>
      </c>
      <c r="E968">
        <v>7.9965260612081046</v>
      </c>
      <c r="F968">
        <v>793.27622890459543</v>
      </c>
      <c r="G968">
        <v>0.42399999999999999</v>
      </c>
      <c r="H968">
        <v>3.1099999999999999E-2</v>
      </c>
      <c r="I968">
        <v>368.4051</v>
      </c>
    </row>
    <row r="969" spans="1:9" x14ac:dyDescent="0.3">
      <c r="A969" t="s">
        <v>9</v>
      </c>
      <c r="B969" t="s">
        <v>977</v>
      </c>
      <c r="C969">
        <v>3</v>
      </c>
      <c r="D969">
        <v>3.27E-2</v>
      </c>
      <c r="E969">
        <v>7.9207504710427923</v>
      </c>
      <c r="F969">
        <v>786.21394390118826</v>
      </c>
      <c r="G969">
        <v>0.42399999999999999</v>
      </c>
      <c r="H969">
        <v>2.9899999999999999E-2</v>
      </c>
      <c r="I969">
        <v>368.6053</v>
      </c>
    </row>
    <row r="970" spans="1:9" x14ac:dyDescent="0.3">
      <c r="A970" t="s">
        <v>9</v>
      </c>
      <c r="B970" t="s">
        <v>978</v>
      </c>
      <c r="C970">
        <v>3</v>
      </c>
      <c r="D970">
        <v>3.09E-2</v>
      </c>
      <c r="E970">
        <v>7.8429957781469097</v>
      </c>
      <c r="F970">
        <v>778.96720652329202</v>
      </c>
      <c r="G970">
        <v>0.42399999999999999</v>
      </c>
      <c r="H970">
        <v>2.87E-2</v>
      </c>
      <c r="I970">
        <v>368.80470000000003</v>
      </c>
    </row>
    <row r="971" spans="1:9" x14ac:dyDescent="0.3">
      <c r="A971" t="s">
        <v>9</v>
      </c>
      <c r="B971" t="s">
        <v>979</v>
      </c>
      <c r="C971">
        <v>3</v>
      </c>
      <c r="D971">
        <v>2.9399999999999999E-2</v>
      </c>
      <c r="E971">
        <v>7.7631585874792188</v>
      </c>
      <c r="F971">
        <v>771.52638035306325</v>
      </c>
      <c r="G971">
        <v>0.42399999999999999</v>
      </c>
      <c r="H971">
        <v>2.75E-2</v>
      </c>
      <c r="I971">
        <v>369.00450000000001</v>
      </c>
    </row>
    <row r="972" spans="1:9" x14ac:dyDescent="0.3">
      <c r="A972" t="s">
        <v>9</v>
      </c>
      <c r="B972" t="s">
        <v>980</v>
      </c>
      <c r="C972">
        <v>3</v>
      </c>
      <c r="D972">
        <v>2.8000000000000001E-2</v>
      </c>
      <c r="E972">
        <v>7.6813645949722043</v>
      </c>
      <c r="F972">
        <v>763.90318025140948</v>
      </c>
      <c r="G972">
        <v>0.42399999999999999</v>
      </c>
      <c r="H972">
        <v>2.6200000000000001E-2</v>
      </c>
      <c r="I972">
        <v>369.20499999999998</v>
      </c>
    </row>
    <row r="973" spans="1:9" x14ac:dyDescent="0.3">
      <c r="A973" t="s">
        <v>9</v>
      </c>
      <c r="B973" t="s">
        <v>981</v>
      </c>
      <c r="C973">
        <v>3</v>
      </c>
      <c r="D973">
        <v>2.69E-2</v>
      </c>
      <c r="E973">
        <v>7.5966333723524606</v>
      </c>
      <c r="F973">
        <v>756.00623030324937</v>
      </c>
      <c r="G973">
        <v>0.42399999999999999</v>
      </c>
      <c r="H973">
        <v>2.4899999999999999E-2</v>
      </c>
      <c r="I973">
        <v>369.40940000000001</v>
      </c>
    </row>
    <row r="974" spans="1:9" x14ac:dyDescent="0.3">
      <c r="A974" t="s">
        <v>9</v>
      </c>
      <c r="B974" t="s">
        <v>982</v>
      </c>
      <c r="C974">
        <v>3</v>
      </c>
      <c r="D974">
        <v>2.52E-2</v>
      </c>
      <c r="E974">
        <v>7.5138119169650412</v>
      </c>
      <c r="F974">
        <v>748.28727066114186</v>
      </c>
      <c r="G974">
        <v>0.42399999999999999</v>
      </c>
      <c r="H974">
        <v>2.3599999999999999E-2</v>
      </c>
      <c r="I974">
        <v>369.60680000000002</v>
      </c>
    </row>
    <row r="975" spans="1:9" x14ac:dyDescent="0.3">
      <c r="A975" t="s">
        <v>9</v>
      </c>
      <c r="B975" t="s">
        <v>983</v>
      </c>
      <c r="C975">
        <v>3</v>
      </c>
      <c r="D975">
        <v>2.3800000000000002E-2</v>
      </c>
      <c r="E975">
        <v>7.4293000540210272</v>
      </c>
      <c r="F975">
        <v>740.41076503475972</v>
      </c>
      <c r="G975">
        <v>0.42399999999999999</v>
      </c>
      <c r="H975">
        <v>2.23E-2</v>
      </c>
      <c r="I975">
        <v>369.80680000000001</v>
      </c>
    </row>
    <row r="976" spans="1:9" x14ac:dyDescent="0.3">
      <c r="A976" t="s">
        <v>9</v>
      </c>
      <c r="B976" t="s">
        <v>984</v>
      </c>
      <c r="C976">
        <v>3</v>
      </c>
      <c r="D976">
        <v>2.3300000000000001E-2</v>
      </c>
      <c r="E976">
        <v>7.3452796216259699</v>
      </c>
      <c r="F976">
        <v>732.58006073554043</v>
      </c>
      <c r="G976">
        <v>0.42399999999999999</v>
      </c>
      <c r="H976">
        <v>2.1000000000000001E-2</v>
      </c>
      <c r="I976">
        <v>370.00479999999999</v>
      </c>
    </row>
    <row r="977" spans="1:9" x14ac:dyDescent="0.3">
      <c r="A977" t="s">
        <v>9</v>
      </c>
      <c r="B977" t="s">
        <v>985</v>
      </c>
      <c r="C977">
        <v>3</v>
      </c>
      <c r="D977">
        <v>2.12E-2</v>
      </c>
      <c r="E977">
        <v>7.2600115557332749</v>
      </c>
      <c r="F977">
        <v>724.6330769943412</v>
      </c>
      <c r="G977">
        <v>0.42399999999999999</v>
      </c>
      <c r="H977">
        <v>1.9599999999999999E-2</v>
      </c>
      <c r="I977">
        <v>370.20569999999998</v>
      </c>
    </row>
    <row r="978" spans="1:9" x14ac:dyDescent="0.3">
      <c r="A978" t="s">
        <v>9</v>
      </c>
      <c r="B978" t="s">
        <v>986</v>
      </c>
      <c r="C978">
        <v>3</v>
      </c>
      <c r="D978">
        <v>1.95E-2</v>
      </c>
      <c r="E978">
        <v>7.1754080563997693</v>
      </c>
      <c r="F978">
        <v>716.74803085645851</v>
      </c>
      <c r="G978">
        <v>0.42399999999999999</v>
      </c>
      <c r="H978">
        <v>1.83E-2</v>
      </c>
      <c r="I978">
        <v>370.40589999999997</v>
      </c>
    </row>
    <row r="979" spans="1:9" x14ac:dyDescent="0.3">
      <c r="A979" t="s">
        <v>9</v>
      </c>
      <c r="B979" t="s">
        <v>987</v>
      </c>
      <c r="C979">
        <v>3</v>
      </c>
      <c r="D979">
        <v>1.8200000000000001E-2</v>
      </c>
      <c r="E979">
        <v>7.0913324799827153</v>
      </c>
      <c r="F979">
        <v>708.91218713438911</v>
      </c>
      <c r="G979">
        <v>0.42399999999999999</v>
      </c>
      <c r="H979">
        <v>1.7000000000000001E-2</v>
      </c>
      <c r="I979">
        <v>370.60649999999998</v>
      </c>
    </row>
    <row r="980" spans="1:9" x14ac:dyDescent="0.3">
      <c r="A980" t="s">
        <v>9</v>
      </c>
      <c r="B980" t="s">
        <v>988</v>
      </c>
      <c r="C980">
        <v>3</v>
      </c>
      <c r="D980">
        <v>1.7299999999999999E-2</v>
      </c>
      <c r="E980">
        <v>7.0092716877222268</v>
      </c>
      <c r="F980">
        <v>701.26412129571156</v>
      </c>
      <c r="G980">
        <v>0.42399999999999999</v>
      </c>
      <c r="H980">
        <v>1.5699999999999999E-2</v>
      </c>
      <c r="I980">
        <v>370.80459999999999</v>
      </c>
    </row>
    <row r="981" spans="1:9" x14ac:dyDescent="0.3">
      <c r="A981" t="s">
        <v>9</v>
      </c>
      <c r="B981" t="s">
        <v>989</v>
      </c>
      <c r="C981">
        <v>3</v>
      </c>
      <c r="D981">
        <v>1.5299999999999999E-2</v>
      </c>
      <c r="E981">
        <v>6.9270397868052536</v>
      </c>
      <c r="F981">
        <v>693.60010813024974</v>
      </c>
      <c r="G981">
        <v>0.42399999999999999</v>
      </c>
      <c r="H981">
        <v>1.4500000000000001E-2</v>
      </c>
      <c r="I981">
        <v>371.00639999999999</v>
      </c>
    </row>
    <row r="982" spans="1:9" x14ac:dyDescent="0.3">
      <c r="A982" t="s">
        <v>9</v>
      </c>
      <c r="B982" t="s">
        <v>990</v>
      </c>
      <c r="C982">
        <v>3</v>
      </c>
      <c r="D982">
        <v>1.37E-2</v>
      </c>
      <c r="E982">
        <v>6.8475022390217841</v>
      </c>
      <c r="F982">
        <v>686.18720867683032</v>
      </c>
      <c r="G982">
        <v>0.42399999999999999</v>
      </c>
      <c r="H982">
        <v>1.32E-2</v>
      </c>
      <c r="I982">
        <v>371.20569999999998</v>
      </c>
    </row>
    <row r="983" spans="1:9" x14ac:dyDescent="0.3">
      <c r="A983" t="s">
        <v>9</v>
      </c>
      <c r="B983" t="s">
        <v>991</v>
      </c>
      <c r="C983">
        <v>3</v>
      </c>
      <c r="D983">
        <v>1.24E-2</v>
      </c>
      <c r="E983">
        <v>6.7694101944619316</v>
      </c>
      <c r="F983">
        <v>678.90903012385218</v>
      </c>
      <c r="G983">
        <v>0.42399999999999999</v>
      </c>
      <c r="H983">
        <v>1.2E-2</v>
      </c>
      <c r="I983">
        <v>371.40629999999999</v>
      </c>
    </row>
    <row r="984" spans="1:9" x14ac:dyDescent="0.3">
      <c r="A984" t="s">
        <v>9</v>
      </c>
      <c r="B984" t="s">
        <v>992</v>
      </c>
      <c r="C984">
        <v>3</v>
      </c>
      <c r="D984">
        <v>1.14E-2</v>
      </c>
      <c r="E984">
        <v>6.6941357661435736</v>
      </c>
      <c r="F984">
        <v>671.89345340458112</v>
      </c>
      <c r="G984">
        <v>0.42399999999999999</v>
      </c>
      <c r="H984">
        <v>1.09E-2</v>
      </c>
      <c r="I984">
        <v>371.60550000000001</v>
      </c>
    </row>
    <row r="985" spans="1:9" x14ac:dyDescent="0.3">
      <c r="A985" t="s">
        <v>9</v>
      </c>
      <c r="B985" t="s">
        <v>993</v>
      </c>
      <c r="C985">
        <v>3</v>
      </c>
      <c r="D985">
        <v>9.7000000000000003E-3</v>
      </c>
      <c r="E985">
        <v>6.6205837775710563</v>
      </c>
      <c r="F985">
        <v>665.03840806962251</v>
      </c>
      <c r="G985">
        <v>0.42399999999999999</v>
      </c>
      <c r="H985">
        <v>9.7000000000000003E-3</v>
      </c>
      <c r="I985">
        <v>371.80700000000002</v>
      </c>
    </row>
    <row r="986" spans="1:9" x14ac:dyDescent="0.3">
      <c r="A986" t="s">
        <v>9</v>
      </c>
      <c r="B986" t="s">
        <v>994</v>
      </c>
      <c r="C986">
        <v>3</v>
      </c>
      <c r="D986">
        <v>8.5000000000000006E-3</v>
      </c>
      <c r="E986">
        <v>6.5509758029834266</v>
      </c>
      <c r="F986">
        <v>658.55094483805533</v>
      </c>
      <c r="G986">
        <v>0.42399999999999999</v>
      </c>
      <c r="H986">
        <v>8.6E-3</v>
      </c>
      <c r="I986">
        <v>372.00549999999998</v>
      </c>
    </row>
    <row r="987" spans="1:9" x14ac:dyDescent="0.3">
      <c r="A987" t="s">
        <v>9</v>
      </c>
      <c r="B987" t="s">
        <v>995</v>
      </c>
      <c r="C987">
        <v>3</v>
      </c>
      <c r="D987">
        <v>8.0999999999999996E-3</v>
      </c>
      <c r="E987">
        <v>6.4834641121731078</v>
      </c>
      <c r="F987">
        <v>652.25885525453361</v>
      </c>
      <c r="G987">
        <v>0.42399999999999999</v>
      </c>
      <c r="H987">
        <v>7.6E-3</v>
      </c>
      <c r="I987">
        <v>372.20710000000003</v>
      </c>
    </row>
    <row r="988" spans="1:9" x14ac:dyDescent="0.3">
      <c r="A988" t="s">
        <v>9</v>
      </c>
      <c r="B988" t="s">
        <v>996</v>
      </c>
      <c r="C988">
        <v>3</v>
      </c>
      <c r="D988">
        <v>6.3E-3</v>
      </c>
      <c r="E988">
        <v>6.4207434637443477</v>
      </c>
      <c r="F988">
        <v>646.4132908209732</v>
      </c>
      <c r="G988">
        <v>0.42399999999999999</v>
      </c>
      <c r="H988">
        <v>6.6E-3</v>
      </c>
      <c r="I988">
        <v>372.40429999999998</v>
      </c>
    </row>
    <row r="989" spans="1:9" x14ac:dyDescent="0.3">
      <c r="A989" t="s">
        <v>9</v>
      </c>
      <c r="B989" t="s">
        <v>997</v>
      </c>
      <c r="C989">
        <v>3</v>
      </c>
      <c r="D989">
        <v>5.4000000000000003E-3</v>
      </c>
      <c r="E989">
        <v>6.3599449088587141</v>
      </c>
      <c r="F989">
        <v>640.74686550563217</v>
      </c>
      <c r="G989">
        <v>0.42399999999999999</v>
      </c>
      <c r="H989">
        <v>5.7000000000000002E-3</v>
      </c>
      <c r="I989">
        <v>372.60719999999998</v>
      </c>
    </row>
    <row r="990" spans="1:9" x14ac:dyDescent="0.3">
      <c r="A990" t="s">
        <v>9</v>
      </c>
      <c r="B990" t="s">
        <v>998</v>
      </c>
      <c r="C990">
        <v>3</v>
      </c>
      <c r="D990">
        <v>3.8999999999999998E-3</v>
      </c>
      <c r="E990">
        <v>6.3044217311654718</v>
      </c>
      <c r="F990">
        <v>635.57210534462195</v>
      </c>
      <c r="G990">
        <v>0.42399999999999999</v>
      </c>
      <c r="H990">
        <v>4.7999999999999996E-3</v>
      </c>
      <c r="I990">
        <v>372.80549999999999</v>
      </c>
    </row>
    <row r="991" spans="1:9" x14ac:dyDescent="0.3">
      <c r="A991" t="s">
        <v>9</v>
      </c>
      <c r="B991" t="s">
        <v>999</v>
      </c>
      <c r="C991">
        <v>3</v>
      </c>
      <c r="D991">
        <v>3.0000000000000001E-3</v>
      </c>
      <c r="E991">
        <v>6.2524027938817079</v>
      </c>
      <c r="F991">
        <v>630.72394038977518</v>
      </c>
      <c r="G991">
        <v>0.42399999999999999</v>
      </c>
      <c r="H991">
        <v>4.0000000000000001E-3</v>
      </c>
      <c r="I991">
        <v>373.00580000000002</v>
      </c>
    </row>
    <row r="992" spans="1:9" x14ac:dyDescent="0.3">
      <c r="A992" t="s">
        <v>9</v>
      </c>
      <c r="B992" t="s">
        <v>1000</v>
      </c>
      <c r="C992">
        <v>3</v>
      </c>
      <c r="D992">
        <v>2.3E-3</v>
      </c>
      <c r="E992">
        <v>6.2049087074321561</v>
      </c>
      <c r="F992">
        <v>626.29749153267699</v>
      </c>
      <c r="G992">
        <v>0.42399999999999999</v>
      </c>
      <c r="H992">
        <v>3.3E-3</v>
      </c>
      <c r="I992">
        <v>373.2054</v>
      </c>
    </row>
    <row r="993" spans="1:9" x14ac:dyDescent="0.3">
      <c r="A993" t="s">
        <v>9</v>
      </c>
      <c r="B993" t="s">
        <v>1001</v>
      </c>
      <c r="C993">
        <v>3</v>
      </c>
      <c r="D993">
        <v>1.6000000000000001E-3</v>
      </c>
      <c r="E993">
        <v>6.161234642012154</v>
      </c>
      <c r="F993">
        <v>622.22706863553276</v>
      </c>
      <c r="G993">
        <v>0.42399999999999999</v>
      </c>
      <c r="H993">
        <v>2.5999999999999999E-3</v>
      </c>
      <c r="I993">
        <v>373.40820000000002</v>
      </c>
    </row>
    <row r="994" spans="1:9" x14ac:dyDescent="0.3">
      <c r="A994" t="s">
        <v>9</v>
      </c>
      <c r="B994" t="s">
        <v>1002</v>
      </c>
      <c r="C994">
        <v>3</v>
      </c>
      <c r="D994">
        <v>1.6000000000000001E-3</v>
      </c>
      <c r="E994">
        <v>6.1233222348549736</v>
      </c>
      <c r="F994">
        <v>618.69363228848351</v>
      </c>
      <c r="G994">
        <v>0.42399999999999999</v>
      </c>
      <c r="H994">
        <v>2E-3</v>
      </c>
      <c r="I994">
        <v>373.60579999999999</v>
      </c>
    </row>
    <row r="995" spans="1:9" x14ac:dyDescent="0.3">
      <c r="A995" t="s">
        <v>9</v>
      </c>
      <c r="B995" t="s">
        <v>1003</v>
      </c>
      <c r="C995">
        <v>3</v>
      </c>
      <c r="D995">
        <v>5.0000000000000001E-4</v>
      </c>
      <c r="E995">
        <v>6.0897788966698698</v>
      </c>
      <c r="F995">
        <v>615.56739316963194</v>
      </c>
      <c r="G995">
        <v>0.42399999999999999</v>
      </c>
      <c r="H995">
        <v>1.5E-3</v>
      </c>
      <c r="I995">
        <v>373.80549999999999</v>
      </c>
    </row>
    <row r="996" spans="1:9" x14ac:dyDescent="0.3">
      <c r="A996" t="s">
        <v>9</v>
      </c>
      <c r="B996" t="s">
        <v>1004</v>
      </c>
      <c r="C996">
        <v>3</v>
      </c>
      <c r="D996">
        <v>1E-4</v>
      </c>
      <c r="E996">
        <v>6.0611902488610117</v>
      </c>
      <c r="F996">
        <v>612.90293119384626</v>
      </c>
      <c r="G996">
        <v>0.42399999999999999</v>
      </c>
      <c r="H996">
        <v>1E-3</v>
      </c>
      <c r="I996">
        <v>374.00529999999998</v>
      </c>
    </row>
    <row r="997" spans="1:9" x14ac:dyDescent="0.3">
      <c r="A997" t="s">
        <v>9</v>
      </c>
      <c r="B997" t="s">
        <v>1005</v>
      </c>
      <c r="C997">
        <v>3</v>
      </c>
      <c r="D997">
        <v>-5.9999999999999995E-4</v>
      </c>
      <c r="E997">
        <v>6.0376949218778124</v>
      </c>
      <c r="F997">
        <v>610.71316671901207</v>
      </c>
      <c r="G997">
        <v>0.42399999999999999</v>
      </c>
      <c r="H997">
        <v>6.9999999999999999E-4</v>
      </c>
      <c r="I997">
        <v>374.2047</v>
      </c>
    </row>
    <row r="998" spans="1:9" x14ac:dyDescent="0.3">
      <c r="A998" t="s">
        <v>9</v>
      </c>
      <c r="B998" t="s">
        <v>1006</v>
      </c>
      <c r="C998">
        <v>3</v>
      </c>
      <c r="D998">
        <v>-8.0000000000000004E-4</v>
      </c>
      <c r="E998">
        <v>6.0191349808084542</v>
      </c>
      <c r="F998">
        <v>608.98338021134794</v>
      </c>
      <c r="G998">
        <v>0.42399999999999999</v>
      </c>
      <c r="H998">
        <v>4.0000000000000002E-4</v>
      </c>
      <c r="I998">
        <v>374.40679999999998</v>
      </c>
    </row>
    <row r="999" spans="1:9" x14ac:dyDescent="0.3">
      <c r="A999" t="s">
        <v>9</v>
      </c>
      <c r="B999" t="s">
        <v>1007</v>
      </c>
      <c r="C999">
        <v>3</v>
      </c>
      <c r="D999">
        <v>-1.2999999999999999E-3</v>
      </c>
      <c r="E999">
        <v>6.0060578679312906</v>
      </c>
      <c r="F999">
        <v>607.76459329119632</v>
      </c>
      <c r="G999">
        <v>0.42399999999999999</v>
      </c>
      <c r="H999">
        <v>2.0000000000000001E-4</v>
      </c>
      <c r="I999">
        <v>374.60629999999998</v>
      </c>
    </row>
    <row r="1000" spans="1:9" x14ac:dyDescent="0.3">
      <c r="A1000" t="s">
        <v>9</v>
      </c>
      <c r="B1000" t="s">
        <v>1008</v>
      </c>
      <c r="C1000">
        <v>3</v>
      </c>
      <c r="D1000">
        <v>-1.2999999999999999E-3</v>
      </c>
      <c r="E1000">
        <v>5.9982046557074584</v>
      </c>
      <c r="F1000">
        <v>607.03267391193503</v>
      </c>
      <c r="G1000">
        <v>0.42399999999999999</v>
      </c>
      <c r="H1000">
        <v>0</v>
      </c>
      <c r="I1000">
        <v>374.8075</v>
      </c>
    </row>
    <row r="1001" spans="1:9" x14ac:dyDescent="0.3">
      <c r="A1001" t="s">
        <v>9</v>
      </c>
      <c r="B1001" t="s">
        <v>1009</v>
      </c>
      <c r="C1001">
        <v>3</v>
      </c>
      <c r="D1001">
        <v>-2.0999999999999999E-3</v>
      </c>
      <c r="E1001">
        <v>5.9957387201986281</v>
      </c>
      <c r="F1001">
        <v>606.80284872251218</v>
      </c>
      <c r="G1001">
        <v>0.42399999999999999</v>
      </c>
      <c r="H1001">
        <v>0</v>
      </c>
      <c r="I1001">
        <v>375.00880000000001</v>
      </c>
    </row>
    <row r="1002" spans="1:9" x14ac:dyDescent="0.3">
      <c r="A1002" t="s">
        <v>9</v>
      </c>
      <c r="B1002" t="s">
        <v>1010</v>
      </c>
      <c r="C1002">
        <v>3</v>
      </c>
      <c r="D1002">
        <v>-2.0999999999999999E-3</v>
      </c>
      <c r="E1002">
        <v>5.9985637105987886</v>
      </c>
      <c r="F1002">
        <v>709.26369613582517</v>
      </c>
      <c r="G1002">
        <v>0.42399999999999999</v>
      </c>
      <c r="H1002">
        <v>0</v>
      </c>
      <c r="I1002">
        <v>375.20600000000002</v>
      </c>
    </row>
    <row r="1003" spans="1:9" x14ac:dyDescent="0.3">
      <c r="A1003" t="s">
        <v>9</v>
      </c>
      <c r="B1003" t="s">
        <v>1011</v>
      </c>
      <c r="C1003">
        <v>3</v>
      </c>
      <c r="D1003">
        <v>-1.5E-3</v>
      </c>
      <c r="E1003">
        <v>6.0067333619271919</v>
      </c>
      <c r="F1003">
        <v>710.03899604689059</v>
      </c>
      <c r="G1003">
        <v>0.42399999999999999</v>
      </c>
      <c r="H1003">
        <v>2.0000000000000001E-4</v>
      </c>
      <c r="I1003">
        <v>375.40640000000002</v>
      </c>
    </row>
    <row r="1004" spans="1:9" x14ac:dyDescent="0.3">
      <c r="A1004" t="s">
        <v>9</v>
      </c>
      <c r="B1004" t="s">
        <v>1012</v>
      </c>
      <c r="C1004">
        <v>3</v>
      </c>
      <c r="D1004">
        <v>-6.9999999999999999E-4</v>
      </c>
      <c r="E1004">
        <v>6.0202102892373546</v>
      </c>
      <c r="F1004">
        <v>711.31795644862507</v>
      </c>
      <c r="G1004">
        <v>0.42399999999999999</v>
      </c>
      <c r="H1004">
        <v>4.0000000000000002E-4</v>
      </c>
      <c r="I1004">
        <v>375.60669999999999</v>
      </c>
    </row>
    <row r="1005" spans="1:9" x14ac:dyDescent="0.3">
      <c r="A1005" t="s">
        <v>9</v>
      </c>
      <c r="B1005" t="s">
        <v>1013</v>
      </c>
      <c r="C1005">
        <v>3</v>
      </c>
      <c r="D1005">
        <v>-4.0000000000000002E-4</v>
      </c>
      <c r="E1005">
        <v>6.0389004675116018</v>
      </c>
      <c r="F1005">
        <v>713.091654366851</v>
      </c>
      <c r="G1005">
        <v>0.42399999999999999</v>
      </c>
      <c r="H1005">
        <v>6.9999999999999999E-4</v>
      </c>
      <c r="I1005">
        <v>375.8066</v>
      </c>
    </row>
    <row r="1006" spans="1:9" x14ac:dyDescent="0.3">
      <c r="A1006" t="s">
        <v>9</v>
      </c>
      <c r="B1006" t="s">
        <v>1014</v>
      </c>
      <c r="C1006">
        <v>3</v>
      </c>
      <c r="D1006">
        <v>0</v>
      </c>
      <c r="E1006">
        <v>6.0625109481877901</v>
      </c>
      <c r="F1006">
        <v>715.33228898302127</v>
      </c>
      <c r="G1006">
        <v>0.42399999999999999</v>
      </c>
      <c r="H1006">
        <v>1E-3</v>
      </c>
      <c r="I1006">
        <v>376.00479999999999</v>
      </c>
    </row>
    <row r="1007" spans="1:9" x14ac:dyDescent="0.3">
      <c r="A1007" t="s">
        <v>9</v>
      </c>
      <c r="B1007" t="s">
        <v>1015</v>
      </c>
      <c r="C1007">
        <v>3</v>
      </c>
      <c r="D1007">
        <v>2.0000000000000001E-4</v>
      </c>
      <c r="E1007">
        <v>6.0913748700887993</v>
      </c>
      <c r="F1007">
        <v>718.0714751714271</v>
      </c>
      <c r="G1007">
        <v>0.42399999999999999</v>
      </c>
      <c r="H1007">
        <v>1.5E-3</v>
      </c>
      <c r="I1007">
        <v>376.2047</v>
      </c>
    </row>
    <row r="1008" spans="1:9" x14ac:dyDescent="0.3">
      <c r="A1008" t="s">
        <v>9</v>
      </c>
      <c r="B1008" t="s">
        <v>1016</v>
      </c>
      <c r="C1008">
        <v>3</v>
      </c>
      <c r="D1008">
        <v>8.0000000000000004E-4</v>
      </c>
      <c r="E1008">
        <v>6.125635121106912</v>
      </c>
      <c r="F1008">
        <v>721.32277299304599</v>
      </c>
      <c r="G1008">
        <v>0.42399999999999999</v>
      </c>
      <c r="H1008">
        <v>2E-3</v>
      </c>
      <c r="I1008">
        <v>376.40699999999998</v>
      </c>
    </row>
    <row r="1009" spans="1:9" x14ac:dyDescent="0.3">
      <c r="A1009" t="s">
        <v>9</v>
      </c>
      <c r="B1009" t="s">
        <v>1017</v>
      </c>
      <c r="C1009">
        <v>3</v>
      </c>
      <c r="D1009">
        <v>1.5E-3</v>
      </c>
      <c r="E1009">
        <v>6.1640619895516453</v>
      </c>
      <c r="F1009">
        <v>724.96948280845118</v>
      </c>
      <c r="G1009">
        <v>0.42399999999999999</v>
      </c>
      <c r="H1009">
        <v>2.5999999999999999E-3</v>
      </c>
      <c r="I1009">
        <v>376.60559999999998</v>
      </c>
    </row>
    <row r="1010" spans="1:9" x14ac:dyDescent="0.3">
      <c r="A1010" t="s">
        <v>9</v>
      </c>
      <c r="B1010" t="s">
        <v>1018</v>
      </c>
      <c r="C1010">
        <v>3</v>
      </c>
      <c r="D1010">
        <v>2.5000000000000001E-3</v>
      </c>
      <c r="E1010">
        <v>6.2077419748445974</v>
      </c>
      <c r="F1010">
        <v>729.11471341275228</v>
      </c>
      <c r="G1010">
        <v>0.42399999999999999</v>
      </c>
      <c r="H1010">
        <v>3.3E-3</v>
      </c>
      <c r="I1010">
        <v>376.80700000000002</v>
      </c>
    </row>
    <row r="1011" spans="1:9" x14ac:dyDescent="0.3">
      <c r="A1011" t="s">
        <v>9</v>
      </c>
      <c r="B1011" t="s">
        <v>1019</v>
      </c>
      <c r="C1011">
        <v>3</v>
      </c>
      <c r="D1011">
        <v>3.0000000000000001E-3</v>
      </c>
      <c r="E1011">
        <v>6.2553339013861153</v>
      </c>
      <c r="F1011">
        <v>733.63118724154242</v>
      </c>
      <c r="G1011">
        <v>0.42399999999999999</v>
      </c>
      <c r="H1011">
        <v>4.0000000000000001E-3</v>
      </c>
      <c r="I1011">
        <v>377.0059</v>
      </c>
    </row>
    <row r="1012" spans="1:9" x14ac:dyDescent="0.3">
      <c r="A1012" t="s">
        <v>9</v>
      </c>
      <c r="B1012" t="s">
        <v>1020</v>
      </c>
      <c r="C1012">
        <v>3</v>
      </c>
      <c r="D1012">
        <v>4.1000000000000003E-3</v>
      </c>
      <c r="E1012">
        <v>6.3080290422395917</v>
      </c>
      <c r="F1012">
        <v>738.63195610853734</v>
      </c>
      <c r="G1012">
        <v>0.42399999999999999</v>
      </c>
      <c r="H1012">
        <v>4.8999999999999998E-3</v>
      </c>
      <c r="I1012">
        <v>377.20780000000002</v>
      </c>
    </row>
    <row r="1013" spans="1:9" x14ac:dyDescent="0.3">
      <c r="A1013" t="s">
        <v>9</v>
      </c>
      <c r="B1013" t="s">
        <v>1021</v>
      </c>
      <c r="C1013">
        <v>3</v>
      </c>
      <c r="D1013">
        <v>4.7000000000000002E-3</v>
      </c>
      <c r="E1013">
        <v>6.3636820922140469</v>
      </c>
      <c r="F1013">
        <v>743.91343055111304</v>
      </c>
      <c r="G1013">
        <v>0.42399999999999999</v>
      </c>
      <c r="H1013">
        <v>5.7000000000000002E-3</v>
      </c>
      <c r="I1013">
        <v>377.40559999999999</v>
      </c>
    </row>
    <row r="1014" spans="1:9" x14ac:dyDescent="0.3">
      <c r="A1014" t="s">
        <v>9</v>
      </c>
      <c r="B1014" t="s">
        <v>1022</v>
      </c>
      <c r="C1014">
        <v>3</v>
      </c>
      <c r="D1014">
        <v>5.7999999999999996E-3</v>
      </c>
      <c r="E1014">
        <v>6.4237698974220718</v>
      </c>
      <c r="F1014">
        <v>749.61576326535464</v>
      </c>
      <c r="G1014">
        <v>0.42399999999999999</v>
      </c>
      <c r="H1014">
        <v>6.7000000000000002E-3</v>
      </c>
      <c r="I1014">
        <v>377.60539999999997</v>
      </c>
    </row>
    <row r="1015" spans="1:9" x14ac:dyDescent="0.3">
      <c r="A1015" t="s">
        <v>9</v>
      </c>
      <c r="B1015" t="s">
        <v>1023</v>
      </c>
      <c r="C1015">
        <v>3</v>
      </c>
      <c r="D1015">
        <v>6.6E-3</v>
      </c>
      <c r="E1015">
        <v>6.4879575390241957</v>
      </c>
      <c r="F1015">
        <v>755.7071704533962</v>
      </c>
      <c r="G1015">
        <v>0.42399999999999999</v>
      </c>
      <c r="H1015">
        <v>7.6E-3</v>
      </c>
      <c r="I1015">
        <v>377.8066</v>
      </c>
    </row>
    <row r="1016" spans="1:9" x14ac:dyDescent="0.3">
      <c r="A1016" t="s">
        <v>9</v>
      </c>
      <c r="B1016" t="s">
        <v>1024</v>
      </c>
      <c r="C1016">
        <v>3</v>
      </c>
      <c r="D1016">
        <v>8.0000000000000002E-3</v>
      </c>
      <c r="E1016">
        <v>6.5553694840300247</v>
      </c>
      <c r="F1016">
        <v>762.10456403444937</v>
      </c>
      <c r="G1016">
        <v>0.42399999999999999</v>
      </c>
      <c r="H1016">
        <v>8.6999999999999994E-3</v>
      </c>
      <c r="I1016">
        <v>378.00729999999999</v>
      </c>
    </row>
    <row r="1017" spans="1:9" x14ac:dyDescent="0.3">
      <c r="A1017" t="s">
        <v>9</v>
      </c>
      <c r="B1017" t="s">
        <v>1025</v>
      </c>
      <c r="C1017">
        <v>3</v>
      </c>
      <c r="D1017">
        <v>8.6999999999999994E-3</v>
      </c>
      <c r="E1017">
        <v>6.6251501891571394</v>
      </c>
      <c r="F1017">
        <v>768.7267529510126</v>
      </c>
      <c r="G1017">
        <v>0.42399999999999999</v>
      </c>
      <c r="H1017">
        <v>9.7999999999999997E-3</v>
      </c>
      <c r="I1017">
        <v>378.20569999999998</v>
      </c>
    </row>
    <row r="1018" spans="1:9" x14ac:dyDescent="0.3">
      <c r="A1018" t="s">
        <v>9</v>
      </c>
      <c r="B1018" t="s">
        <v>1026</v>
      </c>
      <c r="C1018">
        <v>3</v>
      </c>
      <c r="D1018">
        <v>9.9000000000000008E-3</v>
      </c>
      <c r="E1018">
        <v>6.6980988372537107</v>
      </c>
      <c r="F1018">
        <v>775.64957965537724</v>
      </c>
      <c r="G1018">
        <v>0.42399999999999999</v>
      </c>
      <c r="H1018">
        <v>1.09E-2</v>
      </c>
      <c r="I1018">
        <v>378.40519999999998</v>
      </c>
    </row>
    <row r="1019" spans="1:9" x14ac:dyDescent="0.3">
      <c r="A1019" t="s">
        <v>9</v>
      </c>
      <c r="B1019" t="s">
        <v>1027</v>
      </c>
      <c r="C1019">
        <v>3</v>
      </c>
      <c r="D1019">
        <v>1.1299999999999999E-2</v>
      </c>
      <c r="E1019">
        <v>6.7743609923189796</v>
      </c>
      <c r="F1019">
        <v>782.88685817107125</v>
      </c>
      <c r="G1019">
        <v>0.42399999999999999</v>
      </c>
      <c r="H1019">
        <v>1.21E-2</v>
      </c>
      <c r="I1019">
        <v>378.60660000000001</v>
      </c>
    </row>
    <row r="1020" spans="1:9" x14ac:dyDescent="0.3">
      <c r="A1020" t="s">
        <v>9</v>
      </c>
      <c r="B1020" t="s">
        <v>1028</v>
      </c>
      <c r="C1020">
        <v>3</v>
      </c>
      <c r="D1020">
        <v>1.2200000000000001E-2</v>
      </c>
      <c r="E1020">
        <v>6.8521773167688584</v>
      </c>
      <c r="F1020">
        <v>790.27162736136461</v>
      </c>
      <c r="G1020">
        <v>0.42399999999999999</v>
      </c>
      <c r="H1020">
        <v>1.3299999999999999E-2</v>
      </c>
      <c r="I1020">
        <v>378.80610000000001</v>
      </c>
    </row>
    <row r="1021" spans="1:9" x14ac:dyDescent="0.3">
      <c r="A1021" t="s">
        <v>9</v>
      </c>
      <c r="B1021" t="s">
        <v>1029</v>
      </c>
      <c r="C1021">
        <v>3</v>
      </c>
      <c r="D1021">
        <v>1.34E-2</v>
      </c>
      <c r="E1021">
        <v>6.9317623046300723</v>
      </c>
      <c r="F1021">
        <v>797.82424270939384</v>
      </c>
      <c r="G1021">
        <v>0.42399999999999999</v>
      </c>
      <c r="H1021">
        <v>1.4500000000000001E-2</v>
      </c>
      <c r="I1021">
        <v>379.0052</v>
      </c>
    </row>
    <row r="1022" spans="1:9" x14ac:dyDescent="0.3">
      <c r="A1022" t="s">
        <v>9</v>
      </c>
      <c r="B1022" t="s">
        <v>1030</v>
      </c>
      <c r="C1022">
        <v>3</v>
      </c>
      <c r="D1022">
        <v>1.46E-2</v>
      </c>
      <c r="E1022">
        <v>7.0142520849440224</v>
      </c>
      <c r="F1022">
        <v>805.65252286118766</v>
      </c>
      <c r="G1022">
        <v>0.42399999999999999</v>
      </c>
      <c r="H1022">
        <v>1.5800000000000002E-2</v>
      </c>
      <c r="I1022">
        <v>379.20749999999998</v>
      </c>
    </row>
    <row r="1023" spans="1:9" x14ac:dyDescent="0.3">
      <c r="A1023" t="s">
        <v>9</v>
      </c>
      <c r="B1023" t="s">
        <v>1031</v>
      </c>
      <c r="C1023">
        <v>3</v>
      </c>
      <c r="D1023">
        <v>1.61E-2</v>
      </c>
      <c r="E1023">
        <v>7.0964130284797511</v>
      </c>
      <c r="F1023">
        <v>813.44959640272839</v>
      </c>
      <c r="G1023">
        <v>0.42399999999999999</v>
      </c>
      <c r="H1023">
        <v>1.7100000000000001E-2</v>
      </c>
      <c r="I1023">
        <v>379.40570000000002</v>
      </c>
    </row>
    <row r="1024" spans="1:9" x14ac:dyDescent="0.3">
      <c r="A1024" t="s">
        <v>9</v>
      </c>
      <c r="B1024" t="s">
        <v>1032</v>
      </c>
      <c r="C1024">
        <v>3</v>
      </c>
      <c r="D1024">
        <v>1.7299999999999999E-2</v>
      </c>
      <c r="E1024">
        <v>7.180212073845329</v>
      </c>
      <c r="F1024">
        <v>821.40212580792172</v>
      </c>
      <c r="G1024">
        <v>0.42399999999999999</v>
      </c>
      <c r="H1024">
        <v>1.84E-2</v>
      </c>
      <c r="I1024">
        <v>379.60550000000001</v>
      </c>
    </row>
    <row r="1025" spans="1:9" x14ac:dyDescent="0.3">
      <c r="A1025" t="s">
        <v>9</v>
      </c>
      <c r="B1025" t="s">
        <v>1033</v>
      </c>
      <c r="C1025">
        <v>3</v>
      </c>
      <c r="D1025">
        <v>1.8800000000000001E-2</v>
      </c>
      <c r="E1025">
        <v>7.2649777614788196</v>
      </c>
      <c r="F1025">
        <v>829.44638956434005</v>
      </c>
      <c r="G1025">
        <v>0.42399999999999999</v>
      </c>
      <c r="H1025">
        <v>1.9699999999999999E-2</v>
      </c>
      <c r="I1025">
        <v>379.80599999999998</v>
      </c>
    </row>
    <row r="1026" spans="1:9" x14ac:dyDescent="0.3">
      <c r="A1026" t="s">
        <v>9</v>
      </c>
      <c r="B1026" t="s">
        <v>1034</v>
      </c>
      <c r="C1026">
        <v>3</v>
      </c>
      <c r="D1026">
        <v>1.9599999999999999E-2</v>
      </c>
      <c r="E1026">
        <v>7.3502040638842683</v>
      </c>
      <c r="F1026">
        <v>837.53436566261712</v>
      </c>
      <c r="G1026">
        <v>0.42399999999999999</v>
      </c>
      <c r="H1026">
        <v>2.1000000000000001E-2</v>
      </c>
      <c r="I1026">
        <v>380.0068</v>
      </c>
    </row>
    <row r="1027" spans="1:9" x14ac:dyDescent="0.3">
      <c r="A1027" t="s">
        <v>9</v>
      </c>
      <c r="B1027" t="s">
        <v>1035</v>
      </c>
      <c r="C1027">
        <v>3</v>
      </c>
      <c r="D1027">
        <v>2.1299999999999999E-2</v>
      </c>
      <c r="E1027">
        <v>7.4346161810237916</v>
      </c>
      <c r="F1027">
        <v>845.54507557915792</v>
      </c>
      <c r="G1027">
        <v>0.42399999999999999</v>
      </c>
      <c r="H1027">
        <v>2.24E-2</v>
      </c>
      <c r="I1027">
        <v>380.20569999999998</v>
      </c>
    </row>
    <row r="1028" spans="1:9" x14ac:dyDescent="0.3">
      <c r="A1028" t="s">
        <v>9</v>
      </c>
      <c r="B1028" t="s">
        <v>1036</v>
      </c>
      <c r="C1028">
        <v>3</v>
      </c>
      <c r="D1028">
        <v>2.2200000000000001E-2</v>
      </c>
      <c r="E1028">
        <v>7.5197208422042507</v>
      </c>
      <c r="F1028">
        <v>853.62150792518344</v>
      </c>
      <c r="G1028">
        <v>0.42399999999999999</v>
      </c>
      <c r="H1028">
        <v>2.3699999999999999E-2</v>
      </c>
      <c r="I1028">
        <v>380.40719999999999</v>
      </c>
    </row>
    <row r="1029" spans="1:9" x14ac:dyDescent="0.3">
      <c r="A1029" t="s">
        <v>9</v>
      </c>
      <c r="B1029" t="s">
        <v>1037</v>
      </c>
      <c r="C1029">
        <v>3</v>
      </c>
      <c r="D1029">
        <v>2.3699999999999999E-2</v>
      </c>
      <c r="E1029">
        <v>7.6038312891058011</v>
      </c>
      <c r="F1029">
        <v>861.60358933614054</v>
      </c>
      <c r="G1029">
        <v>0.42399999999999999</v>
      </c>
      <c r="H1029">
        <v>2.5000000000000001E-2</v>
      </c>
      <c r="I1029">
        <v>380.6078</v>
      </c>
    </row>
    <row r="1030" spans="1:9" x14ac:dyDescent="0.3">
      <c r="A1030" t="s">
        <v>9</v>
      </c>
      <c r="B1030" t="s">
        <v>1038</v>
      </c>
      <c r="C1030">
        <v>3</v>
      </c>
      <c r="D1030">
        <v>2.4799999999999999E-2</v>
      </c>
      <c r="E1030">
        <v>7.6856050080753171</v>
      </c>
      <c r="F1030">
        <v>869.36391526634759</v>
      </c>
      <c r="G1030">
        <v>0.42399999999999999</v>
      </c>
      <c r="H1030">
        <v>2.63E-2</v>
      </c>
      <c r="I1030">
        <v>380.80529999999999</v>
      </c>
    </row>
    <row r="1031" spans="1:9" x14ac:dyDescent="0.3">
      <c r="A1031" t="s">
        <v>9</v>
      </c>
      <c r="B1031" t="s">
        <v>1039</v>
      </c>
      <c r="C1031">
        <v>3</v>
      </c>
      <c r="D1031">
        <v>2.6700000000000002E-2</v>
      </c>
      <c r="E1031">
        <v>7.7672437052850931</v>
      </c>
      <c r="F1031">
        <v>877.11142763155533</v>
      </c>
      <c r="G1031">
        <v>0.42399999999999999</v>
      </c>
      <c r="H1031">
        <v>2.75E-2</v>
      </c>
      <c r="I1031">
        <v>381.00560000000002</v>
      </c>
    </row>
    <row r="1032" spans="1:9" x14ac:dyDescent="0.3">
      <c r="A1032" t="s">
        <v>9</v>
      </c>
      <c r="B1032" t="s">
        <v>1040</v>
      </c>
      <c r="C1032">
        <v>3</v>
      </c>
      <c r="D1032">
        <v>2.7699999999999999E-2</v>
      </c>
      <c r="E1032">
        <v>7.8474875831149973</v>
      </c>
      <c r="F1032">
        <v>884.72657163761323</v>
      </c>
      <c r="G1032">
        <v>0.42399999999999999</v>
      </c>
      <c r="H1032">
        <v>2.8799999999999999E-2</v>
      </c>
      <c r="I1032">
        <v>381.20670000000001</v>
      </c>
    </row>
    <row r="1033" spans="1:9" x14ac:dyDescent="0.3">
      <c r="A1033" t="s">
        <v>9</v>
      </c>
      <c r="B1033" t="s">
        <v>1041</v>
      </c>
      <c r="C1033">
        <v>3</v>
      </c>
      <c r="D1033">
        <v>2.92E-2</v>
      </c>
      <c r="E1033">
        <v>7.9248611335059147</v>
      </c>
      <c r="F1033">
        <v>892.06932156971141</v>
      </c>
      <c r="G1033">
        <v>0.42399999999999999</v>
      </c>
      <c r="H1033">
        <v>0.03</v>
      </c>
      <c r="I1033">
        <v>381.40539999999999</v>
      </c>
    </row>
    <row r="1034" spans="1:9" x14ac:dyDescent="0.3">
      <c r="A1034" t="s">
        <v>9</v>
      </c>
      <c r="B1034" t="s">
        <v>1042</v>
      </c>
      <c r="C1034">
        <v>3</v>
      </c>
      <c r="D1034">
        <v>3.0099999999999998E-2</v>
      </c>
      <c r="E1034">
        <v>8.001301290230419</v>
      </c>
      <c r="F1034">
        <v>899.32349244286684</v>
      </c>
      <c r="G1034">
        <v>0.42399999999999999</v>
      </c>
      <c r="H1034">
        <v>3.1199999999999999E-2</v>
      </c>
      <c r="I1034">
        <v>381.60770000000002</v>
      </c>
    </row>
    <row r="1035" spans="1:9" x14ac:dyDescent="0.3">
      <c r="A1035" t="s">
        <v>9</v>
      </c>
      <c r="B1035" t="s">
        <v>1043</v>
      </c>
      <c r="C1035">
        <v>3</v>
      </c>
      <c r="D1035">
        <v>3.1399999999999997E-2</v>
      </c>
      <c r="E1035">
        <v>8.073423183467817</v>
      </c>
      <c r="F1035">
        <v>906.16786011109582</v>
      </c>
      <c r="G1035">
        <v>0.42399999999999999</v>
      </c>
      <c r="H1035">
        <v>3.2300000000000002E-2</v>
      </c>
      <c r="I1035">
        <v>381.80529999999999</v>
      </c>
    </row>
    <row r="1036" spans="1:9" x14ac:dyDescent="0.3">
      <c r="A1036" t="s">
        <v>9</v>
      </c>
      <c r="B1036" t="s">
        <v>1044</v>
      </c>
      <c r="C1036">
        <v>3</v>
      </c>
      <c r="D1036">
        <v>3.2599999999999997E-2</v>
      </c>
      <c r="E1036">
        <v>8.1459789304076757</v>
      </c>
      <c r="F1036">
        <v>913.05340049568849</v>
      </c>
      <c r="G1036">
        <v>0.42399999999999999</v>
      </c>
      <c r="H1036">
        <v>3.3399999999999999E-2</v>
      </c>
      <c r="I1036">
        <v>382.01240000000001</v>
      </c>
    </row>
    <row r="1037" spans="1:9" x14ac:dyDescent="0.3">
      <c r="A1037" t="s">
        <v>9</v>
      </c>
      <c r="B1037" t="s">
        <v>1045</v>
      </c>
      <c r="C1037">
        <v>3</v>
      </c>
      <c r="D1037">
        <v>3.3500000000000002E-2</v>
      </c>
      <c r="E1037">
        <v>8.2113010791681944</v>
      </c>
      <c r="F1037">
        <v>919.2524724130617</v>
      </c>
      <c r="G1037">
        <v>0.42399999999999999</v>
      </c>
      <c r="H1037">
        <v>3.44E-2</v>
      </c>
      <c r="I1037">
        <v>382.20760000000001</v>
      </c>
    </row>
    <row r="1038" spans="1:9" x14ac:dyDescent="0.3">
      <c r="A1038" t="s">
        <v>9</v>
      </c>
      <c r="B1038" t="s">
        <v>1046</v>
      </c>
      <c r="C1038">
        <v>3</v>
      </c>
      <c r="D1038">
        <v>3.49E-2</v>
      </c>
      <c r="E1038">
        <v>8.2740659239087009</v>
      </c>
      <c r="F1038">
        <v>925.20885617893578</v>
      </c>
      <c r="G1038">
        <v>0.42399999999999999</v>
      </c>
      <c r="H1038">
        <v>3.5400000000000001E-2</v>
      </c>
      <c r="I1038">
        <v>382.40499999999997</v>
      </c>
    </row>
    <row r="1039" spans="1:9" x14ac:dyDescent="0.3">
      <c r="A1039" t="s">
        <v>9</v>
      </c>
      <c r="B1039" t="s">
        <v>1047</v>
      </c>
      <c r="C1039">
        <v>3</v>
      </c>
      <c r="D1039">
        <v>3.56E-2</v>
      </c>
      <c r="E1039">
        <v>8.3341262787469539</v>
      </c>
      <c r="F1039">
        <v>930.90858385308593</v>
      </c>
      <c r="G1039">
        <v>0.42399999999999999</v>
      </c>
      <c r="H1039">
        <v>3.6299999999999999E-2</v>
      </c>
      <c r="I1039">
        <v>382.60539999999997</v>
      </c>
    </row>
    <row r="1040" spans="1:9" x14ac:dyDescent="0.3">
      <c r="A1040" t="s">
        <v>9</v>
      </c>
      <c r="B1040" t="s">
        <v>1048</v>
      </c>
      <c r="C1040">
        <v>3</v>
      </c>
      <c r="D1040">
        <v>3.6499999999999998E-2</v>
      </c>
      <c r="E1040">
        <v>8.3904538698610462</v>
      </c>
      <c r="F1040">
        <v>936.25407224981336</v>
      </c>
      <c r="G1040">
        <v>0.42399999999999999</v>
      </c>
      <c r="H1040">
        <v>3.7199999999999997E-2</v>
      </c>
      <c r="I1040">
        <v>382.80650000000003</v>
      </c>
    </row>
    <row r="1041" spans="1:9" x14ac:dyDescent="0.3">
      <c r="A1041" t="s">
        <v>9</v>
      </c>
      <c r="B1041" t="s">
        <v>1049</v>
      </c>
      <c r="C1041">
        <v>3</v>
      </c>
      <c r="D1041">
        <v>3.7699999999999997E-2</v>
      </c>
      <c r="E1041">
        <v>8.4423245264915465</v>
      </c>
      <c r="F1041">
        <v>941.17659756404782</v>
      </c>
      <c r="G1041">
        <v>0.42399999999999999</v>
      </c>
      <c r="H1041">
        <v>3.7999999999999999E-2</v>
      </c>
      <c r="I1041">
        <v>383.00630000000001</v>
      </c>
    </row>
    <row r="1042" spans="1:9" x14ac:dyDescent="0.3">
      <c r="A1042" t="s">
        <v>9</v>
      </c>
      <c r="B1042" t="s">
        <v>1050</v>
      </c>
      <c r="C1042">
        <v>3</v>
      </c>
      <c r="D1042">
        <v>3.8399999999999997E-2</v>
      </c>
      <c r="E1042">
        <v>8.4896482341319679</v>
      </c>
      <c r="F1042">
        <v>945.66761741912376</v>
      </c>
      <c r="G1042">
        <v>0.42399999999999999</v>
      </c>
      <c r="H1042">
        <v>3.8699999999999998E-2</v>
      </c>
      <c r="I1042">
        <v>383.20519999999999</v>
      </c>
    </row>
    <row r="1043" spans="1:9" x14ac:dyDescent="0.3">
      <c r="A1043" t="s">
        <v>9</v>
      </c>
      <c r="B1043" t="s">
        <v>1051</v>
      </c>
      <c r="C1043">
        <v>3</v>
      </c>
      <c r="D1043">
        <v>3.9E-2</v>
      </c>
      <c r="E1043">
        <v>8.5329460226960041</v>
      </c>
      <c r="F1043">
        <v>949.77657755385087</v>
      </c>
      <c r="G1043">
        <v>0.42399999999999999</v>
      </c>
      <c r="H1043">
        <v>3.9399999999999998E-2</v>
      </c>
      <c r="I1043">
        <v>383.40609999999998</v>
      </c>
    </row>
    <row r="1044" spans="1:9" x14ac:dyDescent="0.3">
      <c r="A1044" t="s">
        <v>9</v>
      </c>
      <c r="B1044" t="s">
        <v>1052</v>
      </c>
      <c r="C1044">
        <v>3</v>
      </c>
      <c r="D1044">
        <v>3.9800000000000002E-2</v>
      </c>
      <c r="E1044">
        <v>8.5714981816024753</v>
      </c>
      <c r="F1044">
        <v>953.43517743407494</v>
      </c>
      <c r="G1044">
        <v>0.42399999999999999</v>
      </c>
      <c r="H1044">
        <v>0.04</v>
      </c>
      <c r="I1044">
        <v>383.60700000000003</v>
      </c>
    </row>
    <row r="1045" spans="1:9" x14ac:dyDescent="0.3">
      <c r="A1045" t="s">
        <v>9</v>
      </c>
      <c r="B1045" t="s">
        <v>1053</v>
      </c>
      <c r="C1045">
        <v>3</v>
      </c>
      <c r="D1045">
        <v>4.0399999999999998E-2</v>
      </c>
      <c r="E1045">
        <v>8.6049706029534097</v>
      </c>
      <c r="F1045">
        <v>956.61171022027861</v>
      </c>
      <c r="G1045">
        <v>0.42399999999999999</v>
      </c>
      <c r="H1045">
        <v>4.0500000000000001E-2</v>
      </c>
      <c r="I1045">
        <v>383.80650000000003</v>
      </c>
    </row>
    <row r="1046" spans="1:9" x14ac:dyDescent="0.3">
      <c r="A1046" t="s">
        <v>9</v>
      </c>
      <c r="B1046" t="s">
        <v>1054</v>
      </c>
      <c r="C1046">
        <v>3</v>
      </c>
      <c r="D1046">
        <v>4.1599999999999998E-2</v>
      </c>
      <c r="E1046">
        <v>8.633795518568272</v>
      </c>
      <c r="F1046">
        <v>959.34719471212907</v>
      </c>
      <c r="G1046">
        <v>0.42399999999999999</v>
      </c>
      <c r="H1046">
        <v>4.1000000000000002E-2</v>
      </c>
      <c r="I1046">
        <v>384.00819999999999</v>
      </c>
    </row>
    <row r="1047" spans="1:9" x14ac:dyDescent="0.3">
      <c r="A1047" t="s">
        <v>9</v>
      </c>
      <c r="B1047" t="s">
        <v>1055</v>
      </c>
      <c r="C1047">
        <v>3</v>
      </c>
      <c r="D1047">
        <v>4.24E-2</v>
      </c>
      <c r="E1047">
        <v>8.6572009121391282</v>
      </c>
      <c r="F1047">
        <v>961.56836656200335</v>
      </c>
      <c r="G1047">
        <v>0.42399999999999999</v>
      </c>
      <c r="H1047">
        <v>4.1399999999999999E-2</v>
      </c>
      <c r="I1047">
        <v>384.20749999999998</v>
      </c>
    </row>
    <row r="1048" spans="1:9" x14ac:dyDescent="0.3">
      <c r="A1048" t="s">
        <v>9</v>
      </c>
      <c r="B1048" t="s">
        <v>1056</v>
      </c>
      <c r="C1048">
        <v>3</v>
      </c>
      <c r="D1048">
        <v>4.2999999999999997E-2</v>
      </c>
      <c r="E1048">
        <v>8.6754020886342129</v>
      </c>
      <c r="F1048">
        <v>963.29565821138681</v>
      </c>
      <c r="G1048">
        <v>0.42399999999999999</v>
      </c>
      <c r="H1048">
        <v>4.1599999999999998E-2</v>
      </c>
      <c r="I1048">
        <v>384.40589999999997</v>
      </c>
    </row>
    <row r="1049" spans="1:9" x14ac:dyDescent="0.3">
      <c r="A1049" t="s">
        <v>9</v>
      </c>
      <c r="B1049" t="s">
        <v>1057</v>
      </c>
      <c r="C1049">
        <v>3</v>
      </c>
      <c r="D1049">
        <v>4.3299999999999998E-2</v>
      </c>
      <c r="E1049">
        <v>8.6885871864815059</v>
      </c>
      <c r="F1049">
        <v>964.54692399709495</v>
      </c>
      <c r="G1049">
        <v>0.42399999999999999</v>
      </c>
      <c r="H1049">
        <v>4.1799999999999997E-2</v>
      </c>
      <c r="I1049">
        <v>384.6071</v>
      </c>
    </row>
    <row r="1050" spans="1:9" x14ac:dyDescent="0.3">
      <c r="A1050" t="s">
        <v>9</v>
      </c>
      <c r="B1050" t="s">
        <v>1058</v>
      </c>
      <c r="C1050">
        <v>3</v>
      </c>
      <c r="D1050">
        <v>4.3299999999999998E-2</v>
      </c>
      <c r="E1050">
        <v>8.6964010133040421</v>
      </c>
      <c r="F1050">
        <v>965.28845616255364</v>
      </c>
      <c r="G1050">
        <v>0.42399999999999999</v>
      </c>
      <c r="H1050">
        <v>4.2000000000000003E-2</v>
      </c>
      <c r="I1050">
        <v>384.8075</v>
      </c>
    </row>
    <row r="1051" spans="1:9" x14ac:dyDescent="0.3">
      <c r="A1051" t="s">
        <v>9</v>
      </c>
      <c r="B1051" t="s">
        <v>1059</v>
      </c>
      <c r="C1051">
        <v>3</v>
      </c>
      <c r="D1051">
        <v>4.3400000000000001E-2</v>
      </c>
      <c r="E1051">
        <v>8.6988691137590646</v>
      </c>
      <c r="F1051">
        <v>965.52267889573523</v>
      </c>
      <c r="G1051">
        <v>0.42399999999999999</v>
      </c>
      <c r="H1051">
        <v>4.2000000000000003E-2</v>
      </c>
      <c r="I1051">
        <v>385.00619999999998</v>
      </c>
    </row>
    <row r="1052" spans="1:9" x14ac:dyDescent="0.3">
      <c r="A1052" t="s">
        <v>9</v>
      </c>
      <c r="B1052" t="s">
        <v>1060</v>
      </c>
      <c r="C1052">
        <v>3</v>
      </c>
      <c r="D1052">
        <v>4.3400000000000001E-2</v>
      </c>
      <c r="E1052">
        <v>8.6960101395010767</v>
      </c>
      <c r="F1052">
        <v>858.46814500150037</v>
      </c>
      <c r="G1052">
        <v>0.42399999999999999</v>
      </c>
      <c r="H1052">
        <v>4.2000000000000003E-2</v>
      </c>
      <c r="I1052">
        <v>385.2072</v>
      </c>
    </row>
    <row r="1053" spans="1:9" x14ac:dyDescent="0.3">
      <c r="A1053" t="s">
        <v>9</v>
      </c>
      <c r="B1053" t="s">
        <v>1061</v>
      </c>
      <c r="C1053">
        <v>3</v>
      </c>
      <c r="D1053">
        <v>4.2500000000000003E-2</v>
      </c>
      <c r="E1053">
        <v>8.6878151701735771</v>
      </c>
      <c r="F1053">
        <v>857.70437386017738</v>
      </c>
      <c r="G1053">
        <v>0.42399999999999999</v>
      </c>
      <c r="H1053">
        <v>4.1799999999999997E-2</v>
      </c>
      <c r="I1053">
        <v>385.4074</v>
      </c>
    </row>
    <row r="1054" spans="1:9" x14ac:dyDescent="0.3">
      <c r="A1054" t="s">
        <v>9</v>
      </c>
      <c r="B1054" t="s">
        <v>1062</v>
      </c>
      <c r="C1054">
        <v>3</v>
      </c>
      <c r="D1054">
        <v>4.2000000000000003E-2</v>
      </c>
      <c r="E1054">
        <v>8.6743478646843091</v>
      </c>
      <c r="F1054">
        <v>856.44922098857762</v>
      </c>
      <c r="G1054">
        <v>0.42399999999999999</v>
      </c>
      <c r="H1054">
        <v>4.1599999999999998E-2</v>
      </c>
      <c r="I1054">
        <v>385.60730000000001</v>
      </c>
    </row>
    <row r="1055" spans="1:9" x14ac:dyDescent="0.3">
      <c r="A1055" t="s">
        <v>9</v>
      </c>
      <c r="B1055" t="s">
        <v>1063</v>
      </c>
      <c r="C1055">
        <v>3</v>
      </c>
      <c r="D1055">
        <v>4.1799999999999997E-2</v>
      </c>
      <c r="E1055">
        <v>8.65578987392926</v>
      </c>
      <c r="F1055">
        <v>854.71961625020708</v>
      </c>
      <c r="G1055">
        <v>0.42399999999999999</v>
      </c>
      <c r="H1055">
        <v>4.1300000000000003E-2</v>
      </c>
      <c r="I1055">
        <v>385.80579999999998</v>
      </c>
    </row>
    <row r="1056" spans="1:9" x14ac:dyDescent="0.3">
      <c r="A1056" t="s">
        <v>9</v>
      </c>
      <c r="B1056" t="s">
        <v>1064</v>
      </c>
      <c r="C1056">
        <v>3</v>
      </c>
      <c r="D1056">
        <v>4.1700000000000001E-2</v>
      </c>
      <c r="E1056">
        <v>8.6319433281824409</v>
      </c>
      <c r="F1056">
        <v>852.49711818660353</v>
      </c>
      <c r="G1056">
        <v>0.42399999999999999</v>
      </c>
      <c r="H1056">
        <v>4.1000000000000002E-2</v>
      </c>
      <c r="I1056">
        <v>386.0059</v>
      </c>
    </row>
    <row r="1057" spans="1:9" x14ac:dyDescent="0.3">
      <c r="A1057" t="s">
        <v>9</v>
      </c>
      <c r="B1057" t="s">
        <v>1065</v>
      </c>
      <c r="C1057">
        <v>3</v>
      </c>
      <c r="D1057">
        <v>4.1500000000000002E-2</v>
      </c>
      <c r="E1057">
        <v>8.6029744704513433</v>
      </c>
      <c r="F1057">
        <v>849.79722064606517</v>
      </c>
      <c r="G1057">
        <v>0.42399999999999999</v>
      </c>
      <c r="H1057">
        <v>4.0500000000000001E-2</v>
      </c>
      <c r="I1057">
        <v>386.2063</v>
      </c>
    </row>
    <row r="1058" spans="1:9" x14ac:dyDescent="0.3">
      <c r="A1058" t="s">
        <v>9</v>
      </c>
      <c r="B1058" t="s">
        <v>1066</v>
      </c>
      <c r="C1058">
        <v>3</v>
      </c>
      <c r="D1058">
        <v>4.1399999999999999E-2</v>
      </c>
      <c r="E1058">
        <v>8.5690884689354458</v>
      </c>
      <c r="F1058">
        <v>846.63904530478362</v>
      </c>
      <c r="G1058">
        <v>0.42399999999999999</v>
      </c>
      <c r="H1058">
        <v>0.04</v>
      </c>
      <c r="I1058">
        <v>386.40629999999999</v>
      </c>
    </row>
    <row r="1059" spans="1:9" x14ac:dyDescent="0.3">
      <c r="A1059" t="s">
        <v>9</v>
      </c>
      <c r="B1059" t="s">
        <v>1067</v>
      </c>
      <c r="C1059">
        <v>3</v>
      </c>
      <c r="D1059">
        <v>4.1300000000000003E-2</v>
      </c>
      <c r="E1059">
        <v>8.5304377806367313</v>
      </c>
      <c r="F1059">
        <v>843.03680115534337</v>
      </c>
      <c r="G1059">
        <v>0.42399999999999999</v>
      </c>
      <c r="H1059">
        <v>3.9399999999999998E-2</v>
      </c>
      <c r="I1059">
        <v>386.60610000000003</v>
      </c>
    </row>
    <row r="1060" spans="1:9" x14ac:dyDescent="0.3">
      <c r="A1060" t="s">
        <v>9</v>
      </c>
      <c r="B1060" t="s">
        <v>1068</v>
      </c>
      <c r="C1060">
        <v>3</v>
      </c>
      <c r="D1060">
        <v>4.1099999999999998E-2</v>
      </c>
      <c r="E1060">
        <v>8.4870232164967074</v>
      </c>
      <c r="F1060">
        <v>838.99056377749321</v>
      </c>
      <c r="G1060">
        <v>0.42399999999999999</v>
      </c>
      <c r="H1060">
        <v>3.8699999999999998E-2</v>
      </c>
      <c r="I1060">
        <v>386.80630000000002</v>
      </c>
    </row>
    <row r="1061" spans="1:9" x14ac:dyDescent="0.3">
      <c r="A1061" t="s">
        <v>9</v>
      </c>
      <c r="B1061" t="s">
        <v>1069</v>
      </c>
      <c r="C1061">
        <v>3</v>
      </c>
      <c r="D1061">
        <v>4.02E-2</v>
      </c>
      <c r="E1061">
        <v>8.4389177612503605</v>
      </c>
      <c r="F1061">
        <v>834.50713534853367</v>
      </c>
      <c r="G1061">
        <v>0.42399999999999999</v>
      </c>
      <c r="H1061">
        <v>3.7999999999999999E-2</v>
      </c>
      <c r="I1061">
        <v>387.00729999999999</v>
      </c>
    </row>
    <row r="1062" spans="1:9" x14ac:dyDescent="0.3">
      <c r="A1062" t="s">
        <v>9</v>
      </c>
      <c r="B1062" t="s">
        <v>1070</v>
      </c>
      <c r="C1062">
        <v>3</v>
      </c>
      <c r="D1062">
        <v>0.04</v>
      </c>
      <c r="E1062">
        <v>8.3869838511828636</v>
      </c>
      <c r="F1062">
        <v>829.66689493024296</v>
      </c>
      <c r="G1062">
        <v>0.42399999999999999</v>
      </c>
      <c r="H1062">
        <v>3.7199999999999997E-2</v>
      </c>
      <c r="I1062">
        <v>387.2063</v>
      </c>
    </row>
    <row r="1063" spans="1:9" x14ac:dyDescent="0.3">
      <c r="A1063" t="s">
        <v>9</v>
      </c>
      <c r="B1063" t="s">
        <v>1071</v>
      </c>
      <c r="C1063">
        <v>3</v>
      </c>
      <c r="D1063">
        <v>3.9100000000000003E-2</v>
      </c>
      <c r="E1063">
        <v>8.3305261039580323</v>
      </c>
      <c r="F1063">
        <v>824.40503288888863</v>
      </c>
      <c r="G1063">
        <v>0.42399999999999999</v>
      </c>
      <c r="H1063">
        <v>3.6299999999999999E-2</v>
      </c>
      <c r="I1063">
        <v>387.40699999999998</v>
      </c>
    </row>
    <row r="1064" spans="1:9" x14ac:dyDescent="0.3">
      <c r="A1064" t="s">
        <v>9</v>
      </c>
      <c r="B1064" t="s">
        <v>1072</v>
      </c>
      <c r="C1064">
        <v>3</v>
      </c>
      <c r="D1064">
        <v>3.8800000000000001E-2</v>
      </c>
      <c r="E1064">
        <v>8.2706457781327618</v>
      </c>
      <c r="F1064">
        <v>818.82418652197339</v>
      </c>
      <c r="G1064">
        <v>0.42399999999999999</v>
      </c>
      <c r="H1064">
        <v>3.5299999999999998E-2</v>
      </c>
      <c r="I1064">
        <v>387.60599999999999</v>
      </c>
    </row>
    <row r="1065" spans="1:9" x14ac:dyDescent="0.3">
      <c r="A1065" t="s">
        <v>9</v>
      </c>
      <c r="B1065" t="s">
        <v>1073</v>
      </c>
      <c r="C1065">
        <v>3</v>
      </c>
      <c r="D1065">
        <v>3.85E-2</v>
      </c>
      <c r="E1065">
        <v>8.2064236715168928</v>
      </c>
      <c r="F1065">
        <v>812.8386861853744</v>
      </c>
      <c r="G1065">
        <v>0.42399999999999999</v>
      </c>
      <c r="H1065">
        <v>3.4299999999999997E-2</v>
      </c>
      <c r="I1065">
        <v>387.8073</v>
      </c>
    </row>
    <row r="1066" spans="1:9" x14ac:dyDescent="0.3">
      <c r="A1066" t="s">
        <v>9</v>
      </c>
      <c r="B1066" t="s">
        <v>1074</v>
      </c>
      <c r="C1066">
        <v>3</v>
      </c>
      <c r="D1066">
        <v>3.6999999999999998E-2</v>
      </c>
      <c r="E1066">
        <v>8.1392764989107871</v>
      </c>
      <c r="F1066">
        <v>806.58056969848542</v>
      </c>
      <c r="G1066">
        <v>0.42399999999999999</v>
      </c>
      <c r="H1066">
        <v>3.3300000000000003E-2</v>
      </c>
      <c r="I1066">
        <v>388.00709999999998</v>
      </c>
    </row>
    <row r="1067" spans="1:9" x14ac:dyDescent="0.3">
      <c r="A1067" t="s">
        <v>9</v>
      </c>
      <c r="B1067" t="s">
        <v>1075</v>
      </c>
      <c r="C1067">
        <v>3</v>
      </c>
      <c r="D1067">
        <v>3.5200000000000002E-2</v>
      </c>
      <c r="E1067">
        <v>8.0687910856202407</v>
      </c>
      <c r="F1067">
        <v>800.01132917980647</v>
      </c>
      <c r="G1067">
        <v>0.42399999999999999</v>
      </c>
      <c r="H1067">
        <v>3.2199999999999999E-2</v>
      </c>
      <c r="I1067">
        <v>388.20760000000001</v>
      </c>
    </row>
    <row r="1068" spans="1:9" x14ac:dyDescent="0.3">
      <c r="A1068" t="s">
        <v>9</v>
      </c>
      <c r="B1068" t="s">
        <v>1076</v>
      </c>
      <c r="C1068">
        <v>3</v>
      </c>
      <c r="D1068">
        <v>3.4799999999999998E-2</v>
      </c>
      <c r="E1068">
        <v>7.9962426371538804</v>
      </c>
      <c r="F1068">
        <v>793.24981378274163</v>
      </c>
      <c r="G1068">
        <v>0.42399999999999999</v>
      </c>
      <c r="H1068">
        <v>3.1099999999999999E-2</v>
      </c>
      <c r="I1068">
        <v>388.40589999999997</v>
      </c>
    </row>
    <row r="1069" spans="1:9" x14ac:dyDescent="0.3">
      <c r="A1069" t="s">
        <v>9</v>
      </c>
      <c r="B1069" t="s">
        <v>1077</v>
      </c>
      <c r="C1069">
        <v>3</v>
      </c>
      <c r="D1069">
        <v>3.2899999999999999E-2</v>
      </c>
      <c r="E1069">
        <v>7.9202055183548401</v>
      </c>
      <c r="F1069">
        <v>786.16315431067108</v>
      </c>
      <c r="G1069">
        <v>0.42399999999999999</v>
      </c>
      <c r="H1069">
        <v>2.9899999999999999E-2</v>
      </c>
      <c r="I1069">
        <v>388.60669999999999</v>
      </c>
    </row>
    <row r="1070" spans="1:9" x14ac:dyDescent="0.3">
      <c r="A1070" t="s">
        <v>9</v>
      </c>
      <c r="B1070" t="s">
        <v>1078</v>
      </c>
      <c r="C1070">
        <v>3</v>
      </c>
      <c r="D1070">
        <v>3.1600000000000003E-2</v>
      </c>
      <c r="E1070">
        <v>7.8414862105447964</v>
      </c>
      <c r="F1070">
        <v>778.82651482277504</v>
      </c>
      <c r="G1070">
        <v>0.42399999999999999</v>
      </c>
      <c r="H1070">
        <v>2.87E-2</v>
      </c>
      <c r="I1070">
        <v>388.80849999999998</v>
      </c>
    </row>
    <row r="1071" spans="1:9" x14ac:dyDescent="0.3">
      <c r="A1071" t="s">
        <v>9</v>
      </c>
      <c r="B1071" t="s">
        <v>1079</v>
      </c>
      <c r="C1071">
        <v>3</v>
      </c>
      <c r="D1071">
        <v>2.9700000000000001E-2</v>
      </c>
      <c r="E1071">
        <v>7.7627725793252527</v>
      </c>
      <c r="F1071">
        <v>771.49040439311352</v>
      </c>
      <c r="G1071">
        <v>0.42399999999999999</v>
      </c>
      <c r="H1071">
        <v>2.75E-2</v>
      </c>
      <c r="I1071">
        <v>389.00540000000001</v>
      </c>
    </row>
    <row r="1072" spans="1:9" x14ac:dyDescent="0.3">
      <c r="A1072" t="s">
        <v>9</v>
      </c>
      <c r="B1072" t="s">
        <v>1080</v>
      </c>
      <c r="C1072">
        <v>3</v>
      </c>
      <c r="D1072">
        <v>2.87E-2</v>
      </c>
      <c r="E1072">
        <v>7.6809814251134902</v>
      </c>
      <c r="F1072">
        <v>763.8674688205773</v>
      </c>
      <c r="G1072">
        <v>0.42399999999999999</v>
      </c>
      <c r="H1072">
        <v>2.6200000000000001E-2</v>
      </c>
      <c r="I1072">
        <v>389.20589999999999</v>
      </c>
    </row>
    <row r="1073" spans="1:9" x14ac:dyDescent="0.3">
      <c r="A1073" t="s">
        <v>9</v>
      </c>
      <c r="B1073" t="s">
        <v>1081</v>
      </c>
      <c r="C1073">
        <v>3</v>
      </c>
      <c r="D1073">
        <v>2.7699999999999999E-2</v>
      </c>
      <c r="E1073">
        <v>7.5974001175406407</v>
      </c>
      <c r="F1073">
        <v>756.07769095478773</v>
      </c>
      <c r="G1073">
        <v>0.42399999999999999</v>
      </c>
      <c r="H1073">
        <v>2.4899999999999999E-2</v>
      </c>
      <c r="I1073">
        <v>389.4076</v>
      </c>
    </row>
    <row r="1074" spans="1:9" x14ac:dyDescent="0.3">
      <c r="A1074" t="s">
        <v>9</v>
      </c>
      <c r="B1074" t="s">
        <v>1082</v>
      </c>
      <c r="C1074">
        <v>3</v>
      </c>
      <c r="D1074">
        <v>2.5899999999999999E-2</v>
      </c>
      <c r="E1074">
        <v>7.5140746620110193</v>
      </c>
      <c r="F1074">
        <v>748.31175849942701</v>
      </c>
      <c r="G1074">
        <v>0.42399999999999999</v>
      </c>
      <c r="H1074">
        <v>2.3599999999999999E-2</v>
      </c>
      <c r="I1074">
        <v>389.6062</v>
      </c>
    </row>
    <row r="1075" spans="1:9" x14ac:dyDescent="0.3">
      <c r="A1075" t="s">
        <v>9</v>
      </c>
      <c r="B1075" t="s">
        <v>1083</v>
      </c>
      <c r="C1075">
        <v>3</v>
      </c>
      <c r="D1075">
        <v>2.4400000000000002E-2</v>
      </c>
      <c r="E1075">
        <v>7.4293478995695228</v>
      </c>
      <c r="F1075">
        <v>740.41522423987954</v>
      </c>
      <c r="G1075">
        <v>0.42399999999999999</v>
      </c>
      <c r="H1075">
        <v>2.23E-2</v>
      </c>
      <c r="I1075">
        <v>389.8066</v>
      </c>
    </row>
    <row r="1076" spans="1:9" x14ac:dyDescent="0.3">
      <c r="A1076" t="s">
        <v>9</v>
      </c>
      <c r="B1076" t="s">
        <v>1084</v>
      </c>
      <c r="C1076">
        <v>3</v>
      </c>
      <c r="D1076">
        <v>2.3400000000000001E-2</v>
      </c>
      <c r="E1076">
        <v>7.3447812980742659</v>
      </c>
      <c r="F1076">
        <v>732.53361698052163</v>
      </c>
      <c r="G1076">
        <v>0.42399999999999999</v>
      </c>
      <c r="H1076">
        <v>2.1000000000000001E-2</v>
      </c>
      <c r="I1076">
        <v>390.0059</v>
      </c>
    </row>
    <row r="1077" spans="1:9" x14ac:dyDescent="0.3">
      <c r="A1077" t="s">
        <v>9</v>
      </c>
      <c r="B1077" t="s">
        <v>1085</v>
      </c>
      <c r="C1077">
        <v>3</v>
      </c>
      <c r="D1077">
        <v>2.1399999999999999E-2</v>
      </c>
      <c r="E1077">
        <v>7.2591949376428504</v>
      </c>
      <c r="F1077">
        <v>724.5569681883137</v>
      </c>
      <c r="G1077">
        <v>0.42399999999999999</v>
      </c>
      <c r="H1077">
        <v>1.9599999999999999E-2</v>
      </c>
      <c r="I1077">
        <v>390.20760000000001</v>
      </c>
    </row>
    <row r="1078" spans="1:9" x14ac:dyDescent="0.3">
      <c r="A1078" t="s">
        <v>9</v>
      </c>
      <c r="B1078" t="s">
        <v>1086</v>
      </c>
      <c r="C1078">
        <v>3</v>
      </c>
      <c r="D1078">
        <v>1.9400000000000001E-2</v>
      </c>
      <c r="E1078">
        <v>7.1742078629798787</v>
      </c>
      <c r="F1078">
        <v>716.63617282972473</v>
      </c>
      <c r="G1078">
        <v>0.42399999999999999</v>
      </c>
      <c r="H1078">
        <v>1.83E-2</v>
      </c>
      <c r="I1078">
        <v>390.40879999999999</v>
      </c>
    </row>
    <row r="1079" spans="1:9" x14ac:dyDescent="0.3">
      <c r="A1079" t="s">
        <v>9</v>
      </c>
      <c r="B1079" t="s">
        <v>1087</v>
      </c>
      <c r="C1079">
        <v>3</v>
      </c>
      <c r="D1079">
        <v>1.83E-2</v>
      </c>
      <c r="E1079">
        <v>7.0912886891417184</v>
      </c>
      <c r="F1079">
        <v>708.90810582800816</v>
      </c>
      <c r="G1079">
        <v>0.42399999999999999</v>
      </c>
      <c r="H1079">
        <v>1.7000000000000001E-2</v>
      </c>
      <c r="I1079">
        <v>390.60660000000001</v>
      </c>
    </row>
    <row r="1080" spans="1:9" x14ac:dyDescent="0.3">
      <c r="A1080" t="s">
        <v>9</v>
      </c>
      <c r="B1080" t="s">
        <v>1088</v>
      </c>
      <c r="C1080">
        <v>3</v>
      </c>
      <c r="D1080">
        <v>1.6799999999999999E-2</v>
      </c>
      <c r="E1080">
        <v>7.0086294220542849</v>
      </c>
      <c r="F1080">
        <v>701.20426213545932</v>
      </c>
      <c r="G1080">
        <v>0.42399999999999999</v>
      </c>
      <c r="H1080">
        <v>1.5699999999999999E-2</v>
      </c>
      <c r="I1080">
        <v>390.80619999999999</v>
      </c>
    </row>
    <row r="1081" spans="1:9" x14ac:dyDescent="0.3">
      <c r="A1081" t="s">
        <v>9</v>
      </c>
      <c r="B1081" t="s">
        <v>1089</v>
      </c>
      <c r="C1081">
        <v>3</v>
      </c>
      <c r="D1081">
        <v>1.5599999999999999E-2</v>
      </c>
      <c r="E1081">
        <v>6.9266051221612939</v>
      </c>
      <c r="F1081">
        <v>693.55959738543265</v>
      </c>
      <c r="G1081">
        <v>0.42399999999999999</v>
      </c>
      <c r="H1081">
        <v>1.4500000000000001E-2</v>
      </c>
      <c r="I1081">
        <v>391.00749999999999</v>
      </c>
    </row>
    <row r="1082" spans="1:9" x14ac:dyDescent="0.3">
      <c r="A1082" t="s">
        <v>9</v>
      </c>
      <c r="B1082" t="s">
        <v>1090</v>
      </c>
      <c r="C1082">
        <v>3</v>
      </c>
      <c r="D1082">
        <v>1.3899999999999999E-2</v>
      </c>
      <c r="E1082">
        <v>6.8465510046423708</v>
      </c>
      <c r="F1082">
        <v>686.098553632669</v>
      </c>
      <c r="G1082">
        <v>0.42399999999999999</v>
      </c>
      <c r="H1082">
        <v>1.32E-2</v>
      </c>
      <c r="I1082">
        <v>391.2081</v>
      </c>
    </row>
    <row r="1083" spans="1:9" x14ac:dyDescent="0.3">
      <c r="A1083" t="s">
        <v>9</v>
      </c>
      <c r="B1083" t="s">
        <v>1091</v>
      </c>
      <c r="C1083">
        <v>3</v>
      </c>
      <c r="D1083">
        <v>1.26E-2</v>
      </c>
      <c r="E1083">
        <v>6.769528186450172</v>
      </c>
      <c r="F1083">
        <v>678.920026977156</v>
      </c>
      <c r="G1083">
        <v>0.42399999999999999</v>
      </c>
      <c r="H1083">
        <v>1.2E-2</v>
      </c>
      <c r="I1083">
        <v>391.40600000000001</v>
      </c>
    </row>
    <row r="1084" spans="1:9" x14ac:dyDescent="0.3">
      <c r="A1084" t="s">
        <v>9</v>
      </c>
      <c r="B1084" t="s">
        <v>1092</v>
      </c>
      <c r="C1084">
        <v>3</v>
      </c>
      <c r="D1084">
        <v>1.15E-2</v>
      </c>
      <c r="E1084">
        <v>6.6934290306263868</v>
      </c>
      <c r="F1084">
        <v>671.82758565437928</v>
      </c>
      <c r="G1084">
        <v>0.42399999999999999</v>
      </c>
      <c r="H1084">
        <v>1.0800000000000001E-2</v>
      </c>
      <c r="I1084">
        <v>391.60739999999998</v>
      </c>
    </row>
    <row r="1085" spans="1:9" x14ac:dyDescent="0.3">
      <c r="A1085" t="s">
        <v>9</v>
      </c>
      <c r="B1085" t="s">
        <v>1093</v>
      </c>
      <c r="C1085">
        <v>3</v>
      </c>
      <c r="D1085">
        <v>9.5999999999999992E-3</v>
      </c>
      <c r="E1085">
        <v>6.6209632981930211</v>
      </c>
      <c r="F1085">
        <v>665.0737793915896</v>
      </c>
      <c r="G1085">
        <v>0.42399999999999999</v>
      </c>
      <c r="H1085">
        <v>9.7000000000000003E-3</v>
      </c>
      <c r="I1085">
        <v>391.80590000000001</v>
      </c>
    </row>
    <row r="1086" spans="1:9" x14ac:dyDescent="0.3">
      <c r="A1086" t="s">
        <v>9</v>
      </c>
      <c r="B1086" t="s">
        <v>1094</v>
      </c>
      <c r="C1086">
        <v>3</v>
      </c>
      <c r="D1086">
        <v>8.8000000000000005E-3</v>
      </c>
      <c r="E1086">
        <v>6.5500817399797597</v>
      </c>
      <c r="F1086">
        <v>658.46761816611365</v>
      </c>
      <c r="G1086">
        <v>0.42399999999999999</v>
      </c>
      <c r="H1086">
        <v>8.6E-3</v>
      </c>
      <c r="I1086">
        <v>392.00810000000001</v>
      </c>
    </row>
    <row r="1087" spans="1:9" x14ac:dyDescent="0.3">
      <c r="A1087" t="s">
        <v>9</v>
      </c>
      <c r="B1087" t="s">
        <v>1095</v>
      </c>
      <c r="C1087">
        <v>3</v>
      </c>
      <c r="D1087">
        <v>7.4999999999999997E-3</v>
      </c>
      <c r="E1087">
        <v>6.4831839318848834</v>
      </c>
      <c r="F1087">
        <v>652.23274245167102</v>
      </c>
      <c r="G1087">
        <v>0.42399999999999999</v>
      </c>
      <c r="H1087">
        <v>7.6E-3</v>
      </c>
      <c r="I1087">
        <v>392.2079</v>
      </c>
    </row>
    <row r="1088" spans="1:9" x14ac:dyDescent="0.3">
      <c r="A1088" t="s">
        <v>9</v>
      </c>
      <c r="B1088" t="s">
        <v>1096</v>
      </c>
      <c r="C1088">
        <v>3</v>
      </c>
      <c r="D1088">
        <v>6.1999999999999998E-3</v>
      </c>
      <c r="E1088">
        <v>6.4200728151239099</v>
      </c>
      <c r="F1088">
        <v>646.35078636954847</v>
      </c>
      <c r="G1088">
        <v>0.42399999999999999</v>
      </c>
      <c r="H1088">
        <v>6.6E-3</v>
      </c>
      <c r="I1088">
        <v>392.40649999999999</v>
      </c>
    </row>
    <row r="1089" spans="1:9" x14ac:dyDescent="0.3">
      <c r="A1089" t="s">
        <v>9</v>
      </c>
      <c r="B1089" t="s">
        <v>1097</v>
      </c>
      <c r="C1089">
        <v>3</v>
      </c>
      <c r="D1089">
        <v>5.5999999999999999E-3</v>
      </c>
      <c r="E1089">
        <v>6.3603510283618769</v>
      </c>
      <c r="F1089">
        <v>640.78471584332692</v>
      </c>
      <c r="G1089">
        <v>0.42399999999999999</v>
      </c>
      <c r="H1089">
        <v>5.7000000000000002E-3</v>
      </c>
      <c r="I1089">
        <v>392.60579999999999</v>
      </c>
    </row>
    <row r="1090" spans="1:9" x14ac:dyDescent="0.3">
      <c r="A1090" t="s">
        <v>9</v>
      </c>
      <c r="B1090" t="s">
        <v>1098</v>
      </c>
      <c r="C1090">
        <v>3</v>
      </c>
      <c r="D1090">
        <v>4.1999999999999997E-3</v>
      </c>
      <c r="E1090">
        <v>6.3043735612403751</v>
      </c>
      <c r="F1090">
        <v>635.567615907603</v>
      </c>
      <c r="G1090">
        <v>0.42399999999999999</v>
      </c>
      <c r="H1090">
        <v>4.7999999999999996E-3</v>
      </c>
      <c r="I1090">
        <v>392.80560000000003</v>
      </c>
    </row>
    <row r="1091" spans="1:9" x14ac:dyDescent="0.3">
      <c r="A1091" t="s">
        <v>9</v>
      </c>
      <c r="B1091" t="s">
        <v>1099</v>
      </c>
      <c r="C1091">
        <v>3</v>
      </c>
      <c r="D1091">
        <v>3.5000000000000001E-3</v>
      </c>
      <c r="E1091">
        <v>6.2520140285266441</v>
      </c>
      <c r="F1091">
        <v>630.68770745868324</v>
      </c>
      <c r="G1091">
        <v>0.42399999999999999</v>
      </c>
      <c r="H1091">
        <v>4.0000000000000001E-3</v>
      </c>
      <c r="I1091">
        <v>393.00740000000002</v>
      </c>
    </row>
    <row r="1092" spans="1:9" x14ac:dyDescent="0.3">
      <c r="A1092" t="s">
        <v>9</v>
      </c>
      <c r="B1092" t="s">
        <v>1100</v>
      </c>
      <c r="C1092">
        <v>3</v>
      </c>
      <c r="D1092">
        <v>2E-3</v>
      </c>
      <c r="E1092">
        <v>6.2047470056970706</v>
      </c>
      <c r="F1092">
        <v>626.28242093096708</v>
      </c>
      <c r="G1092">
        <v>0.42399999999999999</v>
      </c>
      <c r="H1092">
        <v>3.2000000000000002E-3</v>
      </c>
      <c r="I1092">
        <v>393.20609999999999</v>
      </c>
    </row>
    <row r="1093" spans="1:9" x14ac:dyDescent="0.3">
      <c r="A1093" t="s">
        <v>9</v>
      </c>
      <c r="B1093" t="s">
        <v>1101</v>
      </c>
      <c r="C1093">
        <v>3</v>
      </c>
      <c r="D1093">
        <v>2E-3</v>
      </c>
      <c r="E1093">
        <v>6.1614802761924814</v>
      </c>
      <c r="F1093">
        <v>622.24996174113915</v>
      </c>
      <c r="G1093">
        <v>0.42399999999999999</v>
      </c>
      <c r="H1093">
        <v>2.5999999999999999E-3</v>
      </c>
      <c r="I1093">
        <v>393.40699999999998</v>
      </c>
    </row>
    <row r="1094" spans="1:9" x14ac:dyDescent="0.3">
      <c r="A1094" t="s">
        <v>9</v>
      </c>
      <c r="B1094" t="s">
        <v>1102</v>
      </c>
      <c r="C1094">
        <v>3</v>
      </c>
      <c r="D1094">
        <v>1.2999999999999999E-3</v>
      </c>
      <c r="E1094">
        <v>6.1227265983232781</v>
      </c>
      <c r="F1094">
        <v>618.63811896372954</v>
      </c>
      <c r="G1094">
        <v>0.42399999999999999</v>
      </c>
      <c r="H1094">
        <v>2E-3</v>
      </c>
      <c r="I1094">
        <v>393.60910000000001</v>
      </c>
    </row>
    <row r="1095" spans="1:9" x14ac:dyDescent="0.3">
      <c r="A1095" t="s">
        <v>9</v>
      </c>
      <c r="B1095" t="s">
        <v>1103</v>
      </c>
      <c r="C1095">
        <v>3</v>
      </c>
      <c r="D1095">
        <v>5.0000000000000001E-4</v>
      </c>
      <c r="E1095">
        <v>6.0897625561986457</v>
      </c>
      <c r="F1095">
        <v>615.56587023771385</v>
      </c>
      <c r="G1095">
        <v>0.42399999999999999</v>
      </c>
      <c r="H1095">
        <v>1.5E-3</v>
      </c>
      <c r="I1095">
        <v>393.80560000000003</v>
      </c>
    </row>
    <row r="1096" spans="1:9" x14ac:dyDescent="0.3">
      <c r="A1096" t="s">
        <v>9</v>
      </c>
      <c r="B1096" t="s">
        <v>1104</v>
      </c>
      <c r="C1096">
        <v>3</v>
      </c>
      <c r="D1096">
        <v>-2.0000000000000001E-4</v>
      </c>
      <c r="E1096">
        <v>6.0611036403088194</v>
      </c>
      <c r="F1096">
        <v>612.89485927678186</v>
      </c>
      <c r="G1096">
        <v>0.42399999999999999</v>
      </c>
      <c r="H1096">
        <v>1E-3</v>
      </c>
      <c r="I1096">
        <v>394.00599999999997</v>
      </c>
    </row>
    <row r="1097" spans="1:9" x14ac:dyDescent="0.3">
      <c r="A1097" t="s">
        <v>9</v>
      </c>
      <c r="B1097" t="s">
        <v>1105</v>
      </c>
      <c r="C1097">
        <v>3</v>
      </c>
      <c r="D1097">
        <v>-6.9999999999999999E-4</v>
      </c>
      <c r="E1097">
        <v>6.0374395158524106</v>
      </c>
      <c r="F1097">
        <v>610.68936287744464</v>
      </c>
      <c r="G1097">
        <v>0.42399999999999999</v>
      </c>
      <c r="H1097">
        <v>5.9999999999999995E-4</v>
      </c>
      <c r="I1097">
        <v>394.2072</v>
      </c>
    </row>
    <row r="1098" spans="1:9" x14ac:dyDescent="0.3">
      <c r="A1098" t="s">
        <v>9</v>
      </c>
      <c r="B1098" t="s">
        <v>1106</v>
      </c>
      <c r="C1098">
        <v>3</v>
      </c>
      <c r="D1098">
        <v>-1E-3</v>
      </c>
      <c r="E1098">
        <v>6.0190484574051197</v>
      </c>
      <c r="F1098">
        <v>608.9753162301572</v>
      </c>
      <c r="G1098">
        <v>0.42399999999999999</v>
      </c>
      <c r="H1098">
        <v>4.0000000000000002E-4</v>
      </c>
      <c r="I1098">
        <v>394.40789999999998</v>
      </c>
    </row>
    <row r="1099" spans="1:9" x14ac:dyDescent="0.3">
      <c r="A1099" t="s">
        <v>9</v>
      </c>
      <c r="B1099" t="s">
        <v>1107</v>
      </c>
      <c r="C1099">
        <v>3</v>
      </c>
      <c r="D1099">
        <v>-1.6999999999999999E-3</v>
      </c>
      <c r="E1099">
        <v>6.0058877242951896</v>
      </c>
      <c r="F1099">
        <v>607.74873590431173</v>
      </c>
      <c r="G1099">
        <v>0.42399999999999999</v>
      </c>
      <c r="H1099">
        <v>2.0000000000000001E-4</v>
      </c>
      <c r="I1099">
        <v>394.6096</v>
      </c>
    </row>
    <row r="1100" spans="1:9" x14ac:dyDescent="0.3">
      <c r="A1100" t="s">
        <v>9</v>
      </c>
      <c r="B1100" t="s">
        <v>1108</v>
      </c>
      <c r="C1100">
        <v>3</v>
      </c>
      <c r="D1100">
        <v>-1.6999999999999999E-3</v>
      </c>
      <c r="E1100">
        <v>5.9982007084497084</v>
      </c>
      <c r="F1100">
        <v>607.03230602751273</v>
      </c>
      <c r="G1100">
        <v>0.42399999999999999</v>
      </c>
      <c r="H1100">
        <v>0</v>
      </c>
      <c r="I1100">
        <v>394.80759999999998</v>
      </c>
    </row>
    <row r="1101" spans="1:9" x14ac:dyDescent="0.3">
      <c r="A1101" t="s">
        <v>9</v>
      </c>
      <c r="B1101" t="s">
        <v>1109</v>
      </c>
      <c r="C1101">
        <v>3</v>
      </c>
      <c r="D1101">
        <v>-2.2000000000000001E-3</v>
      </c>
      <c r="E1101">
        <v>5.9957371090026212</v>
      </c>
      <c r="F1101">
        <v>606.8026985590443</v>
      </c>
      <c r="G1101">
        <v>0.42399999999999999</v>
      </c>
      <c r="H1101">
        <v>0</v>
      </c>
      <c r="I1101">
        <v>395.00740000000002</v>
      </c>
    </row>
    <row r="1102" spans="1:9" x14ac:dyDescent="0.3">
      <c r="A1102" t="s">
        <v>9</v>
      </c>
      <c r="B1102" t="s">
        <v>1110</v>
      </c>
      <c r="C1102">
        <v>3</v>
      </c>
      <c r="D1102">
        <v>-2.3999999999999998E-3</v>
      </c>
      <c r="E1102">
        <v>5.9986269502497791</v>
      </c>
      <c r="F1102">
        <v>709.26969757870404</v>
      </c>
      <c r="G1102">
        <v>0.42399999999999999</v>
      </c>
      <c r="H1102">
        <v>0</v>
      </c>
      <c r="I1102">
        <v>395.20830000000001</v>
      </c>
    </row>
    <row r="1103" spans="1:9" x14ac:dyDescent="0.3">
      <c r="A1103" t="s">
        <v>9</v>
      </c>
      <c r="B1103" t="s">
        <v>1111</v>
      </c>
      <c r="C1103">
        <v>3</v>
      </c>
      <c r="D1103">
        <v>-1.6000000000000001E-3</v>
      </c>
      <c r="E1103">
        <v>6.006811342061825</v>
      </c>
      <c r="F1103">
        <v>710.04639636166723</v>
      </c>
      <c r="G1103">
        <v>0.42399999999999999</v>
      </c>
      <c r="H1103">
        <v>2.0000000000000001E-4</v>
      </c>
      <c r="I1103">
        <v>395.40780000000001</v>
      </c>
    </row>
    <row r="1104" spans="1:9" x14ac:dyDescent="0.3">
      <c r="A1104" t="s">
        <v>9</v>
      </c>
      <c r="B1104" t="s">
        <v>1112</v>
      </c>
      <c r="C1104">
        <v>3</v>
      </c>
      <c r="D1104">
        <v>-6.9999999999999999E-4</v>
      </c>
      <c r="E1104">
        <v>6.0202109339358474</v>
      </c>
      <c r="F1104">
        <v>711.31801763051192</v>
      </c>
      <c r="G1104">
        <v>0.42399999999999999</v>
      </c>
      <c r="H1104">
        <v>4.0000000000000002E-4</v>
      </c>
      <c r="I1104">
        <v>395.60669999999999</v>
      </c>
    </row>
    <row r="1105" spans="1:9" x14ac:dyDescent="0.3">
      <c r="A1105" t="s">
        <v>9</v>
      </c>
      <c r="B1105" t="s">
        <v>1113</v>
      </c>
      <c r="C1105">
        <v>3</v>
      </c>
      <c r="D1105">
        <v>-2.0000000000000001E-4</v>
      </c>
      <c r="E1105">
        <v>6.039061844870087</v>
      </c>
      <c r="F1105">
        <v>713.10696907817135</v>
      </c>
      <c r="G1105">
        <v>0.42399999999999999</v>
      </c>
      <c r="H1105">
        <v>6.9999999999999999E-4</v>
      </c>
      <c r="I1105">
        <v>395.80810000000002</v>
      </c>
    </row>
    <row r="1106" spans="1:9" x14ac:dyDescent="0.3">
      <c r="A1106" t="s">
        <v>9</v>
      </c>
      <c r="B1106" t="s">
        <v>1114</v>
      </c>
      <c r="C1106">
        <v>3</v>
      </c>
      <c r="D1106">
        <v>2.0000000000000001E-4</v>
      </c>
      <c r="E1106">
        <v>6.062646537606577</v>
      </c>
      <c r="F1106">
        <v>715.34515641886424</v>
      </c>
      <c r="G1106">
        <v>0.42399999999999999</v>
      </c>
      <c r="H1106">
        <v>1E-3</v>
      </c>
      <c r="I1106">
        <v>396.00580000000002</v>
      </c>
    </row>
    <row r="1107" spans="1:9" x14ac:dyDescent="0.3">
      <c r="A1107" t="s">
        <v>9</v>
      </c>
      <c r="B1107" t="s">
        <v>1115</v>
      </c>
      <c r="C1107">
        <v>3</v>
      </c>
      <c r="D1107">
        <v>8.0000000000000004E-4</v>
      </c>
      <c r="E1107">
        <v>6.0923156838699368</v>
      </c>
      <c r="F1107">
        <v>718.16075839925702</v>
      </c>
      <c r="G1107">
        <v>0.42399999999999999</v>
      </c>
      <c r="H1107">
        <v>1.5E-3</v>
      </c>
      <c r="I1107">
        <v>396.2106</v>
      </c>
    </row>
    <row r="1108" spans="1:9" x14ac:dyDescent="0.3">
      <c r="A1108" t="s">
        <v>9</v>
      </c>
      <c r="B1108" t="s">
        <v>1116</v>
      </c>
      <c r="C1108">
        <v>3</v>
      </c>
      <c r="D1108">
        <v>1E-3</v>
      </c>
      <c r="E1108">
        <v>6.1256674371256841</v>
      </c>
      <c r="F1108">
        <v>721.32583978322748</v>
      </c>
      <c r="G1108">
        <v>0.42399999999999999</v>
      </c>
      <c r="H1108">
        <v>2E-3</v>
      </c>
      <c r="I1108">
        <v>396.40719999999999</v>
      </c>
    </row>
    <row r="1109" spans="1:9" x14ac:dyDescent="0.3">
      <c r="A1109" t="s">
        <v>9</v>
      </c>
      <c r="B1109" t="s">
        <v>1117</v>
      </c>
      <c r="C1109">
        <v>3</v>
      </c>
      <c r="D1109">
        <v>1.2999999999999999E-3</v>
      </c>
      <c r="E1109">
        <v>6.1642880394947488</v>
      </c>
      <c r="F1109">
        <v>724.99093494805174</v>
      </c>
      <c r="G1109">
        <v>0.42399999999999999</v>
      </c>
      <c r="H1109">
        <v>2.5999999999999999E-3</v>
      </c>
      <c r="I1109">
        <v>396.60669999999999</v>
      </c>
    </row>
    <row r="1110" spans="1:9" x14ac:dyDescent="0.3">
      <c r="A1110" t="s">
        <v>9</v>
      </c>
      <c r="B1110" t="s">
        <v>1118</v>
      </c>
      <c r="C1110">
        <v>3</v>
      </c>
      <c r="D1110">
        <v>2.5000000000000001E-3</v>
      </c>
      <c r="E1110">
        <v>6.2080987891045636</v>
      </c>
      <c r="F1110">
        <v>729.14857508602313</v>
      </c>
      <c r="G1110">
        <v>0.42399999999999999</v>
      </c>
      <c r="H1110">
        <v>3.3E-3</v>
      </c>
      <c r="I1110">
        <v>396.80860000000001</v>
      </c>
    </row>
    <row r="1111" spans="1:9" x14ac:dyDescent="0.3">
      <c r="A1111" t="s">
        <v>9</v>
      </c>
      <c r="B1111" t="s">
        <v>1119</v>
      </c>
      <c r="C1111">
        <v>3</v>
      </c>
      <c r="D1111">
        <v>3.3999999999999998E-3</v>
      </c>
      <c r="E1111">
        <v>6.2563150595068757</v>
      </c>
      <c r="F1111">
        <v>733.72429914720249</v>
      </c>
      <c r="G1111">
        <v>0.42399999999999999</v>
      </c>
      <c r="H1111">
        <v>4.0000000000000001E-3</v>
      </c>
      <c r="I1111">
        <v>397.00979999999998</v>
      </c>
    </row>
    <row r="1112" spans="1:9" x14ac:dyDescent="0.3">
      <c r="A1112" t="s">
        <v>9</v>
      </c>
      <c r="B1112" t="s">
        <v>1120</v>
      </c>
      <c r="C1112">
        <v>4</v>
      </c>
      <c r="D1112">
        <v>3.8E-3</v>
      </c>
      <c r="E1112">
        <v>6.3075963238552308</v>
      </c>
      <c r="F1112">
        <v>738.59089113386142</v>
      </c>
      <c r="G1112">
        <v>0.42399999999999999</v>
      </c>
      <c r="H1112">
        <v>4.7999999999999996E-3</v>
      </c>
      <c r="I1112">
        <v>397.20620000000002</v>
      </c>
    </row>
    <row r="1113" spans="1:9" x14ac:dyDescent="0.3">
      <c r="A1113" t="s">
        <v>9</v>
      </c>
      <c r="B1113" t="s">
        <v>1121</v>
      </c>
      <c r="C1113">
        <v>4</v>
      </c>
      <c r="D1113">
        <v>4.7000000000000002E-3</v>
      </c>
      <c r="E1113">
        <v>6.3648237762047186</v>
      </c>
      <c r="F1113">
        <v>744.02177636182785</v>
      </c>
      <c r="G1113">
        <v>0.42399999999999999</v>
      </c>
      <c r="H1113">
        <v>5.7000000000000002E-3</v>
      </c>
      <c r="I1113">
        <v>397.40949999999998</v>
      </c>
    </row>
    <row r="1114" spans="1:9" x14ac:dyDescent="0.3">
      <c r="A1114" t="s">
        <v>9</v>
      </c>
      <c r="B1114" t="s">
        <v>1122</v>
      </c>
      <c r="C1114">
        <v>4</v>
      </c>
      <c r="D1114">
        <v>5.7000000000000002E-3</v>
      </c>
      <c r="E1114">
        <v>5.9957334838115024</v>
      </c>
      <c r="F1114">
        <v>606.80236069123202</v>
      </c>
      <c r="G1114">
        <v>0.42399999999999999</v>
      </c>
      <c r="H1114">
        <v>0</v>
      </c>
      <c r="I1114">
        <v>397.6096</v>
      </c>
    </row>
    <row r="1115" spans="1:9" x14ac:dyDescent="0.3">
      <c r="A1115" t="s">
        <v>9</v>
      </c>
      <c r="B1115" t="s">
        <v>1123</v>
      </c>
      <c r="C1115">
        <v>4</v>
      </c>
      <c r="D1115">
        <v>3.2000000000000002E-3</v>
      </c>
      <c r="E1115">
        <v>5.9957334838115024</v>
      </c>
      <c r="F1115">
        <v>606.80236069123202</v>
      </c>
      <c r="G1115">
        <v>0.42399999999999999</v>
      </c>
      <c r="H1115">
        <v>0</v>
      </c>
      <c r="I1115">
        <v>397.80610000000001</v>
      </c>
    </row>
    <row r="1116" spans="1:9" x14ac:dyDescent="0.3">
      <c r="A1116" t="s">
        <v>9</v>
      </c>
      <c r="B1116" t="s">
        <v>1124</v>
      </c>
      <c r="C1116">
        <v>4</v>
      </c>
      <c r="D1116">
        <v>5.0000000000000001E-4</v>
      </c>
      <c r="E1116">
        <v>5.9957334838115024</v>
      </c>
      <c r="F1116">
        <v>606.80236069123202</v>
      </c>
      <c r="G1116">
        <v>0.42399999999999999</v>
      </c>
      <c r="H1116">
        <v>0</v>
      </c>
      <c r="I1116">
        <v>398.0061</v>
      </c>
    </row>
    <row r="1117" spans="1:9" x14ac:dyDescent="0.3">
      <c r="A1117" t="s">
        <v>9</v>
      </c>
      <c r="B1117" t="s">
        <v>1125</v>
      </c>
      <c r="C1117">
        <v>4</v>
      </c>
      <c r="D1117">
        <v>-6.9999999999999999E-4</v>
      </c>
      <c r="E1117">
        <v>5.9957334838115024</v>
      </c>
      <c r="F1117">
        <v>606.80236069123202</v>
      </c>
      <c r="G1117">
        <v>0.42399999999999999</v>
      </c>
      <c r="H1117">
        <v>0</v>
      </c>
      <c r="I1117">
        <v>398.2072</v>
      </c>
    </row>
    <row r="1118" spans="1:9" x14ac:dyDescent="0.3">
      <c r="A1118" t="s">
        <v>9</v>
      </c>
      <c r="B1118" t="s">
        <v>1126</v>
      </c>
      <c r="C1118">
        <v>4</v>
      </c>
      <c r="D1118">
        <v>-1.4E-3</v>
      </c>
      <c r="E1118">
        <v>5.9957334838115024</v>
      </c>
      <c r="F1118">
        <v>606.80236069123202</v>
      </c>
      <c r="G1118">
        <v>0.42399999999999999</v>
      </c>
      <c r="H1118">
        <v>0</v>
      </c>
      <c r="I1118">
        <v>398.40809999999999</v>
      </c>
    </row>
    <row r="1119" spans="1:9" x14ac:dyDescent="0.3">
      <c r="A1119" t="s">
        <v>9</v>
      </c>
      <c r="B1119" t="s">
        <v>1127</v>
      </c>
      <c r="C1119">
        <v>4</v>
      </c>
      <c r="D1119">
        <v>-1.5E-3</v>
      </c>
      <c r="E1119">
        <v>5.9957334838115024</v>
      </c>
      <c r="F1119">
        <v>606.80236069123202</v>
      </c>
      <c r="G1119">
        <v>0.42399999999999999</v>
      </c>
      <c r="H1119">
        <v>0</v>
      </c>
      <c r="I1119">
        <v>398.6069</v>
      </c>
    </row>
    <row r="1120" spans="1:9" x14ac:dyDescent="0.3">
      <c r="A1120" t="s">
        <v>9</v>
      </c>
      <c r="B1120" t="s">
        <v>1128</v>
      </c>
      <c r="C1120">
        <v>4</v>
      </c>
      <c r="D1120">
        <v>-1.5E-3</v>
      </c>
      <c r="E1120">
        <v>5.9957334838115024</v>
      </c>
      <c r="F1120">
        <v>606.80236069123202</v>
      </c>
      <c r="G1120">
        <v>0.42399999999999999</v>
      </c>
      <c r="H1120">
        <v>0</v>
      </c>
      <c r="I1120">
        <v>398.8075</v>
      </c>
    </row>
    <row r="1121" spans="1:9" x14ac:dyDescent="0.3">
      <c r="A1121" t="s">
        <v>9</v>
      </c>
      <c r="B1121" t="s">
        <v>1129</v>
      </c>
      <c r="C1121">
        <v>4</v>
      </c>
      <c r="D1121">
        <v>-1.5E-3</v>
      </c>
      <c r="E1121">
        <v>5.9957334838115024</v>
      </c>
      <c r="F1121">
        <v>606.80236069123202</v>
      </c>
      <c r="G1121">
        <v>0.42399999999999999</v>
      </c>
      <c r="H1121">
        <v>0</v>
      </c>
      <c r="I1121">
        <v>399.00619999999998</v>
      </c>
    </row>
    <row r="1122" spans="1:9" x14ac:dyDescent="0.3">
      <c r="A1122" t="s">
        <v>9</v>
      </c>
      <c r="B1122" t="s">
        <v>1130</v>
      </c>
      <c r="C1122">
        <v>4</v>
      </c>
      <c r="D1122">
        <v>-1.5E-3</v>
      </c>
      <c r="E1122">
        <v>5.9957334838115024</v>
      </c>
      <c r="F1122">
        <v>606.80236069123202</v>
      </c>
      <c r="G1122">
        <v>0.42399999999999999</v>
      </c>
      <c r="H1122">
        <v>0</v>
      </c>
      <c r="I1122">
        <v>399.20740000000001</v>
      </c>
    </row>
    <row r="1123" spans="1:9" x14ac:dyDescent="0.3">
      <c r="A1123" t="s">
        <v>9</v>
      </c>
      <c r="B1123" t="s">
        <v>1131</v>
      </c>
      <c r="C1123">
        <v>4</v>
      </c>
      <c r="D1123">
        <v>-1.5E-3</v>
      </c>
      <c r="E1123">
        <v>7.0967609223832184</v>
      </c>
      <c r="F1123">
        <v>813.48261153416752</v>
      </c>
      <c r="G1123">
        <v>0.42399999999999999</v>
      </c>
      <c r="H1123">
        <v>1.7100000000000001E-2</v>
      </c>
      <c r="I1123">
        <v>399.40649999999999</v>
      </c>
    </row>
    <row r="1124" spans="1:9" x14ac:dyDescent="0.3">
      <c r="A1124" t="s">
        <v>9</v>
      </c>
      <c r="B1124" t="s">
        <v>1132</v>
      </c>
      <c r="C1124">
        <v>4</v>
      </c>
      <c r="D1124">
        <v>8.6999999999999994E-3</v>
      </c>
      <c r="E1124">
        <v>7.1808190635580234</v>
      </c>
      <c r="F1124">
        <v>821.45972913165645</v>
      </c>
      <c r="G1124">
        <v>0.42399999999999999</v>
      </c>
      <c r="H1124">
        <v>1.84E-2</v>
      </c>
      <c r="I1124">
        <v>399.6069</v>
      </c>
    </row>
    <row r="1125" spans="1:9" x14ac:dyDescent="0.3">
      <c r="A1125" t="s">
        <v>9</v>
      </c>
      <c r="B1125" t="s">
        <v>1133</v>
      </c>
      <c r="C1125">
        <v>4</v>
      </c>
      <c r="D1125">
        <v>1.55E-2</v>
      </c>
      <c r="E1125">
        <v>7.2651768476170524</v>
      </c>
      <c r="F1125">
        <v>829.46528283885823</v>
      </c>
      <c r="G1125">
        <v>0.42399999999999999</v>
      </c>
      <c r="H1125">
        <v>1.9699999999999999E-2</v>
      </c>
      <c r="I1125">
        <v>399.80650000000003</v>
      </c>
    </row>
    <row r="1126" spans="1:9" x14ac:dyDescent="0.3">
      <c r="A1126" t="s">
        <v>9</v>
      </c>
      <c r="B1126" t="s">
        <v>1134</v>
      </c>
      <c r="C1126">
        <v>4</v>
      </c>
      <c r="D1126">
        <v>1.9E-2</v>
      </c>
      <c r="E1126">
        <v>7.3508982298082044</v>
      </c>
      <c r="F1126">
        <v>837.60024200879866</v>
      </c>
      <c r="G1126">
        <v>0.42399999999999999</v>
      </c>
      <c r="H1126">
        <v>2.1100000000000001E-2</v>
      </c>
      <c r="I1126">
        <v>400.00850000000003</v>
      </c>
    </row>
    <row r="1127" spans="1:9" x14ac:dyDescent="0.3">
      <c r="A1127" t="s">
        <v>9</v>
      </c>
      <c r="B1127" t="s">
        <v>1135</v>
      </c>
      <c r="C1127">
        <v>4</v>
      </c>
      <c r="D1127">
        <v>2.07E-2</v>
      </c>
      <c r="E1127">
        <v>7.4351136936339968</v>
      </c>
      <c r="F1127">
        <v>845.59228952586636</v>
      </c>
      <c r="G1127">
        <v>0.42399999999999999</v>
      </c>
      <c r="H1127">
        <v>2.24E-2</v>
      </c>
      <c r="I1127">
        <v>400.20690000000002</v>
      </c>
    </row>
    <row r="1128" spans="1:9" x14ac:dyDescent="0.3">
      <c r="A1128" t="s">
        <v>9</v>
      </c>
      <c r="B1128" t="s">
        <v>1136</v>
      </c>
      <c r="C1128">
        <v>4</v>
      </c>
      <c r="D1128">
        <v>2.23E-2</v>
      </c>
      <c r="E1128">
        <v>7.5198672171449887</v>
      </c>
      <c r="F1128">
        <v>853.63539890705943</v>
      </c>
      <c r="G1128">
        <v>0.42399999999999999</v>
      </c>
      <c r="H1128">
        <v>2.3699999999999999E-2</v>
      </c>
      <c r="I1128">
        <v>400.40750000000003</v>
      </c>
    </row>
    <row r="1129" spans="1:9" x14ac:dyDescent="0.3">
      <c r="A1129" t="s">
        <v>9</v>
      </c>
      <c r="B1129" t="s">
        <v>1137</v>
      </c>
      <c r="C1129">
        <v>4</v>
      </c>
      <c r="D1129">
        <v>2.35E-2</v>
      </c>
      <c r="E1129">
        <v>7.6031160387028676</v>
      </c>
      <c r="F1129">
        <v>861.53571207290213</v>
      </c>
      <c r="G1129">
        <v>0.42399999999999999</v>
      </c>
      <c r="H1129">
        <v>2.5000000000000001E-2</v>
      </c>
      <c r="I1129">
        <v>400.60610000000003</v>
      </c>
    </row>
    <row r="1130" spans="1:9" x14ac:dyDescent="0.3">
      <c r="A1130" t="s">
        <v>9</v>
      </c>
      <c r="B1130" t="s">
        <v>1138</v>
      </c>
      <c r="C1130">
        <v>4</v>
      </c>
      <c r="D1130">
        <v>2.52E-2</v>
      </c>
      <c r="E1130">
        <v>7.6863470195477488</v>
      </c>
      <c r="F1130">
        <v>869.43433215508139</v>
      </c>
      <c r="G1130">
        <v>0.42399999999999999</v>
      </c>
      <c r="H1130">
        <v>2.63E-2</v>
      </c>
      <c r="I1130">
        <v>400.80709999999999</v>
      </c>
    </row>
    <row r="1131" spans="1:9" x14ac:dyDescent="0.3">
      <c r="A1131" t="s">
        <v>9</v>
      </c>
      <c r="B1131" t="s">
        <v>1139</v>
      </c>
      <c r="C1131">
        <v>4</v>
      </c>
      <c r="D1131">
        <v>2.63E-2</v>
      </c>
      <c r="E1131">
        <v>7.7679723362227771</v>
      </c>
      <c r="F1131">
        <v>877.18057470754161</v>
      </c>
      <c r="G1131">
        <v>0.42399999999999999</v>
      </c>
      <c r="H1131">
        <v>2.75E-2</v>
      </c>
      <c r="I1131">
        <v>401.00740000000002</v>
      </c>
    </row>
    <row r="1132" spans="1:9" x14ac:dyDescent="0.3">
      <c r="A1132" t="s">
        <v>9</v>
      </c>
      <c r="B1132" t="s">
        <v>1140</v>
      </c>
      <c r="C1132">
        <v>4</v>
      </c>
      <c r="D1132">
        <v>2.7799999999999998E-2</v>
      </c>
      <c r="E1132">
        <v>7.8474141929092536</v>
      </c>
      <c r="F1132">
        <v>884.71960690708818</v>
      </c>
      <c r="G1132">
        <v>0.42399999999999999</v>
      </c>
      <c r="H1132">
        <v>2.8799999999999999E-2</v>
      </c>
      <c r="I1132">
        <v>401.20650000000001</v>
      </c>
    </row>
    <row r="1133" spans="1:9" x14ac:dyDescent="0.3">
      <c r="A1133" t="s">
        <v>9</v>
      </c>
      <c r="B1133" t="s">
        <v>1141</v>
      </c>
      <c r="C1133">
        <v>4</v>
      </c>
      <c r="D1133">
        <v>2.9000000000000001E-2</v>
      </c>
      <c r="E1133">
        <v>7.9262713607742867</v>
      </c>
      <c r="F1133">
        <v>892.20315213747983</v>
      </c>
      <c r="G1133">
        <v>0.42399999999999999</v>
      </c>
      <c r="H1133">
        <v>0.03</v>
      </c>
      <c r="I1133">
        <v>401.40910000000002</v>
      </c>
    </row>
    <row r="1134" spans="1:9" x14ac:dyDescent="0.3">
      <c r="A1134" t="s">
        <v>9</v>
      </c>
      <c r="B1134" t="s">
        <v>1142</v>
      </c>
      <c r="C1134">
        <v>4</v>
      </c>
      <c r="D1134">
        <v>2.98E-2</v>
      </c>
      <c r="E1134">
        <v>8.0008621654082077</v>
      </c>
      <c r="F1134">
        <v>899.28181949723898</v>
      </c>
      <c r="G1134">
        <v>0.42399999999999999</v>
      </c>
      <c r="H1134">
        <v>3.1199999999999999E-2</v>
      </c>
      <c r="I1134">
        <v>401.60649999999998</v>
      </c>
    </row>
    <row r="1135" spans="1:9" x14ac:dyDescent="0.3">
      <c r="A1135" t="s">
        <v>9</v>
      </c>
      <c r="B1135" t="s">
        <v>1143</v>
      </c>
      <c r="C1135">
        <v>4</v>
      </c>
      <c r="D1135">
        <v>3.1399999999999997E-2</v>
      </c>
      <c r="E1135">
        <v>8.0747129859234477</v>
      </c>
      <c r="F1135">
        <v>906.29026236413517</v>
      </c>
      <c r="G1135">
        <v>0.42399999999999999</v>
      </c>
      <c r="H1135">
        <v>3.2300000000000002E-2</v>
      </c>
      <c r="I1135">
        <v>401.80889999999999</v>
      </c>
    </row>
    <row r="1136" spans="1:9" x14ac:dyDescent="0.3">
      <c r="A1136" t="s">
        <v>9</v>
      </c>
      <c r="B1136" t="s">
        <v>1144</v>
      </c>
      <c r="C1136">
        <v>4</v>
      </c>
      <c r="D1136">
        <v>3.2500000000000001E-2</v>
      </c>
      <c r="E1136">
        <v>8.1448829429705256</v>
      </c>
      <c r="F1136">
        <v>912.94939128790293</v>
      </c>
      <c r="G1136">
        <v>0.42399999999999999</v>
      </c>
      <c r="H1136">
        <v>3.3399999999999999E-2</v>
      </c>
      <c r="I1136">
        <v>402.00920000000002</v>
      </c>
    </row>
    <row r="1137" spans="1:9" x14ac:dyDescent="0.3">
      <c r="A1137" t="s">
        <v>9</v>
      </c>
      <c r="B1137" t="s">
        <v>1145</v>
      </c>
      <c r="C1137">
        <v>4</v>
      </c>
      <c r="D1137">
        <v>3.3500000000000002E-2</v>
      </c>
      <c r="E1137">
        <v>8.2113671709004379</v>
      </c>
      <c r="F1137">
        <v>919.25874451845164</v>
      </c>
      <c r="G1137">
        <v>0.42399999999999999</v>
      </c>
      <c r="H1137">
        <v>3.44E-2</v>
      </c>
      <c r="I1137">
        <v>402.20780000000002</v>
      </c>
    </row>
    <row r="1138" spans="1:9" x14ac:dyDescent="0.3">
      <c r="A1138" t="s">
        <v>9</v>
      </c>
      <c r="B1138" t="s">
        <v>1146</v>
      </c>
      <c r="C1138">
        <v>4</v>
      </c>
      <c r="D1138">
        <v>3.4700000000000002E-2</v>
      </c>
      <c r="E1138">
        <v>8.2752385453175918</v>
      </c>
      <c r="F1138">
        <v>925.32013795063949</v>
      </c>
      <c r="G1138">
        <v>0.42399999999999999</v>
      </c>
      <c r="H1138">
        <v>3.5400000000000001E-2</v>
      </c>
      <c r="I1138">
        <v>402.40879999999999</v>
      </c>
    </row>
    <row r="1139" spans="1:9" x14ac:dyDescent="0.3">
      <c r="A1139" t="s">
        <v>9</v>
      </c>
      <c r="B1139" t="s">
        <v>1147</v>
      </c>
      <c r="C1139">
        <v>4</v>
      </c>
      <c r="D1139">
        <v>3.5799999999999998E-2</v>
      </c>
      <c r="E1139">
        <v>8.3345163416084151</v>
      </c>
      <c r="F1139">
        <v>930.9456008186387</v>
      </c>
      <c r="G1139">
        <v>0.42399999999999999</v>
      </c>
      <c r="H1139">
        <v>3.6299999999999999E-2</v>
      </c>
      <c r="I1139">
        <v>402.60680000000002</v>
      </c>
    </row>
    <row r="1140" spans="1:9" x14ac:dyDescent="0.3">
      <c r="A1140" t="s">
        <v>9</v>
      </c>
      <c r="B1140" t="s">
        <v>1148</v>
      </c>
      <c r="C1140">
        <v>4</v>
      </c>
      <c r="D1140">
        <v>3.6499999999999998E-2</v>
      </c>
      <c r="E1140">
        <v>8.3909935514292453</v>
      </c>
      <c r="F1140">
        <v>936.30528803063544</v>
      </c>
      <c r="G1140">
        <v>0.42399999999999999</v>
      </c>
      <c r="H1140">
        <v>3.7199999999999997E-2</v>
      </c>
      <c r="I1140">
        <v>402.80840000000001</v>
      </c>
    </row>
    <row r="1141" spans="1:9" x14ac:dyDescent="0.3">
      <c r="A1141" t="s">
        <v>9</v>
      </c>
      <c r="B1141" t="s">
        <v>1149</v>
      </c>
      <c r="C1141">
        <v>4</v>
      </c>
      <c r="D1141">
        <v>3.7100000000000001E-2</v>
      </c>
      <c r="E1141">
        <v>8.4429002949564964</v>
      </c>
      <c r="F1141">
        <v>941.23123799137159</v>
      </c>
      <c r="G1141">
        <v>0.42399999999999999</v>
      </c>
      <c r="H1141">
        <v>3.7999999999999999E-2</v>
      </c>
      <c r="I1141">
        <v>403.0086</v>
      </c>
    </row>
    <row r="1142" spans="1:9" x14ac:dyDescent="0.3">
      <c r="A1142" t="s">
        <v>9</v>
      </c>
      <c r="B1142" t="s">
        <v>1150</v>
      </c>
      <c r="C1142">
        <v>4</v>
      </c>
      <c r="D1142">
        <v>3.8300000000000001E-2</v>
      </c>
      <c r="E1142">
        <v>8.4903878127798986</v>
      </c>
      <c r="F1142">
        <v>945.73780343281248</v>
      </c>
      <c r="G1142">
        <v>0.42399999999999999</v>
      </c>
      <c r="H1142">
        <v>3.8800000000000001E-2</v>
      </c>
      <c r="I1142">
        <v>403.20839999999998</v>
      </c>
    </row>
    <row r="1143" spans="1:9" x14ac:dyDescent="0.3">
      <c r="A1143" t="s">
        <v>9</v>
      </c>
      <c r="B1143" t="s">
        <v>1151</v>
      </c>
      <c r="C1143">
        <v>4</v>
      </c>
      <c r="D1143">
        <v>3.9199999999999999E-2</v>
      </c>
      <c r="E1143">
        <v>8.5337488547809297</v>
      </c>
      <c r="F1143">
        <v>949.85276631871022</v>
      </c>
      <c r="G1143">
        <v>0.42399999999999999</v>
      </c>
      <c r="H1143">
        <v>3.9399999999999998E-2</v>
      </c>
      <c r="I1143">
        <v>403.4101</v>
      </c>
    </row>
    <row r="1144" spans="1:9" x14ac:dyDescent="0.3">
      <c r="A1144" t="s">
        <v>9</v>
      </c>
      <c r="B1144" t="s">
        <v>1152</v>
      </c>
      <c r="C1144">
        <v>4</v>
      </c>
      <c r="D1144">
        <v>3.9699999999999999E-2</v>
      </c>
      <c r="E1144">
        <v>8.5714207366892303</v>
      </c>
      <c r="F1144">
        <v>953.42782791180798</v>
      </c>
      <c r="G1144">
        <v>0.42399999999999999</v>
      </c>
      <c r="H1144">
        <v>0.04</v>
      </c>
      <c r="I1144">
        <v>403.60649999999998</v>
      </c>
    </row>
    <row r="1145" spans="1:9" x14ac:dyDescent="0.3">
      <c r="A1145" t="s">
        <v>9</v>
      </c>
      <c r="B1145" t="s">
        <v>1153</v>
      </c>
      <c r="C1145">
        <v>4</v>
      </c>
      <c r="D1145">
        <v>0.04</v>
      </c>
      <c r="E1145">
        <v>8.6053302555086262</v>
      </c>
      <c r="F1145">
        <v>956.64584124776866</v>
      </c>
      <c r="G1145">
        <v>0.42399999999999999</v>
      </c>
      <c r="H1145">
        <v>4.0500000000000001E-2</v>
      </c>
      <c r="I1145">
        <v>403.80880000000002</v>
      </c>
    </row>
    <row r="1146" spans="1:9" x14ac:dyDescent="0.3">
      <c r="A1146" t="s">
        <v>9</v>
      </c>
      <c r="B1146" t="s">
        <v>1154</v>
      </c>
      <c r="C1146">
        <v>4</v>
      </c>
      <c r="D1146">
        <v>4.1399999999999999E-2</v>
      </c>
      <c r="E1146">
        <v>8.633657253042534</v>
      </c>
      <c r="F1146">
        <v>959.33407331373655</v>
      </c>
      <c r="G1146">
        <v>0.42399999999999999</v>
      </c>
      <c r="H1146">
        <v>4.1000000000000002E-2</v>
      </c>
      <c r="I1146">
        <v>404.00709999999998</v>
      </c>
    </row>
    <row r="1147" spans="1:9" x14ac:dyDescent="0.3">
      <c r="A1147" t="s">
        <v>9</v>
      </c>
      <c r="B1147" t="s">
        <v>1155</v>
      </c>
      <c r="C1147">
        <v>4</v>
      </c>
      <c r="D1147">
        <v>4.24E-2</v>
      </c>
      <c r="E1147">
        <v>8.6573391776648645</v>
      </c>
      <c r="F1147">
        <v>961.58148796039563</v>
      </c>
      <c r="G1147">
        <v>0.42399999999999999</v>
      </c>
      <c r="H1147">
        <v>4.1399999999999999E-2</v>
      </c>
      <c r="I1147">
        <v>404.2088</v>
      </c>
    </row>
    <row r="1148" spans="1:9" x14ac:dyDescent="0.3">
      <c r="A1148" t="s">
        <v>9</v>
      </c>
      <c r="B1148" t="s">
        <v>1156</v>
      </c>
      <c r="C1148">
        <v>4</v>
      </c>
      <c r="D1148">
        <v>4.2700000000000002E-2</v>
      </c>
      <c r="E1148">
        <v>8.6756202318976925</v>
      </c>
      <c r="F1148">
        <v>963.31636000709102</v>
      </c>
      <c r="G1148">
        <v>0.42399999999999999</v>
      </c>
      <c r="H1148">
        <v>4.1599999999999998E-2</v>
      </c>
      <c r="I1148">
        <v>404.40870000000001</v>
      </c>
    </row>
    <row r="1149" spans="1:9" x14ac:dyDescent="0.3">
      <c r="A1149" t="s">
        <v>9</v>
      </c>
      <c r="B1149" t="s">
        <v>1157</v>
      </c>
      <c r="C1149">
        <v>4</v>
      </c>
      <c r="D1149">
        <v>4.2900000000000001E-2</v>
      </c>
      <c r="E1149">
        <v>8.688601377957756</v>
      </c>
      <c r="F1149">
        <v>964.54827076819106</v>
      </c>
      <c r="G1149">
        <v>0.42399999999999999</v>
      </c>
      <c r="H1149">
        <v>4.1799999999999997E-2</v>
      </c>
      <c r="I1149">
        <v>404.60730000000001</v>
      </c>
    </row>
    <row r="1150" spans="1:9" x14ac:dyDescent="0.3">
      <c r="A1150" t="s">
        <v>9</v>
      </c>
      <c r="B1150" t="s">
        <v>1158</v>
      </c>
      <c r="C1150">
        <v>4</v>
      </c>
      <c r="D1150">
        <v>4.2999999999999997E-2</v>
      </c>
      <c r="E1150">
        <v>8.6963783069420426</v>
      </c>
      <c r="F1150">
        <v>965.28630132879994</v>
      </c>
      <c r="G1150">
        <v>0.42399999999999999</v>
      </c>
      <c r="H1150">
        <v>4.2000000000000003E-2</v>
      </c>
      <c r="I1150">
        <v>404.8066</v>
      </c>
    </row>
    <row r="1151" spans="1:9" x14ac:dyDescent="0.3">
      <c r="A1151" t="s">
        <v>9</v>
      </c>
      <c r="B1151" t="s">
        <v>1159</v>
      </c>
      <c r="C1151">
        <v>4</v>
      </c>
      <c r="D1151">
        <v>4.2999999999999997E-2</v>
      </c>
      <c r="E1151">
        <v>8.6988687082883143</v>
      </c>
      <c r="F1151">
        <v>965.5226404165611</v>
      </c>
      <c r="G1151">
        <v>0.42399999999999999</v>
      </c>
      <c r="H1151">
        <v>4.2000000000000003E-2</v>
      </c>
      <c r="I1151">
        <v>405.00709999999998</v>
      </c>
    </row>
    <row r="1152" spans="1:9" x14ac:dyDescent="0.3">
      <c r="A1152" t="s">
        <v>9</v>
      </c>
      <c r="B1152" t="s">
        <v>1160</v>
      </c>
      <c r="C1152">
        <v>4</v>
      </c>
      <c r="D1152">
        <v>4.2999999999999997E-2</v>
      </c>
      <c r="E1152">
        <v>8.695989865963579</v>
      </c>
      <c r="F1152">
        <v>858.46625550780561</v>
      </c>
      <c r="G1152">
        <v>0.42399999999999999</v>
      </c>
      <c r="H1152">
        <v>4.2000000000000003E-2</v>
      </c>
      <c r="I1152">
        <v>405.2079</v>
      </c>
    </row>
    <row r="1153" spans="1:9" x14ac:dyDescent="0.3">
      <c r="A1153" t="s">
        <v>9</v>
      </c>
      <c r="B1153" t="s">
        <v>1161</v>
      </c>
      <c r="C1153">
        <v>4</v>
      </c>
      <c r="D1153">
        <v>4.2099999999999999E-2</v>
      </c>
      <c r="E1153">
        <v>8.6877648918005814</v>
      </c>
      <c r="F1153">
        <v>857.69968791581425</v>
      </c>
      <c r="G1153">
        <v>0.42399999999999999</v>
      </c>
      <c r="H1153">
        <v>4.1799999999999997E-2</v>
      </c>
      <c r="I1153">
        <v>405.40839999999997</v>
      </c>
    </row>
    <row r="1154" spans="1:9" x14ac:dyDescent="0.3">
      <c r="A1154" t="s">
        <v>9</v>
      </c>
      <c r="B1154" t="s">
        <v>1162</v>
      </c>
      <c r="C1154">
        <v>4</v>
      </c>
      <c r="D1154">
        <v>4.1799999999999997E-2</v>
      </c>
      <c r="E1154">
        <v>8.6742866386010657</v>
      </c>
      <c r="F1154">
        <v>856.44351471761934</v>
      </c>
      <c r="G1154">
        <v>0.42399999999999999</v>
      </c>
      <c r="H1154">
        <v>4.1599999999999998E-2</v>
      </c>
      <c r="I1154">
        <v>405.608</v>
      </c>
    </row>
    <row r="1155" spans="1:9" x14ac:dyDescent="0.3">
      <c r="A1155" t="s">
        <v>9</v>
      </c>
      <c r="B1155" t="s">
        <v>1163</v>
      </c>
      <c r="C1155">
        <v>4</v>
      </c>
      <c r="D1155">
        <v>4.1500000000000002E-2</v>
      </c>
      <c r="E1155">
        <v>8.6556467427545218</v>
      </c>
      <c r="F1155">
        <v>854.70627642472141</v>
      </c>
      <c r="G1155">
        <v>0.42399999999999999</v>
      </c>
      <c r="H1155">
        <v>4.1300000000000003E-2</v>
      </c>
      <c r="I1155">
        <v>405.80720000000002</v>
      </c>
    </row>
    <row r="1156" spans="1:9" x14ac:dyDescent="0.3">
      <c r="A1156" t="s">
        <v>9</v>
      </c>
      <c r="B1156" t="s">
        <v>1164</v>
      </c>
      <c r="C1156">
        <v>4</v>
      </c>
      <c r="D1156">
        <v>4.1000000000000002E-2</v>
      </c>
      <c r="E1156">
        <v>8.6316055710477233</v>
      </c>
      <c r="F1156">
        <v>852.46563922164785</v>
      </c>
      <c r="G1156">
        <v>0.42399999999999999</v>
      </c>
      <c r="H1156">
        <v>4.1000000000000002E-2</v>
      </c>
      <c r="I1156">
        <v>406.00850000000003</v>
      </c>
    </row>
    <row r="1157" spans="1:9" x14ac:dyDescent="0.3">
      <c r="A1157" t="s">
        <v>9</v>
      </c>
      <c r="B1157" t="s">
        <v>1165</v>
      </c>
      <c r="C1157">
        <v>4</v>
      </c>
      <c r="D1157">
        <v>4.1000000000000002E-2</v>
      </c>
      <c r="E1157">
        <v>8.602595355300128</v>
      </c>
      <c r="F1157">
        <v>849.76188711397197</v>
      </c>
      <c r="G1157">
        <v>0.42399999999999999</v>
      </c>
      <c r="H1157">
        <v>4.0500000000000001E-2</v>
      </c>
      <c r="I1157">
        <v>406.20870000000002</v>
      </c>
    </row>
    <row r="1158" spans="1:9" x14ac:dyDescent="0.3">
      <c r="A1158" t="s">
        <v>9</v>
      </c>
      <c r="B1158" t="s">
        <v>1166</v>
      </c>
      <c r="C1158">
        <v>4</v>
      </c>
      <c r="D1158">
        <v>4.1000000000000002E-2</v>
      </c>
      <c r="E1158">
        <v>8.5688755967917132</v>
      </c>
      <c r="F1158">
        <v>846.61920562098771</v>
      </c>
      <c r="G1158">
        <v>0.42399999999999999</v>
      </c>
      <c r="H1158">
        <v>0.04</v>
      </c>
      <c r="I1158">
        <v>406.40750000000003</v>
      </c>
    </row>
    <row r="1159" spans="1:9" x14ac:dyDescent="0.3">
      <c r="A1159" t="s">
        <v>9</v>
      </c>
      <c r="B1159" t="s">
        <v>1167</v>
      </c>
      <c r="C1159">
        <v>4</v>
      </c>
      <c r="D1159">
        <v>4.0800000000000003E-2</v>
      </c>
      <c r="E1159">
        <v>8.5298774200602843</v>
      </c>
      <c r="F1159">
        <v>842.98457554961851</v>
      </c>
      <c r="G1159">
        <v>0.42399999999999999</v>
      </c>
      <c r="H1159">
        <v>3.9399999999999998E-2</v>
      </c>
      <c r="I1159">
        <v>406.60879999999997</v>
      </c>
    </row>
    <row r="1160" spans="1:9" x14ac:dyDescent="0.3">
      <c r="A1160" t="s">
        <v>9</v>
      </c>
      <c r="B1160" t="s">
        <v>1168</v>
      </c>
      <c r="C1160">
        <v>4</v>
      </c>
      <c r="D1160">
        <v>4.0099999999999997E-2</v>
      </c>
      <c r="E1160">
        <v>8.4869104956282175</v>
      </c>
      <c r="F1160">
        <v>838.9800581925499</v>
      </c>
      <c r="G1160">
        <v>0.42399999999999999</v>
      </c>
      <c r="H1160">
        <v>3.8699999999999998E-2</v>
      </c>
      <c r="I1160">
        <v>406.80680000000001</v>
      </c>
    </row>
    <row r="1161" spans="1:9" x14ac:dyDescent="0.3">
      <c r="A1161" t="s">
        <v>9</v>
      </c>
      <c r="B1161" t="s">
        <v>1169</v>
      </c>
      <c r="C1161">
        <v>4</v>
      </c>
      <c r="D1161">
        <v>3.9899999999999998E-2</v>
      </c>
      <c r="E1161">
        <v>8.4390316985310996</v>
      </c>
      <c r="F1161">
        <v>834.51775430309851</v>
      </c>
      <c r="G1161">
        <v>0.42399999999999999</v>
      </c>
      <c r="H1161">
        <v>3.7999999999999999E-2</v>
      </c>
      <c r="I1161">
        <v>407.0068</v>
      </c>
    </row>
    <row r="1162" spans="1:9" x14ac:dyDescent="0.3">
      <c r="A1162" t="s">
        <v>9</v>
      </c>
      <c r="B1162" t="s">
        <v>1170</v>
      </c>
      <c r="C1162">
        <v>4</v>
      </c>
      <c r="D1162">
        <v>3.9199999999999999E-2</v>
      </c>
      <c r="E1162">
        <v>8.3866124399758988</v>
      </c>
      <c r="F1162">
        <v>829.63227940575382</v>
      </c>
      <c r="G1162">
        <v>0.42399999999999999</v>
      </c>
      <c r="H1162">
        <v>3.7100000000000001E-2</v>
      </c>
      <c r="I1162">
        <v>407.20769999999999</v>
      </c>
    </row>
    <row r="1163" spans="1:9" x14ac:dyDescent="0.3">
      <c r="A1163" t="s">
        <v>9</v>
      </c>
      <c r="B1163" t="s">
        <v>1171</v>
      </c>
      <c r="C1163">
        <v>4</v>
      </c>
      <c r="D1163">
        <v>3.9199999999999999E-2</v>
      </c>
      <c r="E1163">
        <v>8.3305025866545339</v>
      </c>
      <c r="F1163">
        <v>824.40284107620255</v>
      </c>
      <c r="G1163">
        <v>0.42399999999999999</v>
      </c>
      <c r="H1163">
        <v>3.6299999999999999E-2</v>
      </c>
      <c r="I1163">
        <v>407.40699999999998</v>
      </c>
    </row>
    <row r="1164" spans="1:9" x14ac:dyDescent="0.3">
      <c r="A1164" t="s">
        <v>9</v>
      </c>
      <c r="B1164" t="s">
        <v>1172</v>
      </c>
      <c r="C1164">
        <v>4</v>
      </c>
      <c r="D1164">
        <v>3.9E-2</v>
      </c>
      <c r="E1164">
        <v>8.2700631166650673</v>
      </c>
      <c r="F1164">
        <v>818.76988247318434</v>
      </c>
      <c r="G1164">
        <v>0.42399999999999999</v>
      </c>
      <c r="H1164">
        <v>3.5299999999999998E-2</v>
      </c>
      <c r="I1164">
        <v>407.60789999999997</v>
      </c>
    </row>
    <row r="1165" spans="1:9" x14ac:dyDescent="0.3">
      <c r="A1165" t="s">
        <v>9</v>
      </c>
      <c r="B1165" t="s">
        <v>1173</v>
      </c>
      <c r="C1165">
        <v>4</v>
      </c>
      <c r="D1165">
        <v>3.7400000000000003E-2</v>
      </c>
      <c r="E1165">
        <v>8.206548151037131</v>
      </c>
      <c r="F1165">
        <v>812.85028767666063</v>
      </c>
      <c r="G1165">
        <v>0.42399999999999999</v>
      </c>
      <c r="H1165">
        <v>3.44E-2</v>
      </c>
      <c r="I1165">
        <v>407.80689999999998</v>
      </c>
    </row>
    <row r="1166" spans="1:9" x14ac:dyDescent="0.3">
      <c r="A1166" t="s">
        <v>9</v>
      </c>
      <c r="B1166" t="s">
        <v>1174</v>
      </c>
      <c r="C1166">
        <v>4</v>
      </c>
      <c r="D1166">
        <v>3.6200000000000003E-2</v>
      </c>
      <c r="E1166">
        <v>8.1393738118907795</v>
      </c>
      <c r="F1166">
        <v>806.58963926822071</v>
      </c>
      <c r="G1166">
        <v>0.42399999999999999</v>
      </c>
      <c r="H1166">
        <v>3.3300000000000003E-2</v>
      </c>
      <c r="I1166">
        <v>408.0068</v>
      </c>
    </row>
    <row r="1167" spans="1:9" x14ac:dyDescent="0.3">
      <c r="A1167" t="s">
        <v>9</v>
      </c>
      <c r="B1167" t="s">
        <v>1175</v>
      </c>
      <c r="C1167">
        <v>4</v>
      </c>
      <c r="D1167">
        <v>3.5099999999999999E-2</v>
      </c>
      <c r="E1167">
        <v>8.0689017791349809</v>
      </c>
      <c r="F1167">
        <v>800.02164581538023</v>
      </c>
      <c r="G1167">
        <v>0.42399999999999999</v>
      </c>
      <c r="H1167">
        <v>3.2199999999999999E-2</v>
      </c>
      <c r="I1167">
        <v>408.2072</v>
      </c>
    </row>
    <row r="1168" spans="1:9" x14ac:dyDescent="0.3">
      <c r="A1168" t="s">
        <v>9</v>
      </c>
      <c r="B1168" t="s">
        <v>1176</v>
      </c>
      <c r="C1168">
        <v>4</v>
      </c>
      <c r="D1168">
        <v>3.39E-2</v>
      </c>
      <c r="E1168">
        <v>7.9958594672951664</v>
      </c>
      <c r="F1168">
        <v>793.21410235190945</v>
      </c>
      <c r="G1168">
        <v>0.42399999999999999</v>
      </c>
      <c r="H1168">
        <v>3.1099999999999999E-2</v>
      </c>
      <c r="I1168">
        <v>408.40690000000001</v>
      </c>
    </row>
    <row r="1169" spans="1:9" x14ac:dyDescent="0.3">
      <c r="A1169" t="s">
        <v>9</v>
      </c>
      <c r="B1169" t="s">
        <v>1177</v>
      </c>
      <c r="C1169">
        <v>4</v>
      </c>
      <c r="D1169">
        <v>3.2800000000000003E-2</v>
      </c>
      <c r="E1169">
        <v>7.9195206782581558</v>
      </c>
      <c r="F1169">
        <v>786.0993272136601</v>
      </c>
      <c r="G1169">
        <v>0.42399999999999999</v>
      </c>
      <c r="H1169">
        <v>2.9899999999999999E-2</v>
      </c>
      <c r="I1169">
        <v>408.60849999999999</v>
      </c>
    </row>
    <row r="1170" spans="1:9" x14ac:dyDescent="0.3">
      <c r="A1170" t="s">
        <v>9</v>
      </c>
      <c r="B1170" t="s">
        <v>1178</v>
      </c>
      <c r="C1170">
        <v>4</v>
      </c>
      <c r="D1170">
        <v>3.1099999999999999E-2</v>
      </c>
      <c r="E1170">
        <v>7.8413098307685631</v>
      </c>
      <c r="F1170">
        <v>778.81007622763013</v>
      </c>
      <c r="G1170">
        <v>0.42399999999999999</v>
      </c>
      <c r="H1170">
        <v>2.87E-2</v>
      </c>
      <c r="I1170">
        <v>408.80889999999999</v>
      </c>
    </row>
    <row r="1171" spans="1:9" x14ac:dyDescent="0.3">
      <c r="A1171" t="s">
        <v>9</v>
      </c>
      <c r="B1171" t="s">
        <v>1179</v>
      </c>
      <c r="C1171">
        <v>4</v>
      </c>
      <c r="D1171">
        <v>0.03</v>
      </c>
      <c r="E1171">
        <v>7.7619450135245778</v>
      </c>
      <c r="F1171">
        <v>771.41327526049065</v>
      </c>
      <c r="G1171">
        <v>0.42399999999999999</v>
      </c>
      <c r="H1171">
        <v>2.7400000000000001E-2</v>
      </c>
      <c r="I1171">
        <v>409.00740000000002</v>
      </c>
    </row>
    <row r="1172" spans="1:9" x14ac:dyDescent="0.3">
      <c r="A1172" t="s">
        <v>9</v>
      </c>
      <c r="B1172" t="s">
        <v>1180</v>
      </c>
      <c r="C1172">
        <v>4</v>
      </c>
      <c r="D1172">
        <v>2.9100000000000001E-2</v>
      </c>
      <c r="E1172">
        <v>7.6805682504192774</v>
      </c>
      <c r="F1172">
        <v>763.82896093907664</v>
      </c>
      <c r="G1172">
        <v>0.42399999999999999</v>
      </c>
      <c r="H1172">
        <v>2.6200000000000001E-2</v>
      </c>
      <c r="I1172">
        <v>409.20690000000002</v>
      </c>
    </row>
    <row r="1173" spans="1:9" x14ac:dyDescent="0.3">
      <c r="A1173" t="s">
        <v>9</v>
      </c>
      <c r="B1173" t="s">
        <v>1181</v>
      </c>
      <c r="C1173">
        <v>4</v>
      </c>
      <c r="D1173">
        <v>2.7699999999999999E-2</v>
      </c>
      <c r="E1173">
        <v>7.5972144119371574</v>
      </c>
      <c r="F1173">
        <v>756.06038319254299</v>
      </c>
      <c r="G1173">
        <v>0.42399999999999999</v>
      </c>
      <c r="H1173">
        <v>2.4899999999999999E-2</v>
      </c>
      <c r="I1173">
        <v>409.40800000000002</v>
      </c>
    </row>
    <row r="1174" spans="1:9" x14ac:dyDescent="0.3">
      <c r="A1174" t="s">
        <v>9</v>
      </c>
      <c r="B1174" t="s">
        <v>1182</v>
      </c>
      <c r="C1174">
        <v>4</v>
      </c>
      <c r="D1174">
        <v>2.5499999999999998E-2</v>
      </c>
      <c r="E1174">
        <v>7.5129044734266257</v>
      </c>
      <c r="F1174">
        <v>748.20269692336149</v>
      </c>
      <c r="G1174">
        <v>0.42399999999999999</v>
      </c>
      <c r="H1174">
        <v>2.3599999999999999E-2</v>
      </c>
      <c r="I1174">
        <v>409.60899999999998</v>
      </c>
    </row>
    <row r="1175" spans="1:9" x14ac:dyDescent="0.3">
      <c r="A1175" t="s">
        <v>9</v>
      </c>
      <c r="B1175" t="s">
        <v>1183</v>
      </c>
      <c r="C1175">
        <v>4</v>
      </c>
      <c r="D1175">
        <v>2.4500000000000001E-2</v>
      </c>
      <c r="E1175">
        <v>7.4283666603546141</v>
      </c>
      <c r="F1175">
        <v>740.32377274505006</v>
      </c>
      <c r="G1175">
        <v>0.42399999999999999</v>
      </c>
      <c r="H1175">
        <v>2.23E-2</v>
      </c>
      <c r="I1175">
        <v>409.80889999999999</v>
      </c>
    </row>
    <row r="1176" spans="1:9" x14ac:dyDescent="0.3">
      <c r="A1176" t="s">
        <v>9</v>
      </c>
      <c r="B1176" t="s">
        <v>1184</v>
      </c>
      <c r="C1176">
        <v>4</v>
      </c>
      <c r="D1176">
        <v>2.3E-2</v>
      </c>
      <c r="E1176">
        <v>7.3439837371090881</v>
      </c>
      <c r="F1176">
        <v>732.45928429856701</v>
      </c>
      <c r="G1176">
        <v>0.42399999999999999</v>
      </c>
      <c r="H1176">
        <v>2.0899999999999998E-2</v>
      </c>
      <c r="I1176">
        <v>410.00779999999997</v>
      </c>
    </row>
    <row r="1177" spans="1:9" x14ac:dyDescent="0.3">
      <c r="A1177" t="s">
        <v>9</v>
      </c>
      <c r="B1177" t="s">
        <v>1185</v>
      </c>
      <c r="C1177">
        <v>4</v>
      </c>
      <c r="D1177">
        <v>2.1700000000000001E-2</v>
      </c>
      <c r="E1177">
        <v>7.2590165305128647</v>
      </c>
      <c r="F1177">
        <v>724.54034064379903</v>
      </c>
      <c r="G1177">
        <v>0.42399999999999999</v>
      </c>
      <c r="H1177">
        <v>1.9599999999999999E-2</v>
      </c>
      <c r="I1177">
        <v>410.20800000000003</v>
      </c>
    </row>
    <row r="1178" spans="1:9" x14ac:dyDescent="0.3">
      <c r="A1178" t="s">
        <v>9</v>
      </c>
      <c r="B1178" t="s">
        <v>1186</v>
      </c>
      <c r="C1178">
        <v>4</v>
      </c>
      <c r="D1178">
        <v>1.9599999999999999E-2</v>
      </c>
      <c r="E1178">
        <v>7.1747057810608323</v>
      </c>
      <c r="F1178">
        <v>716.68257879486964</v>
      </c>
      <c r="G1178">
        <v>0.42399999999999999</v>
      </c>
      <c r="H1178">
        <v>1.83E-2</v>
      </c>
      <c r="I1178">
        <v>410.4076</v>
      </c>
    </row>
    <row r="1179" spans="1:9" x14ac:dyDescent="0.3">
      <c r="A1179" t="s">
        <v>9</v>
      </c>
      <c r="B1179" t="s">
        <v>1187</v>
      </c>
      <c r="C1179">
        <v>4</v>
      </c>
      <c r="D1179">
        <v>1.8599999999999998E-2</v>
      </c>
      <c r="E1179">
        <v>7.0903844893693009</v>
      </c>
      <c r="F1179">
        <v>708.82383440921888</v>
      </c>
      <c r="G1179">
        <v>0.42399999999999999</v>
      </c>
      <c r="H1179">
        <v>1.7000000000000001E-2</v>
      </c>
      <c r="I1179">
        <v>410.60879999999997</v>
      </c>
    </row>
    <row r="1180" spans="1:9" x14ac:dyDescent="0.3">
      <c r="A1180" t="s">
        <v>9</v>
      </c>
      <c r="B1180" t="s">
        <v>1188</v>
      </c>
      <c r="C1180">
        <v>4</v>
      </c>
      <c r="D1180">
        <v>1.6899999999999998E-2</v>
      </c>
      <c r="E1180">
        <v>7.0082665257330694</v>
      </c>
      <c r="F1180">
        <v>701.17044019832201</v>
      </c>
      <c r="G1180">
        <v>0.42399999999999999</v>
      </c>
      <c r="H1180">
        <v>1.5699999999999999E-2</v>
      </c>
      <c r="I1180">
        <v>410.80709999999999</v>
      </c>
    </row>
    <row r="1181" spans="1:9" x14ac:dyDescent="0.3">
      <c r="A1181" t="s">
        <v>9</v>
      </c>
      <c r="B1181" t="s">
        <v>1189</v>
      </c>
      <c r="C1181">
        <v>4</v>
      </c>
      <c r="D1181">
        <v>1.5900000000000001E-2</v>
      </c>
      <c r="E1181">
        <v>6.9261120697293386</v>
      </c>
      <c r="F1181">
        <v>693.51364489877437</v>
      </c>
      <c r="G1181">
        <v>0.42399999999999999</v>
      </c>
      <c r="H1181">
        <v>1.4500000000000001E-2</v>
      </c>
      <c r="I1181">
        <v>411.00880000000001</v>
      </c>
    </row>
    <row r="1182" spans="1:9" x14ac:dyDescent="0.3">
      <c r="A1182" t="s">
        <v>9</v>
      </c>
      <c r="B1182" t="s">
        <v>1190</v>
      </c>
      <c r="C1182">
        <v>4</v>
      </c>
      <c r="D1182">
        <v>1.41E-2</v>
      </c>
      <c r="E1182">
        <v>6.8467010288198562</v>
      </c>
      <c r="F1182">
        <v>686.11253588601062</v>
      </c>
      <c r="G1182">
        <v>0.42399999999999999</v>
      </c>
      <c r="H1182">
        <v>1.32E-2</v>
      </c>
      <c r="I1182">
        <v>411.20769999999999</v>
      </c>
    </row>
    <row r="1183" spans="1:9" x14ac:dyDescent="0.3">
      <c r="A1183" t="s">
        <v>9</v>
      </c>
      <c r="B1183" t="s">
        <v>1191</v>
      </c>
      <c r="C1183">
        <v>4</v>
      </c>
      <c r="D1183">
        <v>1.26E-2</v>
      </c>
      <c r="E1183">
        <v>6.768984855645221</v>
      </c>
      <c r="F1183">
        <v>678.86938854613459</v>
      </c>
      <c r="G1183">
        <v>0.42399999999999999</v>
      </c>
      <c r="H1183">
        <v>1.2E-2</v>
      </c>
      <c r="I1183">
        <v>411.4074</v>
      </c>
    </row>
    <row r="1184" spans="1:9" x14ac:dyDescent="0.3">
      <c r="A1184" t="s">
        <v>9</v>
      </c>
      <c r="B1184" t="s">
        <v>1192</v>
      </c>
      <c r="C1184">
        <v>4</v>
      </c>
      <c r="D1184">
        <v>1.14E-2</v>
      </c>
      <c r="E1184">
        <v>6.6935429679071259</v>
      </c>
      <c r="F1184">
        <v>671.83820460894412</v>
      </c>
      <c r="G1184">
        <v>0.42399999999999999</v>
      </c>
      <c r="H1184">
        <v>1.0800000000000001E-2</v>
      </c>
      <c r="I1184">
        <v>411.6071</v>
      </c>
    </row>
    <row r="1185" spans="1:9" x14ac:dyDescent="0.3">
      <c r="A1185" t="s">
        <v>9</v>
      </c>
      <c r="B1185" t="s">
        <v>1193</v>
      </c>
      <c r="C1185">
        <v>4</v>
      </c>
      <c r="D1185">
        <v>1.04E-2</v>
      </c>
      <c r="E1185">
        <v>6.6205866158663049</v>
      </c>
      <c r="F1185">
        <v>665.03867259873959</v>
      </c>
      <c r="G1185">
        <v>0.42399999999999999</v>
      </c>
      <c r="H1185">
        <v>9.7000000000000003E-3</v>
      </c>
      <c r="I1185">
        <v>411.80700000000002</v>
      </c>
    </row>
    <row r="1186" spans="1:9" x14ac:dyDescent="0.3">
      <c r="A1186" t="s">
        <v>9</v>
      </c>
      <c r="B1186" t="s">
        <v>1194</v>
      </c>
      <c r="C1186">
        <v>4</v>
      </c>
      <c r="D1186">
        <v>9.1000000000000004E-3</v>
      </c>
      <c r="E1186">
        <v>6.5496961372965448</v>
      </c>
      <c r="F1186">
        <v>658.43167999603804</v>
      </c>
      <c r="G1186">
        <v>0.42399999999999999</v>
      </c>
      <c r="H1186">
        <v>8.6E-3</v>
      </c>
      <c r="I1186">
        <v>412.00920000000002</v>
      </c>
    </row>
    <row r="1187" spans="1:9" x14ac:dyDescent="0.3">
      <c r="A1187" t="s">
        <v>9</v>
      </c>
      <c r="B1187" t="s">
        <v>1195</v>
      </c>
      <c r="C1187">
        <v>4</v>
      </c>
      <c r="D1187">
        <v>8.0000000000000002E-3</v>
      </c>
      <c r="E1187">
        <v>6.4829118610116589</v>
      </c>
      <c r="F1187">
        <v>652.20738544628659</v>
      </c>
      <c r="G1187">
        <v>0.42399999999999999</v>
      </c>
      <c r="H1187">
        <v>7.6E-3</v>
      </c>
      <c r="I1187">
        <v>412.2088</v>
      </c>
    </row>
    <row r="1188" spans="1:9" x14ac:dyDescent="0.3">
      <c r="A1188" t="s">
        <v>9</v>
      </c>
      <c r="B1188" t="s">
        <v>1196</v>
      </c>
      <c r="C1188">
        <v>4</v>
      </c>
      <c r="D1188">
        <v>6.3E-3</v>
      </c>
      <c r="E1188">
        <v>6.4192679556852337</v>
      </c>
      <c r="F1188">
        <v>646.27577346986379</v>
      </c>
      <c r="G1188">
        <v>0.42399999999999999</v>
      </c>
      <c r="H1188">
        <v>6.6E-3</v>
      </c>
      <c r="I1188">
        <v>412.40910000000002</v>
      </c>
    </row>
    <row r="1189" spans="1:9" x14ac:dyDescent="0.3">
      <c r="A1189" t="s">
        <v>9</v>
      </c>
      <c r="B1189" t="s">
        <v>1197</v>
      </c>
      <c r="C1189">
        <v>4</v>
      </c>
      <c r="D1189">
        <v>4.8999999999999998E-3</v>
      </c>
      <c r="E1189">
        <v>6.3595248006146763</v>
      </c>
      <c r="F1189">
        <v>640.7077114172879</v>
      </c>
      <c r="G1189">
        <v>0.42399999999999999</v>
      </c>
      <c r="H1189">
        <v>5.7000000000000002E-3</v>
      </c>
      <c r="I1189">
        <v>412.6087</v>
      </c>
    </row>
    <row r="1190" spans="1:9" x14ac:dyDescent="0.3">
      <c r="A1190" t="s">
        <v>9</v>
      </c>
      <c r="B1190" t="s">
        <v>1198</v>
      </c>
      <c r="C1190">
        <v>4</v>
      </c>
      <c r="D1190">
        <v>4.5999999999999999E-3</v>
      </c>
      <c r="E1190">
        <v>6.3036240891061457</v>
      </c>
      <c r="F1190">
        <v>635.4977651046928</v>
      </c>
      <c r="G1190">
        <v>0.42399999999999999</v>
      </c>
      <c r="H1190">
        <v>4.7999999999999996E-3</v>
      </c>
      <c r="I1190">
        <v>412.80840000000001</v>
      </c>
    </row>
    <row r="1191" spans="1:9" x14ac:dyDescent="0.3">
      <c r="A1191" t="s">
        <v>9</v>
      </c>
      <c r="B1191" t="s">
        <v>1199</v>
      </c>
      <c r="C1191">
        <v>4</v>
      </c>
      <c r="D1191">
        <v>3.3E-3</v>
      </c>
      <c r="E1191">
        <v>6.2514081335849738</v>
      </c>
      <c r="F1191">
        <v>630.63123805011958</v>
      </c>
      <c r="G1191">
        <v>0.42399999999999999</v>
      </c>
      <c r="H1191">
        <v>4.0000000000000001E-3</v>
      </c>
      <c r="I1191">
        <v>413.00979999999998</v>
      </c>
    </row>
    <row r="1192" spans="1:9" x14ac:dyDescent="0.3">
      <c r="A1192" t="s">
        <v>9</v>
      </c>
      <c r="B1192" t="s">
        <v>1200</v>
      </c>
      <c r="C1192">
        <v>4</v>
      </c>
      <c r="D1192">
        <v>2.3999999999999998E-3</v>
      </c>
      <c r="E1192">
        <v>6.2043817576455043</v>
      </c>
      <c r="F1192">
        <v>626.24837981256098</v>
      </c>
      <c r="G1192">
        <v>0.42399999999999999</v>
      </c>
      <c r="H1192">
        <v>3.2000000000000002E-3</v>
      </c>
      <c r="I1192">
        <v>413.20769999999999</v>
      </c>
    </row>
    <row r="1193" spans="1:9" x14ac:dyDescent="0.3">
      <c r="A1193" t="s">
        <v>9</v>
      </c>
      <c r="B1193" t="s">
        <v>1201</v>
      </c>
      <c r="C1193">
        <v>4</v>
      </c>
      <c r="D1193">
        <v>1.6999999999999999E-3</v>
      </c>
      <c r="E1193">
        <v>6.1612758378403498</v>
      </c>
      <c r="F1193">
        <v>622.23090808672066</v>
      </c>
      <c r="G1193">
        <v>0.42399999999999999</v>
      </c>
      <c r="H1193">
        <v>2.5999999999999999E-3</v>
      </c>
      <c r="I1193">
        <v>413.40800000000002</v>
      </c>
    </row>
    <row r="1194" spans="1:9" x14ac:dyDescent="0.3">
      <c r="A1194" t="s">
        <v>9</v>
      </c>
      <c r="B1194" t="s">
        <v>1202</v>
      </c>
      <c r="C1194">
        <v>4</v>
      </c>
      <c r="D1194">
        <v>8.9999999999999998E-4</v>
      </c>
      <c r="E1194">
        <v>6.1226989452181302</v>
      </c>
      <c r="F1194">
        <v>618.63554169432973</v>
      </c>
      <c r="G1194">
        <v>0.42399999999999999</v>
      </c>
      <c r="H1194">
        <v>2E-3</v>
      </c>
      <c r="I1194">
        <v>413.60919999999999</v>
      </c>
    </row>
    <row r="1195" spans="1:9" x14ac:dyDescent="0.3">
      <c r="A1195" t="s">
        <v>9</v>
      </c>
      <c r="B1195" t="s">
        <v>1203</v>
      </c>
      <c r="C1195">
        <v>4</v>
      </c>
      <c r="D1195">
        <v>1E-4</v>
      </c>
      <c r="E1195">
        <v>6.089210305037196</v>
      </c>
      <c r="F1195">
        <v>615.51440042946672</v>
      </c>
      <c r="G1195">
        <v>0.42399999999999999</v>
      </c>
      <c r="H1195">
        <v>1.5E-3</v>
      </c>
      <c r="I1195">
        <v>413.80919999999998</v>
      </c>
    </row>
    <row r="1196" spans="1:9" x14ac:dyDescent="0.3">
      <c r="A1196" t="s">
        <v>9</v>
      </c>
      <c r="B1196" t="s">
        <v>1204</v>
      </c>
      <c r="C1196">
        <v>4</v>
      </c>
      <c r="D1196">
        <v>-5.9999999999999995E-4</v>
      </c>
      <c r="E1196">
        <v>6.0608113769922456</v>
      </c>
      <c r="F1196">
        <v>612.86762033567743</v>
      </c>
      <c r="G1196">
        <v>0.42399999999999999</v>
      </c>
      <c r="H1196">
        <v>1E-3</v>
      </c>
      <c r="I1196">
        <v>414.00819999999999</v>
      </c>
    </row>
    <row r="1197" spans="1:9" x14ac:dyDescent="0.3">
      <c r="A1197" t="s">
        <v>9</v>
      </c>
      <c r="B1197" t="s">
        <v>1205</v>
      </c>
      <c r="C1197">
        <v>4</v>
      </c>
      <c r="D1197">
        <v>-8.9999999999999998E-4</v>
      </c>
      <c r="E1197">
        <v>6.0374691963113083</v>
      </c>
      <c r="F1197">
        <v>610.69212909621399</v>
      </c>
      <c r="G1197">
        <v>0.42399999999999999</v>
      </c>
      <c r="H1197">
        <v>5.9999999999999995E-4</v>
      </c>
      <c r="I1197">
        <v>414.20690000000002</v>
      </c>
    </row>
    <row r="1198" spans="1:9" x14ac:dyDescent="0.3">
      <c r="A1198" t="s">
        <v>9</v>
      </c>
      <c r="B1198" t="s">
        <v>1206</v>
      </c>
      <c r="C1198">
        <v>4</v>
      </c>
      <c r="D1198">
        <v>-1.1999999999999999E-3</v>
      </c>
      <c r="E1198">
        <v>6.0189658832868886</v>
      </c>
      <c r="F1198">
        <v>608.96762032233801</v>
      </c>
      <c r="G1198">
        <v>0.42399999999999999</v>
      </c>
      <c r="H1198">
        <v>4.0000000000000002E-4</v>
      </c>
      <c r="I1198">
        <v>414.40899999999999</v>
      </c>
    </row>
    <row r="1199" spans="1:9" x14ac:dyDescent="0.3">
      <c r="A1199" t="s">
        <v>9</v>
      </c>
      <c r="B1199" t="s">
        <v>1207</v>
      </c>
      <c r="C1199">
        <v>4</v>
      </c>
      <c r="D1199">
        <v>-1.1999999999999999E-3</v>
      </c>
      <c r="E1199">
        <v>6.0059340452736656</v>
      </c>
      <c r="F1199">
        <v>607.75305301950573</v>
      </c>
      <c r="G1199">
        <v>0.42399999999999999</v>
      </c>
      <c r="H1199">
        <v>2.0000000000000001E-4</v>
      </c>
      <c r="I1199">
        <v>414.6087</v>
      </c>
    </row>
    <row r="1200" spans="1:9" x14ac:dyDescent="0.3">
      <c r="A1200" t="s">
        <v>9</v>
      </c>
      <c r="B1200" t="s">
        <v>1208</v>
      </c>
      <c r="C1200">
        <v>4</v>
      </c>
      <c r="D1200">
        <v>-1.1999999999999999E-3</v>
      </c>
      <c r="E1200">
        <v>5.9981663095276936</v>
      </c>
      <c r="F1200">
        <v>607.02910004798105</v>
      </c>
      <c r="G1200">
        <v>0.42399999999999999</v>
      </c>
      <c r="H1200">
        <v>0</v>
      </c>
      <c r="I1200">
        <v>414.80900000000003</v>
      </c>
    </row>
    <row r="1201" spans="1:9" x14ac:dyDescent="0.3">
      <c r="A1201" t="s">
        <v>9</v>
      </c>
      <c r="B1201" t="s">
        <v>1209</v>
      </c>
      <c r="C1201">
        <v>4</v>
      </c>
      <c r="D1201">
        <v>-1.1999999999999999E-3</v>
      </c>
      <c r="E1201">
        <v>5.9957379146012322</v>
      </c>
      <c r="F1201">
        <v>606.80277364083486</v>
      </c>
      <c r="G1201">
        <v>0.42399999999999999</v>
      </c>
      <c r="H1201">
        <v>0</v>
      </c>
      <c r="I1201">
        <v>415.00810000000001</v>
      </c>
    </row>
    <row r="1202" spans="1:9" x14ac:dyDescent="0.3">
      <c r="A1202" t="s">
        <v>9</v>
      </c>
      <c r="B1202" t="s">
        <v>1210</v>
      </c>
      <c r="C1202">
        <v>4</v>
      </c>
      <c r="D1202">
        <v>-2.0999999999999999E-3</v>
      </c>
      <c r="E1202">
        <v>5.998646123339662</v>
      </c>
      <c r="F1202">
        <v>709.27151710493399</v>
      </c>
      <c r="G1202">
        <v>0.42399999999999999</v>
      </c>
      <c r="H1202">
        <v>0</v>
      </c>
      <c r="I1202">
        <v>415.209</v>
      </c>
    </row>
    <row r="1203" spans="1:9" x14ac:dyDescent="0.3">
      <c r="A1203" t="s">
        <v>9</v>
      </c>
      <c r="B1203" t="s">
        <v>1211</v>
      </c>
      <c r="C1203">
        <v>4</v>
      </c>
      <c r="D1203">
        <v>-1.4E-3</v>
      </c>
      <c r="E1203">
        <v>6.0067709815033723</v>
      </c>
      <c r="F1203">
        <v>710.0425661446701</v>
      </c>
      <c r="G1203">
        <v>0.42399999999999999</v>
      </c>
      <c r="H1203">
        <v>2.0000000000000001E-4</v>
      </c>
      <c r="I1203">
        <v>415.40699999999998</v>
      </c>
    </row>
    <row r="1204" spans="1:9" x14ac:dyDescent="0.3">
      <c r="A1204" t="s">
        <v>9</v>
      </c>
      <c r="B1204" t="s">
        <v>1212</v>
      </c>
      <c r="C1204">
        <v>4</v>
      </c>
      <c r="D1204">
        <v>-8.0000000000000004E-4</v>
      </c>
      <c r="E1204">
        <v>6.0203583590458267</v>
      </c>
      <c r="F1204">
        <v>711.33200827344899</v>
      </c>
      <c r="G1204">
        <v>0.42399999999999999</v>
      </c>
      <c r="H1204">
        <v>4.0000000000000002E-4</v>
      </c>
      <c r="I1204">
        <v>415.60849999999999</v>
      </c>
    </row>
    <row r="1205" spans="1:9" x14ac:dyDescent="0.3">
      <c r="A1205" t="s">
        <v>9</v>
      </c>
      <c r="B1205" t="s">
        <v>1213</v>
      </c>
      <c r="C1205">
        <v>4</v>
      </c>
      <c r="D1205">
        <v>-2.9999999999999997E-4</v>
      </c>
      <c r="E1205">
        <v>6.0389902387356447</v>
      </c>
      <c r="F1205">
        <v>713.10017365601266</v>
      </c>
      <c r="G1205">
        <v>0.42399999999999999</v>
      </c>
      <c r="H1205">
        <v>6.9999999999999999E-4</v>
      </c>
      <c r="I1205">
        <v>415.8075</v>
      </c>
    </row>
    <row r="1206" spans="1:9" x14ac:dyDescent="0.3">
      <c r="A1206" t="s">
        <v>9</v>
      </c>
      <c r="B1206" t="s">
        <v>1214</v>
      </c>
      <c r="C1206">
        <v>4</v>
      </c>
      <c r="D1206">
        <v>-1E-4</v>
      </c>
      <c r="E1206">
        <v>6.062961993850049</v>
      </c>
      <c r="F1206">
        <v>715.37509321636969</v>
      </c>
      <c r="G1206">
        <v>0.42399999999999999</v>
      </c>
      <c r="H1206">
        <v>1E-3</v>
      </c>
      <c r="I1206">
        <v>416.00810000000001</v>
      </c>
    </row>
    <row r="1207" spans="1:9" x14ac:dyDescent="0.3">
      <c r="A1207" t="s">
        <v>9</v>
      </c>
      <c r="B1207" t="s">
        <v>1215</v>
      </c>
      <c r="C1207">
        <v>4</v>
      </c>
      <c r="D1207">
        <v>2.9999999999999997E-4</v>
      </c>
      <c r="E1207">
        <v>6.0921906366906482</v>
      </c>
      <c r="F1207">
        <v>718.14889142194249</v>
      </c>
      <c r="G1207">
        <v>0.42399999999999999</v>
      </c>
      <c r="H1207">
        <v>1.5E-3</v>
      </c>
      <c r="I1207">
        <v>416.20979999999997</v>
      </c>
    </row>
    <row r="1208" spans="1:9" x14ac:dyDescent="0.3">
      <c r="A1208" t="s">
        <v>9</v>
      </c>
      <c r="B1208" t="s">
        <v>1216</v>
      </c>
      <c r="C1208">
        <v>4</v>
      </c>
      <c r="D1208">
        <v>6.9999999999999999E-4</v>
      </c>
      <c r="E1208">
        <v>6.1257130120379797</v>
      </c>
      <c r="F1208">
        <v>721.33016484240432</v>
      </c>
      <c r="G1208">
        <v>0.42399999999999999</v>
      </c>
      <c r="H1208">
        <v>2E-3</v>
      </c>
      <c r="I1208">
        <v>416.4074</v>
      </c>
    </row>
    <row r="1209" spans="1:9" x14ac:dyDescent="0.3">
      <c r="A1209" t="s">
        <v>9</v>
      </c>
      <c r="B1209" t="s">
        <v>1217</v>
      </c>
      <c r="C1209">
        <v>4</v>
      </c>
      <c r="D1209">
        <v>1.8E-3</v>
      </c>
      <c r="E1209">
        <v>6.1645491221106514</v>
      </c>
      <c r="F1209">
        <v>725.01571168830083</v>
      </c>
      <c r="G1209">
        <v>0.42399999999999999</v>
      </c>
      <c r="H1209">
        <v>2.5999999999999999E-3</v>
      </c>
      <c r="I1209">
        <v>416.60789999999997</v>
      </c>
    </row>
    <row r="1210" spans="1:9" x14ac:dyDescent="0.3">
      <c r="A1210" t="s">
        <v>9</v>
      </c>
      <c r="B1210" t="s">
        <v>1218</v>
      </c>
      <c r="C1210">
        <v>4</v>
      </c>
      <c r="D1210">
        <v>2.3999999999999998E-3</v>
      </c>
      <c r="E1210">
        <v>6.2081117641685619</v>
      </c>
      <c r="F1210">
        <v>729.14980641959653</v>
      </c>
      <c r="G1210">
        <v>0.42399999999999999</v>
      </c>
      <c r="H1210">
        <v>3.3E-3</v>
      </c>
      <c r="I1210">
        <v>416.80869999999999</v>
      </c>
    </row>
    <row r="1211" spans="1:9" x14ac:dyDescent="0.3">
      <c r="A1211" t="s">
        <v>9</v>
      </c>
      <c r="B1211" t="s">
        <v>1219</v>
      </c>
      <c r="C1211">
        <v>4</v>
      </c>
      <c r="D1211">
        <v>3.3E-3</v>
      </c>
      <c r="E1211">
        <v>6.255836441833619</v>
      </c>
      <c r="F1211">
        <v>733.67887833001043</v>
      </c>
      <c r="G1211">
        <v>0.42399999999999999</v>
      </c>
      <c r="H1211">
        <v>4.0000000000000001E-3</v>
      </c>
      <c r="I1211">
        <v>417.00790000000001</v>
      </c>
    </row>
    <row r="1212" spans="1:9" x14ac:dyDescent="0.3">
      <c r="A1212" t="s">
        <v>9</v>
      </c>
      <c r="B1212" t="s">
        <v>1220</v>
      </c>
      <c r="C1212">
        <v>4</v>
      </c>
      <c r="D1212">
        <v>3.5999999999999999E-3</v>
      </c>
      <c r="E1212">
        <v>6.3084422980279538</v>
      </c>
      <c r="F1212">
        <v>738.67117408285287</v>
      </c>
      <c r="G1212">
        <v>0.42399999999999999</v>
      </c>
      <c r="H1212">
        <v>4.8999999999999998E-3</v>
      </c>
      <c r="I1212">
        <v>417.20940000000002</v>
      </c>
    </row>
    <row r="1213" spans="1:9" x14ac:dyDescent="0.3">
      <c r="A1213" t="s">
        <v>9</v>
      </c>
      <c r="B1213" t="s">
        <v>1221</v>
      </c>
      <c r="C1213">
        <v>4</v>
      </c>
      <c r="D1213">
        <v>4.7000000000000002E-3</v>
      </c>
      <c r="E1213">
        <v>6.3642173136039979</v>
      </c>
      <c r="F1213">
        <v>743.96422306101942</v>
      </c>
      <c r="G1213">
        <v>0.42399999999999999</v>
      </c>
      <c r="H1213">
        <v>5.7000000000000002E-3</v>
      </c>
      <c r="I1213">
        <v>417.4074</v>
      </c>
    </row>
    <row r="1214" spans="1:9" x14ac:dyDescent="0.3">
      <c r="A1214" t="s">
        <v>9</v>
      </c>
      <c r="B1214" t="s">
        <v>1222</v>
      </c>
      <c r="C1214">
        <v>4</v>
      </c>
      <c r="D1214">
        <v>5.7000000000000002E-3</v>
      </c>
      <c r="E1214">
        <v>6.4250633491144544</v>
      </c>
      <c r="F1214">
        <v>749.73851183096167</v>
      </c>
      <c r="G1214">
        <v>0.42399999999999999</v>
      </c>
      <c r="H1214">
        <v>6.7000000000000002E-3</v>
      </c>
      <c r="I1214">
        <v>417.6096</v>
      </c>
    </row>
    <row r="1215" spans="1:9" x14ac:dyDescent="0.3">
      <c r="A1215" t="s">
        <v>9</v>
      </c>
      <c r="B1215" t="s">
        <v>1223</v>
      </c>
      <c r="C1215">
        <v>4</v>
      </c>
      <c r="D1215">
        <v>6.1999999999999998E-3</v>
      </c>
      <c r="E1215">
        <v>6.4888625497381129</v>
      </c>
      <c r="F1215">
        <v>755.79305597014695</v>
      </c>
      <c r="G1215">
        <v>0.42399999999999999</v>
      </c>
      <c r="H1215">
        <v>7.7000000000000002E-3</v>
      </c>
      <c r="I1215">
        <v>417.80939999999998</v>
      </c>
    </row>
    <row r="1216" spans="1:9" x14ac:dyDescent="0.3">
      <c r="A1216" t="s">
        <v>9</v>
      </c>
      <c r="B1216" t="s">
        <v>1224</v>
      </c>
      <c r="C1216">
        <v>4</v>
      </c>
      <c r="D1216">
        <v>7.6E-3</v>
      </c>
      <c r="E1216">
        <v>6.5559768792134703</v>
      </c>
      <c r="F1216">
        <v>762.16220583735833</v>
      </c>
      <c r="G1216">
        <v>0.42399999999999999</v>
      </c>
      <c r="H1216">
        <v>8.6999999999999994E-3</v>
      </c>
      <c r="I1216">
        <v>418.00900000000001</v>
      </c>
    </row>
    <row r="1217" spans="1:9" x14ac:dyDescent="0.3">
      <c r="A1217" t="s">
        <v>9</v>
      </c>
      <c r="B1217" t="s">
        <v>1225</v>
      </c>
      <c r="C1217">
        <v>4</v>
      </c>
      <c r="D1217">
        <v>8.5000000000000006E-3</v>
      </c>
      <c r="E1217">
        <v>6.6260280333308073</v>
      </c>
      <c r="F1217">
        <v>768.81006036309361</v>
      </c>
      <c r="G1217">
        <v>0.42399999999999999</v>
      </c>
      <c r="H1217">
        <v>9.7999999999999997E-3</v>
      </c>
      <c r="I1217">
        <v>418.20819999999998</v>
      </c>
    </row>
    <row r="1218" spans="1:9" x14ac:dyDescent="0.3">
      <c r="A1218" t="s">
        <v>9</v>
      </c>
      <c r="B1218" t="s">
        <v>1226</v>
      </c>
      <c r="C1218">
        <v>4</v>
      </c>
      <c r="D1218">
        <v>9.7000000000000003E-3</v>
      </c>
      <c r="E1218">
        <v>6.6995163629955812</v>
      </c>
      <c r="F1218">
        <v>775.78410284828067</v>
      </c>
      <c r="G1218">
        <v>0.42399999999999999</v>
      </c>
      <c r="H1218">
        <v>1.09E-2</v>
      </c>
      <c r="I1218">
        <v>418.40890000000002</v>
      </c>
    </row>
    <row r="1219" spans="1:9" x14ac:dyDescent="0.3">
      <c r="A1219" t="s">
        <v>9</v>
      </c>
      <c r="B1219" t="s">
        <v>1227</v>
      </c>
      <c r="C1219">
        <v>4</v>
      </c>
      <c r="D1219">
        <v>1.11E-2</v>
      </c>
      <c r="E1219">
        <v>6.7751703119359039</v>
      </c>
      <c r="F1219">
        <v>782.96366260271736</v>
      </c>
      <c r="G1219">
        <v>0.42399999999999999</v>
      </c>
      <c r="H1219">
        <v>1.21E-2</v>
      </c>
      <c r="I1219">
        <v>418.60860000000002</v>
      </c>
    </row>
    <row r="1220" spans="1:9" x14ac:dyDescent="0.3">
      <c r="A1220" t="s">
        <v>9</v>
      </c>
      <c r="B1220" t="s">
        <v>1228</v>
      </c>
      <c r="C1220">
        <v>4</v>
      </c>
      <c r="D1220">
        <v>1.21E-2</v>
      </c>
      <c r="E1220">
        <v>6.8530186685750278</v>
      </c>
      <c r="F1220">
        <v>790.35147164777015</v>
      </c>
      <c r="G1220">
        <v>0.42399999999999999</v>
      </c>
      <c r="H1220">
        <v>1.3299999999999999E-2</v>
      </c>
      <c r="I1220">
        <v>418.8082</v>
      </c>
    </row>
    <row r="1221" spans="1:9" x14ac:dyDescent="0.3">
      <c r="A1221" t="s">
        <v>9</v>
      </c>
      <c r="B1221" t="s">
        <v>1229</v>
      </c>
      <c r="C1221">
        <v>4</v>
      </c>
      <c r="D1221">
        <v>1.2800000000000001E-2</v>
      </c>
      <c r="E1221">
        <v>6.9336927508706454</v>
      </c>
      <c r="F1221">
        <v>798.0074420576243</v>
      </c>
      <c r="G1221">
        <v>0.42399999999999999</v>
      </c>
      <c r="H1221">
        <v>1.46E-2</v>
      </c>
      <c r="I1221">
        <v>419.01</v>
      </c>
    </row>
    <row r="1222" spans="1:9" x14ac:dyDescent="0.3">
      <c r="A1222" t="s">
        <v>9</v>
      </c>
      <c r="B1222" t="s">
        <v>1230</v>
      </c>
      <c r="C1222">
        <v>4</v>
      </c>
      <c r="D1222">
        <v>1.47E-2</v>
      </c>
      <c r="E1222">
        <v>7.0152280530391806</v>
      </c>
      <c r="F1222">
        <v>805.74514223341828</v>
      </c>
      <c r="G1222">
        <v>0.42399999999999999</v>
      </c>
      <c r="H1222">
        <v>1.5800000000000002E-2</v>
      </c>
      <c r="I1222">
        <v>419.20979999999997</v>
      </c>
    </row>
    <row r="1223" spans="1:9" x14ac:dyDescent="0.3">
      <c r="A1223" t="s">
        <v>9</v>
      </c>
      <c r="B1223" t="s">
        <v>1231</v>
      </c>
      <c r="C1223">
        <v>4</v>
      </c>
      <c r="D1223">
        <v>1.5599999999999999E-2</v>
      </c>
      <c r="E1223">
        <v>7.0979298945553611</v>
      </c>
      <c r="F1223">
        <v>813.59354699330379</v>
      </c>
      <c r="G1223">
        <v>0.42399999999999999</v>
      </c>
      <c r="H1223">
        <v>1.7100000000000001E-2</v>
      </c>
      <c r="I1223">
        <v>419.40929999999997</v>
      </c>
    </row>
    <row r="1224" spans="1:9" x14ac:dyDescent="0.3">
      <c r="A1224" t="s">
        <v>9</v>
      </c>
      <c r="B1224" t="s">
        <v>1232</v>
      </c>
      <c r="C1224">
        <v>4</v>
      </c>
      <c r="D1224">
        <v>1.7100000000000001E-2</v>
      </c>
      <c r="E1224">
        <v>7.1811604699294911</v>
      </c>
      <c r="F1224">
        <v>821.4921285963087</v>
      </c>
      <c r="G1224">
        <v>0.42399999999999999</v>
      </c>
      <c r="H1224">
        <v>1.84E-2</v>
      </c>
      <c r="I1224">
        <v>419.60770000000002</v>
      </c>
    </row>
    <row r="1225" spans="1:9" x14ac:dyDescent="0.3">
      <c r="A1225" t="s">
        <v>9</v>
      </c>
      <c r="B1225" t="s">
        <v>1233</v>
      </c>
      <c r="C1225">
        <v>4</v>
      </c>
      <c r="D1225">
        <v>1.83E-2</v>
      </c>
      <c r="E1225">
        <v>7.2664565133039343</v>
      </c>
      <c r="F1225">
        <v>829.58672311254338</v>
      </c>
      <c r="G1225">
        <v>0.42399999999999999</v>
      </c>
      <c r="H1225">
        <v>1.9699999999999999E-2</v>
      </c>
      <c r="I1225">
        <v>419.80950000000001</v>
      </c>
    </row>
    <row r="1226" spans="1:9" x14ac:dyDescent="0.3">
      <c r="A1226" t="s">
        <v>9</v>
      </c>
      <c r="B1226" t="s">
        <v>1234</v>
      </c>
      <c r="C1226">
        <v>4</v>
      </c>
      <c r="D1226">
        <v>1.9599999999999999E-2</v>
      </c>
      <c r="E1226">
        <v>7.3514999484011492</v>
      </c>
      <c r="F1226">
        <v>837.65734510326911</v>
      </c>
      <c r="G1226">
        <v>0.42399999999999999</v>
      </c>
      <c r="H1226">
        <v>2.1100000000000001E-2</v>
      </c>
      <c r="I1226">
        <v>420.00990000000002</v>
      </c>
    </row>
    <row r="1227" spans="1:9" x14ac:dyDescent="0.3">
      <c r="A1227" t="s">
        <v>9</v>
      </c>
      <c r="B1227" t="s">
        <v>1235</v>
      </c>
      <c r="C1227">
        <v>4</v>
      </c>
      <c r="D1227">
        <v>2.1000000000000001E-2</v>
      </c>
      <c r="E1227">
        <v>7.4354360428802169</v>
      </c>
      <c r="F1227">
        <v>845.62288046933259</v>
      </c>
      <c r="G1227">
        <v>0.42399999999999999</v>
      </c>
      <c r="H1227">
        <v>2.24E-2</v>
      </c>
      <c r="I1227">
        <v>420.20769999999999</v>
      </c>
    </row>
    <row r="1228" spans="1:9" x14ac:dyDescent="0.3">
      <c r="A1228" t="s">
        <v>9</v>
      </c>
      <c r="B1228" t="s">
        <v>1236</v>
      </c>
      <c r="C1228">
        <v>4</v>
      </c>
      <c r="D1228">
        <v>2.24E-2</v>
      </c>
      <c r="E1228">
        <v>7.5199114134567333</v>
      </c>
      <c r="F1228">
        <v>853.63959313704402</v>
      </c>
      <c r="G1228">
        <v>0.42399999999999999</v>
      </c>
      <c r="H1228">
        <v>2.3699999999999999E-2</v>
      </c>
      <c r="I1228">
        <v>420.4076</v>
      </c>
    </row>
    <row r="1229" spans="1:9" x14ac:dyDescent="0.3">
      <c r="A1229" t="s">
        <v>9</v>
      </c>
      <c r="B1229" t="s">
        <v>1237</v>
      </c>
      <c r="C1229">
        <v>4</v>
      </c>
      <c r="D1229">
        <v>2.3300000000000001E-2</v>
      </c>
      <c r="E1229">
        <v>7.6043543463732526</v>
      </c>
      <c r="F1229">
        <v>861.65322747082178</v>
      </c>
      <c r="G1229">
        <v>0.42399999999999999</v>
      </c>
      <c r="H1229">
        <v>2.5000000000000001E-2</v>
      </c>
      <c r="I1229">
        <v>420.60910000000001</v>
      </c>
    </row>
    <row r="1230" spans="1:9" x14ac:dyDescent="0.3">
      <c r="A1230" t="s">
        <v>9</v>
      </c>
      <c r="B1230" t="s">
        <v>1238</v>
      </c>
      <c r="C1230">
        <v>4</v>
      </c>
      <c r="D1230">
        <v>2.5000000000000001E-2</v>
      </c>
      <c r="E1230">
        <v>7.6870492948866831</v>
      </c>
      <c r="F1230">
        <v>869.50097808474629</v>
      </c>
      <c r="G1230">
        <v>0.42399999999999999</v>
      </c>
      <c r="H1230">
        <v>2.63E-2</v>
      </c>
      <c r="I1230">
        <v>420.80880000000002</v>
      </c>
    </row>
    <row r="1231" spans="1:9" x14ac:dyDescent="0.3">
      <c r="A1231" t="s">
        <v>9</v>
      </c>
      <c r="B1231" t="s">
        <v>1239</v>
      </c>
      <c r="C1231">
        <v>4</v>
      </c>
      <c r="D1231">
        <v>2.63E-2</v>
      </c>
      <c r="E1231">
        <v>7.7683871327999876</v>
      </c>
      <c r="F1231">
        <v>877.21993890271892</v>
      </c>
      <c r="G1231">
        <v>0.42399999999999999</v>
      </c>
      <c r="H1231">
        <v>2.75E-2</v>
      </c>
      <c r="I1231">
        <v>421.00850000000003</v>
      </c>
    </row>
    <row r="1232" spans="1:9" x14ac:dyDescent="0.3">
      <c r="A1232" t="s">
        <v>9</v>
      </c>
      <c r="B1232" t="s">
        <v>1240</v>
      </c>
      <c r="C1232">
        <v>4</v>
      </c>
      <c r="D1232">
        <v>2.7900000000000001E-2</v>
      </c>
      <c r="E1232">
        <v>7.8485093694049048</v>
      </c>
      <c r="F1232">
        <v>884.8235391565255</v>
      </c>
      <c r="G1232">
        <v>0.42399999999999999</v>
      </c>
      <c r="H1232">
        <v>2.8799999999999999E-2</v>
      </c>
      <c r="I1232">
        <v>421.20929999999998</v>
      </c>
    </row>
    <row r="1233" spans="1:9" x14ac:dyDescent="0.3">
      <c r="A1233" t="s">
        <v>9</v>
      </c>
      <c r="B1233" t="s">
        <v>1241</v>
      </c>
      <c r="C1233">
        <v>4</v>
      </c>
      <c r="D1233">
        <v>2.8799999999999999E-2</v>
      </c>
      <c r="E1233">
        <v>7.9264517952580187</v>
      </c>
      <c r="F1233">
        <v>892.22027536998598</v>
      </c>
      <c r="G1233">
        <v>0.42399999999999999</v>
      </c>
      <c r="H1233">
        <v>0.03</v>
      </c>
      <c r="I1233">
        <v>421.40960000000001</v>
      </c>
    </row>
    <row r="1234" spans="1:9" x14ac:dyDescent="0.3">
      <c r="A1234" t="s">
        <v>9</v>
      </c>
      <c r="B1234" t="s">
        <v>1242</v>
      </c>
      <c r="C1234">
        <v>4</v>
      </c>
      <c r="D1234">
        <v>2.9600000000000001E-2</v>
      </c>
      <c r="E1234">
        <v>8.001668241259134</v>
      </c>
      <c r="F1234">
        <v>899.35831609549189</v>
      </c>
      <c r="G1234">
        <v>0.42399999999999999</v>
      </c>
      <c r="H1234">
        <v>3.1199999999999999E-2</v>
      </c>
      <c r="I1234">
        <v>421.6087</v>
      </c>
    </row>
    <row r="1235" spans="1:9" x14ac:dyDescent="0.3">
      <c r="A1235" t="s">
        <v>9</v>
      </c>
      <c r="B1235" t="s">
        <v>1243</v>
      </c>
      <c r="C1235">
        <v>4</v>
      </c>
      <c r="D1235">
        <v>3.0700000000000002E-2</v>
      </c>
      <c r="E1235">
        <v>8.0742203389622436</v>
      </c>
      <c r="F1235">
        <v>906.243510167517</v>
      </c>
      <c r="G1235">
        <v>0.42399999999999999</v>
      </c>
      <c r="H1235">
        <v>3.2300000000000002E-2</v>
      </c>
      <c r="I1235">
        <v>421.8075</v>
      </c>
    </row>
    <row r="1236" spans="1:9" x14ac:dyDescent="0.3">
      <c r="A1236" t="s">
        <v>9</v>
      </c>
      <c r="B1236" t="s">
        <v>1244</v>
      </c>
      <c r="C1236">
        <v>4</v>
      </c>
      <c r="D1236">
        <v>3.2199999999999999E-2</v>
      </c>
      <c r="E1236">
        <v>8.1451521755484997</v>
      </c>
      <c r="F1236">
        <v>912.97494145955261</v>
      </c>
      <c r="G1236">
        <v>0.42399999999999999</v>
      </c>
      <c r="H1236">
        <v>3.3399999999999999E-2</v>
      </c>
      <c r="I1236">
        <v>422.00990000000002</v>
      </c>
    </row>
    <row r="1237" spans="1:9" x14ac:dyDescent="0.3">
      <c r="A1237" t="s">
        <v>9</v>
      </c>
      <c r="B1237" t="s">
        <v>1245</v>
      </c>
      <c r="C1237">
        <v>4</v>
      </c>
      <c r="D1237">
        <v>3.3300000000000003E-2</v>
      </c>
      <c r="E1237">
        <v>8.2125268172453332</v>
      </c>
      <c r="F1237">
        <v>919.36879495658218</v>
      </c>
      <c r="G1237">
        <v>0.42399999999999999</v>
      </c>
      <c r="H1237">
        <v>3.44E-2</v>
      </c>
      <c r="I1237">
        <v>422.21129999999999</v>
      </c>
    </row>
    <row r="1238" spans="1:9" x14ac:dyDescent="0.3">
      <c r="A1238" t="s">
        <v>9</v>
      </c>
      <c r="B1238" t="s">
        <v>1246</v>
      </c>
      <c r="C1238">
        <v>4</v>
      </c>
      <c r="D1238">
        <v>3.4000000000000002E-2</v>
      </c>
      <c r="E1238">
        <v>8.2755410264970646</v>
      </c>
      <c r="F1238">
        <v>925.34884341457143</v>
      </c>
      <c r="G1238">
        <v>0.42399999999999999</v>
      </c>
      <c r="H1238">
        <v>3.5400000000000001E-2</v>
      </c>
      <c r="I1238">
        <v>422.40980000000002</v>
      </c>
    </row>
    <row r="1239" spans="1:9" x14ac:dyDescent="0.3">
      <c r="A1239" t="s">
        <v>9</v>
      </c>
      <c r="B1239" t="s">
        <v>1247</v>
      </c>
      <c r="C1239">
        <v>4</v>
      </c>
      <c r="D1239">
        <v>3.5700000000000003E-2</v>
      </c>
      <c r="E1239">
        <v>8.335074674831116</v>
      </c>
      <c r="F1239">
        <v>930.99858664147291</v>
      </c>
      <c r="G1239">
        <v>0.42399999999999999</v>
      </c>
      <c r="H1239">
        <v>3.6299999999999999E-2</v>
      </c>
      <c r="I1239">
        <v>422.60860000000002</v>
      </c>
    </row>
    <row r="1240" spans="1:9" x14ac:dyDescent="0.3">
      <c r="A1240" t="s">
        <v>9</v>
      </c>
      <c r="B1240" t="s">
        <v>1248</v>
      </c>
      <c r="C1240">
        <v>4</v>
      </c>
      <c r="D1240">
        <v>3.6499999999999998E-2</v>
      </c>
      <c r="E1240">
        <v>8.3912116946927284</v>
      </c>
      <c r="F1240">
        <v>936.32598982633999</v>
      </c>
      <c r="G1240">
        <v>0.42399999999999999</v>
      </c>
      <c r="H1240">
        <v>3.7199999999999997E-2</v>
      </c>
      <c r="I1240">
        <v>422.80930000000001</v>
      </c>
    </row>
    <row r="1241" spans="1:9" x14ac:dyDescent="0.3">
      <c r="A1241" t="s">
        <v>9</v>
      </c>
      <c r="B1241" t="s">
        <v>1249</v>
      </c>
      <c r="C1241">
        <v>4</v>
      </c>
      <c r="D1241">
        <v>3.73E-2</v>
      </c>
      <c r="E1241">
        <v>8.4430353167162338</v>
      </c>
      <c r="F1241">
        <v>941.24405155637066</v>
      </c>
      <c r="G1241">
        <v>0.42399999999999999</v>
      </c>
      <c r="H1241">
        <v>3.7999999999999999E-2</v>
      </c>
      <c r="I1241">
        <v>423.00920000000002</v>
      </c>
    </row>
    <row r="1242" spans="1:9" x14ac:dyDescent="0.3">
      <c r="A1242" t="s">
        <v>9</v>
      </c>
      <c r="B1242" t="s">
        <v>1250</v>
      </c>
      <c r="C1242">
        <v>4</v>
      </c>
      <c r="D1242">
        <v>3.7900000000000003E-2</v>
      </c>
      <c r="E1242">
        <v>8.4902081892376664</v>
      </c>
      <c r="F1242">
        <v>945.72075715865458</v>
      </c>
      <c r="G1242">
        <v>0.42399999999999999</v>
      </c>
      <c r="H1242">
        <v>3.8800000000000001E-2</v>
      </c>
      <c r="I1242">
        <v>423.20760000000001</v>
      </c>
    </row>
    <row r="1243" spans="1:9" x14ac:dyDescent="0.3">
      <c r="A1243" t="s">
        <v>9</v>
      </c>
      <c r="B1243" t="s">
        <v>1251</v>
      </c>
      <c r="C1243">
        <v>4</v>
      </c>
      <c r="D1243">
        <v>3.9100000000000003E-2</v>
      </c>
      <c r="E1243">
        <v>8.5337504766639292</v>
      </c>
      <c r="F1243">
        <v>949.85292023540694</v>
      </c>
      <c r="G1243">
        <v>0.42399999999999999</v>
      </c>
      <c r="H1243">
        <v>3.9399999999999998E-2</v>
      </c>
      <c r="I1243">
        <v>423.4101</v>
      </c>
    </row>
    <row r="1244" spans="1:9" x14ac:dyDescent="0.3">
      <c r="A1244" t="s">
        <v>9</v>
      </c>
      <c r="B1244" t="s">
        <v>1252</v>
      </c>
      <c r="C1244">
        <v>4</v>
      </c>
      <c r="D1244">
        <v>4.0099999999999997E-2</v>
      </c>
      <c r="E1244">
        <v>8.5719725823799298</v>
      </c>
      <c r="F1244">
        <v>953.48019806785533</v>
      </c>
      <c r="G1244">
        <v>0.42399999999999999</v>
      </c>
      <c r="H1244">
        <v>0.04</v>
      </c>
      <c r="I1244">
        <v>423.6096</v>
      </c>
    </row>
    <row r="1245" spans="1:9" x14ac:dyDescent="0.3">
      <c r="A1245" t="s">
        <v>9</v>
      </c>
      <c r="B1245" t="s">
        <v>1253</v>
      </c>
      <c r="C1245">
        <v>4</v>
      </c>
      <c r="D1245">
        <v>4.0599999999999997E-2</v>
      </c>
      <c r="E1245">
        <v>8.6051656343841429</v>
      </c>
      <c r="F1245">
        <v>956.63021870305522</v>
      </c>
      <c r="G1245">
        <v>0.42399999999999999</v>
      </c>
      <c r="H1245">
        <v>4.0500000000000001E-2</v>
      </c>
      <c r="I1245">
        <v>423.80770000000001</v>
      </c>
    </row>
    <row r="1246" spans="1:9" x14ac:dyDescent="0.3">
      <c r="A1246" t="s">
        <v>9</v>
      </c>
      <c r="B1246" t="s">
        <v>1254</v>
      </c>
      <c r="C1246">
        <v>4</v>
      </c>
      <c r="D1246">
        <v>4.1099999999999998E-2</v>
      </c>
      <c r="E1246">
        <v>8.633835660172517</v>
      </c>
      <c r="F1246">
        <v>959.35100415037186</v>
      </c>
      <c r="G1246">
        <v>0.42399999999999999</v>
      </c>
      <c r="H1246">
        <v>4.1000000000000002E-2</v>
      </c>
      <c r="I1246">
        <v>424.00850000000003</v>
      </c>
    </row>
    <row r="1247" spans="1:9" x14ac:dyDescent="0.3">
      <c r="A1247" t="s">
        <v>9</v>
      </c>
      <c r="B1247" t="s">
        <v>1255</v>
      </c>
      <c r="C1247">
        <v>4</v>
      </c>
      <c r="D1247">
        <v>4.1200000000000001E-2</v>
      </c>
      <c r="E1247">
        <v>8.6574843361933524</v>
      </c>
      <c r="F1247">
        <v>961.59526350474914</v>
      </c>
      <c r="G1247">
        <v>0.42399999999999999</v>
      </c>
      <c r="H1247">
        <v>4.1399999999999999E-2</v>
      </c>
      <c r="I1247">
        <v>424.21019999999999</v>
      </c>
    </row>
    <row r="1248" spans="1:9" x14ac:dyDescent="0.3">
      <c r="A1248" t="s">
        <v>9</v>
      </c>
      <c r="B1248" t="s">
        <v>1256</v>
      </c>
      <c r="C1248">
        <v>4</v>
      </c>
      <c r="D1248">
        <v>4.2299999999999997E-2</v>
      </c>
      <c r="E1248">
        <v>8.6755427869844493</v>
      </c>
      <c r="F1248">
        <v>963.30901048482428</v>
      </c>
      <c r="G1248">
        <v>0.42399999999999999</v>
      </c>
      <c r="H1248">
        <v>4.1599999999999998E-2</v>
      </c>
      <c r="I1248">
        <v>424.40769999999998</v>
      </c>
    </row>
    <row r="1249" spans="1:9" x14ac:dyDescent="0.3">
      <c r="A1249" t="s">
        <v>9</v>
      </c>
      <c r="B1249" t="s">
        <v>1257</v>
      </c>
      <c r="C1249">
        <v>4</v>
      </c>
      <c r="D1249">
        <v>4.2900000000000001E-2</v>
      </c>
      <c r="E1249">
        <v>8.6886626040409993</v>
      </c>
      <c r="F1249">
        <v>964.55408112349085</v>
      </c>
      <c r="G1249">
        <v>0.42399999999999999</v>
      </c>
      <c r="H1249">
        <v>4.1799999999999997E-2</v>
      </c>
      <c r="I1249">
        <v>424.60849999999999</v>
      </c>
    </row>
    <row r="1250" spans="1:9" x14ac:dyDescent="0.3">
      <c r="A1250" t="s">
        <v>9</v>
      </c>
      <c r="B1250" t="s">
        <v>1258</v>
      </c>
      <c r="C1250">
        <v>4</v>
      </c>
      <c r="D1250">
        <v>4.2999999999999997E-2</v>
      </c>
      <c r="E1250">
        <v>5.9957334838115024</v>
      </c>
      <c r="F1250">
        <v>606.80236069123202</v>
      </c>
      <c r="G1250">
        <v>0.42399999999999999</v>
      </c>
      <c r="H1250">
        <v>0</v>
      </c>
      <c r="I1250">
        <v>424.80849999999998</v>
      </c>
    </row>
    <row r="1251" spans="1:9" x14ac:dyDescent="0.3">
      <c r="A1251" t="s">
        <v>9</v>
      </c>
      <c r="B1251" t="s">
        <v>1259</v>
      </c>
      <c r="C1251">
        <v>4</v>
      </c>
      <c r="D1251">
        <v>3.7100000000000001E-2</v>
      </c>
      <c r="E1251">
        <v>5.9957334838115024</v>
      </c>
      <c r="F1251">
        <v>606.80236069123202</v>
      </c>
      <c r="G1251">
        <v>0.42399999999999999</v>
      </c>
      <c r="H1251">
        <v>0</v>
      </c>
      <c r="I1251">
        <v>425.00799999999998</v>
      </c>
    </row>
    <row r="1252" spans="1:9" x14ac:dyDescent="0.3">
      <c r="A1252" t="s">
        <v>9</v>
      </c>
      <c r="B1252" t="s">
        <v>1260</v>
      </c>
      <c r="C1252">
        <v>4</v>
      </c>
      <c r="D1252">
        <v>2.3199999999999998E-2</v>
      </c>
      <c r="E1252">
        <v>5.9957334838115024</v>
      </c>
      <c r="F1252">
        <v>606.80236069123202</v>
      </c>
      <c r="G1252">
        <v>0.42399999999999999</v>
      </c>
      <c r="H1252">
        <v>0</v>
      </c>
      <c r="I1252">
        <v>425.20839999999998</v>
      </c>
    </row>
    <row r="1253" spans="1:9" x14ac:dyDescent="0.3">
      <c r="A1253" t="s">
        <v>9</v>
      </c>
      <c r="B1253" t="s">
        <v>1261</v>
      </c>
      <c r="C1253">
        <v>4</v>
      </c>
      <c r="D1253">
        <v>9.4000000000000004E-3</v>
      </c>
      <c r="E1253">
        <v>5.9957334838115024</v>
      </c>
      <c r="F1253">
        <v>606.80236069123202</v>
      </c>
      <c r="G1253">
        <v>0.42399999999999999</v>
      </c>
      <c r="H1253">
        <v>0</v>
      </c>
      <c r="I1253">
        <v>425.41030000000001</v>
      </c>
    </row>
    <row r="1254" spans="1:9" x14ac:dyDescent="0.3">
      <c r="A1254" t="s">
        <v>9</v>
      </c>
      <c r="B1254" t="s">
        <v>1262</v>
      </c>
      <c r="C1254">
        <v>4</v>
      </c>
      <c r="D1254">
        <v>2.8E-3</v>
      </c>
      <c r="E1254">
        <v>5.9957334838115024</v>
      </c>
      <c r="F1254">
        <v>606.80236069123202</v>
      </c>
      <c r="G1254">
        <v>0.42399999999999999</v>
      </c>
      <c r="H1254">
        <v>0</v>
      </c>
      <c r="I1254">
        <v>425.61040000000003</v>
      </c>
    </row>
    <row r="1255" spans="1:9" x14ac:dyDescent="0.3">
      <c r="A1255" t="s">
        <v>9</v>
      </c>
      <c r="B1255" t="s">
        <v>1263</v>
      </c>
      <c r="C1255">
        <v>4</v>
      </c>
      <c r="D1255">
        <v>-5.0000000000000001E-4</v>
      </c>
      <c r="E1255">
        <v>5.9957334838115024</v>
      </c>
      <c r="F1255">
        <v>606.80236069123202</v>
      </c>
      <c r="G1255">
        <v>0.42399999999999999</v>
      </c>
      <c r="H1255">
        <v>0</v>
      </c>
      <c r="I1255">
        <v>425.80990000000003</v>
      </c>
    </row>
    <row r="1256" spans="1:9" x14ac:dyDescent="0.3">
      <c r="A1256" t="s">
        <v>9</v>
      </c>
      <c r="B1256" t="s">
        <v>1264</v>
      </c>
      <c r="C1256">
        <v>4</v>
      </c>
      <c r="D1256">
        <v>-1.5E-3</v>
      </c>
      <c r="E1256">
        <v>5.9957334838115024</v>
      </c>
      <c r="F1256">
        <v>606.80236069123202</v>
      </c>
      <c r="G1256">
        <v>0.42399999999999999</v>
      </c>
      <c r="H1256">
        <v>0</v>
      </c>
      <c r="I1256">
        <v>426.00850000000003</v>
      </c>
    </row>
    <row r="1257" spans="1:9" x14ac:dyDescent="0.3">
      <c r="A1257" t="s">
        <v>9</v>
      </c>
      <c r="B1257" t="s">
        <v>1265</v>
      </c>
      <c r="C1257">
        <v>4</v>
      </c>
      <c r="D1257">
        <v>-1.6000000000000001E-3</v>
      </c>
      <c r="E1257">
        <v>5.9957334838115024</v>
      </c>
      <c r="F1257">
        <v>606.80236069123202</v>
      </c>
      <c r="G1257">
        <v>0.42399999999999999</v>
      </c>
      <c r="H1257">
        <v>0</v>
      </c>
      <c r="I1257">
        <v>426.20819999999998</v>
      </c>
    </row>
    <row r="1258" spans="1:9" x14ac:dyDescent="0.3">
      <c r="A1258" t="s">
        <v>9</v>
      </c>
      <c r="B1258" t="s">
        <v>1266</v>
      </c>
      <c r="C1258">
        <v>4</v>
      </c>
      <c r="D1258">
        <v>-1.6000000000000001E-3</v>
      </c>
      <c r="E1258">
        <v>5.9957334838115024</v>
      </c>
      <c r="F1258">
        <v>606.80236069123202</v>
      </c>
      <c r="G1258">
        <v>0.42399999999999999</v>
      </c>
      <c r="H1258">
        <v>0</v>
      </c>
      <c r="I1258">
        <v>426.40929999999997</v>
      </c>
    </row>
    <row r="1259" spans="1:9" x14ac:dyDescent="0.3">
      <c r="A1259" t="s">
        <v>9</v>
      </c>
      <c r="B1259" t="s">
        <v>1267</v>
      </c>
      <c r="C1259">
        <v>4</v>
      </c>
      <c r="D1259">
        <v>-1.6000000000000001E-3</v>
      </c>
      <c r="E1259">
        <v>5.9957334838115024</v>
      </c>
      <c r="F1259">
        <v>606.80236069123202</v>
      </c>
      <c r="G1259">
        <v>0.42399999999999999</v>
      </c>
      <c r="H1259">
        <v>0</v>
      </c>
      <c r="I1259">
        <v>426.60969999999998</v>
      </c>
    </row>
    <row r="1260" spans="1:9" x14ac:dyDescent="0.3">
      <c r="A1260" t="s">
        <v>9</v>
      </c>
      <c r="B1260" t="s">
        <v>1268</v>
      </c>
      <c r="C1260">
        <v>4</v>
      </c>
      <c r="D1260">
        <v>-1.6000000000000001E-3</v>
      </c>
      <c r="E1260">
        <v>5.9957334838115024</v>
      </c>
      <c r="F1260">
        <v>606.80236069123202</v>
      </c>
      <c r="G1260">
        <v>0.42399999999999999</v>
      </c>
      <c r="H1260">
        <v>0</v>
      </c>
      <c r="I1260">
        <v>426.81</v>
      </c>
    </row>
    <row r="1261" spans="1:9" x14ac:dyDescent="0.3">
      <c r="A1261" t="s">
        <v>9</v>
      </c>
      <c r="B1261" t="s">
        <v>1269</v>
      </c>
      <c r="C1261">
        <v>4</v>
      </c>
      <c r="D1261">
        <v>-1.6000000000000001E-3</v>
      </c>
      <c r="E1261">
        <v>5.9957334838115024</v>
      </c>
      <c r="F1261">
        <v>606.80236069123202</v>
      </c>
      <c r="G1261">
        <v>0.42399999999999999</v>
      </c>
      <c r="H1261">
        <v>0</v>
      </c>
      <c r="I1261">
        <v>427.00889999999998</v>
      </c>
    </row>
    <row r="1262" spans="1:9" x14ac:dyDescent="0.3">
      <c r="A1262" t="s">
        <v>9</v>
      </c>
      <c r="B1262" t="s">
        <v>1270</v>
      </c>
      <c r="C1262">
        <v>4</v>
      </c>
      <c r="D1262">
        <v>-1.6000000000000001E-3</v>
      </c>
      <c r="E1262">
        <v>5.9957334838115024</v>
      </c>
      <c r="F1262">
        <v>606.80236069123202</v>
      </c>
      <c r="G1262">
        <v>0.42399999999999999</v>
      </c>
      <c r="H1262">
        <v>0</v>
      </c>
      <c r="I1262">
        <v>427.20979999999997</v>
      </c>
    </row>
    <row r="1263" spans="1:9" x14ac:dyDescent="0.3">
      <c r="A1263" t="s">
        <v>9</v>
      </c>
      <c r="B1263" t="s">
        <v>1271</v>
      </c>
      <c r="C1263">
        <v>4</v>
      </c>
      <c r="D1263">
        <v>-1.6000000000000001E-3</v>
      </c>
      <c r="E1263">
        <v>5.9957334838115024</v>
      </c>
      <c r="F1263">
        <v>606.80236069123202</v>
      </c>
      <c r="G1263">
        <v>0.42399999999999999</v>
      </c>
      <c r="H1263">
        <v>0</v>
      </c>
      <c r="I1263">
        <v>427.40800000000002</v>
      </c>
    </row>
    <row r="1264" spans="1:9" x14ac:dyDescent="0.3">
      <c r="A1264" t="s">
        <v>9</v>
      </c>
      <c r="B1264" t="s">
        <v>1272</v>
      </c>
      <c r="C1264">
        <v>4</v>
      </c>
      <c r="D1264">
        <v>-1.6000000000000001E-3</v>
      </c>
      <c r="E1264">
        <v>5.9957334838115024</v>
      </c>
      <c r="F1264">
        <v>606.80236069123202</v>
      </c>
      <c r="G1264">
        <v>0.42399999999999999</v>
      </c>
      <c r="H1264">
        <v>0</v>
      </c>
      <c r="I1264">
        <v>427.60879999999997</v>
      </c>
    </row>
    <row r="1265" spans="1:9" x14ac:dyDescent="0.3">
      <c r="A1265" t="s">
        <v>9</v>
      </c>
      <c r="B1265" t="s">
        <v>1273</v>
      </c>
      <c r="C1265">
        <v>4</v>
      </c>
      <c r="D1265">
        <v>-1.6000000000000001E-3</v>
      </c>
      <c r="E1265">
        <v>5.9957334838115024</v>
      </c>
      <c r="F1265">
        <v>606.80236069123202</v>
      </c>
      <c r="G1265">
        <v>0.42399999999999999</v>
      </c>
      <c r="H1265">
        <v>0</v>
      </c>
      <c r="I1265">
        <v>427.80770000000001</v>
      </c>
    </row>
    <row r="1266" spans="1:9" x14ac:dyDescent="0.3">
      <c r="A1266" t="s">
        <v>9</v>
      </c>
      <c r="B1266" t="s">
        <v>1274</v>
      </c>
      <c r="C1266">
        <v>4</v>
      </c>
      <c r="D1266">
        <v>-1.6000000000000001E-3</v>
      </c>
      <c r="E1266">
        <v>5.9957334838115024</v>
      </c>
      <c r="F1266">
        <v>606.80236069123202</v>
      </c>
      <c r="G1266">
        <v>0.42399999999999999</v>
      </c>
      <c r="H1266">
        <v>0</v>
      </c>
      <c r="I1266">
        <v>428.0104</v>
      </c>
    </row>
    <row r="1267" spans="1:9" x14ac:dyDescent="0.3">
      <c r="A1267" t="s">
        <v>9</v>
      </c>
      <c r="B1267" t="s">
        <v>1275</v>
      </c>
      <c r="C1267">
        <v>4</v>
      </c>
      <c r="D1267">
        <v>-2.3E-3</v>
      </c>
      <c r="E1267">
        <v>5.9957334838115024</v>
      </c>
      <c r="F1267">
        <v>606.80236069123202</v>
      </c>
      <c r="G1267">
        <v>0.42399999999999999</v>
      </c>
      <c r="H1267">
        <v>0</v>
      </c>
      <c r="I1267">
        <v>428.20780000000002</v>
      </c>
    </row>
    <row r="1268" spans="1:9" x14ac:dyDescent="0.3">
      <c r="A1268" t="s">
        <v>9</v>
      </c>
      <c r="B1268" t="s">
        <v>1276</v>
      </c>
      <c r="C1268">
        <v>4</v>
      </c>
      <c r="D1268">
        <v>-2.5000000000000001E-3</v>
      </c>
      <c r="E1268">
        <v>5.9957334838115024</v>
      </c>
      <c r="F1268">
        <v>606.80236069123202</v>
      </c>
      <c r="G1268">
        <v>0.42399999999999999</v>
      </c>
      <c r="H1268">
        <v>0</v>
      </c>
      <c r="I1268">
        <v>428.40879999999999</v>
      </c>
    </row>
    <row r="1269" spans="1:9" x14ac:dyDescent="0.3">
      <c r="A1269" t="s">
        <v>9</v>
      </c>
      <c r="B1269" t="s">
        <v>1277</v>
      </c>
      <c r="C1269">
        <v>4</v>
      </c>
      <c r="D1269">
        <v>-3.0000000000000001E-3</v>
      </c>
      <c r="E1269">
        <v>5.9957334838115024</v>
      </c>
      <c r="F1269">
        <v>606.80236069123202</v>
      </c>
      <c r="G1269">
        <v>0.42399999999999999</v>
      </c>
      <c r="H1269">
        <v>0</v>
      </c>
      <c r="I1269">
        <v>428.60809999999998</v>
      </c>
    </row>
    <row r="1270" spans="1:9" x14ac:dyDescent="0.3">
      <c r="A1270" t="s">
        <v>9</v>
      </c>
      <c r="B1270" t="s">
        <v>1278</v>
      </c>
      <c r="C1270">
        <v>4</v>
      </c>
      <c r="D1270">
        <v>-3.0000000000000001E-3</v>
      </c>
      <c r="E1270">
        <v>7.8409230116730981</v>
      </c>
      <c r="F1270">
        <v>884.10359380777709</v>
      </c>
      <c r="G1270">
        <v>0.42399999999999999</v>
      </c>
      <c r="H1270">
        <v>2.87E-2</v>
      </c>
      <c r="I1270">
        <v>428.80990000000003</v>
      </c>
    </row>
    <row r="1271" spans="1:9" x14ac:dyDescent="0.3">
      <c r="A1271" t="s">
        <v>9</v>
      </c>
      <c r="B1271" t="s">
        <v>1279</v>
      </c>
      <c r="C1271">
        <v>4</v>
      </c>
      <c r="D1271">
        <v>1.2699999999999999E-2</v>
      </c>
      <c r="E1271">
        <v>7.7604889680614626</v>
      </c>
      <c r="F1271">
        <v>771.27757182332834</v>
      </c>
      <c r="G1271">
        <v>0.42399999999999999</v>
      </c>
      <c r="H1271">
        <v>2.7400000000000001E-2</v>
      </c>
      <c r="I1271">
        <v>429.01100000000002</v>
      </c>
    </row>
    <row r="1272" spans="1:9" x14ac:dyDescent="0.3">
      <c r="A1272" t="s">
        <v>9</v>
      </c>
      <c r="B1272" t="s">
        <v>1280</v>
      </c>
      <c r="C1272">
        <v>4</v>
      </c>
      <c r="D1272">
        <v>1.7500000000000002E-2</v>
      </c>
      <c r="E1272">
        <v>7.6792460103036504</v>
      </c>
      <c r="F1272">
        <v>763.70572816030017</v>
      </c>
      <c r="G1272">
        <v>0.42399999999999999</v>
      </c>
      <c r="H1272">
        <v>2.6200000000000001E-2</v>
      </c>
      <c r="I1272">
        <v>429.21010000000001</v>
      </c>
    </row>
    <row r="1273" spans="1:9" x14ac:dyDescent="0.3">
      <c r="A1273" t="s">
        <v>9</v>
      </c>
      <c r="B1273" t="s">
        <v>1281</v>
      </c>
      <c r="C1273">
        <v>4</v>
      </c>
      <c r="D1273">
        <v>1.7600000000000001E-2</v>
      </c>
      <c r="E1273">
        <v>7.5972517152461529</v>
      </c>
      <c r="F1273">
        <v>756.06385986094142</v>
      </c>
      <c r="G1273">
        <v>0.42399999999999999</v>
      </c>
      <c r="H1273">
        <v>2.4899999999999999E-2</v>
      </c>
      <c r="I1273">
        <v>429.40789999999998</v>
      </c>
    </row>
    <row r="1274" spans="1:9" x14ac:dyDescent="0.3">
      <c r="A1274" t="s">
        <v>9</v>
      </c>
      <c r="B1274" t="s">
        <v>1282</v>
      </c>
      <c r="C1274">
        <v>4</v>
      </c>
      <c r="D1274">
        <v>1.7500000000000002E-2</v>
      </c>
      <c r="E1274">
        <v>7.5127576930151374</v>
      </c>
      <c r="F1274">
        <v>748.18901698901084</v>
      </c>
      <c r="G1274">
        <v>0.42399999999999999</v>
      </c>
      <c r="H1274">
        <v>2.3599999999999999E-2</v>
      </c>
      <c r="I1274">
        <v>429.60930000000002</v>
      </c>
    </row>
    <row r="1275" spans="1:9" x14ac:dyDescent="0.3">
      <c r="A1275" t="s">
        <v>9</v>
      </c>
      <c r="B1275" t="s">
        <v>1283</v>
      </c>
      <c r="C1275">
        <v>4</v>
      </c>
      <c r="D1275">
        <v>1.7500000000000002E-2</v>
      </c>
      <c r="E1275">
        <v>7.4282807005556224</v>
      </c>
      <c r="F1275">
        <v>740.31576129178404</v>
      </c>
      <c r="G1275">
        <v>0.42399999999999999</v>
      </c>
      <c r="H1275">
        <v>2.23E-2</v>
      </c>
      <c r="I1275">
        <v>429.8091</v>
      </c>
    </row>
    <row r="1276" spans="1:9" x14ac:dyDescent="0.3">
      <c r="A1276" t="s">
        <v>9</v>
      </c>
      <c r="B1276" t="s">
        <v>1284</v>
      </c>
      <c r="C1276">
        <v>4</v>
      </c>
      <c r="D1276">
        <v>1.7500000000000002E-2</v>
      </c>
      <c r="E1276">
        <v>7.3424952539859722</v>
      </c>
      <c r="F1276">
        <v>732.32055767149268</v>
      </c>
      <c r="G1276">
        <v>0.42399999999999999</v>
      </c>
      <c r="H1276">
        <v>2.0899999999999998E-2</v>
      </c>
      <c r="I1276">
        <v>430.01130000000001</v>
      </c>
    </row>
    <row r="1277" spans="1:9" x14ac:dyDescent="0.3">
      <c r="A1277" t="s">
        <v>9</v>
      </c>
      <c r="B1277" t="s">
        <v>1285</v>
      </c>
      <c r="C1277">
        <v>4</v>
      </c>
      <c r="D1277">
        <v>1.7299999999999999E-2</v>
      </c>
      <c r="E1277">
        <v>7.2583341232406777</v>
      </c>
      <c r="F1277">
        <v>724.47674028603114</v>
      </c>
      <c r="G1277">
        <v>0.42399999999999999</v>
      </c>
      <c r="H1277">
        <v>1.9599999999999999E-2</v>
      </c>
      <c r="I1277">
        <v>430.2097</v>
      </c>
    </row>
    <row r="1278" spans="1:9" x14ac:dyDescent="0.3">
      <c r="A1278" t="s">
        <v>9</v>
      </c>
      <c r="B1278" t="s">
        <v>1286</v>
      </c>
      <c r="C1278">
        <v>4</v>
      </c>
      <c r="D1278">
        <v>1.72E-2</v>
      </c>
      <c r="E1278">
        <v>7.1741705596708822</v>
      </c>
      <c r="F1278">
        <v>716.63269616132629</v>
      </c>
      <c r="G1278">
        <v>0.42399999999999999</v>
      </c>
      <c r="H1278">
        <v>1.83E-2</v>
      </c>
      <c r="I1278">
        <v>430.40879999999999</v>
      </c>
    </row>
    <row r="1279" spans="1:9" x14ac:dyDescent="0.3">
      <c r="A1279" t="s">
        <v>9</v>
      </c>
      <c r="B1279" t="s">
        <v>1287</v>
      </c>
      <c r="C1279">
        <v>4</v>
      </c>
      <c r="D1279">
        <v>1.67E-2</v>
      </c>
      <c r="E1279">
        <v>7.0895102944323813</v>
      </c>
      <c r="F1279">
        <v>708.74235944109796</v>
      </c>
      <c r="G1279">
        <v>0.42399999999999999</v>
      </c>
      <c r="H1279">
        <v>1.7000000000000001E-2</v>
      </c>
      <c r="I1279">
        <v>430.61090000000002</v>
      </c>
    </row>
    <row r="1280" spans="1:9" x14ac:dyDescent="0.3">
      <c r="A1280" t="s">
        <v>9</v>
      </c>
      <c r="B1280" t="s">
        <v>1288</v>
      </c>
      <c r="C1280">
        <v>4</v>
      </c>
      <c r="D1280">
        <v>1.6E-2</v>
      </c>
      <c r="E1280">
        <v>7.0071851352429162</v>
      </c>
      <c r="F1280">
        <v>701.06965460463982</v>
      </c>
      <c r="G1280">
        <v>0.42399999999999999</v>
      </c>
      <c r="H1280">
        <v>1.5699999999999999E-2</v>
      </c>
      <c r="I1280">
        <v>430.80970000000002</v>
      </c>
    </row>
    <row r="1281" spans="1:9" x14ac:dyDescent="0.3">
      <c r="A1281" t="s">
        <v>9</v>
      </c>
      <c r="B1281" t="s">
        <v>1289</v>
      </c>
      <c r="C1281">
        <v>4</v>
      </c>
      <c r="D1281">
        <v>1.5299999999999999E-2</v>
      </c>
      <c r="E1281">
        <v>6.9259324461871064</v>
      </c>
      <c r="F1281">
        <v>693.49690398463838</v>
      </c>
      <c r="G1281">
        <v>0.42399999999999999</v>
      </c>
      <c r="H1281">
        <v>1.4500000000000001E-2</v>
      </c>
      <c r="I1281">
        <v>431.00920000000002</v>
      </c>
    </row>
    <row r="1282" spans="1:9" x14ac:dyDescent="0.3">
      <c r="A1282" t="s">
        <v>9</v>
      </c>
      <c r="B1282" t="s">
        <v>1290</v>
      </c>
      <c r="C1282">
        <v>4</v>
      </c>
      <c r="D1282">
        <v>1.43E-2</v>
      </c>
      <c r="E1282">
        <v>6.8458742739606837</v>
      </c>
      <c r="F1282">
        <v>686.03548233313575</v>
      </c>
      <c r="G1282">
        <v>0.42399999999999999</v>
      </c>
      <c r="H1282">
        <v>1.32E-2</v>
      </c>
      <c r="I1282">
        <v>431.20979999999997</v>
      </c>
    </row>
    <row r="1283" spans="1:9" x14ac:dyDescent="0.3">
      <c r="A1283" t="s">
        <v>9</v>
      </c>
      <c r="B1283" t="s">
        <v>1291</v>
      </c>
      <c r="C1283">
        <v>4</v>
      </c>
      <c r="D1283">
        <v>1.2800000000000001E-2</v>
      </c>
      <c r="E1283">
        <v>6.7679565818233156</v>
      </c>
      <c r="F1283">
        <v>678.77355342593307</v>
      </c>
      <c r="G1283">
        <v>0.42399999999999999</v>
      </c>
      <c r="H1283">
        <v>1.2E-2</v>
      </c>
      <c r="I1283">
        <v>431.4101</v>
      </c>
    </row>
    <row r="1284" spans="1:9" x14ac:dyDescent="0.3">
      <c r="A1284" t="s">
        <v>9</v>
      </c>
      <c r="B1284" t="s">
        <v>1292</v>
      </c>
      <c r="C1284">
        <v>4</v>
      </c>
      <c r="D1284">
        <v>1.18E-2</v>
      </c>
      <c r="E1284">
        <v>6.6929266523671833</v>
      </c>
      <c r="F1284">
        <v>671.7807640006215</v>
      </c>
      <c r="G1284">
        <v>0.42399999999999999</v>
      </c>
      <c r="H1284">
        <v>1.0800000000000001E-2</v>
      </c>
      <c r="I1284">
        <v>431.6087</v>
      </c>
    </row>
    <row r="1285" spans="1:9" x14ac:dyDescent="0.3">
      <c r="A1285" t="s">
        <v>9</v>
      </c>
      <c r="B1285" t="s">
        <v>1293</v>
      </c>
      <c r="C1285">
        <v>4</v>
      </c>
      <c r="D1285">
        <v>1.0200000000000001E-2</v>
      </c>
      <c r="E1285">
        <v>6.6196621425563906</v>
      </c>
      <c r="F1285">
        <v>664.95251168625566</v>
      </c>
      <c r="G1285">
        <v>0.42399999999999999</v>
      </c>
      <c r="H1285">
        <v>9.7000000000000003E-3</v>
      </c>
      <c r="I1285">
        <v>431.80959999999999</v>
      </c>
    </row>
    <row r="1286" spans="1:9" x14ac:dyDescent="0.3">
      <c r="A1286" t="s">
        <v>9</v>
      </c>
      <c r="B1286" t="s">
        <v>1294</v>
      </c>
      <c r="C1286">
        <v>4</v>
      </c>
      <c r="D1286">
        <v>9.1000000000000004E-3</v>
      </c>
      <c r="E1286">
        <v>6.5496263963275512</v>
      </c>
      <c r="F1286">
        <v>658.42518013772781</v>
      </c>
      <c r="G1286">
        <v>0.42399999999999999</v>
      </c>
      <c r="H1286">
        <v>8.6E-3</v>
      </c>
      <c r="I1286">
        <v>432.00940000000003</v>
      </c>
    </row>
    <row r="1287" spans="1:9" x14ac:dyDescent="0.3">
      <c r="A1287" t="s">
        <v>9</v>
      </c>
      <c r="B1287" t="s">
        <v>1295</v>
      </c>
      <c r="C1287">
        <v>4</v>
      </c>
      <c r="D1287">
        <v>7.4999999999999997E-3</v>
      </c>
      <c r="E1287">
        <v>6.4830201217018981</v>
      </c>
      <c r="F1287">
        <v>652.21747534261692</v>
      </c>
      <c r="G1287">
        <v>0.42399999999999999</v>
      </c>
      <c r="H1287">
        <v>7.6E-3</v>
      </c>
      <c r="I1287">
        <v>432.20839999999998</v>
      </c>
    </row>
    <row r="1288" spans="1:9" x14ac:dyDescent="0.3">
      <c r="A1288" t="s">
        <v>9</v>
      </c>
      <c r="B1288" t="s">
        <v>1296</v>
      </c>
      <c r="C1288">
        <v>4</v>
      </c>
      <c r="D1288">
        <v>6.7000000000000002E-3</v>
      </c>
      <c r="E1288">
        <v>6.4195801681627058</v>
      </c>
      <c r="F1288">
        <v>646.30487167276419</v>
      </c>
      <c r="G1288">
        <v>0.42399999999999999</v>
      </c>
      <c r="H1288">
        <v>6.6E-3</v>
      </c>
      <c r="I1288">
        <v>432.40809999999999</v>
      </c>
    </row>
    <row r="1289" spans="1:9" x14ac:dyDescent="0.3">
      <c r="A1289" t="s">
        <v>9</v>
      </c>
      <c r="B1289" t="s">
        <v>1297</v>
      </c>
      <c r="C1289">
        <v>4</v>
      </c>
      <c r="D1289">
        <v>5.4000000000000003E-3</v>
      </c>
      <c r="E1289">
        <v>6.359578768771498</v>
      </c>
      <c r="F1289">
        <v>640.71274124950367</v>
      </c>
      <c r="G1289">
        <v>0.42399999999999999</v>
      </c>
      <c r="H1289">
        <v>5.7000000000000002E-3</v>
      </c>
      <c r="I1289">
        <v>432.60849999999999</v>
      </c>
    </row>
    <row r="1290" spans="1:9" x14ac:dyDescent="0.3">
      <c r="A1290" t="s">
        <v>9</v>
      </c>
      <c r="B1290" t="s">
        <v>1298</v>
      </c>
      <c r="C1290">
        <v>4</v>
      </c>
      <c r="D1290">
        <v>4.1999999999999997E-3</v>
      </c>
      <c r="E1290">
        <v>6.3030063138715002</v>
      </c>
      <c r="F1290">
        <v>635.4401884528238</v>
      </c>
      <c r="G1290">
        <v>0.42399999999999999</v>
      </c>
      <c r="H1290">
        <v>4.7999999999999996E-3</v>
      </c>
      <c r="I1290">
        <v>432.8107</v>
      </c>
    </row>
    <row r="1291" spans="1:9" x14ac:dyDescent="0.3">
      <c r="A1291" t="s">
        <v>9</v>
      </c>
      <c r="B1291" t="s">
        <v>1299</v>
      </c>
      <c r="C1291">
        <v>4</v>
      </c>
      <c r="D1291">
        <v>3.0999999999999999E-3</v>
      </c>
      <c r="E1291">
        <v>6.2512733956547617</v>
      </c>
      <c r="F1291">
        <v>630.61868047502378</v>
      </c>
      <c r="G1291">
        <v>0.42399999999999999</v>
      </c>
      <c r="H1291">
        <v>4.0000000000000001E-3</v>
      </c>
      <c r="I1291">
        <v>433.01029999999997</v>
      </c>
    </row>
    <row r="1292" spans="1:9" x14ac:dyDescent="0.3">
      <c r="A1292" t="s">
        <v>9</v>
      </c>
      <c r="B1292" t="s">
        <v>1300</v>
      </c>
      <c r="C1292">
        <v>4</v>
      </c>
      <c r="D1292">
        <v>2.7000000000000001E-3</v>
      </c>
      <c r="E1292">
        <v>6.2040168339705382</v>
      </c>
      <c r="F1292">
        <v>626.21436892605414</v>
      </c>
      <c r="G1292">
        <v>0.42399999999999999</v>
      </c>
      <c r="H1292">
        <v>3.2000000000000002E-3</v>
      </c>
      <c r="I1292">
        <v>433.20929999999998</v>
      </c>
    </row>
    <row r="1293" spans="1:9" x14ac:dyDescent="0.3">
      <c r="A1293" t="s">
        <v>9</v>
      </c>
      <c r="B1293" t="s">
        <v>1301</v>
      </c>
      <c r="C1293">
        <v>4</v>
      </c>
      <c r="D1293">
        <v>1.6000000000000001E-3</v>
      </c>
      <c r="E1293">
        <v>6.1612642819239749</v>
      </c>
      <c r="F1293">
        <v>622.22983107531445</v>
      </c>
      <c r="G1293">
        <v>0.42399999999999999</v>
      </c>
      <c r="H1293">
        <v>2.5999999999999999E-3</v>
      </c>
      <c r="I1293">
        <v>433.40809999999999</v>
      </c>
    </row>
    <row r="1294" spans="1:9" x14ac:dyDescent="0.3">
      <c r="A1294" t="s">
        <v>9</v>
      </c>
      <c r="B1294" t="s">
        <v>1302</v>
      </c>
      <c r="C1294">
        <v>4</v>
      </c>
      <c r="D1294">
        <v>1.2999999999999999E-3</v>
      </c>
      <c r="E1294">
        <v>6.1224968991434254</v>
      </c>
      <c r="F1294">
        <v>618.61671100016724</v>
      </c>
      <c r="G1294">
        <v>0.42399999999999999</v>
      </c>
      <c r="H1294">
        <v>2E-3</v>
      </c>
      <c r="I1294">
        <v>433.61040000000003</v>
      </c>
    </row>
    <row r="1295" spans="1:9" x14ac:dyDescent="0.3">
      <c r="A1295" t="s">
        <v>9</v>
      </c>
      <c r="B1295" t="s">
        <v>1303</v>
      </c>
      <c r="C1295">
        <v>4</v>
      </c>
      <c r="D1295">
        <v>4.0000000000000002E-4</v>
      </c>
      <c r="E1295">
        <v>6.0893598426497828</v>
      </c>
      <c r="F1295">
        <v>615.52833733495982</v>
      </c>
      <c r="G1295">
        <v>0.42399999999999999</v>
      </c>
      <c r="H1295">
        <v>1.5E-3</v>
      </c>
      <c r="I1295">
        <v>433.8082</v>
      </c>
    </row>
    <row r="1296" spans="1:9" x14ac:dyDescent="0.3">
      <c r="A1296" t="s">
        <v>9</v>
      </c>
      <c r="B1296" t="s">
        <v>1304</v>
      </c>
      <c r="C1296">
        <v>4</v>
      </c>
      <c r="D1296">
        <v>-2.9999999999999997E-4</v>
      </c>
      <c r="E1296">
        <v>6.0605135587263987</v>
      </c>
      <c r="F1296">
        <v>612.83986367330033</v>
      </c>
      <c r="G1296">
        <v>0.42399999999999999</v>
      </c>
      <c r="H1296">
        <v>1E-3</v>
      </c>
      <c r="I1296">
        <v>434.01049999999998</v>
      </c>
    </row>
    <row r="1297" spans="1:9" x14ac:dyDescent="0.3">
      <c r="A1297" t="s">
        <v>9</v>
      </c>
      <c r="B1297" t="s">
        <v>1305</v>
      </c>
      <c r="C1297">
        <v>4</v>
      </c>
      <c r="D1297">
        <v>-8.9999999999999998E-4</v>
      </c>
      <c r="E1297">
        <v>6.03701182530535</v>
      </c>
      <c r="F1297">
        <v>610.6495021184586</v>
      </c>
      <c r="G1297">
        <v>0.42399999999999999</v>
      </c>
      <c r="H1297">
        <v>5.9999999999999995E-4</v>
      </c>
      <c r="I1297">
        <v>434.21129999999999</v>
      </c>
    </row>
    <row r="1298" spans="1:9" x14ac:dyDescent="0.3">
      <c r="A1298" t="s">
        <v>9</v>
      </c>
      <c r="B1298" t="s">
        <v>1306</v>
      </c>
      <c r="C1298">
        <v>4</v>
      </c>
      <c r="D1298">
        <v>-1E-3</v>
      </c>
      <c r="E1298">
        <v>6.0188170065916244</v>
      </c>
      <c r="F1298">
        <v>608.95374501433946</v>
      </c>
      <c r="G1298">
        <v>0.42399999999999999</v>
      </c>
      <c r="H1298">
        <v>4.0000000000000002E-4</v>
      </c>
      <c r="I1298">
        <v>434.41090000000003</v>
      </c>
    </row>
    <row r="1299" spans="1:9" x14ac:dyDescent="0.3">
      <c r="A1299" t="s">
        <v>9</v>
      </c>
      <c r="B1299" t="s">
        <v>1307</v>
      </c>
      <c r="C1299">
        <v>4</v>
      </c>
      <c r="D1299">
        <v>-1.8E-3</v>
      </c>
      <c r="E1299">
        <v>6.0059563623837446</v>
      </c>
      <c r="F1299">
        <v>607.75513297416501</v>
      </c>
      <c r="G1299">
        <v>0.42399999999999999</v>
      </c>
      <c r="H1299">
        <v>2.0000000000000001E-4</v>
      </c>
      <c r="I1299">
        <v>434.60820000000001</v>
      </c>
    </row>
    <row r="1300" spans="1:9" x14ac:dyDescent="0.3">
      <c r="A1300" t="s">
        <v>9</v>
      </c>
      <c r="B1300" t="s">
        <v>1308</v>
      </c>
      <c r="C1300">
        <v>4</v>
      </c>
      <c r="D1300">
        <v>-2.2000000000000001E-3</v>
      </c>
      <c r="E1300">
        <v>5.9981266739509431</v>
      </c>
      <c r="F1300">
        <v>607.0254060122279</v>
      </c>
      <c r="G1300">
        <v>0.42399999999999999</v>
      </c>
      <c r="H1300">
        <v>0</v>
      </c>
      <c r="I1300">
        <v>434.81049999999999</v>
      </c>
    </row>
    <row r="1301" spans="1:9" x14ac:dyDescent="0.3">
      <c r="A1301" t="s">
        <v>9</v>
      </c>
      <c r="B1301" t="s">
        <v>1309</v>
      </c>
      <c r="C1301">
        <v>4</v>
      </c>
      <c r="D1301">
        <v>-2.5999999999999999E-3</v>
      </c>
      <c r="E1301">
        <v>5.9957396869179354</v>
      </c>
      <c r="F1301">
        <v>606.80293882075159</v>
      </c>
      <c r="G1301">
        <v>0.42399999999999999</v>
      </c>
      <c r="H1301">
        <v>0</v>
      </c>
      <c r="I1301">
        <v>435.00959999999998</v>
      </c>
    </row>
    <row r="1302" spans="1:9" x14ac:dyDescent="0.3">
      <c r="A1302" t="s">
        <v>9</v>
      </c>
      <c r="B1302" t="s">
        <v>1310</v>
      </c>
      <c r="C1302">
        <v>4</v>
      </c>
      <c r="D1302">
        <v>-2.5000000000000001E-3</v>
      </c>
      <c r="E1302">
        <v>5.9986829392728156</v>
      </c>
      <c r="F1302">
        <v>709.27501093699027</v>
      </c>
      <c r="G1302">
        <v>0.42399999999999999</v>
      </c>
      <c r="H1302">
        <v>0</v>
      </c>
      <c r="I1302">
        <v>435.21030000000002</v>
      </c>
    </row>
    <row r="1303" spans="1:9" x14ac:dyDescent="0.3">
      <c r="A1303" t="s">
        <v>9</v>
      </c>
      <c r="B1303" t="s">
        <v>1311</v>
      </c>
      <c r="C1303">
        <v>4</v>
      </c>
      <c r="D1303">
        <v>-1.6999999999999999E-3</v>
      </c>
      <c r="E1303">
        <v>6.0069006834868706</v>
      </c>
      <c r="F1303">
        <v>710.05487486290406</v>
      </c>
      <c r="G1303">
        <v>0.42399999999999999</v>
      </c>
      <c r="H1303">
        <v>2.0000000000000001E-4</v>
      </c>
      <c r="I1303">
        <v>435.40949999999998</v>
      </c>
    </row>
    <row r="1304" spans="1:9" x14ac:dyDescent="0.3">
      <c r="A1304" t="s">
        <v>9</v>
      </c>
      <c r="B1304" t="s">
        <v>1312</v>
      </c>
      <c r="C1304">
        <v>4</v>
      </c>
      <c r="D1304">
        <v>-5.0000000000000001E-4</v>
      </c>
      <c r="E1304">
        <v>6.0204767037936184</v>
      </c>
      <c r="F1304">
        <v>711.3432391900144</v>
      </c>
      <c r="G1304">
        <v>0.42399999999999999</v>
      </c>
      <c r="H1304">
        <v>4.0000000000000002E-4</v>
      </c>
      <c r="I1304">
        <v>435.61</v>
      </c>
    </row>
    <row r="1305" spans="1:9" x14ac:dyDescent="0.3">
      <c r="A1305" t="s">
        <v>9</v>
      </c>
      <c r="B1305" t="s">
        <v>1313</v>
      </c>
      <c r="C1305">
        <v>4</v>
      </c>
      <c r="D1305">
        <v>-1E-4</v>
      </c>
      <c r="E1305">
        <v>6.0393073168621143</v>
      </c>
      <c r="F1305">
        <v>713.13026437021472</v>
      </c>
      <c r="G1305">
        <v>0.42399999999999999</v>
      </c>
      <c r="H1305">
        <v>6.9999999999999999E-4</v>
      </c>
      <c r="I1305">
        <v>435.81049999999999</v>
      </c>
    </row>
    <row r="1306" spans="1:9" x14ac:dyDescent="0.3">
      <c r="A1306" t="s">
        <v>9</v>
      </c>
      <c r="B1306" t="s">
        <v>1314</v>
      </c>
      <c r="C1306">
        <v>4</v>
      </c>
      <c r="D1306">
        <v>1E-4</v>
      </c>
      <c r="E1306">
        <v>6.0632846674728702</v>
      </c>
      <c r="F1306">
        <v>715.40571494317544</v>
      </c>
      <c r="G1306">
        <v>0.42399999999999999</v>
      </c>
      <c r="H1306">
        <v>1E-3</v>
      </c>
      <c r="I1306">
        <v>436.01060000000001</v>
      </c>
    </row>
    <row r="1307" spans="1:9" x14ac:dyDescent="0.3">
      <c r="A1307" t="s">
        <v>9</v>
      </c>
      <c r="B1307" t="s">
        <v>1315</v>
      </c>
      <c r="C1307">
        <v>4</v>
      </c>
      <c r="D1307">
        <v>5.9999999999999995E-4</v>
      </c>
      <c r="E1307">
        <v>6.09222254723867</v>
      </c>
      <c r="F1307">
        <v>718.15191973294986</v>
      </c>
      <c r="G1307">
        <v>0.42399999999999999</v>
      </c>
      <c r="H1307">
        <v>1.5E-3</v>
      </c>
      <c r="I1307">
        <v>436.21</v>
      </c>
    </row>
    <row r="1308" spans="1:9" x14ac:dyDescent="0.3">
      <c r="A1308" t="s">
        <v>9</v>
      </c>
      <c r="B1308" t="s">
        <v>1316</v>
      </c>
      <c r="C1308">
        <v>4</v>
      </c>
      <c r="D1308">
        <v>8.0000000000000004E-4</v>
      </c>
      <c r="E1308">
        <v>6.1259529290807331</v>
      </c>
      <c r="F1308">
        <v>721.35293296976158</v>
      </c>
      <c r="G1308">
        <v>0.42399999999999999</v>
      </c>
      <c r="H1308">
        <v>2E-3</v>
      </c>
      <c r="I1308">
        <v>436.40870000000001</v>
      </c>
    </row>
    <row r="1309" spans="1:9" x14ac:dyDescent="0.3">
      <c r="A1309" t="s">
        <v>9</v>
      </c>
      <c r="B1309" t="s">
        <v>1317</v>
      </c>
      <c r="C1309">
        <v>4</v>
      </c>
      <c r="D1309">
        <v>2E-3</v>
      </c>
      <c r="E1309">
        <v>6.1646406368589171</v>
      </c>
      <c r="F1309">
        <v>725.02439643791126</v>
      </c>
      <c r="G1309">
        <v>0.42399999999999999</v>
      </c>
      <c r="H1309">
        <v>2.5999999999999999E-3</v>
      </c>
      <c r="I1309">
        <v>436.60840000000002</v>
      </c>
    </row>
    <row r="1310" spans="1:9" x14ac:dyDescent="0.3">
      <c r="A1310" t="s">
        <v>9</v>
      </c>
      <c r="B1310" t="s">
        <v>1318</v>
      </c>
      <c r="C1310">
        <v>4</v>
      </c>
      <c r="D1310">
        <v>2.3999999999999998E-3</v>
      </c>
      <c r="E1310">
        <v>6.2082578958268497</v>
      </c>
      <c r="F1310">
        <v>729.16367431396804</v>
      </c>
      <c r="G1310">
        <v>0.42399999999999999</v>
      </c>
      <c r="H1310">
        <v>3.3E-3</v>
      </c>
      <c r="I1310">
        <v>436.80930000000001</v>
      </c>
    </row>
    <row r="1311" spans="1:9" x14ac:dyDescent="0.3">
      <c r="A1311" t="s">
        <v>9</v>
      </c>
      <c r="B1311" t="s">
        <v>1319</v>
      </c>
      <c r="C1311">
        <v>4</v>
      </c>
      <c r="D1311">
        <v>3.0000000000000001E-3</v>
      </c>
      <c r="E1311">
        <v>6.2564104262272666</v>
      </c>
      <c r="F1311">
        <v>733.7333494489676</v>
      </c>
      <c r="G1311">
        <v>0.42399999999999999</v>
      </c>
      <c r="H1311">
        <v>4.1000000000000003E-3</v>
      </c>
      <c r="I1311">
        <v>437.0102</v>
      </c>
    </row>
    <row r="1312" spans="1:9" x14ac:dyDescent="0.3">
      <c r="A1312" t="s">
        <v>9</v>
      </c>
      <c r="B1312" t="s">
        <v>1320</v>
      </c>
      <c r="C1312">
        <v>4</v>
      </c>
      <c r="D1312">
        <v>3.5000000000000001E-3</v>
      </c>
      <c r="E1312">
        <v>6.3081807288471516</v>
      </c>
      <c r="F1312">
        <v>738.64635116759473</v>
      </c>
      <c r="G1312">
        <v>0.42399999999999999</v>
      </c>
      <c r="H1312">
        <v>4.8999999999999998E-3</v>
      </c>
      <c r="I1312">
        <v>437.20839999999998</v>
      </c>
    </row>
    <row r="1313" spans="1:9" x14ac:dyDescent="0.3">
      <c r="A1313" t="s">
        <v>9</v>
      </c>
      <c r="B1313" t="s">
        <v>1321</v>
      </c>
      <c r="C1313">
        <v>4</v>
      </c>
      <c r="D1313">
        <v>4.8999999999999998E-3</v>
      </c>
      <c r="E1313">
        <v>6.3648568220708386</v>
      </c>
      <c r="F1313">
        <v>744.02491241452265</v>
      </c>
      <c r="G1313">
        <v>0.42399999999999999</v>
      </c>
      <c r="H1313">
        <v>5.7000000000000002E-3</v>
      </c>
      <c r="I1313">
        <v>437.40960000000001</v>
      </c>
    </row>
    <row r="1314" spans="1:9" x14ac:dyDescent="0.3">
      <c r="A1314" t="s">
        <v>9</v>
      </c>
      <c r="B1314" t="s">
        <v>1322</v>
      </c>
      <c r="C1314">
        <v>4</v>
      </c>
      <c r="D1314">
        <v>5.7999999999999996E-3</v>
      </c>
      <c r="E1314">
        <v>6.4258499623693819</v>
      </c>
      <c r="F1314">
        <v>749.81316142885441</v>
      </c>
      <c r="G1314">
        <v>0.42399999999999999</v>
      </c>
      <c r="H1314">
        <v>6.7000000000000002E-3</v>
      </c>
      <c r="I1314">
        <v>437.6121</v>
      </c>
    </row>
    <row r="1315" spans="1:9" x14ac:dyDescent="0.3">
      <c r="A1315" t="s">
        <v>9</v>
      </c>
      <c r="B1315" t="s">
        <v>1323</v>
      </c>
      <c r="C1315">
        <v>4</v>
      </c>
      <c r="D1315">
        <v>6.1000000000000004E-3</v>
      </c>
      <c r="E1315">
        <v>6.4886581924801314</v>
      </c>
      <c r="F1315">
        <v>755.7736624663645</v>
      </c>
      <c r="G1315">
        <v>0.42399999999999999</v>
      </c>
      <c r="H1315">
        <v>7.7000000000000002E-3</v>
      </c>
      <c r="I1315">
        <v>437.80880000000002</v>
      </c>
    </row>
    <row r="1316" spans="1:9" x14ac:dyDescent="0.3">
      <c r="A1316" t="s">
        <v>9</v>
      </c>
      <c r="B1316" t="s">
        <v>1324</v>
      </c>
      <c r="C1316">
        <v>4</v>
      </c>
      <c r="D1316">
        <v>7.6E-3</v>
      </c>
      <c r="E1316">
        <v>6.5571004386616174</v>
      </c>
      <c r="F1316">
        <v>762.26883162898741</v>
      </c>
      <c r="G1316">
        <v>0.42399999999999999</v>
      </c>
      <c r="H1316">
        <v>8.6999999999999994E-3</v>
      </c>
      <c r="I1316">
        <v>438.01229999999998</v>
      </c>
    </row>
    <row r="1317" spans="1:9" x14ac:dyDescent="0.3">
      <c r="A1317" t="s">
        <v>9</v>
      </c>
      <c r="B1317" t="s">
        <v>1325</v>
      </c>
      <c r="C1317">
        <v>4</v>
      </c>
      <c r="D1317">
        <v>8.3999999999999995E-3</v>
      </c>
      <c r="E1317">
        <v>6.6261180478373003</v>
      </c>
      <c r="F1317">
        <v>768.81860273975985</v>
      </c>
      <c r="G1317">
        <v>0.42399999999999999</v>
      </c>
      <c r="H1317">
        <v>9.7999999999999997E-3</v>
      </c>
      <c r="I1317">
        <v>438.20839999999998</v>
      </c>
    </row>
    <row r="1318" spans="1:9" x14ac:dyDescent="0.3">
      <c r="A1318" t="s">
        <v>9</v>
      </c>
      <c r="B1318" t="s">
        <v>1326</v>
      </c>
      <c r="C1318">
        <v>4</v>
      </c>
      <c r="D1318">
        <v>9.5999999999999992E-3</v>
      </c>
      <c r="E1318">
        <v>6.7000442859120328</v>
      </c>
      <c r="F1318">
        <v>775.83420273305194</v>
      </c>
      <c r="G1318">
        <v>0.42399999999999999</v>
      </c>
      <c r="H1318">
        <v>1.09E-2</v>
      </c>
      <c r="I1318">
        <v>438.41039999999998</v>
      </c>
    </row>
    <row r="1319" spans="1:9" x14ac:dyDescent="0.3">
      <c r="A1319" t="s">
        <v>9</v>
      </c>
      <c r="B1319" t="s">
        <v>1327</v>
      </c>
      <c r="C1319">
        <v>4</v>
      </c>
      <c r="D1319">
        <v>1.0800000000000001E-2</v>
      </c>
      <c r="E1319">
        <v>6.775995850382829</v>
      </c>
      <c r="F1319">
        <v>783.04200620133054</v>
      </c>
      <c r="G1319">
        <v>0.42399999999999999</v>
      </c>
      <c r="H1319">
        <v>1.21E-2</v>
      </c>
      <c r="I1319">
        <v>438.61079999999998</v>
      </c>
    </row>
    <row r="1320" spans="1:9" x14ac:dyDescent="0.3">
      <c r="A1320" t="s">
        <v>9</v>
      </c>
      <c r="B1320" t="s">
        <v>1328</v>
      </c>
      <c r="C1320">
        <v>4</v>
      </c>
      <c r="D1320">
        <v>1.18E-2</v>
      </c>
      <c r="E1320">
        <v>6.8539431418849439</v>
      </c>
      <c r="F1320">
        <v>790.43920416488118</v>
      </c>
      <c r="G1320">
        <v>0.42399999999999999</v>
      </c>
      <c r="H1320">
        <v>1.3299999999999999E-2</v>
      </c>
      <c r="I1320">
        <v>438.81060000000002</v>
      </c>
    </row>
    <row r="1321" spans="1:9" x14ac:dyDescent="0.3">
      <c r="A1321" t="s">
        <v>9</v>
      </c>
      <c r="B1321" t="s">
        <v>1329</v>
      </c>
      <c r="C1321">
        <v>4</v>
      </c>
      <c r="D1321">
        <v>1.26E-2</v>
      </c>
      <c r="E1321">
        <v>6.9343439368950843</v>
      </c>
      <c r="F1321">
        <v>798.06923961134351</v>
      </c>
      <c r="G1321">
        <v>0.42399999999999999</v>
      </c>
      <c r="H1321">
        <v>1.46E-2</v>
      </c>
      <c r="I1321">
        <v>439.01159999999999</v>
      </c>
    </row>
    <row r="1322" spans="1:9" x14ac:dyDescent="0.3">
      <c r="A1322" t="s">
        <v>9</v>
      </c>
      <c r="B1322" t="s">
        <v>1330</v>
      </c>
      <c r="C1322">
        <v>4</v>
      </c>
      <c r="D1322">
        <v>1.3899999999999999E-2</v>
      </c>
      <c r="E1322">
        <v>7.0147917665122206</v>
      </c>
      <c r="F1322">
        <v>805.70373864200985</v>
      </c>
      <c r="G1322">
        <v>0.42399999999999999</v>
      </c>
      <c r="H1322">
        <v>1.5800000000000002E-2</v>
      </c>
      <c r="I1322">
        <v>439.20870000000002</v>
      </c>
    </row>
    <row r="1323" spans="1:9" x14ac:dyDescent="0.3">
      <c r="A1323" t="s">
        <v>9</v>
      </c>
      <c r="B1323" t="s">
        <v>1331</v>
      </c>
      <c r="C1323">
        <v>4</v>
      </c>
      <c r="D1323">
        <v>1.55E-2</v>
      </c>
      <c r="E1323">
        <v>7.0980547795463496</v>
      </c>
      <c r="F1323">
        <v>813.60539857894867</v>
      </c>
      <c r="G1323">
        <v>0.42399999999999999</v>
      </c>
      <c r="H1323">
        <v>1.7100000000000001E-2</v>
      </c>
      <c r="I1323">
        <v>439.40960000000001</v>
      </c>
    </row>
    <row r="1324" spans="1:9" x14ac:dyDescent="0.3">
      <c r="A1324" t="s">
        <v>9</v>
      </c>
      <c r="B1324" t="s">
        <v>1332</v>
      </c>
      <c r="C1324">
        <v>4</v>
      </c>
      <c r="D1324">
        <v>1.6299999999999999E-2</v>
      </c>
      <c r="E1324">
        <v>7.1823302530431352</v>
      </c>
      <c r="F1324">
        <v>821.60314101379356</v>
      </c>
      <c r="G1324">
        <v>0.42399999999999999</v>
      </c>
      <c r="H1324">
        <v>1.84E-2</v>
      </c>
      <c r="I1324">
        <v>439.6105</v>
      </c>
    </row>
    <row r="1325" spans="1:9" x14ac:dyDescent="0.3">
      <c r="A1325" t="s">
        <v>9</v>
      </c>
      <c r="B1325" t="s">
        <v>1333</v>
      </c>
      <c r="C1325">
        <v>4</v>
      </c>
      <c r="D1325">
        <v>1.7999999999999999E-2</v>
      </c>
      <c r="E1325">
        <v>7.2675508788580832</v>
      </c>
      <c r="F1325">
        <v>829.69057840363212</v>
      </c>
      <c r="G1325">
        <v>0.42399999999999999</v>
      </c>
      <c r="H1325">
        <v>1.9800000000000002E-2</v>
      </c>
      <c r="I1325">
        <v>439.81200000000001</v>
      </c>
    </row>
    <row r="1326" spans="1:9" x14ac:dyDescent="0.3">
      <c r="A1326" t="s">
        <v>9</v>
      </c>
      <c r="B1326" t="s">
        <v>1334</v>
      </c>
      <c r="C1326">
        <v>4</v>
      </c>
      <c r="D1326">
        <v>1.9199999999999998E-2</v>
      </c>
      <c r="E1326">
        <v>7.3512144969931752</v>
      </c>
      <c r="F1326">
        <v>837.63025576465236</v>
      </c>
      <c r="G1326">
        <v>0.42399999999999999</v>
      </c>
      <c r="H1326">
        <v>2.1100000000000001E-2</v>
      </c>
      <c r="I1326">
        <v>440.00920000000002</v>
      </c>
    </row>
    <row r="1327" spans="1:9" x14ac:dyDescent="0.3">
      <c r="A1327" t="s">
        <v>9</v>
      </c>
      <c r="B1327" t="s">
        <v>1335</v>
      </c>
      <c r="C1327">
        <v>4</v>
      </c>
      <c r="D1327">
        <v>2.1000000000000001E-2</v>
      </c>
      <c r="E1327">
        <v>7.4370242718078199</v>
      </c>
      <c r="F1327">
        <v>845.7736033945622</v>
      </c>
      <c r="G1327">
        <v>0.42399999999999999</v>
      </c>
      <c r="H1327">
        <v>2.24E-2</v>
      </c>
      <c r="I1327">
        <v>440.2115</v>
      </c>
    </row>
    <row r="1328" spans="1:9" x14ac:dyDescent="0.3">
      <c r="A1328" t="s">
        <v>9</v>
      </c>
      <c r="B1328" t="s">
        <v>1336</v>
      </c>
      <c r="C1328">
        <v>4</v>
      </c>
      <c r="D1328">
        <v>2.2200000000000001E-2</v>
      </c>
      <c r="E1328">
        <v>7.5204263613091884</v>
      </c>
      <c r="F1328">
        <v>853.68846168824189</v>
      </c>
      <c r="G1328">
        <v>0.42399999999999999</v>
      </c>
      <c r="H1328">
        <v>2.3699999999999999E-2</v>
      </c>
      <c r="I1328">
        <v>440.40879999999999</v>
      </c>
    </row>
    <row r="1329" spans="1:9" x14ac:dyDescent="0.3">
      <c r="A1329" t="s">
        <v>9</v>
      </c>
      <c r="B1329" t="s">
        <v>1337</v>
      </c>
      <c r="C1329">
        <v>4</v>
      </c>
      <c r="D1329">
        <v>2.3599999999999999E-2</v>
      </c>
      <c r="E1329">
        <v>7.6046008725892316</v>
      </c>
      <c r="F1329">
        <v>861.67662280871821</v>
      </c>
      <c r="G1329">
        <v>0.42399999999999999</v>
      </c>
      <c r="H1329">
        <v>2.5000000000000001E-2</v>
      </c>
      <c r="I1329">
        <v>440.6096</v>
      </c>
    </row>
    <row r="1330" spans="1:9" x14ac:dyDescent="0.3">
      <c r="A1330" t="s">
        <v>9</v>
      </c>
      <c r="B1330" t="s">
        <v>1338</v>
      </c>
      <c r="C1330">
        <v>4</v>
      </c>
      <c r="D1330">
        <v>2.5100000000000001E-2</v>
      </c>
      <c r="E1330">
        <v>7.6872718983284134</v>
      </c>
      <c r="F1330">
        <v>869.52210315136642</v>
      </c>
      <c r="G1330">
        <v>0.42399999999999999</v>
      </c>
      <c r="H1330">
        <v>2.63E-2</v>
      </c>
      <c r="I1330">
        <v>440.80930000000001</v>
      </c>
    </row>
    <row r="1331" spans="1:9" x14ac:dyDescent="0.3">
      <c r="A1331" t="s">
        <v>9</v>
      </c>
      <c r="B1331" t="s">
        <v>1339</v>
      </c>
      <c r="C1331">
        <v>4</v>
      </c>
      <c r="D1331">
        <v>2.64E-2</v>
      </c>
      <c r="E1331">
        <v>7.7689000532986929</v>
      </c>
      <c r="F1331">
        <v>877.26861505804595</v>
      </c>
      <c r="G1331">
        <v>0.42399999999999999</v>
      </c>
      <c r="H1331">
        <v>2.76E-2</v>
      </c>
      <c r="I1331">
        <v>441.00970000000001</v>
      </c>
    </row>
    <row r="1332" spans="1:9" x14ac:dyDescent="0.3">
      <c r="A1332" t="s">
        <v>9</v>
      </c>
      <c r="B1332" t="s">
        <v>1340</v>
      </c>
      <c r="C1332">
        <v>4</v>
      </c>
      <c r="D1332">
        <v>2.76E-2</v>
      </c>
      <c r="E1332">
        <v>7.8492594902923347</v>
      </c>
      <c r="F1332">
        <v>884.89472562874266</v>
      </c>
      <c r="G1332">
        <v>0.42399999999999999</v>
      </c>
      <c r="H1332">
        <v>2.8799999999999999E-2</v>
      </c>
      <c r="I1332">
        <v>441.21120000000002</v>
      </c>
    </row>
    <row r="1333" spans="1:9" x14ac:dyDescent="0.3">
      <c r="A1333" t="s">
        <v>9</v>
      </c>
      <c r="B1333" t="s">
        <v>1341</v>
      </c>
      <c r="C1333">
        <v>4</v>
      </c>
      <c r="D1333">
        <v>2.9000000000000001E-2</v>
      </c>
      <c r="E1333">
        <v>7.9266038467892566</v>
      </c>
      <c r="F1333">
        <v>892.23470506030048</v>
      </c>
      <c r="G1333">
        <v>0.42399999999999999</v>
      </c>
      <c r="H1333">
        <v>0.03</v>
      </c>
      <c r="I1333">
        <v>441.41</v>
      </c>
    </row>
    <row r="1334" spans="1:9" x14ac:dyDescent="0.3">
      <c r="A1334" t="s">
        <v>9</v>
      </c>
      <c r="B1334" t="s">
        <v>1342</v>
      </c>
      <c r="C1334">
        <v>4</v>
      </c>
      <c r="D1334">
        <v>3.0200000000000001E-2</v>
      </c>
      <c r="E1334">
        <v>8.0016171519446395</v>
      </c>
      <c r="F1334">
        <v>899.3534677195463</v>
      </c>
      <c r="G1334">
        <v>0.42399999999999999</v>
      </c>
      <c r="H1334">
        <v>3.1199999999999999E-2</v>
      </c>
      <c r="I1334">
        <v>441.60860000000002</v>
      </c>
    </row>
    <row r="1335" spans="1:9" x14ac:dyDescent="0.3">
      <c r="A1335" t="s">
        <v>9</v>
      </c>
      <c r="B1335" t="s">
        <v>1343</v>
      </c>
      <c r="C1335">
        <v>4</v>
      </c>
      <c r="D1335">
        <v>3.1E-2</v>
      </c>
      <c r="E1335">
        <v>8.0747969183686905</v>
      </c>
      <c r="F1335">
        <v>906.29822755318878</v>
      </c>
      <c r="G1335">
        <v>0.42399999999999999</v>
      </c>
      <c r="H1335">
        <v>3.2300000000000002E-2</v>
      </c>
      <c r="I1335">
        <v>441.80919999999998</v>
      </c>
    </row>
    <row r="1336" spans="1:9" x14ac:dyDescent="0.3">
      <c r="A1336" t="s">
        <v>9</v>
      </c>
      <c r="B1336" t="s">
        <v>1344</v>
      </c>
      <c r="C1336">
        <v>4</v>
      </c>
      <c r="D1336">
        <v>3.2599999999999997E-2</v>
      </c>
      <c r="E1336">
        <v>8.145105140941503</v>
      </c>
      <c r="F1336">
        <v>912.97047787534871</v>
      </c>
      <c r="G1336">
        <v>0.42399999999999999</v>
      </c>
      <c r="H1336">
        <v>3.3399999999999999E-2</v>
      </c>
      <c r="I1336">
        <v>442.00979999999998</v>
      </c>
    </row>
    <row r="1337" spans="1:9" x14ac:dyDescent="0.3">
      <c r="A1337" t="s">
        <v>9</v>
      </c>
      <c r="B1337" t="s">
        <v>1345</v>
      </c>
      <c r="C1337">
        <v>4</v>
      </c>
      <c r="D1337">
        <v>3.3500000000000002E-2</v>
      </c>
      <c r="E1337">
        <v>8.2118800913991432</v>
      </c>
      <c r="F1337">
        <v>919.30742067377878</v>
      </c>
      <c r="G1337">
        <v>0.42399999999999999</v>
      </c>
      <c r="H1337">
        <v>3.44E-2</v>
      </c>
      <c r="I1337">
        <v>442.20929999999998</v>
      </c>
    </row>
    <row r="1338" spans="1:9" x14ac:dyDescent="0.3">
      <c r="A1338" t="s">
        <v>9</v>
      </c>
      <c r="B1338" t="s">
        <v>1346</v>
      </c>
      <c r="C1338">
        <v>4</v>
      </c>
      <c r="D1338">
        <v>3.4299999999999997E-2</v>
      </c>
      <c r="E1338">
        <v>8.2753334254730841</v>
      </c>
      <c r="F1338">
        <v>925.32914207739577</v>
      </c>
      <c r="G1338">
        <v>0.42399999999999999</v>
      </c>
      <c r="H1338">
        <v>3.5400000000000001E-2</v>
      </c>
      <c r="I1338">
        <v>442.40910000000002</v>
      </c>
    </row>
    <row r="1339" spans="1:9" x14ac:dyDescent="0.3">
      <c r="A1339" t="s">
        <v>9</v>
      </c>
      <c r="B1339" t="s">
        <v>1347</v>
      </c>
      <c r="C1339">
        <v>4</v>
      </c>
      <c r="D1339">
        <v>3.5299999999999998E-2</v>
      </c>
      <c r="E1339">
        <v>8.3357384304488065</v>
      </c>
      <c r="F1339">
        <v>931.06157704959173</v>
      </c>
      <c r="G1339">
        <v>0.42399999999999999</v>
      </c>
      <c r="H1339">
        <v>3.6400000000000002E-2</v>
      </c>
      <c r="I1339">
        <v>442.61099999999999</v>
      </c>
    </row>
    <row r="1340" spans="1:9" x14ac:dyDescent="0.3">
      <c r="A1340" t="s">
        <v>9</v>
      </c>
      <c r="B1340" t="s">
        <v>1348</v>
      </c>
      <c r="C1340">
        <v>4</v>
      </c>
      <c r="D1340">
        <v>3.6600000000000001E-2</v>
      </c>
      <c r="E1340">
        <v>8.3914626810869546</v>
      </c>
      <c r="F1340">
        <v>936.349808435152</v>
      </c>
      <c r="G1340">
        <v>0.42399999999999999</v>
      </c>
      <c r="H1340">
        <v>3.7199999999999997E-2</v>
      </c>
      <c r="I1340">
        <v>442.81020000000001</v>
      </c>
    </row>
    <row r="1341" spans="1:9" x14ac:dyDescent="0.3">
      <c r="A1341" t="s">
        <v>9</v>
      </c>
      <c r="B1341" t="s">
        <v>1349</v>
      </c>
      <c r="C1341">
        <v>4</v>
      </c>
      <c r="D1341">
        <v>3.7600000000000001E-2</v>
      </c>
      <c r="E1341">
        <v>8.4437732734811668</v>
      </c>
      <c r="F1341">
        <v>941.31408365336279</v>
      </c>
      <c r="G1341">
        <v>0.42399999999999999</v>
      </c>
      <c r="H1341">
        <v>3.7999999999999999E-2</v>
      </c>
      <c r="I1341">
        <v>443.01209999999998</v>
      </c>
    </row>
    <row r="1342" spans="1:9" x14ac:dyDescent="0.3">
      <c r="A1342" t="s">
        <v>9</v>
      </c>
      <c r="B1342" t="s">
        <v>1350</v>
      </c>
      <c r="C1342">
        <v>4</v>
      </c>
      <c r="D1342">
        <v>3.8899999999999997E-2</v>
      </c>
      <c r="E1342">
        <v>8.4908699175016036</v>
      </c>
      <c r="F1342">
        <v>945.78355517090222</v>
      </c>
      <c r="G1342">
        <v>0.42399999999999999</v>
      </c>
      <c r="H1342">
        <v>3.8800000000000001E-2</v>
      </c>
      <c r="I1342">
        <v>443.2106</v>
      </c>
    </row>
    <row r="1343" spans="1:9" x14ac:dyDescent="0.3">
      <c r="A1343" t="s">
        <v>9</v>
      </c>
      <c r="B1343" t="s">
        <v>1351</v>
      </c>
      <c r="C1343">
        <v>4</v>
      </c>
      <c r="D1343">
        <v>3.9399999999999998E-2</v>
      </c>
      <c r="E1343">
        <v>8.5337520985469304</v>
      </c>
      <c r="F1343">
        <v>949.85307415210377</v>
      </c>
      <c r="G1343">
        <v>0.42399999999999999</v>
      </c>
      <c r="H1343">
        <v>3.9399999999999998E-2</v>
      </c>
      <c r="I1343">
        <v>443.4101</v>
      </c>
    </row>
    <row r="1344" spans="1:9" x14ac:dyDescent="0.3">
      <c r="A1344" t="s">
        <v>9</v>
      </c>
      <c r="B1344" t="s">
        <v>1352</v>
      </c>
      <c r="C1344">
        <v>4</v>
      </c>
      <c r="D1344">
        <v>4.0399999999999998E-2</v>
      </c>
      <c r="E1344">
        <v>8.5722182976544072</v>
      </c>
      <c r="F1344">
        <v>953.50351644740329</v>
      </c>
      <c r="G1344">
        <v>0.42399999999999999</v>
      </c>
      <c r="H1344">
        <v>0.04</v>
      </c>
      <c r="I1344">
        <v>443.61099999999999</v>
      </c>
    </row>
    <row r="1345" spans="1:9" x14ac:dyDescent="0.3">
      <c r="A1345" t="s">
        <v>9</v>
      </c>
      <c r="B1345" t="s">
        <v>1353</v>
      </c>
      <c r="C1345">
        <v>4</v>
      </c>
      <c r="D1345">
        <v>4.0800000000000003E-2</v>
      </c>
      <c r="E1345">
        <v>8.6054685210343642</v>
      </c>
      <c r="F1345">
        <v>956.65896264616117</v>
      </c>
      <c r="G1345">
        <v>0.42399999999999999</v>
      </c>
      <c r="H1345">
        <v>4.0500000000000001E-2</v>
      </c>
      <c r="I1345">
        <v>443.80970000000002</v>
      </c>
    </row>
    <row r="1346" spans="1:9" x14ac:dyDescent="0.3">
      <c r="A1346" t="s">
        <v>9</v>
      </c>
      <c r="B1346" t="s">
        <v>1354</v>
      </c>
      <c r="C1346">
        <v>4</v>
      </c>
      <c r="D1346">
        <v>4.1099999999999998E-2</v>
      </c>
      <c r="E1346">
        <v>8.6341085419872439</v>
      </c>
      <c r="F1346">
        <v>959.37690063458945</v>
      </c>
      <c r="G1346">
        <v>0.42399999999999999</v>
      </c>
      <c r="H1346">
        <v>4.1000000000000002E-2</v>
      </c>
      <c r="I1346">
        <v>444.01060000000001</v>
      </c>
    </row>
    <row r="1347" spans="1:9" x14ac:dyDescent="0.3">
      <c r="A1347" t="s">
        <v>9</v>
      </c>
      <c r="B1347" t="s">
        <v>1355</v>
      </c>
      <c r="C1347">
        <v>4</v>
      </c>
      <c r="D1347">
        <v>4.2299999999999997E-2</v>
      </c>
      <c r="E1347">
        <v>8.6576469299640895</v>
      </c>
      <c r="F1347">
        <v>961.61069365359219</v>
      </c>
      <c r="G1347">
        <v>0.42399999999999999</v>
      </c>
      <c r="H1347">
        <v>4.1399999999999999E-2</v>
      </c>
      <c r="I1347">
        <v>444.21179999999998</v>
      </c>
    </row>
    <row r="1348" spans="1:9" x14ac:dyDescent="0.3">
      <c r="A1348" t="s">
        <v>9</v>
      </c>
      <c r="B1348" t="s">
        <v>1356</v>
      </c>
      <c r="C1348">
        <v>4</v>
      </c>
      <c r="D1348">
        <v>4.2700000000000002E-2</v>
      </c>
      <c r="E1348">
        <v>8.6758436462809243</v>
      </c>
      <c r="F1348">
        <v>963.33756203205974</v>
      </c>
      <c r="G1348">
        <v>0.42399999999999999</v>
      </c>
      <c r="H1348">
        <v>4.1599999999999998E-2</v>
      </c>
      <c r="I1348">
        <v>444.41160000000002</v>
      </c>
    </row>
    <row r="1349" spans="1:9" x14ac:dyDescent="0.3">
      <c r="A1349" t="s">
        <v>9</v>
      </c>
      <c r="B1349" t="s">
        <v>1357</v>
      </c>
      <c r="C1349">
        <v>4</v>
      </c>
      <c r="D1349">
        <v>4.3099999999999999E-2</v>
      </c>
      <c r="E1349">
        <v>8.6887789741462385</v>
      </c>
      <c r="F1349">
        <v>964.56512464647813</v>
      </c>
      <c r="G1349">
        <v>0.42399999999999999</v>
      </c>
      <c r="H1349">
        <v>4.1799999999999997E-2</v>
      </c>
      <c r="I1349">
        <v>444.61070000000001</v>
      </c>
    </row>
    <row r="1350" spans="1:9" x14ac:dyDescent="0.3">
      <c r="A1350" t="s">
        <v>9</v>
      </c>
      <c r="B1350" t="s">
        <v>1358</v>
      </c>
      <c r="C1350">
        <v>4</v>
      </c>
      <c r="D1350">
        <v>4.3799999999999999E-2</v>
      </c>
      <c r="E1350">
        <v>8.6965088685235301</v>
      </c>
      <c r="F1350">
        <v>965.2986916228831</v>
      </c>
      <c r="G1350">
        <v>0.42399999999999999</v>
      </c>
      <c r="H1350">
        <v>4.2000000000000003E-2</v>
      </c>
      <c r="I1350">
        <v>444.81169999999997</v>
      </c>
    </row>
    <row r="1351" spans="1:9" x14ac:dyDescent="0.3">
      <c r="A1351" t="s">
        <v>9</v>
      </c>
      <c r="B1351" t="s">
        <v>1359</v>
      </c>
      <c r="C1351">
        <v>4</v>
      </c>
      <c r="D1351">
        <v>4.3900000000000002E-2</v>
      </c>
      <c r="E1351">
        <v>8.6988581660488151</v>
      </c>
      <c r="F1351">
        <v>965.52163995803255</v>
      </c>
      <c r="G1351">
        <v>0.42399999999999999</v>
      </c>
      <c r="H1351">
        <v>4.2000000000000003E-2</v>
      </c>
      <c r="I1351">
        <v>445.01440000000002</v>
      </c>
    </row>
    <row r="1352" spans="1:9" x14ac:dyDescent="0.3">
      <c r="A1352" t="s">
        <v>9</v>
      </c>
      <c r="B1352" t="s">
        <v>1360</v>
      </c>
      <c r="C1352">
        <v>4</v>
      </c>
      <c r="D1352">
        <v>4.3900000000000002E-2</v>
      </c>
      <c r="E1352">
        <v>8.6959253961143332</v>
      </c>
      <c r="F1352">
        <v>858.4602469178559</v>
      </c>
      <c r="G1352">
        <v>0.42399999999999999</v>
      </c>
      <c r="H1352">
        <v>4.2000000000000003E-2</v>
      </c>
      <c r="I1352">
        <v>445.21019999999999</v>
      </c>
    </row>
    <row r="1353" spans="1:9" x14ac:dyDescent="0.3">
      <c r="A1353" t="s">
        <v>9</v>
      </c>
      <c r="B1353" t="s">
        <v>1361</v>
      </c>
      <c r="C1353">
        <v>4</v>
      </c>
      <c r="D1353">
        <v>4.2999999999999997E-2</v>
      </c>
      <c r="E1353">
        <v>8.6877215064303357</v>
      </c>
      <c r="F1353">
        <v>857.6956443993073</v>
      </c>
      <c r="G1353">
        <v>0.42399999999999999</v>
      </c>
      <c r="H1353">
        <v>4.1799999999999997E-2</v>
      </c>
      <c r="I1353">
        <v>445.40910000000002</v>
      </c>
    </row>
    <row r="1354" spans="1:9" x14ac:dyDescent="0.3">
      <c r="A1354" t="s">
        <v>9</v>
      </c>
      <c r="B1354" t="s">
        <v>1362</v>
      </c>
      <c r="C1354">
        <v>4</v>
      </c>
      <c r="D1354">
        <v>4.2200000000000001E-2</v>
      </c>
      <c r="E1354">
        <v>8.6741382363065789</v>
      </c>
      <c r="F1354">
        <v>856.42968362377314</v>
      </c>
      <c r="G1354">
        <v>0.42399999999999999</v>
      </c>
      <c r="H1354">
        <v>4.1599999999999998E-2</v>
      </c>
      <c r="I1354">
        <v>445.60989999999998</v>
      </c>
    </row>
    <row r="1355" spans="1:9" x14ac:dyDescent="0.3">
      <c r="A1355" t="s">
        <v>9</v>
      </c>
      <c r="B1355" t="s">
        <v>1363</v>
      </c>
      <c r="C1355">
        <v>4</v>
      </c>
      <c r="D1355">
        <v>4.2000000000000003E-2</v>
      </c>
      <c r="E1355">
        <v>8.6554350870230419</v>
      </c>
      <c r="F1355">
        <v>854.6865501105475</v>
      </c>
      <c r="G1355">
        <v>0.42399999999999999</v>
      </c>
      <c r="H1355">
        <v>4.1300000000000003E-2</v>
      </c>
      <c r="I1355">
        <v>445.8091</v>
      </c>
    </row>
    <row r="1356" spans="1:9" x14ac:dyDescent="0.3">
      <c r="A1356" t="s">
        <v>9</v>
      </c>
      <c r="B1356" t="s">
        <v>1364</v>
      </c>
      <c r="C1356">
        <v>4</v>
      </c>
      <c r="D1356">
        <v>4.1399999999999999E-2</v>
      </c>
      <c r="E1356">
        <v>8.6306977220385548</v>
      </c>
      <c r="F1356">
        <v>852.38102769399336</v>
      </c>
      <c r="G1356">
        <v>0.42399999999999999</v>
      </c>
      <c r="H1356">
        <v>4.0899999999999999E-2</v>
      </c>
      <c r="I1356">
        <v>446.01530000000002</v>
      </c>
    </row>
    <row r="1357" spans="1:9" x14ac:dyDescent="0.3">
      <c r="A1357" t="s">
        <v>9</v>
      </c>
      <c r="B1357" t="s">
        <v>1365</v>
      </c>
      <c r="C1357">
        <v>4</v>
      </c>
      <c r="D1357">
        <v>4.1399999999999999E-2</v>
      </c>
      <c r="E1357">
        <v>8.6022405683939098</v>
      </c>
      <c r="F1357">
        <v>849.72882097431238</v>
      </c>
      <c r="G1357">
        <v>0.42399999999999999</v>
      </c>
      <c r="H1357">
        <v>4.0500000000000001E-2</v>
      </c>
      <c r="I1357">
        <v>446.21089999999998</v>
      </c>
    </row>
    <row r="1358" spans="1:9" x14ac:dyDescent="0.3">
      <c r="A1358" t="s">
        <v>9</v>
      </c>
      <c r="B1358" t="s">
        <v>1366</v>
      </c>
      <c r="C1358">
        <v>4</v>
      </c>
      <c r="D1358">
        <v>4.0800000000000003E-2</v>
      </c>
      <c r="E1358">
        <v>8.5681611573302785</v>
      </c>
      <c r="F1358">
        <v>846.55261986318203</v>
      </c>
      <c r="G1358">
        <v>0.42399999999999999</v>
      </c>
      <c r="H1358">
        <v>0.04</v>
      </c>
      <c r="I1358">
        <v>446.41140000000001</v>
      </c>
    </row>
    <row r="1359" spans="1:9" x14ac:dyDescent="0.3">
      <c r="A1359" t="s">
        <v>9</v>
      </c>
      <c r="B1359" t="s">
        <v>1367</v>
      </c>
      <c r="C1359">
        <v>4</v>
      </c>
      <c r="D1359">
        <v>4.07E-2</v>
      </c>
      <c r="E1359">
        <v>8.5296994184010515</v>
      </c>
      <c r="F1359">
        <v>842.96798579497806</v>
      </c>
      <c r="G1359">
        <v>0.42399999999999999</v>
      </c>
      <c r="H1359">
        <v>3.9399999999999998E-2</v>
      </c>
      <c r="I1359">
        <v>446.60969999999998</v>
      </c>
    </row>
    <row r="1360" spans="1:9" x14ac:dyDescent="0.3">
      <c r="A1360" t="s">
        <v>9</v>
      </c>
      <c r="B1360" t="s">
        <v>1368</v>
      </c>
      <c r="C1360">
        <v>4</v>
      </c>
      <c r="D1360">
        <v>4.07E-2</v>
      </c>
      <c r="E1360">
        <v>8.4860298131592984</v>
      </c>
      <c r="F1360">
        <v>838.89797858644658</v>
      </c>
      <c r="G1360">
        <v>0.42399999999999999</v>
      </c>
      <c r="H1360">
        <v>3.8699999999999998E-2</v>
      </c>
      <c r="I1360">
        <v>446.8107</v>
      </c>
    </row>
    <row r="1361" spans="1:9" x14ac:dyDescent="0.3">
      <c r="A1361" t="s">
        <v>9</v>
      </c>
      <c r="B1361" t="s">
        <v>1369</v>
      </c>
      <c r="C1361">
        <v>4</v>
      </c>
      <c r="D1361">
        <v>4.0500000000000001E-2</v>
      </c>
      <c r="E1361">
        <v>8.4381392574104321</v>
      </c>
      <c r="F1361">
        <v>834.43457879065227</v>
      </c>
      <c r="G1361">
        <v>0.42399999999999999</v>
      </c>
      <c r="H1361">
        <v>3.7900000000000003E-2</v>
      </c>
      <c r="I1361">
        <v>447.0104</v>
      </c>
    </row>
    <row r="1362" spans="1:9" x14ac:dyDescent="0.3">
      <c r="A1362" t="s">
        <v>9</v>
      </c>
      <c r="B1362" t="s">
        <v>1370</v>
      </c>
      <c r="C1362">
        <v>4</v>
      </c>
      <c r="D1362">
        <v>3.95E-2</v>
      </c>
      <c r="E1362">
        <v>8.3857045909667303</v>
      </c>
      <c r="F1362">
        <v>829.54766787809933</v>
      </c>
      <c r="G1362">
        <v>0.42399999999999999</v>
      </c>
      <c r="H1362">
        <v>3.7100000000000001E-2</v>
      </c>
      <c r="I1362">
        <v>447.21100000000001</v>
      </c>
    </row>
    <row r="1363" spans="1:9" x14ac:dyDescent="0.3">
      <c r="A1363" t="s">
        <v>9</v>
      </c>
      <c r="B1363" t="s">
        <v>1371</v>
      </c>
      <c r="C1363">
        <v>4</v>
      </c>
      <c r="D1363">
        <v>3.9100000000000003E-2</v>
      </c>
      <c r="E1363">
        <v>8.3294426861141311</v>
      </c>
      <c r="F1363">
        <v>824.30405834583701</v>
      </c>
      <c r="G1363">
        <v>0.42399999999999999</v>
      </c>
      <c r="H1363">
        <v>3.6299999999999999E-2</v>
      </c>
      <c r="I1363">
        <v>447.41070000000002</v>
      </c>
    </row>
    <row r="1364" spans="1:9" x14ac:dyDescent="0.3">
      <c r="A1364" t="s">
        <v>9</v>
      </c>
      <c r="B1364" t="s">
        <v>1372</v>
      </c>
      <c r="C1364">
        <v>4</v>
      </c>
      <c r="D1364">
        <v>3.8199999999999998E-2</v>
      </c>
      <c r="E1364">
        <v>8.2694103087576263</v>
      </c>
      <c r="F1364">
        <v>818.70904077621083</v>
      </c>
      <c r="G1364">
        <v>0.42399999999999999</v>
      </c>
      <c r="H1364">
        <v>3.5299999999999998E-2</v>
      </c>
      <c r="I1364">
        <v>447.61</v>
      </c>
    </row>
    <row r="1365" spans="1:9" x14ac:dyDescent="0.3">
      <c r="A1365" t="s">
        <v>9</v>
      </c>
      <c r="B1365" t="s">
        <v>1373</v>
      </c>
      <c r="C1365">
        <v>4</v>
      </c>
      <c r="D1365">
        <v>3.78E-2</v>
      </c>
      <c r="E1365">
        <v>8.2057465353644545</v>
      </c>
      <c r="F1365">
        <v>812.77557709596715</v>
      </c>
      <c r="G1365">
        <v>0.42399999999999999</v>
      </c>
      <c r="H1365">
        <v>3.4299999999999997E-2</v>
      </c>
      <c r="I1365">
        <v>447.80939999999998</v>
      </c>
    </row>
    <row r="1366" spans="1:9" x14ac:dyDescent="0.3">
      <c r="A1366" t="s">
        <v>9</v>
      </c>
      <c r="B1366" t="s">
        <v>1374</v>
      </c>
      <c r="C1366">
        <v>4</v>
      </c>
      <c r="D1366">
        <v>3.7400000000000003E-2</v>
      </c>
      <c r="E1366">
        <v>8.1382648493896301</v>
      </c>
      <c r="F1366">
        <v>806.48628396311358</v>
      </c>
      <c r="G1366">
        <v>0.42399999999999999</v>
      </c>
      <c r="H1366">
        <v>3.3300000000000003E-2</v>
      </c>
      <c r="I1366">
        <v>448.01010000000002</v>
      </c>
    </row>
    <row r="1367" spans="1:9" x14ac:dyDescent="0.3">
      <c r="A1367" t="s">
        <v>9</v>
      </c>
      <c r="B1367" t="s">
        <v>1375</v>
      </c>
      <c r="C1367">
        <v>4</v>
      </c>
      <c r="D1367">
        <v>3.5400000000000001E-2</v>
      </c>
      <c r="E1367">
        <v>8.0675175019946082</v>
      </c>
      <c r="F1367">
        <v>799.89263118589747</v>
      </c>
      <c r="G1367">
        <v>0.42399999999999999</v>
      </c>
      <c r="H1367">
        <v>3.2199999999999999E-2</v>
      </c>
      <c r="I1367">
        <v>448.21109999999999</v>
      </c>
    </row>
    <row r="1368" spans="1:9" x14ac:dyDescent="0.3">
      <c r="A1368" t="s">
        <v>9</v>
      </c>
      <c r="B1368" t="s">
        <v>1376</v>
      </c>
      <c r="C1368">
        <v>4</v>
      </c>
      <c r="D1368">
        <v>3.4299999999999997E-2</v>
      </c>
      <c r="E1368">
        <v>7.9943876084728016</v>
      </c>
      <c r="F1368">
        <v>793.07692510966524</v>
      </c>
      <c r="G1368">
        <v>0.42399999999999999</v>
      </c>
      <c r="H1368">
        <v>3.1099999999999999E-2</v>
      </c>
      <c r="I1368">
        <v>448.41079999999999</v>
      </c>
    </row>
    <row r="1369" spans="1:9" x14ac:dyDescent="0.3">
      <c r="A1369" t="s">
        <v>9</v>
      </c>
      <c r="B1369" t="s">
        <v>1377</v>
      </c>
      <c r="C1369">
        <v>4</v>
      </c>
      <c r="D1369">
        <v>3.2500000000000001E-2</v>
      </c>
      <c r="E1369">
        <v>7.9183180520137642</v>
      </c>
      <c r="F1369">
        <v>785.98724244768289</v>
      </c>
      <c r="G1369">
        <v>0.42399999999999999</v>
      </c>
      <c r="H1369">
        <v>2.9899999999999999E-2</v>
      </c>
      <c r="I1369">
        <v>448.61160000000001</v>
      </c>
    </row>
    <row r="1370" spans="1:9" x14ac:dyDescent="0.3">
      <c r="A1370" t="s">
        <v>9</v>
      </c>
      <c r="B1370" t="s">
        <v>1378</v>
      </c>
      <c r="C1370">
        <v>4</v>
      </c>
      <c r="D1370">
        <v>3.1E-2</v>
      </c>
      <c r="E1370">
        <v>7.8398249968822009</v>
      </c>
      <c r="F1370">
        <v>778.67168970942112</v>
      </c>
      <c r="G1370">
        <v>0.42399999999999999</v>
      </c>
      <c r="H1370">
        <v>2.87E-2</v>
      </c>
      <c r="I1370">
        <v>448.81270000000001</v>
      </c>
    </row>
    <row r="1371" spans="1:9" x14ac:dyDescent="0.3">
      <c r="A1371" t="s">
        <v>9</v>
      </c>
      <c r="B1371" t="s">
        <v>1379</v>
      </c>
      <c r="C1371">
        <v>4</v>
      </c>
      <c r="D1371">
        <v>2.9700000000000001E-2</v>
      </c>
      <c r="E1371">
        <v>7.7608392947894309</v>
      </c>
      <c r="F1371">
        <v>771.31022227437495</v>
      </c>
      <c r="G1371">
        <v>0.42399999999999999</v>
      </c>
      <c r="H1371">
        <v>2.7400000000000001E-2</v>
      </c>
      <c r="I1371">
        <v>449.0102</v>
      </c>
    </row>
    <row r="1372" spans="1:9" x14ac:dyDescent="0.3">
      <c r="A1372" t="s">
        <v>9</v>
      </c>
      <c r="B1372" t="s">
        <v>1380</v>
      </c>
      <c r="C1372">
        <v>4</v>
      </c>
      <c r="D1372">
        <v>2.87E-2</v>
      </c>
      <c r="E1372">
        <v>7.6788624349741843</v>
      </c>
      <c r="F1372">
        <v>763.66997893959399</v>
      </c>
      <c r="G1372">
        <v>0.42399999999999999</v>
      </c>
      <c r="H1372">
        <v>2.6200000000000001E-2</v>
      </c>
      <c r="I1372">
        <v>449.21109999999999</v>
      </c>
    </row>
    <row r="1373" spans="1:9" x14ac:dyDescent="0.3">
      <c r="A1373" t="s">
        <v>9</v>
      </c>
      <c r="B1373" t="s">
        <v>1381</v>
      </c>
      <c r="C1373">
        <v>4</v>
      </c>
      <c r="D1373">
        <v>2.7799999999999998E-2</v>
      </c>
      <c r="E1373">
        <v>7.5958901444677789</v>
      </c>
      <c r="F1373">
        <v>755.93696146439697</v>
      </c>
      <c r="G1373">
        <v>0.42399999999999999</v>
      </c>
      <c r="H1373">
        <v>2.4899999999999999E-2</v>
      </c>
      <c r="I1373">
        <v>449.41120000000001</v>
      </c>
    </row>
    <row r="1374" spans="1:9" x14ac:dyDescent="0.3">
      <c r="A1374" t="s">
        <v>9</v>
      </c>
      <c r="B1374" t="s">
        <v>1382</v>
      </c>
      <c r="C1374">
        <v>4</v>
      </c>
      <c r="D1374">
        <v>2.6200000000000001E-2</v>
      </c>
      <c r="E1374">
        <v>7.5121198875254462</v>
      </c>
      <c r="F1374">
        <v>748.12957351737157</v>
      </c>
      <c r="G1374">
        <v>0.42399999999999999</v>
      </c>
      <c r="H1374">
        <v>2.3599999999999999E-2</v>
      </c>
      <c r="I1374">
        <v>449.61090000000002</v>
      </c>
    </row>
    <row r="1375" spans="1:9" x14ac:dyDescent="0.3">
      <c r="A1375" t="s">
        <v>9</v>
      </c>
      <c r="B1375" t="s">
        <v>1383</v>
      </c>
      <c r="C1375">
        <v>4</v>
      </c>
      <c r="D1375">
        <v>2.4400000000000002E-2</v>
      </c>
      <c r="E1375">
        <v>7.4279275355324028</v>
      </c>
      <c r="F1375">
        <v>740.28284631162001</v>
      </c>
      <c r="G1375">
        <v>0.42399999999999999</v>
      </c>
      <c r="H1375">
        <v>2.23E-2</v>
      </c>
      <c r="I1375">
        <v>449.81</v>
      </c>
    </row>
    <row r="1376" spans="1:9" x14ac:dyDescent="0.3">
      <c r="A1376" t="s">
        <v>9</v>
      </c>
      <c r="B1376" t="s">
        <v>1384</v>
      </c>
      <c r="C1376">
        <v>4</v>
      </c>
      <c r="D1376">
        <v>2.2599999999999999E-2</v>
      </c>
      <c r="E1376">
        <v>7.3423679361704854</v>
      </c>
      <c r="F1376">
        <v>732.30869165108925</v>
      </c>
      <c r="G1376">
        <v>0.42399999999999999</v>
      </c>
      <c r="H1376">
        <v>2.0899999999999998E-2</v>
      </c>
      <c r="I1376">
        <v>450.01159999999999</v>
      </c>
    </row>
    <row r="1377" spans="1:9" x14ac:dyDescent="0.3">
      <c r="A1377" t="s">
        <v>9</v>
      </c>
      <c r="B1377" t="s">
        <v>1385</v>
      </c>
      <c r="C1377">
        <v>4</v>
      </c>
      <c r="D1377">
        <v>2.1499999999999998E-2</v>
      </c>
      <c r="E1377">
        <v>7.2578779686469694</v>
      </c>
      <c r="F1377">
        <v>724.43422667789753</v>
      </c>
      <c r="G1377">
        <v>0.42399999999999999</v>
      </c>
      <c r="H1377">
        <v>1.9599999999999999E-2</v>
      </c>
      <c r="I1377">
        <v>450.21069999999997</v>
      </c>
    </row>
    <row r="1378" spans="1:9" x14ac:dyDescent="0.3">
      <c r="A1378" t="s">
        <v>9</v>
      </c>
      <c r="B1378" t="s">
        <v>1386</v>
      </c>
      <c r="C1378">
        <v>4</v>
      </c>
      <c r="D1378">
        <v>1.9800000000000002E-2</v>
      </c>
      <c r="E1378">
        <v>7.1719376322508364</v>
      </c>
      <c r="F1378">
        <v>716.42458732577802</v>
      </c>
      <c r="G1378">
        <v>0.42399999999999999</v>
      </c>
      <c r="H1378">
        <v>1.83E-2</v>
      </c>
      <c r="I1378">
        <v>450.41419999999999</v>
      </c>
    </row>
    <row r="1379" spans="1:9" x14ac:dyDescent="0.3">
      <c r="A1379" t="s">
        <v>9</v>
      </c>
      <c r="B1379" t="s">
        <v>1387</v>
      </c>
      <c r="C1379">
        <v>4</v>
      </c>
      <c r="D1379">
        <v>1.8700000000000001E-2</v>
      </c>
      <c r="E1379">
        <v>7.089001023170427</v>
      </c>
      <c r="F1379">
        <v>708.69489535948378</v>
      </c>
      <c r="G1379">
        <v>0.42399999999999999</v>
      </c>
      <c r="H1379">
        <v>1.7000000000000001E-2</v>
      </c>
      <c r="I1379">
        <v>450.6121</v>
      </c>
    </row>
    <row r="1380" spans="1:9" x14ac:dyDescent="0.3">
      <c r="A1380" t="s">
        <v>9</v>
      </c>
      <c r="B1380" t="s">
        <v>1388</v>
      </c>
      <c r="C1380">
        <v>4</v>
      </c>
      <c r="D1380">
        <v>1.7299999999999999E-2</v>
      </c>
      <c r="E1380">
        <v>7.0052660421833437</v>
      </c>
      <c r="F1380">
        <v>700.89079513148761</v>
      </c>
      <c r="G1380">
        <v>0.42399999999999999</v>
      </c>
      <c r="H1380">
        <v>1.5699999999999999E-2</v>
      </c>
      <c r="I1380">
        <v>450.81439999999998</v>
      </c>
    </row>
    <row r="1381" spans="1:9" x14ac:dyDescent="0.3">
      <c r="A1381" t="s">
        <v>9</v>
      </c>
      <c r="B1381" t="s">
        <v>1389</v>
      </c>
      <c r="C1381">
        <v>4</v>
      </c>
      <c r="D1381">
        <v>1.6E-2</v>
      </c>
      <c r="E1381">
        <v>6.9250083783479388</v>
      </c>
      <c r="F1381">
        <v>693.41078086202788</v>
      </c>
      <c r="G1381">
        <v>0.42399999999999999</v>
      </c>
      <c r="H1381">
        <v>1.44E-2</v>
      </c>
      <c r="I1381">
        <v>451.01150000000001</v>
      </c>
    </row>
    <row r="1382" spans="1:9" x14ac:dyDescent="0.3">
      <c r="A1382" t="s">
        <v>9</v>
      </c>
      <c r="B1382" t="s">
        <v>1390</v>
      </c>
      <c r="C1382">
        <v>4</v>
      </c>
      <c r="D1382">
        <v>1.46E-2</v>
      </c>
      <c r="E1382">
        <v>6.8455259745864652</v>
      </c>
      <c r="F1382">
        <v>686.00302083145857</v>
      </c>
      <c r="G1382">
        <v>0.42399999999999999</v>
      </c>
      <c r="H1382">
        <v>1.32E-2</v>
      </c>
      <c r="I1382">
        <v>451.21069999999997</v>
      </c>
    </row>
    <row r="1383" spans="1:9" x14ac:dyDescent="0.3">
      <c r="A1383" t="s">
        <v>9</v>
      </c>
      <c r="B1383" t="s">
        <v>1391</v>
      </c>
      <c r="C1383">
        <v>4</v>
      </c>
      <c r="D1383">
        <v>1.2999999999999999E-2</v>
      </c>
      <c r="E1383">
        <v>6.7675247554746063</v>
      </c>
      <c r="F1383">
        <v>678.73330721023331</v>
      </c>
      <c r="G1383">
        <v>0.42399999999999999</v>
      </c>
      <c r="H1383">
        <v>1.2E-2</v>
      </c>
      <c r="I1383">
        <v>451.41120000000001</v>
      </c>
    </row>
    <row r="1384" spans="1:9" x14ac:dyDescent="0.3">
      <c r="A1384" t="s">
        <v>9</v>
      </c>
      <c r="B1384" t="s">
        <v>1392</v>
      </c>
      <c r="C1384">
        <v>4</v>
      </c>
      <c r="D1384">
        <v>1.1900000000000001E-2</v>
      </c>
      <c r="E1384">
        <v>6.6922560037467447</v>
      </c>
      <c r="F1384">
        <v>671.71825954919666</v>
      </c>
      <c r="G1384">
        <v>0.42399999999999999</v>
      </c>
      <c r="H1384">
        <v>1.0800000000000001E-2</v>
      </c>
      <c r="I1384">
        <v>451.6105</v>
      </c>
    </row>
    <row r="1385" spans="1:9" x14ac:dyDescent="0.3">
      <c r="A1385" t="s">
        <v>9</v>
      </c>
      <c r="B1385" t="s">
        <v>1393</v>
      </c>
      <c r="C1385">
        <v>4</v>
      </c>
      <c r="D1385">
        <v>1.04E-2</v>
      </c>
      <c r="E1385">
        <v>6.618912021668959</v>
      </c>
      <c r="F1385">
        <v>664.88260041954697</v>
      </c>
      <c r="G1385">
        <v>0.42399999999999999</v>
      </c>
      <c r="H1385">
        <v>9.7000000000000003E-3</v>
      </c>
      <c r="I1385">
        <v>451.8116</v>
      </c>
    </row>
    <row r="1386" spans="1:9" x14ac:dyDescent="0.3">
      <c r="A1386" t="s">
        <v>9</v>
      </c>
      <c r="B1386" t="s">
        <v>1394</v>
      </c>
      <c r="C1386">
        <v>4</v>
      </c>
      <c r="D1386">
        <v>9.5999999999999992E-3</v>
      </c>
      <c r="E1386">
        <v>6.5491410478398446</v>
      </c>
      <c r="F1386">
        <v>658.37994565867359</v>
      </c>
      <c r="G1386">
        <v>0.42399999999999999</v>
      </c>
      <c r="H1386">
        <v>8.6E-3</v>
      </c>
      <c r="I1386">
        <v>452.01089999999999</v>
      </c>
    </row>
    <row r="1387" spans="1:9" x14ac:dyDescent="0.3">
      <c r="A1387" t="s">
        <v>9</v>
      </c>
      <c r="B1387" t="s">
        <v>1395</v>
      </c>
      <c r="C1387">
        <v>4</v>
      </c>
      <c r="D1387">
        <v>8.0000000000000002E-3</v>
      </c>
      <c r="E1387">
        <v>6.482098081216483</v>
      </c>
      <c r="F1387">
        <v>652.13154116937619</v>
      </c>
      <c r="G1387">
        <v>0.42399999999999999</v>
      </c>
      <c r="H1387">
        <v>7.6E-3</v>
      </c>
      <c r="I1387">
        <v>452.21120000000002</v>
      </c>
    </row>
    <row r="1388" spans="1:9" x14ac:dyDescent="0.3">
      <c r="A1388" t="s">
        <v>9</v>
      </c>
      <c r="B1388" t="s">
        <v>1396</v>
      </c>
      <c r="C1388">
        <v>4</v>
      </c>
      <c r="D1388">
        <v>6.4000000000000003E-3</v>
      </c>
      <c r="E1388">
        <v>6.4187534133035307</v>
      </c>
      <c r="F1388">
        <v>646.22781811988909</v>
      </c>
      <c r="G1388">
        <v>0.42399999999999999</v>
      </c>
      <c r="H1388">
        <v>6.6E-3</v>
      </c>
      <c r="I1388">
        <v>452.41079999999999</v>
      </c>
    </row>
    <row r="1389" spans="1:9" x14ac:dyDescent="0.3">
      <c r="A1389" t="s">
        <v>9</v>
      </c>
      <c r="B1389" t="s">
        <v>1397</v>
      </c>
      <c r="C1389">
        <v>4</v>
      </c>
      <c r="D1389">
        <v>5.5999999999999999E-3</v>
      </c>
      <c r="E1389">
        <v>6.3588166054027928</v>
      </c>
      <c r="F1389">
        <v>640.64170762354036</v>
      </c>
      <c r="G1389">
        <v>0.42399999999999999</v>
      </c>
      <c r="H1389">
        <v>5.5999999999999999E-3</v>
      </c>
      <c r="I1389">
        <v>452.61110000000002</v>
      </c>
    </row>
    <row r="1390" spans="1:9" x14ac:dyDescent="0.3">
      <c r="A1390" t="s">
        <v>9</v>
      </c>
      <c r="B1390" t="s">
        <v>1398</v>
      </c>
      <c r="C1390">
        <v>4</v>
      </c>
      <c r="D1390">
        <v>4.1000000000000003E-3</v>
      </c>
      <c r="E1390">
        <v>6.3033707509815686</v>
      </c>
      <c r="F1390">
        <v>635.47415399148224</v>
      </c>
      <c r="G1390">
        <v>0.42399999999999999</v>
      </c>
      <c r="H1390">
        <v>4.7999999999999996E-3</v>
      </c>
      <c r="I1390">
        <v>452.80939999999998</v>
      </c>
    </row>
    <row r="1391" spans="1:9" x14ac:dyDescent="0.3">
      <c r="A1391" t="s">
        <v>9</v>
      </c>
      <c r="B1391" t="s">
        <v>1399</v>
      </c>
      <c r="C1391">
        <v>4</v>
      </c>
      <c r="D1391">
        <v>3.8E-3</v>
      </c>
      <c r="E1391">
        <v>6.2511265746961993</v>
      </c>
      <c r="F1391">
        <v>630.60499676168581</v>
      </c>
      <c r="G1391">
        <v>0.42399999999999999</v>
      </c>
      <c r="H1391">
        <v>4.0000000000000001E-3</v>
      </c>
      <c r="I1391">
        <v>453.01100000000002</v>
      </c>
    </row>
    <row r="1392" spans="1:9" x14ac:dyDescent="0.3">
      <c r="A1392" t="s">
        <v>9</v>
      </c>
      <c r="B1392" t="s">
        <v>1400</v>
      </c>
      <c r="C1392">
        <v>4</v>
      </c>
      <c r="D1392">
        <v>2.8999999999999998E-3</v>
      </c>
      <c r="E1392">
        <v>6.2038719998186496</v>
      </c>
      <c r="F1392">
        <v>626.20087038309828</v>
      </c>
      <c r="G1392">
        <v>0.42399999999999999</v>
      </c>
      <c r="H1392">
        <v>3.2000000000000002E-3</v>
      </c>
      <c r="I1392">
        <v>453.21</v>
      </c>
    </row>
    <row r="1393" spans="1:9" x14ac:dyDescent="0.3">
      <c r="A1393" t="s">
        <v>9</v>
      </c>
      <c r="B1393" t="s">
        <v>1401</v>
      </c>
      <c r="C1393">
        <v>4</v>
      </c>
      <c r="D1393">
        <v>1.6000000000000001E-3</v>
      </c>
      <c r="E1393">
        <v>6.1609956980991996</v>
      </c>
      <c r="F1393">
        <v>622.2047990628455</v>
      </c>
      <c r="G1393">
        <v>0.42399999999999999</v>
      </c>
      <c r="H1393">
        <v>2.5999999999999999E-3</v>
      </c>
      <c r="I1393">
        <v>453.40940000000001</v>
      </c>
    </row>
    <row r="1394" spans="1:9" x14ac:dyDescent="0.3">
      <c r="A1394" t="s">
        <v>9</v>
      </c>
      <c r="B1394" t="s">
        <v>1402</v>
      </c>
      <c r="C1394">
        <v>4</v>
      </c>
      <c r="D1394">
        <v>1.4E-3</v>
      </c>
      <c r="E1394">
        <v>6.1225128746909716</v>
      </c>
      <c r="F1394">
        <v>618.61819992119865</v>
      </c>
      <c r="G1394">
        <v>0.42399999999999999</v>
      </c>
      <c r="H1394">
        <v>2E-3</v>
      </c>
      <c r="I1394">
        <v>453.6103</v>
      </c>
    </row>
    <row r="1395" spans="1:9" x14ac:dyDescent="0.3">
      <c r="A1395" t="s">
        <v>9</v>
      </c>
      <c r="B1395" t="s">
        <v>1403</v>
      </c>
      <c r="C1395">
        <v>4</v>
      </c>
      <c r="D1395">
        <v>5.9999999999999995E-4</v>
      </c>
      <c r="E1395">
        <v>6.0888464355861798</v>
      </c>
      <c r="F1395">
        <v>615.48048779663202</v>
      </c>
      <c r="G1395">
        <v>0.42399999999999999</v>
      </c>
      <c r="H1395">
        <v>1.4E-3</v>
      </c>
      <c r="I1395">
        <v>453.8116</v>
      </c>
    </row>
    <row r="1396" spans="1:9" x14ac:dyDescent="0.3">
      <c r="A1396" t="s">
        <v>9</v>
      </c>
      <c r="B1396" t="s">
        <v>1404</v>
      </c>
      <c r="C1396">
        <v>4</v>
      </c>
      <c r="D1396">
        <v>-1E-4</v>
      </c>
      <c r="E1396">
        <v>6.0606071819225651</v>
      </c>
      <c r="F1396">
        <v>612.84858935518309</v>
      </c>
      <c r="G1396">
        <v>0.42399999999999999</v>
      </c>
      <c r="H1396">
        <v>1E-3</v>
      </c>
      <c r="I1396">
        <v>454.00970000000001</v>
      </c>
    </row>
    <row r="1397" spans="1:9" x14ac:dyDescent="0.3">
      <c r="A1397" t="s">
        <v>9</v>
      </c>
      <c r="B1397" t="s">
        <v>1405</v>
      </c>
      <c r="C1397">
        <v>4</v>
      </c>
      <c r="D1397">
        <v>-8.0000000000000004E-4</v>
      </c>
      <c r="E1397">
        <v>6.0369452875552811</v>
      </c>
      <c r="F1397">
        <v>610.64330080015225</v>
      </c>
      <c r="G1397">
        <v>0.42399999999999999</v>
      </c>
      <c r="H1397">
        <v>5.9999999999999995E-4</v>
      </c>
      <c r="I1397">
        <v>454.21190000000001</v>
      </c>
    </row>
    <row r="1398" spans="1:9" x14ac:dyDescent="0.3">
      <c r="A1398" t="s">
        <v>9</v>
      </c>
      <c r="B1398" t="s">
        <v>1406</v>
      </c>
      <c r="C1398">
        <v>4</v>
      </c>
      <c r="D1398">
        <v>-8.9999999999999998E-4</v>
      </c>
      <c r="E1398">
        <v>6.0188429486102084</v>
      </c>
      <c r="F1398">
        <v>608.95616281047148</v>
      </c>
      <c r="G1398">
        <v>0.42399999999999999</v>
      </c>
      <c r="H1398">
        <v>4.0000000000000002E-4</v>
      </c>
      <c r="I1398">
        <v>454.41050000000001</v>
      </c>
    </row>
    <row r="1399" spans="1:9" x14ac:dyDescent="0.3">
      <c r="A1399" t="s">
        <v>9</v>
      </c>
      <c r="B1399" t="s">
        <v>1407</v>
      </c>
      <c r="C1399">
        <v>4</v>
      </c>
      <c r="D1399">
        <v>-1.6000000000000001E-3</v>
      </c>
      <c r="E1399">
        <v>6.0058750776625001</v>
      </c>
      <c r="F1399">
        <v>607.74755723814508</v>
      </c>
      <c r="G1399">
        <v>0.42399999999999999</v>
      </c>
      <c r="H1399">
        <v>2.0000000000000001E-4</v>
      </c>
      <c r="I1399">
        <v>454.60980000000001</v>
      </c>
    </row>
    <row r="1400" spans="1:9" x14ac:dyDescent="0.3">
      <c r="A1400" t="s">
        <v>9</v>
      </c>
      <c r="B1400" t="s">
        <v>1408</v>
      </c>
      <c r="C1400">
        <v>4</v>
      </c>
      <c r="D1400">
        <v>-2.3999999999999998E-3</v>
      </c>
      <c r="E1400">
        <v>5.9980886497149521</v>
      </c>
      <c r="F1400">
        <v>607.02186215343352</v>
      </c>
      <c r="G1400">
        <v>0.42399999999999999</v>
      </c>
      <c r="H1400">
        <v>0</v>
      </c>
      <c r="I1400">
        <v>454.81200000000001</v>
      </c>
    </row>
    <row r="1401" spans="1:9" x14ac:dyDescent="0.3">
      <c r="A1401" t="s">
        <v>9</v>
      </c>
      <c r="B1401" t="s">
        <v>1409</v>
      </c>
      <c r="C1401">
        <v>4</v>
      </c>
      <c r="D1401">
        <v>-2.3999999999999998E-3</v>
      </c>
      <c r="E1401">
        <v>5.9957408953140279</v>
      </c>
      <c r="F1401">
        <v>606.80305144326746</v>
      </c>
      <c r="G1401">
        <v>0.42399999999999999</v>
      </c>
      <c r="H1401">
        <v>0</v>
      </c>
      <c r="I1401">
        <v>455.01049999999998</v>
      </c>
    </row>
    <row r="1402" spans="1:9" x14ac:dyDescent="0.3">
      <c r="A1402" t="s">
        <v>9</v>
      </c>
      <c r="B1402" t="s">
        <v>1410</v>
      </c>
      <c r="C1402">
        <v>4</v>
      </c>
      <c r="D1402">
        <v>-2.3999999999999998E-3</v>
      </c>
      <c r="E1402">
        <v>5.9986681967618187</v>
      </c>
      <c r="F1402">
        <v>709.27361187269662</v>
      </c>
      <c r="G1402">
        <v>0.42399999999999999</v>
      </c>
      <c r="H1402">
        <v>0</v>
      </c>
      <c r="I1402">
        <v>455.20979999999997</v>
      </c>
    </row>
    <row r="1403" spans="1:9" x14ac:dyDescent="0.3">
      <c r="A1403" t="s">
        <v>9</v>
      </c>
      <c r="B1403" t="s">
        <v>1411</v>
      </c>
      <c r="C1403">
        <v>4</v>
      </c>
      <c r="D1403">
        <v>-1.1999999999999999E-3</v>
      </c>
      <c r="E1403">
        <v>6.0070019457519672</v>
      </c>
      <c r="F1403">
        <v>710.06448465186168</v>
      </c>
      <c r="G1403">
        <v>0.42399999999999999</v>
      </c>
      <c r="H1403">
        <v>2.0000000000000001E-4</v>
      </c>
      <c r="I1403">
        <v>455.41129999999998</v>
      </c>
    </row>
    <row r="1404" spans="1:9" x14ac:dyDescent="0.3">
      <c r="A1404" t="s">
        <v>9</v>
      </c>
      <c r="B1404" t="s">
        <v>1412</v>
      </c>
      <c r="C1404">
        <v>4</v>
      </c>
      <c r="D1404">
        <v>-5.9999999999999995E-4</v>
      </c>
      <c r="E1404">
        <v>6.0205442106187794</v>
      </c>
      <c r="F1404">
        <v>711.34964558772219</v>
      </c>
      <c r="G1404">
        <v>0.42399999999999999</v>
      </c>
      <c r="H1404">
        <v>4.0000000000000002E-4</v>
      </c>
      <c r="I1404">
        <v>455.61079999999998</v>
      </c>
    </row>
    <row r="1405" spans="1:9" x14ac:dyDescent="0.3">
      <c r="A1405" t="s">
        <v>9</v>
      </c>
      <c r="B1405" t="s">
        <v>1413</v>
      </c>
      <c r="C1405">
        <v>4</v>
      </c>
      <c r="D1405">
        <v>0</v>
      </c>
      <c r="E1405">
        <v>6.0394173616236548</v>
      </c>
      <c r="F1405">
        <v>713.14070761808489</v>
      </c>
      <c r="G1405">
        <v>0.42399999999999999</v>
      </c>
      <c r="H1405">
        <v>6.9999999999999999E-4</v>
      </c>
      <c r="I1405">
        <v>455.81150000000002</v>
      </c>
    </row>
    <row r="1406" spans="1:9" x14ac:dyDescent="0.3">
      <c r="A1406" t="s">
        <v>9</v>
      </c>
      <c r="B1406" t="s">
        <v>1414</v>
      </c>
      <c r="C1406">
        <v>4</v>
      </c>
      <c r="D1406">
        <v>1E-4</v>
      </c>
      <c r="E1406">
        <v>6.0635563734224203</v>
      </c>
      <c r="F1406">
        <v>715.43149983778767</v>
      </c>
      <c r="G1406">
        <v>0.42399999999999999</v>
      </c>
      <c r="H1406">
        <v>1.1000000000000001E-3</v>
      </c>
      <c r="I1406">
        <v>456.01260000000002</v>
      </c>
    </row>
    <row r="1407" spans="1:9" x14ac:dyDescent="0.3">
      <c r="A1407" t="s">
        <v>9</v>
      </c>
      <c r="B1407" t="s">
        <v>1415</v>
      </c>
      <c r="C1407">
        <v>4</v>
      </c>
      <c r="D1407">
        <v>8.0000000000000004E-4</v>
      </c>
      <c r="E1407">
        <v>6.0924152269390532</v>
      </c>
      <c r="F1407">
        <v>718.17020503651622</v>
      </c>
      <c r="G1407">
        <v>0.42399999999999999</v>
      </c>
      <c r="H1407">
        <v>1.5E-3</v>
      </c>
      <c r="I1407">
        <v>456.21120000000002</v>
      </c>
    </row>
    <row r="1408" spans="1:9" x14ac:dyDescent="0.3">
      <c r="A1408" t="s">
        <v>9</v>
      </c>
      <c r="B1408" t="s">
        <v>1416</v>
      </c>
      <c r="C1408">
        <v>4</v>
      </c>
      <c r="D1408">
        <v>1E-3</v>
      </c>
      <c r="E1408">
        <v>6.1265644600658273</v>
      </c>
      <c r="F1408">
        <v>721.41096726024705</v>
      </c>
      <c r="G1408">
        <v>0.42399999999999999</v>
      </c>
      <c r="H1408">
        <v>2E-3</v>
      </c>
      <c r="I1408">
        <v>456.41210000000001</v>
      </c>
    </row>
    <row r="1409" spans="1:9" x14ac:dyDescent="0.3">
      <c r="A1409" t="s">
        <v>9</v>
      </c>
      <c r="B1409" t="s">
        <v>1417</v>
      </c>
      <c r="C1409">
        <v>4</v>
      </c>
      <c r="D1409">
        <v>1.2999999999999999E-3</v>
      </c>
      <c r="E1409">
        <v>6.1651717629942926</v>
      </c>
      <c r="F1409">
        <v>725.0748003081585</v>
      </c>
      <c r="G1409">
        <v>0.42399999999999999</v>
      </c>
      <c r="H1409">
        <v>2.5999999999999999E-3</v>
      </c>
      <c r="I1409">
        <v>456.61099999999999</v>
      </c>
    </row>
    <row r="1410" spans="1:9" x14ac:dyDescent="0.3">
      <c r="A1410" t="s">
        <v>9</v>
      </c>
      <c r="B1410" t="s">
        <v>1418</v>
      </c>
      <c r="C1410">
        <v>4</v>
      </c>
      <c r="D1410">
        <v>2.3999999999999998E-3</v>
      </c>
      <c r="E1410">
        <v>6.2088930252095897</v>
      </c>
      <c r="F1410">
        <v>729.22394809239006</v>
      </c>
      <c r="G1410">
        <v>0.42399999999999999</v>
      </c>
      <c r="H1410">
        <v>3.3E-3</v>
      </c>
      <c r="I1410">
        <v>456.81200000000001</v>
      </c>
    </row>
    <row r="1411" spans="1:9" x14ac:dyDescent="0.3">
      <c r="A1411" t="s">
        <v>9</v>
      </c>
      <c r="B1411" t="s">
        <v>1419</v>
      </c>
      <c r="C1411">
        <v>4</v>
      </c>
      <c r="D1411">
        <v>3.0999999999999999E-3</v>
      </c>
      <c r="E1411">
        <v>6.2562664030168804</v>
      </c>
      <c r="F1411">
        <v>733.71968164630186</v>
      </c>
      <c r="G1411">
        <v>0.42399999999999999</v>
      </c>
      <c r="H1411">
        <v>4.0000000000000001E-3</v>
      </c>
      <c r="I1411">
        <v>457.00959999999998</v>
      </c>
    </row>
    <row r="1412" spans="1:9" x14ac:dyDescent="0.3">
      <c r="A1412" t="s">
        <v>9</v>
      </c>
      <c r="B1412" t="s">
        <v>1420</v>
      </c>
      <c r="C1412">
        <v>5</v>
      </c>
      <c r="D1412">
        <v>3.5999999999999999E-3</v>
      </c>
      <c r="E1412">
        <v>6.3088690154452154</v>
      </c>
      <c r="F1412">
        <v>738.71166956575087</v>
      </c>
      <c r="G1412">
        <v>0.42399999999999999</v>
      </c>
      <c r="H1412">
        <v>4.8999999999999998E-3</v>
      </c>
      <c r="I1412">
        <v>457.21089999999998</v>
      </c>
    </row>
    <row r="1413" spans="1:9" x14ac:dyDescent="0.3">
      <c r="A1413" t="s">
        <v>9</v>
      </c>
      <c r="B1413" t="s">
        <v>1421</v>
      </c>
      <c r="C1413">
        <v>5</v>
      </c>
      <c r="D1413">
        <v>4.3E-3</v>
      </c>
      <c r="E1413">
        <v>6.3649300500882831</v>
      </c>
      <c r="F1413">
        <v>744.03186175337805</v>
      </c>
      <c r="G1413">
        <v>0.42399999999999999</v>
      </c>
      <c r="H1413">
        <v>5.7000000000000002E-3</v>
      </c>
      <c r="I1413">
        <v>457.40989999999999</v>
      </c>
    </row>
    <row r="1414" spans="1:9" x14ac:dyDescent="0.3">
      <c r="A1414" t="s">
        <v>9</v>
      </c>
      <c r="B1414" t="s">
        <v>1422</v>
      </c>
      <c r="C1414">
        <v>5</v>
      </c>
      <c r="D1414">
        <v>5.5999999999999999E-3</v>
      </c>
      <c r="E1414">
        <v>6.4251586347406953</v>
      </c>
      <c r="F1414">
        <v>749.74755443689207</v>
      </c>
      <c r="G1414">
        <v>0.42399999999999999</v>
      </c>
      <c r="H1414">
        <v>6.7000000000000002E-3</v>
      </c>
      <c r="I1414">
        <v>457.60989999999998</v>
      </c>
    </row>
    <row r="1415" spans="1:9" x14ac:dyDescent="0.3">
      <c r="A1415" t="s">
        <v>9</v>
      </c>
      <c r="B1415" t="s">
        <v>1423</v>
      </c>
      <c r="C1415">
        <v>5</v>
      </c>
      <c r="D1415">
        <v>6.3E-3</v>
      </c>
      <c r="E1415">
        <v>6.4889635119548528</v>
      </c>
      <c r="F1415">
        <v>755.80263728451553</v>
      </c>
      <c r="G1415">
        <v>0.42399999999999999</v>
      </c>
      <c r="H1415">
        <v>7.7000000000000002E-3</v>
      </c>
      <c r="I1415">
        <v>457.80970000000002</v>
      </c>
    </row>
    <row r="1416" spans="1:9" x14ac:dyDescent="0.3">
      <c r="A1416" t="s">
        <v>9</v>
      </c>
      <c r="B1416" t="s">
        <v>1424</v>
      </c>
      <c r="C1416">
        <v>5</v>
      </c>
      <c r="D1416">
        <v>7.4000000000000003E-3</v>
      </c>
      <c r="E1416">
        <v>6.5572200525328546</v>
      </c>
      <c r="F1416">
        <v>762.28018298536801</v>
      </c>
      <c r="G1416">
        <v>0.42399999999999999</v>
      </c>
      <c r="H1416">
        <v>8.6999999999999994E-3</v>
      </c>
      <c r="I1416">
        <v>458.01260000000002</v>
      </c>
    </row>
    <row r="1417" spans="1:9" x14ac:dyDescent="0.3">
      <c r="A1417" t="s">
        <v>9</v>
      </c>
      <c r="B1417" t="s">
        <v>1425</v>
      </c>
      <c r="C1417">
        <v>5</v>
      </c>
      <c r="D1417">
        <v>8.3000000000000001E-3</v>
      </c>
      <c r="E1417">
        <v>6.6268535717777324</v>
      </c>
      <c r="F1417">
        <v>768.88840396170679</v>
      </c>
      <c r="G1417">
        <v>0.42399999999999999</v>
      </c>
      <c r="H1417">
        <v>9.7999999999999997E-3</v>
      </c>
      <c r="I1417">
        <v>458.21039999999999</v>
      </c>
    </row>
    <row r="1418" spans="1:9" x14ac:dyDescent="0.3">
      <c r="A1418" t="s">
        <v>9</v>
      </c>
      <c r="B1418" t="s">
        <v>1426</v>
      </c>
      <c r="C1418">
        <v>5</v>
      </c>
      <c r="D1418">
        <v>9.4999999999999998E-3</v>
      </c>
      <c r="E1418">
        <v>6.7006265419089788</v>
      </c>
      <c r="F1418">
        <v>775.88945882716212</v>
      </c>
      <c r="G1418">
        <v>0.42399999999999999</v>
      </c>
      <c r="H1418">
        <v>1.0999999999999999E-2</v>
      </c>
      <c r="I1418">
        <v>458.4119</v>
      </c>
    </row>
    <row r="1419" spans="1:9" x14ac:dyDescent="0.3">
      <c r="A1419" t="s">
        <v>9</v>
      </c>
      <c r="B1419" t="s">
        <v>1427</v>
      </c>
      <c r="C1419">
        <v>5</v>
      </c>
      <c r="D1419">
        <v>1.0500000000000001E-2</v>
      </c>
      <c r="E1419">
        <v>6.7759800370235812</v>
      </c>
      <c r="F1419">
        <v>783.04050551353794</v>
      </c>
      <c r="G1419">
        <v>0.42399999999999999</v>
      </c>
      <c r="H1419">
        <v>1.21E-2</v>
      </c>
      <c r="I1419">
        <v>458.61079999999998</v>
      </c>
    </row>
    <row r="1420" spans="1:9" x14ac:dyDescent="0.3">
      <c r="A1420" t="s">
        <v>9</v>
      </c>
      <c r="B1420" t="s">
        <v>1428</v>
      </c>
      <c r="C1420">
        <v>5</v>
      </c>
      <c r="D1420">
        <v>1.17E-2</v>
      </c>
      <c r="E1420">
        <v>6.8535814619759794</v>
      </c>
      <c r="F1420">
        <v>790.4048807415204</v>
      </c>
      <c r="G1420">
        <v>0.42399999999999999</v>
      </c>
      <c r="H1420">
        <v>1.3299999999999999E-2</v>
      </c>
      <c r="I1420">
        <v>458.80970000000002</v>
      </c>
    </row>
    <row r="1421" spans="1:9" x14ac:dyDescent="0.3">
      <c r="A1421" t="s">
        <v>9</v>
      </c>
      <c r="B1421" t="s">
        <v>1429</v>
      </c>
      <c r="C1421">
        <v>5</v>
      </c>
      <c r="D1421">
        <v>1.2699999999999999E-2</v>
      </c>
      <c r="E1421">
        <v>6.9345827591668137</v>
      </c>
      <c r="F1421">
        <v>798.0919038449307</v>
      </c>
      <c r="G1421">
        <v>0.42399999999999999</v>
      </c>
      <c r="H1421">
        <v>1.46E-2</v>
      </c>
      <c r="I1421">
        <v>459.01220000000001</v>
      </c>
    </row>
    <row r="1422" spans="1:9" x14ac:dyDescent="0.3">
      <c r="A1422" t="s">
        <v>9</v>
      </c>
      <c r="B1422" t="s">
        <v>1430</v>
      </c>
      <c r="C1422">
        <v>5</v>
      </c>
      <c r="D1422">
        <v>1.4200000000000001E-2</v>
      </c>
      <c r="E1422">
        <v>7.0153947015174172</v>
      </c>
      <c r="F1422">
        <v>805.7609571740029</v>
      </c>
      <c r="G1422">
        <v>0.42399999999999999</v>
      </c>
      <c r="H1422">
        <v>1.5800000000000002E-2</v>
      </c>
      <c r="I1422">
        <v>459.21019999999999</v>
      </c>
    </row>
    <row r="1423" spans="1:9" x14ac:dyDescent="0.3">
      <c r="A1423" t="s">
        <v>9</v>
      </c>
      <c r="B1423" t="s">
        <v>1431</v>
      </c>
      <c r="C1423">
        <v>5</v>
      </c>
      <c r="D1423">
        <v>1.5100000000000001E-2</v>
      </c>
      <c r="E1423">
        <v>7.0992744355622364</v>
      </c>
      <c r="F1423">
        <v>813.72114393485629</v>
      </c>
      <c r="G1423">
        <v>0.42399999999999999</v>
      </c>
      <c r="H1423">
        <v>1.7100000000000001E-2</v>
      </c>
      <c r="I1423">
        <v>459.41250000000002</v>
      </c>
    </row>
    <row r="1424" spans="1:9" x14ac:dyDescent="0.3">
      <c r="A1424" t="s">
        <v>9</v>
      </c>
      <c r="B1424" t="s">
        <v>1432</v>
      </c>
      <c r="C1424">
        <v>5</v>
      </c>
      <c r="D1424">
        <v>1.66E-2</v>
      </c>
      <c r="E1424">
        <v>7.1824977124628706</v>
      </c>
      <c r="F1424">
        <v>821.61903291272642</v>
      </c>
      <c r="G1424">
        <v>0.42399999999999999</v>
      </c>
      <c r="H1424">
        <v>1.84E-2</v>
      </c>
      <c r="I1424">
        <v>459.61090000000002</v>
      </c>
    </row>
    <row r="1425" spans="1:9" x14ac:dyDescent="0.3">
      <c r="A1425" t="s">
        <v>9</v>
      </c>
      <c r="B1425" t="s">
        <v>1433</v>
      </c>
      <c r="C1425">
        <v>5</v>
      </c>
      <c r="D1425">
        <v>1.78E-2</v>
      </c>
      <c r="E1425">
        <v>7.2678630913355553</v>
      </c>
      <c r="F1425">
        <v>829.72020736774425</v>
      </c>
      <c r="G1425">
        <v>0.42399999999999999</v>
      </c>
      <c r="H1425">
        <v>1.9800000000000002E-2</v>
      </c>
      <c r="I1425">
        <v>459.81279999999998</v>
      </c>
    </row>
    <row r="1426" spans="1:9" x14ac:dyDescent="0.3">
      <c r="A1426" t="s">
        <v>9</v>
      </c>
      <c r="B1426" t="s">
        <v>1434</v>
      </c>
      <c r="C1426">
        <v>5</v>
      </c>
      <c r="D1426">
        <v>1.9400000000000001E-2</v>
      </c>
      <c r="E1426">
        <v>7.3523729269258196</v>
      </c>
      <c r="F1426">
        <v>837.74019076526031</v>
      </c>
      <c r="G1426">
        <v>0.42399999999999999</v>
      </c>
      <c r="H1426">
        <v>2.1100000000000001E-2</v>
      </c>
      <c r="I1426">
        <v>460.01190000000003</v>
      </c>
    </row>
    <row r="1427" spans="1:9" x14ac:dyDescent="0.3">
      <c r="A1427" t="s">
        <v>9</v>
      </c>
      <c r="B1427" t="s">
        <v>1435</v>
      </c>
      <c r="C1427">
        <v>5</v>
      </c>
      <c r="D1427">
        <v>2.0500000000000001E-2</v>
      </c>
      <c r="E1427">
        <v>5.9957334838115024</v>
      </c>
      <c r="F1427">
        <v>606.80236069123202</v>
      </c>
      <c r="G1427">
        <v>0.42399999999999999</v>
      </c>
      <c r="H1427">
        <v>0</v>
      </c>
      <c r="I1427">
        <v>460.21039999999999</v>
      </c>
    </row>
    <row r="1428" spans="1:9" x14ac:dyDescent="0.3">
      <c r="A1428" t="s">
        <v>9</v>
      </c>
      <c r="B1428" t="s">
        <v>1436</v>
      </c>
      <c r="C1428">
        <v>5</v>
      </c>
      <c r="D1428">
        <v>1.38E-2</v>
      </c>
      <c r="E1428">
        <v>5.9957334838115024</v>
      </c>
      <c r="F1428">
        <v>606.80236069123202</v>
      </c>
      <c r="G1428">
        <v>0.42399999999999999</v>
      </c>
      <c r="H1428">
        <v>0</v>
      </c>
      <c r="I1428">
        <v>460.41030000000001</v>
      </c>
    </row>
    <row r="1429" spans="1:9" x14ac:dyDescent="0.3">
      <c r="A1429" t="s">
        <v>9</v>
      </c>
      <c r="B1429" t="s">
        <v>1437</v>
      </c>
      <c r="C1429">
        <v>5</v>
      </c>
      <c r="D1429">
        <v>5.8999999999999999E-3</v>
      </c>
      <c r="E1429">
        <v>5.9957334838115024</v>
      </c>
      <c r="F1429">
        <v>606.80236069123202</v>
      </c>
      <c r="G1429">
        <v>0.42399999999999999</v>
      </c>
      <c r="H1429">
        <v>0</v>
      </c>
      <c r="I1429">
        <v>460.61059999999998</v>
      </c>
    </row>
    <row r="1430" spans="1:9" x14ac:dyDescent="0.3">
      <c r="A1430" t="s">
        <v>9</v>
      </c>
      <c r="B1430" t="s">
        <v>1438</v>
      </c>
      <c r="C1430">
        <v>5</v>
      </c>
      <c r="D1430">
        <v>1.1000000000000001E-3</v>
      </c>
      <c r="E1430">
        <v>5.9957334838115024</v>
      </c>
      <c r="F1430">
        <v>606.80236069123202</v>
      </c>
      <c r="G1430">
        <v>0.42399999999999999</v>
      </c>
      <c r="H1430">
        <v>0</v>
      </c>
      <c r="I1430">
        <v>460.81119999999999</v>
      </c>
    </row>
    <row r="1431" spans="1:9" x14ac:dyDescent="0.3">
      <c r="A1431" t="s">
        <v>9</v>
      </c>
      <c r="B1431" t="s">
        <v>1439</v>
      </c>
      <c r="C1431">
        <v>5</v>
      </c>
      <c r="D1431">
        <v>-8.0000000000000004E-4</v>
      </c>
      <c r="E1431">
        <v>5.9957334838115024</v>
      </c>
      <c r="F1431">
        <v>606.80236069123202</v>
      </c>
      <c r="G1431">
        <v>0.42399999999999999</v>
      </c>
      <c r="H1431">
        <v>0</v>
      </c>
      <c r="I1431">
        <v>461.00979999999998</v>
      </c>
    </row>
    <row r="1432" spans="1:9" x14ac:dyDescent="0.3">
      <c r="A1432" t="s">
        <v>9</v>
      </c>
      <c r="B1432" t="s">
        <v>1440</v>
      </c>
      <c r="C1432">
        <v>5</v>
      </c>
      <c r="D1432">
        <v>-2E-3</v>
      </c>
      <c r="E1432">
        <v>5.9957334838115024</v>
      </c>
      <c r="F1432">
        <v>606.80236069123202</v>
      </c>
      <c r="G1432">
        <v>0.42399999999999999</v>
      </c>
      <c r="H1432">
        <v>0</v>
      </c>
      <c r="I1432">
        <v>461.21159999999998</v>
      </c>
    </row>
    <row r="1433" spans="1:9" x14ac:dyDescent="0.3">
      <c r="A1433" t="s">
        <v>9</v>
      </c>
      <c r="B1433" t="s">
        <v>1441</v>
      </c>
      <c r="C1433">
        <v>5</v>
      </c>
      <c r="D1433">
        <v>-2E-3</v>
      </c>
      <c r="E1433">
        <v>5.9957334838115024</v>
      </c>
      <c r="F1433">
        <v>606.80236069123202</v>
      </c>
      <c r="G1433">
        <v>0.42399999999999999</v>
      </c>
      <c r="H1433">
        <v>0</v>
      </c>
      <c r="I1433">
        <v>461.41140000000001</v>
      </c>
    </row>
    <row r="1434" spans="1:9" x14ac:dyDescent="0.3">
      <c r="A1434" t="s">
        <v>9</v>
      </c>
      <c r="B1434" t="s">
        <v>1442</v>
      </c>
      <c r="C1434">
        <v>5</v>
      </c>
      <c r="D1434">
        <v>-2E-3</v>
      </c>
      <c r="E1434">
        <v>5.9957334838115024</v>
      </c>
      <c r="F1434">
        <v>606.80236069123202</v>
      </c>
      <c r="G1434">
        <v>0.42399999999999999</v>
      </c>
      <c r="H1434">
        <v>0</v>
      </c>
      <c r="I1434">
        <v>461.61090000000002</v>
      </c>
    </row>
    <row r="1435" spans="1:9" x14ac:dyDescent="0.3">
      <c r="A1435" t="s">
        <v>9</v>
      </c>
      <c r="B1435" t="s">
        <v>1443</v>
      </c>
      <c r="C1435">
        <v>5</v>
      </c>
      <c r="D1435">
        <v>-2E-3</v>
      </c>
      <c r="E1435">
        <v>5.9957334838115024</v>
      </c>
      <c r="F1435">
        <v>606.80236069123202</v>
      </c>
      <c r="G1435">
        <v>0.42399999999999999</v>
      </c>
      <c r="H1435">
        <v>0</v>
      </c>
      <c r="I1435">
        <v>461.81060000000002</v>
      </c>
    </row>
    <row r="1436" spans="1:9" x14ac:dyDescent="0.3">
      <c r="A1436" t="s">
        <v>9</v>
      </c>
      <c r="B1436" t="s">
        <v>1444</v>
      </c>
      <c r="C1436">
        <v>5</v>
      </c>
      <c r="D1436">
        <v>-2.5999999999999999E-3</v>
      </c>
      <c r="E1436">
        <v>5.9957334838115024</v>
      </c>
      <c r="F1436">
        <v>606.80236069123202</v>
      </c>
      <c r="G1436">
        <v>0.42399999999999999</v>
      </c>
      <c r="H1436">
        <v>0</v>
      </c>
      <c r="I1436">
        <v>462.01170000000002</v>
      </c>
    </row>
    <row r="1437" spans="1:9" x14ac:dyDescent="0.3">
      <c r="A1437" t="s">
        <v>9</v>
      </c>
      <c r="B1437" t="s">
        <v>1445</v>
      </c>
      <c r="C1437">
        <v>5</v>
      </c>
      <c r="D1437">
        <v>-2.5999999999999999E-3</v>
      </c>
      <c r="E1437">
        <v>5.9957334838115024</v>
      </c>
      <c r="F1437">
        <v>606.80236069123202</v>
      </c>
      <c r="G1437">
        <v>0.42399999999999999</v>
      </c>
      <c r="H1437">
        <v>0</v>
      </c>
      <c r="I1437">
        <v>462.21170000000001</v>
      </c>
    </row>
    <row r="1438" spans="1:9" x14ac:dyDescent="0.3">
      <c r="A1438" t="s">
        <v>9</v>
      </c>
      <c r="B1438" t="s">
        <v>1446</v>
      </c>
      <c r="C1438">
        <v>5</v>
      </c>
      <c r="D1438">
        <v>-2.5999999999999999E-3</v>
      </c>
      <c r="E1438">
        <v>5.9957334838115024</v>
      </c>
      <c r="F1438">
        <v>606.80236069123202</v>
      </c>
      <c r="G1438">
        <v>0.42399999999999999</v>
      </c>
      <c r="H1438">
        <v>0</v>
      </c>
      <c r="I1438">
        <v>462.41030000000001</v>
      </c>
    </row>
    <row r="1439" spans="1:9" x14ac:dyDescent="0.3">
      <c r="A1439" t="s">
        <v>9</v>
      </c>
      <c r="B1439" t="s">
        <v>1447</v>
      </c>
      <c r="C1439">
        <v>5</v>
      </c>
      <c r="D1439">
        <v>-2.5999999999999999E-3</v>
      </c>
      <c r="E1439">
        <v>5.9957334838115024</v>
      </c>
      <c r="F1439">
        <v>606.80236069123202</v>
      </c>
      <c r="G1439">
        <v>0.42399999999999999</v>
      </c>
      <c r="H1439">
        <v>0</v>
      </c>
      <c r="I1439">
        <v>462.61189999999999</v>
      </c>
    </row>
    <row r="1440" spans="1:9" x14ac:dyDescent="0.3">
      <c r="A1440" t="s">
        <v>9</v>
      </c>
      <c r="B1440" t="s">
        <v>1448</v>
      </c>
      <c r="C1440">
        <v>5</v>
      </c>
      <c r="D1440">
        <v>-2.5999999999999999E-3</v>
      </c>
      <c r="E1440">
        <v>5.9957334838115024</v>
      </c>
      <c r="F1440">
        <v>606.80236069123202</v>
      </c>
      <c r="G1440">
        <v>0.42399999999999999</v>
      </c>
      <c r="H1440">
        <v>0</v>
      </c>
      <c r="I1440">
        <v>462.8109</v>
      </c>
    </row>
    <row r="1441" spans="1:9" x14ac:dyDescent="0.3">
      <c r="A1441" t="s">
        <v>9</v>
      </c>
      <c r="B1441" t="s">
        <v>1449</v>
      </c>
      <c r="C1441">
        <v>5</v>
      </c>
      <c r="D1441">
        <v>-2.5999999999999999E-3</v>
      </c>
      <c r="E1441">
        <v>5.9957334838115024</v>
      </c>
      <c r="F1441">
        <v>606.80236069123202</v>
      </c>
      <c r="G1441">
        <v>0.42399999999999999</v>
      </c>
      <c r="H1441">
        <v>0</v>
      </c>
      <c r="I1441">
        <v>463.012</v>
      </c>
    </row>
    <row r="1442" spans="1:9" x14ac:dyDescent="0.3">
      <c r="A1442" t="s">
        <v>9</v>
      </c>
      <c r="B1442" t="s">
        <v>1450</v>
      </c>
      <c r="C1442">
        <v>5</v>
      </c>
      <c r="D1442">
        <v>-2.5999999999999999E-3</v>
      </c>
      <c r="E1442">
        <v>5.9957334838115024</v>
      </c>
      <c r="F1442">
        <v>606.80236069123202</v>
      </c>
      <c r="G1442">
        <v>0.42399999999999999</v>
      </c>
      <c r="H1442">
        <v>0</v>
      </c>
      <c r="I1442">
        <v>463.21109999999999</v>
      </c>
    </row>
    <row r="1443" spans="1:9" x14ac:dyDescent="0.3">
      <c r="A1443" t="s">
        <v>9</v>
      </c>
      <c r="B1443" t="s">
        <v>1451</v>
      </c>
      <c r="C1443">
        <v>5</v>
      </c>
      <c r="D1443">
        <v>-2.5999999999999999E-3</v>
      </c>
      <c r="E1443">
        <v>5.9957334838115024</v>
      </c>
      <c r="F1443">
        <v>606.80236069123202</v>
      </c>
      <c r="G1443">
        <v>0.42399999999999999</v>
      </c>
      <c r="H1443">
        <v>0</v>
      </c>
      <c r="I1443">
        <v>463.41070000000002</v>
      </c>
    </row>
    <row r="1444" spans="1:9" x14ac:dyDescent="0.3">
      <c r="A1444" t="s">
        <v>9</v>
      </c>
      <c r="B1444" t="s">
        <v>1452</v>
      </c>
      <c r="C1444">
        <v>5</v>
      </c>
      <c r="D1444">
        <v>-2.5999999999999999E-3</v>
      </c>
      <c r="E1444">
        <v>5.9957334838115024</v>
      </c>
      <c r="F1444">
        <v>606.80236069123202</v>
      </c>
      <c r="G1444">
        <v>0.42399999999999999</v>
      </c>
      <c r="H1444">
        <v>0</v>
      </c>
      <c r="I1444">
        <v>463.6123</v>
      </c>
    </row>
    <row r="1445" spans="1:9" x14ac:dyDescent="0.3">
      <c r="A1445" t="s">
        <v>9</v>
      </c>
      <c r="B1445" t="s">
        <v>1453</v>
      </c>
      <c r="C1445">
        <v>5</v>
      </c>
      <c r="D1445">
        <v>-2.7000000000000001E-3</v>
      </c>
      <c r="E1445">
        <v>5.9957334838115024</v>
      </c>
      <c r="F1445">
        <v>606.80236069123202</v>
      </c>
      <c r="G1445">
        <v>0.42399999999999999</v>
      </c>
      <c r="H1445">
        <v>0</v>
      </c>
      <c r="I1445">
        <v>463.81209999999999</v>
      </c>
    </row>
    <row r="1446" spans="1:9" x14ac:dyDescent="0.3">
      <c r="A1446" t="s">
        <v>9</v>
      </c>
      <c r="B1446" t="s">
        <v>1454</v>
      </c>
      <c r="C1446">
        <v>5</v>
      </c>
      <c r="D1446">
        <v>-2.5999999999999999E-3</v>
      </c>
      <c r="E1446">
        <v>5.9957334838115024</v>
      </c>
      <c r="F1446">
        <v>606.80236069123202</v>
      </c>
      <c r="G1446">
        <v>0.42399999999999999</v>
      </c>
      <c r="H1446">
        <v>0</v>
      </c>
      <c r="I1446">
        <v>464.00990000000002</v>
      </c>
    </row>
    <row r="1447" spans="1:9" x14ac:dyDescent="0.3">
      <c r="A1447" t="s">
        <v>9</v>
      </c>
      <c r="B1447" t="s">
        <v>1455</v>
      </c>
      <c r="C1447">
        <v>5</v>
      </c>
      <c r="D1447">
        <v>-2.5999999999999999E-3</v>
      </c>
      <c r="E1447">
        <v>5.9957334838115024</v>
      </c>
      <c r="F1447">
        <v>606.80236069123202</v>
      </c>
      <c r="G1447">
        <v>0.42399999999999999</v>
      </c>
      <c r="H1447">
        <v>0</v>
      </c>
      <c r="I1447">
        <v>464.21260000000001</v>
      </c>
    </row>
    <row r="1448" spans="1:9" x14ac:dyDescent="0.3">
      <c r="A1448" t="s">
        <v>9</v>
      </c>
      <c r="B1448" t="s">
        <v>1456</v>
      </c>
      <c r="C1448">
        <v>5</v>
      </c>
      <c r="D1448">
        <v>-2.7000000000000001E-3</v>
      </c>
      <c r="E1448">
        <v>5.9957334838115024</v>
      </c>
      <c r="F1448">
        <v>606.80236069123202</v>
      </c>
      <c r="G1448">
        <v>0.42399999999999999</v>
      </c>
      <c r="H1448">
        <v>0</v>
      </c>
      <c r="I1448">
        <v>464.41039999999998</v>
      </c>
    </row>
    <row r="1449" spans="1:9" x14ac:dyDescent="0.3">
      <c r="A1449" t="s">
        <v>9</v>
      </c>
      <c r="B1449" t="s">
        <v>1457</v>
      </c>
      <c r="C1449">
        <v>5</v>
      </c>
      <c r="D1449">
        <v>-2.5999999999999999E-3</v>
      </c>
      <c r="E1449">
        <v>5.9957334838115024</v>
      </c>
      <c r="F1449">
        <v>606.80236069123202</v>
      </c>
      <c r="G1449">
        <v>0.42399999999999999</v>
      </c>
      <c r="H1449">
        <v>0</v>
      </c>
      <c r="I1449">
        <v>464.6123</v>
      </c>
    </row>
    <row r="1450" spans="1:9" x14ac:dyDescent="0.3">
      <c r="A1450" t="s">
        <v>9</v>
      </c>
      <c r="B1450" t="s">
        <v>1458</v>
      </c>
      <c r="C1450">
        <v>5</v>
      </c>
      <c r="D1450">
        <v>-2.5999999999999999E-3</v>
      </c>
      <c r="E1450">
        <v>8.6964991372255334</v>
      </c>
      <c r="F1450">
        <v>965.29776812270313</v>
      </c>
      <c r="G1450">
        <v>0.42399999999999999</v>
      </c>
      <c r="H1450">
        <v>4.2000000000000003E-2</v>
      </c>
      <c r="I1450">
        <v>464.81130000000002</v>
      </c>
    </row>
    <row r="1451" spans="1:9" x14ac:dyDescent="0.3">
      <c r="A1451" t="s">
        <v>9</v>
      </c>
      <c r="B1451" t="s">
        <v>1459</v>
      </c>
      <c r="C1451">
        <v>5</v>
      </c>
      <c r="D1451">
        <v>2.2200000000000001E-2</v>
      </c>
      <c r="E1451">
        <v>8.6988642481100644</v>
      </c>
      <c r="F1451">
        <v>965.52221714564519</v>
      </c>
      <c r="G1451">
        <v>0.42399999999999999</v>
      </c>
      <c r="H1451">
        <v>4.2000000000000003E-2</v>
      </c>
      <c r="I1451">
        <v>465.01069999999999</v>
      </c>
    </row>
    <row r="1452" spans="1:9" x14ac:dyDescent="0.3">
      <c r="A1452" t="s">
        <v>9</v>
      </c>
      <c r="B1452" t="s">
        <v>1460</v>
      </c>
      <c r="C1452">
        <v>5</v>
      </c>
      <c r="D1452">
        <v>3.5400000000000001E-2</v>
      </c>
      <c r="E1452">
        <v>8.6958982295740874</v>
      </c>
      <c r="F1452">
        <v>858.45771499630496</v>
      </c>
      <c r="G1452">
        <v>0.42399999999999999</v>
      </c>
      <c r="H1452">
        <v>4.2000000000000003E-2</v>
      </c>
      <c r="I1452">
        <v>465.21120000000002</v>
      </c>
    </row>
    <row r="1453" spans="1:9" x14ac:dyDescent="0.3">
      <c r="A1453" t="s">
        <v>9</v>
      </c>
      <c r="B1453" t="s">
        <v>1461</v>
      </c>
      <c r="C1453">
        <v>5</v>
      </c>
      <c r="D1453">
        <v>3.7100000000000001E-2</v>
      </c>
      <c r="E1453">
        <v>8.6876152730938454</v>
      </c>
      <c r="F1453">
        <v>857.6857434523464</v>
      </c>
      <c r="G1453">
        <v>0.42399999999999999</v>
      </c>
      <c r="H1453">
        <v>4.1799999999999997E-2</v>
      </c>
      <c r="I1453">
        <v>465.41109999999998</v>
      </c>
    </row>
    <row r="1454" spans="1:9" x14ac:dyDescent="0.3">
      <c r="A1454" t="s">
        <v>9</v>
      </c>
      <c r="B1454" t="s">
        <v>1462</v>
      </c>
      <c r="C1454">
        <v>5</v>
      </c>
      <c r="D1454">
        <v>3.7100000000000001E-2</v>
      </c>
      <c r="E1454">
        <v>8.6739918613658435</v>
      </c>
      <c r="F1454">
        <v>856.41604147929661</v>
      </c>
      <c r="G1454">
        <v>0.42399999999999999</v>
      </c>
      <c r="H1454">
        <v>4.1599999999999998E-2</v>
      </c>
      <c r="I1454">
        <v>465.61169999999998</v>
      </c>
    </row>
    <row r="1455" spans="1:9" x14ac:dyDescent="0.3">
      <c r="A1455" t="s">
        <v>9</v>
      </c>
      <c r="B1455" t="s">
        <v>1463</v>
      </c>
      <c r="C1455">
        <v>5</v>
      </c>
      <c r="D1455">
        <v>3.7100000000000001E-2</v>
      </c>
      <c r="E1455">
        <v>8.6553252044498006</v>
      </c>
      <c r="F1455">
        <v>854.6763090547214</v>
      </c>
      <c r="G1455">
        <v>0.42399999999999999</v>
      </c>
      <c r="H1455">
        <v>4.1300000000000003E-2</v>
      </c>
      <c r="I1455">
        <v>465.81020000000001</v>
      </c>
    </row>
    <row r="1456" spans="1:9" x14ac:dyDescent="0.3">
      <c r="A1456" t="s">
        <v>9</v>
      </c>
      <c r="B1456" t="s">
        <v>1464</v>
      </c>
      <c r="C1456">
        <v>5</v>
      </c>
      <c r="D1456">
        <v>3.7100000000000001E-2</v>
      </c>
      <c r="E1456">
        <v>8.631348097121494</v>
      </c>
      <c r="F1456">
        <v>852.44164265172321</v>
      </c>
      <c r="G1456">
        <v>0.42399999999999999</v>
      </c>
      <c r="H1456">
        <v>4.1000000000000002E-2</v>
      </c>
      <c r="I1456">
        <v>466.0104</v>
      </c>
    </row>
    <row r="1457" spans="1:9" x14ac:dyDescent="0.3">
      <c r="A1457" t="s">
        <v>9</v>
      </c>
      <c r="B1457" t="s">
        <v>1465</v>
      </c>
      <c r="C1457">
        <v>5</v>
      </c>
      <c r="D1457">
        <v>3.7100000000000001E-2</v>
      </c>
      <c r="E1457">
        <v>8.6022162401489126</v>
      </c>
      <c r="F1457">
        <v>849.72655358187865</v>
      </c>
      <c r="G1457">
        <v>0.42399999999999999</v>
      </c>
      <c r="H1457">
        <v>4.0500000000000001E-2</v>
      </c>
      <c r="I1457">
        <v>466.21109999999999</v>
      </c>
    </row>
    <row r="1458" spans="1:9" x14ac:dyDescent="0.3">
      <c r="A1458" t="s">
        <v>9</v>
      </c>
      <c r="B1458" t="s">
        <v>1466</v>
      </c>
      <c r="C1458">
        <v>5</v>
      </c>
      <c r="D1458">
        <v>3.7100000000000001E-2</v>
      </c>
      <c r="E1458">
        <v>8.5681773761602766</v>
      </c>
      <c r="F1458">
        <v>846.55413145813782</v>
      </c>
      <c r="G1458">
        <v>0.42399999999999999</v>
      </c>
      <c r="H1458">
        <v>0.04</v>
      </c>
      <c r="I1458">
        <v>466.41129999999998</v>
      </c>
    </row>
    <row r="1459" spans="1:9" x14ac:dyDescent="0.3">
      <c r="A1459" t="s">
        <v>9</v>
      </c>
      <c r="B1459" t="s">
        <v>1467</v>
      </c>
      <c r="C1459">
        <v>5</v>
      </c>
      <c r="D1459">
        <v>3.7100000000000001E-2</v>
      </c>
      <c r="E1459">
        <v>8.5294678946028206</v>
      </c>
      <c r="F1459">
        <v>842.94640777698294</v>
      </c>
      <c r="G1459">
        <v>0.42399999999999999</v>
      </c>
      <c r="H1459">
        <v>3.9399999999999998E-2</v>
      </c>
      <c r="I1459">
        <v>466.61079999999998</v>
      </c>
    </row>
    <row r="1460" spans="1:9" x14ac:dyDescent="0.3">
      <c r="A1460" t="s">
        <v>9</v>
      </c>
      <c r="B1460" t="s">
        <v>1468</v>
      </c>
      <c r="C1460">
        <v>5</v>
      </c>
      <c r="D1460">
        <v>3.7100000000000001E-2</v>
      </c>
      <c r="E1460">
        <v>8.4858392419068149</v>
      </c>
      <c r="F1460">
        <v>838.88021734571521</v>
      </c>
      <c r="G1460">
        <v>0.42399999999999999</v>
      </c>
      <c r="H1460">
        <v>3.8699999999999998E-2</v>
      </c>
      <c r="I1460">
        <v>466.81150000000002</v>
      </c>
    </row>
    <row r="1461" spans="1:9" x14ac:dyDescent="0.3">
      <c r="A1461" t="s">
        <v>9</v>
      </c>
      <c r="B1461" t="s">
        <v>1469</v>
      </c>
      <c r="C1461">
        <v>5</v>
      </c>
      <c r="D1461">
        <v>3.7100000000000001E-2</v>
      </c>
      <c r="E1461">
        <v>8.4377719009109651</v>
      </c>
      <c r="F1461">
        <v>834.40034116490199</v>
      </c>
      <c r="G1461">
        <v>0.42399999999999999</v>
      </c>
      <c r="H1461">
        <v>3.7900000000000003E-2</v>
      </c>
      <c r="I1461">
        <v>467.01190000000003</v>
      </c>
    </row>
    <row r="1462" spans="1:9" x14ac:dyDescent="0.3">
      <c r="A1462" t="s">
        <v>9</v>
      </c>
      <c r="B1462" t="s">
        <v>1470</v>
      </c>
      <c r="C1462">
        <v>5</v>
      </c>
      <c r="D1462">
        <v>3.6499999999999998E-2</v>
      </c>
      <c r="E1462">
        <v>8.3859000278682139</v>
      </c>
      <c r="F1462">
        <v>829.56588259731757</v>
      </c>
      <c r="G1462">
        <v>0.42399999999999999</v>
      </c>
      <c r="H1462">
        <v>3.7100000000000001E-2</v>
      </c>
      <c r="I1462">
        <v>467.21030000000002</v>
      </c>
    </row>
    <row r="1463" spans="1:9" x14ac:dyDescent="0.3">
      <c r="A1463" t="s">
        <v>9</v>
      </c>
      <c r="B1463" t="s">
        <v>1471</v>
      </c>
      <c r="C1463">
        <v>5</v>
      </c>
      <c r="D1463">
        <v>3.6499999999999998E-2</v>
      </c>
      <c r="E1463">
        <v>8.3290011284674215</v>
      </c>
      <c r="F1463">
        <v>824.26290517316374</v>
      </c>
      <c r="G1463">
        <v>0.42399999999999999</v>
      </c>
      <c r="H1463">
        <v>3.6299999999999999E-2</v>
      </c>
      <c r="I1463">
        <v>467.41219999999998</v>
      </c>
    </row>
    <row r="1464" spans="1:9" x14ac:dyDescent="0.3">
      <c r="A1464" t="s">
        <v>9</v>
      </c>
      <c r="B1464" t="s">
        <v>1472</v>
      </c>
      <c r="C1464">
        <v>5</v>
      </c>
      <c r="D1464">
        <v>3.5999999999999997E-2</v>
      </c>
      <c r="E1464">
        <v>8.2686232900319485</v>
      </c>
      <c r="F1464">
        <v>818.63569063097759</v>
      </c>
      <c r="G1464">
        <v>0.42399999999999999</v>
      </c>
      <c r="H1464">
        <v>3.5299999999999998E-2</v>
      </c>
      <c r="I1464">
        <v>467.61250000000001</v>
      </c>
    </row>
    <row r="1465" spans="1:9" x14ac:dyDescent="0.3">
      <c r="A1465" t="s">
        <v>9</v>
      </c>
      <c r="B1465" t="s">
        <v>1473</v>
      </c>
      <c r="C1465">
        <v>5</v>
      </c>
      <c r="D1465">
        <v>3.5900000000000001E-2</v>
      </c>
      <c r="E1465">
        <v>8.2053459302634906</v>
      </c>
      <c r="F1465">
        <v>812.7382407005573</v>
      </c>
      <c r="G1465">
        <v>0.42399999999999999</v>
      </c>
      <c r="H1465">
        <v>3.4299999999999997E-2</v>
      </c>
      <c r="I1465">
        <v>467.81060000000002</v>
      </c>
    </row>
    <row r="1466" spans="1:9" x14ac:dyDescent="0.3">
      <c r="A1466" t="s">
        <v>9</v>
      </c>
      <c r="B1466" t="s">
        <v>1474</v>
      </c>
      <c r="C1466">
        <v>5</v>
      </c>
      <c r="D1466">
        <v>3.5799999999999998E-2</v>
      </c>
      <c r="E1466">
        <v>8.1375427059839485</v>
      </c>
      <c r="F1466">
        <v>806.41898019770406</v>
      </c>
      <c r="G1466">
        <v>0.42399999999999999</v>
      </c>
      <c r="H1466">
        <v>3.3300000000000003E-2</v>
      </c>
      <c r="I1466">
        <v>468.01209999999998</v>
      </c>
    </row>
    <row r="1467" spans="1:9" x14ac:dyDescent="0.3">
      <c r="A1467" t="s">
        <v>9</v>
      </c>
      <c r="B1467" t="s">
        <v>1475</v>
      </c>
      <c r="C1467">
        <v>5</v>
      </c>
      <c r="D1467">
        <v>3.4799999999999998E-2</v>
      </c>
      <c r="E1467">
        <v>8.0673403112768725</v>
      </c>
      <c r="F1467">
        <v>799.87611701100457</v>
      </c>
      <c r="G1467">
        <v>0.42399999999999999</v>
      </c>
      <c r="H1467">
        <v>3.2199999999999999E-2</v>
      </c>
      <c r="I1467">
        <v>468.21159999999998</v>
      </c>
    </row>
    <row r="1468" spans="1:9" x14ac:dyDescent="0.3">
      <c r="A1468" t="s">
        <v>9</v>
      </c>
      <c r="B1468" t="s">
        <v>1476</v>
      </c>
      <c r="C1468">
        <v>5</v>
      </c>
      <c r="D1468">
        <v>3.4000000000000002E-2</v>
      </c>
      <c r="E1468">
        <v>7.9944930308677904</v>
      </c>
      <c r="F1468">
        <v>793.08675047687814</v>
      </c>
      <c r="G1468">
        <v>0.42399999999999999</v>
      </c>
      <c r="H1468">
        <v>3.1099999999999999E-2</v>
      </c>
      <c r="I1468">
        <v>468.41050000000001</v>
      </c>
    </row>
    <row r="1469" spans="1:9" x14ac:dyDescent="0.3">
      <c r="A1469" t="s">
        <v>9</v>
      </c>
      <c r="B1469" t="s">
        <v>1477</v>
      </c>
      <c r="C1469">
        <v>5</v>
      </c>
      <c r="D1469">
        <v>3.2599999999999997E-2</v>
      </c>
      <c r="E1469">
        <v>7.9181092345775328</v>
      </c>
      <c r="F1469">
        <v>785.96778066262607</v>
      </c>
      <c r="G1469">
        <v>0.42399999999999999</v>
      </c>
      <c r="H1469">
        <v>2.9899999999999999E-2</v>
      </c>
      <c r="I1469">
        <v>468.6121</v>
      </c>
    </row>
    <row r="1470" spans="1:9" x14ac:dyDescent="0.3">
      <c r="A1470" t="s">
        <v>9</v>
      </c>
      <c r="B1470" t="s">
        <v>1478</v>
      </c>
      <c r="C1470">
        <v>5</v>
      </c>
      <c r="D1470">
        <v>3.1E-2</v>
      </c>
      <c r="E1470">
        <v>7.8400524659729287</v>
      </c>
      <c r="F1470">
        <v>778.69288982867693</v>
      </c>
      <c r="G1470">
        <v>0.42399999999999999</v>
      </c>
      <c r="H1470">
        <v>2.87E-2</v>
      </c>
      <c r="I1470">
        <v>468.81209999999999</v>
      </c>
    </row>
    <row r="1471" spans="1:9" x14ac:dyDescent="0.3">
      <c r="A1471" t="s">
        <v>9</v>
      </c>
      <c r="B1471" t="s">
        <v>1479</v>
      </c>
      <c r="C1471">
        <v>5</v>
      </c>
      <c r="D1471">
        <v>2.9899999999999999E-2</v>
      </c>
      <c r="E1471">
        <v>7.7598146702042738</v>
      </c>
      <c r="F1471">
        <v>771.2147272630383</v>
      </c>
      <c r="G1471">
        <v>0.42399999999999999</v>
      </c>
      <c r="H1471">
        <v>2.7400000000000001E-2</v>
      </c>
      <c r="I1471">
        <v>469.0127</v>
      </c>
    </row>
    <row r="1472" spans="1:9" x14ac:dyDescent="0.3">
      <c r="A1472" t="s">
        <v>9</v>
      </c>
      <c r="B1472" t="s">
        <v>1480</v>
      </c>
      <c r="C1472">
        <v>5</v>
      </c>
      <c r="D1472">
        <v>2.9100000000000001E-2</v>
      </c>
      <c r="E1472">
        <v>7.6791989756966528</v>
      </c>
      <c r="F1472">
        <v>763.70134453492801</v>
      </c>
      <c r="G1472">
        <v>0.42399999999999999</v>
      </c>
      <c r="H1472">
        <v>2.6200000000000001E-2</v>
      </c>
      <c r="I1472">
        <v>469.21019999999999</v>
      </c>
    </row>
    <row r="1473" spans="1:9" x14ac:dyDescent="0.3">
      <c r="A1473" t="s">
        <v>9</v>
      </c>
      <c r="B1473" t="s">
        <v>1481</v>
      </c>
      <c r="C1473">
        <v>5</v>
      </c>
      <c r="D1473">
        <v>2.7400000000000001E-2</v>
      </c>
      <c r="E1473">
        <v>7.5956841653267961</v>
      </c>
      <c r="F1473">
        <v>755.91776420845747</v>
      </c>
      <c r="G1473">
        <v>0.42399999999999999</v>
      </c>
      <c r="H1473">
        <v>2.4899999999999999E-2</v>
      </c>
      <c r="I1473">
        <v>469.4117</v>
      </c>
    </row>
    <row r="1474" spans="1:9" x14ac:dyDescent="0.3">
      <c r="A1474" t="s">
        <v>9</v>
      </c>
      <c r="B1474" t="s">
        <v>1482</v>
      </c>
      <c r="C1474">
        <v>5</v>
      </c>
      <c r="D1474">
        <v>2.5999999999999999E-2</v>
      </c>
      <c r="E1474">
        <v>7.5089430241994881</v>
      </c>
      <c r="F1474">
        <v>747.83348985539226</v>
      </c>
      <c r="G1474">
        <v>0.42399999999999999</v>
      </c>
      <c r="H1474">
        <v>2.35E-2</v>
      </c>
      <c r="I1474">
        <v>469.61840000000001</v>
      </c>
    </row>
    <row r="1475" spans="1:9" x14ac:dyDescent="0.3">
      <c r="A1475" t="s">
        <v>9</v>
      </c>
      <c r="B1475" t="s">
        <v>1483</v>
      </c>
      <c r="C1475">
        <v>5</v>
      </c>
      <c r="D1475">
        <v>2.4199999999999999E-2</v>
      </c>
      <c r="E1475">
        <v>7.426606511829025</v>
      </c>
      <c r="F1475">
        <v>740.1597269024652</v>
      </c>
      <c r="G1475">
        <v>0.42399999999999999</v>
      </c>
      <c r="H1475">
        <v>2.2200000000000001E-2</v>
      </c>
      <c r="I1475">
        <v>469.81310000000002</v>
      </c>
    </row>
    <row r="1476" spans="1:9" x14ac:dyDescent="0.3">
      <c r="A1476" t="s">
        <v>9</v>
      </c>
      <c r="B1476" t="s">
        <v>1484</v>
      </c>
      <c r="C1476">
        <v>5</v>
      </c>
      <c r="D1476">
        <v>2.3E-2</v>
      </c>
      <c r="E1476">
        <v>7.3422819763714937</v>
      </c>
      <c r="F1476">
        <v>732.30068019782323</v>
      </c>
      <c r="G1476">
        <v>0.42399999999999999</v>
      </c>
      <c r="H1476">
        <v>2.0899999999999998E-2</v>
      </c>
      <c r="I1476">
        <v>470.01179999999999</v>
      </c>
    </row>
    <row r="1477" spans="1:9" x14ac:dyDescent="0.3">
      <c r="A1477" t="s">
        <v>9</v>
      </c>
      <c r="B1477" t="s">
        <v>1485</v>
      </c>
      <c r="C1477">
        <v>5</v>
      </c>
      <c r="D1477">
        <v>2.1000000000000001E-2</v>
      </c>
      <c r="E1477">
        <v>7.2571542033582856</v>
      </c>
      <c r="F1477">
        <v>724.36677175299224</v>
      </c>
      <c r="G1477">
        <v>0.42399999999999999</v>
      </c>
      <c r="H1477">
        <v>1.9599999999999999E-2</v>
      </c>
      <c r="I1477">
        <v>470.2124</v>
      </c>
    </row>
    <row r="1478" spans="1:9" x14ac:dyDescent="0.3">
      <c r="A1478" t="s">
        <v>9</v>
      </c>
      <c r="B1478" t="s">
        <v>1486</v>
      </c>
      <c r="C1478">
        <v>5</v>
      </c>
      <c r="D1478">
        <v>1.9300000000000001E-2</v>
      </c>
      <c r="E1478">
        <v>7.1730798433534817</v>
      </c>
      <c r="F1478">
        <v>716.5310414005445</v>
      </c>
      <c r="G1478">
        <v>0.42399999999999999</v>
      </c>
      <c r="H1478">
        <v>1.83E-2</v>
      </c>
      <c r="I1478">
        <v>470.41140000000001</v>
      </c>
    </row>
    <row r="1479" spans="1:9" x14ac:dyDescent="0.3">
      <c r="A1479" t="s">
        <v>9</v>
      </c>
      <c r="B1479" t="s">
        <v>1487</v>
      </c>
      <c r="C1479">
        <v>5</v>
      </c>
      <c r="D1479">
        <v>1.83E-2</v>
      </c>
      <c r="E1479">
        <v>7.0885927141252161</v>
      </c>
      <c r="F1479">
        <v>708.65684095647021</v>
      </c>
      <c r="G1479">
        <v>0.42399999999999999</v>
      </c>
      <c r="H1479">
        <v>1.7000000000000001E-2</v>
      </c>
      <c r="I1479">
        <v>470.61309999999997</v>
      </c>
    </row>
    <row r="1480" spans="1:9" x14ac:dyDescent="0.3">
      <c r="A1480" t="s">
        <v>9</v>
      </c>
      <c r="B1480" t="s">
        <v>1488</v>
      </c>
      <c r="C1480">
        <v>5</v>
      </c>
      <c r="D1480">
        <v>1.67E-2</v>
      </c>
      <c r="E1480">
        <v>7.0059014148485348</v>
      </c>
      <c r="F1480">
        <v>700.95001186388345</v>
      </c>
      <c r="G1480">
        <v>0.42399999999999999</v>
      </c>
      <c r="H1480">
        <v>1.5699999999999999E-2</v>
      </c>
      <c r="I1480">
        <v>470.81279999999998</v>
      </c>
    </row>
    <row r="1481" spans="1:9" x14ac:dyDescent="0.3">
      <c r="A1481" t="s">
        <v>9</v>
      </c>
      <c r="B1481" t="s">
        <v>1489</v>
      </c>
      <c r="C1481">
        <v>5</v>
      </c>
      <c r="D1481">
        <v>1.55E-2</v>
      </c>
      <c r="E1481">
        <v>6.9246329124334736</v>
      </c>
      <c r="F1481">
        <v>693.37578743879988</v>
      </c>
      <c r="G1481">
        <v>0.42399999999999999</v>
      </c>
      <c r="H1481">
        <v>1.44E-2</v>
      </c>
      <c r="I1481">
        <v>471.01240000000001</v>
      </c>
    </row>
    <row r="1482" spans="1:9" x14ac:dyDescent="0.3">
      <c r="A1482" t="s">
        <v>9</v>
      </c>
      <c r="B1482" t="s">
        <v>1490</v>
      </c>
      <c r="C1482">
        <v>5</v>
      </c>
      <c r="D1482">
        <v>1.3899999999999999E-2</v>
      </c>
      <c r="E1482">
        <v>6.8456188273882077</v>
      </c>
      <c r="F1482">
        <v>686.011674712581</v>
      </c>
      <c r="G1482">
        <v>0.42399999999999999</v>
      </c>
      <c r="H1482">
        <v>1.32E-2</v>
      </c>
      <c r="I1482">
        <v>471.21039999999999</v>
      </c>
    </row>
    <row r="1483" spans="1:9" x14ac:dyDescent="0.3">
      <c r="A1483" t="s">
        <v>9</v>
      </c>
      <c r="B1483" t="s">
        <v>1491</v>
      </c>
      <c r="C1483">
        <v>5</v>
      </c>
      <c r="D1483">
        <v>1.2800000000000001E-2</v>
      </c>
      <c r="E1483">
        <v>6.7677826348715806</v>
      </c>
      <c r="F1483">
        <v>678.75734157003137</v>
      </c>
      <c r="G1483">
        <v>0.42399999999999999</v>
      </c>
      <c r="H1483">
        <v>1.2E-2</v>
      </c>
      <c r="I1483">
        <v>471.41059999999999</v>
      </c>
    </row>
    <row r="1484" spans="1:9" x14ac:dyDescent="0.3">
      <c r="A1484" t="s">
        <v>9</v>
      </c>
      <c r="B1484" t="s">
        <v>1492</v>
      </c>
      <c r="C1484">
        <v>5</v>
      </c>
      <c r="D1484">
        <v>1.17E-2</v>
      </c>
      <c r="E1484">
        <v>6.6918740503002807</v>
      </c>
      <c r="F1484">
        <v>671.68266148798614</v>
      </c>
      <c r="G1484">
        <v>0.42399999999999999</v>
      </c>
      <c r="H1484">
        <v>1.0800000000000001E-2</v>
      </c>
      <c r="I1484">
        <v>471.61149999999998</v>
      </c>
    </row>
    <row r="1485" spans="1:9" x14ac:dyDescent="0.3">
      <c r="A1485" t="s">
        <v>9</v>
      </c>
      <c r="B1485" t="s">
        <v>1493</v>
      </c>
      <c r="C1485">
        <v>5</v>
      </c>
      <c r="D1485">
        <v>1.01E-2</v>
      </c>
      <c r="E1485">
        <v>6.618440053716002</v>
      </c>
      <c r="F1485">
        <v>664.83861300633146</v>
      </c>
      <c r="G1485">
        <v>0.42399999999999999</v>
      </c>
      <c r="H1485">
        <v>9.7000000000000003E-3</v>
      </c>
      <c r="I1485">
        <v>471.81299999999999</v>
      </c>
    </row>
    <row r="1486" spans="1:9" x14ac:dyDescent="0.3">
      <c r="A1486" t="s">
        <v>9</v>
      </c>
      <c r="B1486" t="s">
        <v>1494</v>
      </c>
      <c r="C1486">
        <v>5</v>
      </c>
      <c r="D1486">
        <v>8.6E-3</v>
      </c>
      <c r="E1486">
        <v>6.5485227049461523</v>
      </c>
      <c r="F1486">
        <v>658.32231610098142</v>
      </c>
      <c r="G1486">
        <v>0.42399999999999999</v>
      </c>
      <c r="H1486">
        <v>8.6E-3</v>
      </c>
      <c r="I1486">
        <v>472.01260000000002</v>
      </c>
    </row>
    <row r="1487" spans="1:9" x14ac:dyDescent="0.3">
      <c r="A1487" t="s">
        <v>9</v>
      </c>
      <c r="B1487" t="s">
        <v>1495</v>
      </c>
      <c r="C1487">
        <v>5</v>
      </c>
      <c r="D1487">
        <v>7.4999999999999997E-3</v>
      </c>
      <c r="E1487">
        <v>6.4816836901100201</v>
      </c>
      <c r="F1487">
        <v>652.09291991825387</v>
      </c>
      <c r="G1487">
        <v>0.42399999999999999</v>
      </c>
      <c r="H1487">
        <v>7.6E-3</v>
      </c>
      <c r="I1487">
        <v>472.21249999999998</v>
      </c>
    </row>
    <row r="1488" spans="1:9" x14ac:dyDescent="0.3">
      <c r="A1488" t="s">
        <v>9</v>
      </c>
      <c r="B1488" t="s">
        <v>1496</v>
      </c>
      <c r="C1488">
        <v>5</v>
      </c>
      <c r="D1488">
        <v>7.0000000000000001E-3</v>
      </c>
      <c r="E1488">
        <v>6.4186009563015443</v>
      </c>
      <c r="F1488">
        <v>646.21360912730393</v>
      </c>
      <c r="G1488">
        <v>0.42399999999999999</v>
      </c>
      <c r="H1488">
        <v>6.6E-3</v>
      </c>
      <c r="I1488">
        <v>472.41129999999998</v>
      </c>
    </row>
    <row r="1489" spans="1:9" x14ac:dyDescent="0.3">
      <c r="A1489" t="s">
        <v>9</v>
      </c>
      <c r="B1489" t="s">
        <v>1497</v>
      </c>
      <c r="C1489">
        <v>5</v>
      </c>
      <c r="D1489">
        <v>6.0000000000000001E-3</v>
      </c>
      <c r="E1489">
        <v>6.3582939130590148</v>
      </c>
      <c r="F1489">
        <v>640.59299269710016</v>
      </c>
      <c r="G1489">
        <v>0.42399999999999999</v>
      </c>
      <c r="H1489">
        <v>5.5999999999999999E-3</v>
      </c>
      <c r="I1489">
        <v>472.61290000000002</v>
      </c>
    </row>
    <row r="1490" spans="1:9" x14ac:dyDescent="0.3">
      <c r="A1490" t="s">
        <v>9</v>
      </c>
      <c r="B1490" t="s">
        <v>1498</v>
      </c>
      <c r="C1490">
        <v>5</v>
      </c>
      <c r="D1490">
        <v>4.4999999999999997E-3</v>
      </c>
      <c r="E1490">
        <v>6.3028055247561214</v>
      </c>
      <c r="F1490">
        <v>635.42147490727041</v>
      </c>
      <c r="G1490">
        <v>0.42399999999999999</v>
      </c>
      <c r="H1490">
        <v>4.7999999999999996E-3</v>
      </c>
      <c r="I1490">
        <v>472.81150000000002</v>
      </c>
    </row>
    <row r="1491" spans="1:9" x14ac:dyDescent="0.3">
      <c r="A1491" t="s">
        <v>9</v>
      </c>
      <c r="B1491" t="s">
        <v>1499</v>
      </c>
      <c r="C1491">
        <v>5</v>
      </c>
      <c r="D1491">
        <v>3.5999999999999999E-3</v>
      </c>
      <c r="E1491">
        <v>6.2507145353200881</v>
      </c>
      <c r="F1491">
        <v>630.56659469183228</v>
      </c>
      <c r="G1491">
        <v>0.42399999999999999</v>
      </c>
      <c r="H1491">
        <v>4.0000000000000001E-3</v>
      </c>
      <c r="I1491">
        <v>473.01260000000002</v>
      </c>
    </row>
    <row r="1492" spans="1:9" x14ac:dyDescent="0.3">
      <c r="A1492" t="s">
        <v>9</v>
      </c>
      <c r="B1492" t="s">
        <v>1500</v>
      </c>
      <c r="C1492">
        <v>5</v>
      </c>
      <c r="D1492">
        <v>2.8E-3</v>
      </c>
      <c r="E1492">
        <v>6.2033975584941192</v>
      </c>
      <c r="F1492">
        <v>626.15665245165189</v>
      </c>
      <c r="G1492">
        <v>0.42399999999999999</v>
      </c>
      <c r="H1492">
        <v>3.2000000000000002E-3</v>
      </c>
      <c r="I1492">
        <v>473.21199999999999</v>
      </c>
    </row>
    <row r="1493" spans="1:9" x14ac:dyDescent="0.3">
      <c r="A1493" t="s">
        <v>9</v>
      </c>
      <c r="B1493" t="s">
        <v>1501</v>
      </c>
      <c r="C1493">
        <v>5</v>
      </c>
      <c r="D1493">
        <v>1.6999999999999999E-3</v>
      </c>
      <c r="E1493">
        <v>6.1606779712195303</v>
      </c>
      <c r="F1493">
        <v>622.1751869176602</v>
      </c>
      <c r="G1493">
        <v>0.42399999999999999</v>
      </c>
      <c r="H1493">
        <v>2.5999999999999999E-3</v>
      </c>
      <c r="I1493">
        <v>473.41090000000003</v>
      </c>
    </row>
    <row r="1494" spans="1:9" x14ac:dyDescent="0.3">
      <c r="A1494" t="s">
        <v>9</v>
      </c>
      <c r="B1494" t="s">
        <v>1502</v>
      </c>
      <c r="C1494">
        <v>5</v>
      </c>
      <c r="D1494">
        <v>1.2999999999999999E-3</v>
      </c>
      <c r="E1494">
        <v>6.1221105260657858</v>
      </c>
      <c r="F1494">
        <v>618.58070102933129</v>
      </c>
      <c r="G1494">
        <v>0.42399999999999999</v>
      </c>
      <c r="H1494">
        <v>2E-3</v>
      </c>
      <c r="I1494">
        <v>473.61250000000001</v>
      </c>
    </row>
    <row r="1495" spans="1:9" x14ac:dyDescent="0.3">
      <c r="A1495" t="s">
        <v>9</v>
      </c>
      <c r="B1495" t="s">
        <v>1503</v>
      </c>
      <c r="C1495">
        <v>5</v>
      </c>
      <c r="D1495">
        <v>5.9999999999999995E-4</v>
      </c>
      <c r="E1495">
        <v>6.0886497011782978</v>
      </c>
      <c r="F1495">
        <v>615.46215214981737</v>
      </c>
      <c r="G1495">
        <v>0.42399999999999999</v>
      </c>
      <c r="H1495">
        <v>1.4E-3</v>
      </c>
      <c r="I1495">
        <v>473.81279999999998</v>
      </c>
    </row>
    <row r="1496" spans="1:9" x14ac:dyDescent="0.3">
      <c r="A1496" t="s">
        <v>9</v>
      </c>
      <c r="B1496" t="s">
        <v>1504</v>
      </c>
      <c r="C1496">
        <v>5</v>
      </c>
      <c r="D1496">
        <v>-1E-4</v>
      </c>
      <c r="E1496">
        <v>6.0603790235315609</v>
      </c>
      <c r="F1496">
        <v>612.82732499314147</v>
      </c>
      <c r="G1496">
        <v>0.42399999999999999</v>
      </c>
      <c r="H1496">
        <v>1E-3</v>
      </c>
      <c r="I1496">
        <v>474.01150000000001</v>
      </c>
    </row>
    <row r="1497" spans="1:9" x14ac:dyDescent="0.3">
      <c r="A1497" t="s">
        <v>9</v>
      </c>
      <c r="B1497" t="s">
        <v>1505</v>
      </c>
      <c r="C1497">
        <v>5</v>
      </c>
      <c r="D1497">
        <v>-1E-4</v>
      </c>
      <c r="E1497">
        <v>6.0368433927558147</v>
      </c>
      <c r="F1497">
        <v>610.63380420484191</v>
      </c>
      <c r="G1497">
        <v>0.42399999999999999</v>
      </c>
      <c r="H1497">
        <v>5.9999999999999995E-4</v>
      </c>
      <c r="I1497">
        <v>474.21289999999999</v>
      </c>
    </row>
    <row r="1498" spans="1:9" x14ac:dyDescent="0.3">
      <c r="A1498" t="s">
        <v>9</v>
      </c>
      <c r="B1498" t="s">
        <v>1506</v>
      </c>
      <c r="C1498">
        <v>5</v>
      </c>
      <c r="D1498">
        <v>-8.9999999999999998E-4</v>
      </c>
      <c r="E1498">
        <v>6.0186716777654228</v>
      </c>
      <c r="F1498">
        <v>608.94020036773748</v>
      </c>
      <c r="G1498">
        <v>0.42399999999999999</v>
      </c>
      <c r="H1498">
        <v>4.0000000000000002E-4</v>
      </c>
      <c r="I1498">
        <v>474.41269999999997</v>
      </c>
    </row>
    <row r="1499" spans="1:9" x14ac:dyDescent="0.3">
      <c r="A1499" t="s">
        <v>9</v>
      </c>
      <c r="B1499" t="s">
        <v>1507</v>
      </c>
      <c r="C1499">
        <v>5</v>
      </c>
      <c r="D1499">
        <v>-1E-3</v>
      </c>
      <c r="E1499">
        <v>6.0058268225885456</v>
      </c>
      <c r="F1499">
        <v>607.74305986525246</v>
      </c>
      <c r="G1499">
        <v>0.42399999999999999</v>
      </c>
      <c r="H1499">
        <v>2.0000000000000001E-4</v>
      </c>
      <c r="I1499">
        <v>474.61070000000001</v>
      </c>
    </row>
    <row r="1500" spans="1:9" x14ac:dyDescent="0.3">
      <c r="A1500" t="s">
        <v>9</v>
      </c>
      <c r="B1500" t="s">
        <v>1508</v>
      </c>
      <c r="C1500">
        <v>5</v>
      </c>
      <c r="D1500">
        <v>-2E-3</v>
      </c>
      <c r="E1500">
        <v>5.9980957389655458</v>
      </c>
      <c r="F1500">
        <v>607.02252287158888</v>
      </c>
      <c r="G1500">
        <v>0.42399999999999999</v>
      </c>
      <c r="H1500">
        <v>0</v>
      </c>
      <c r="I1500">
        <v>474.81180000000001</v>
      </c>
    </row>
    <row r="1501" spans="1:9" x14ac:dyDescent="0.3">
      <c r="A1501" t="s">
        <v>9</v>
      </c>
      <c r="B1501" t="s">
        <v>1509</v>
      </c>
      <c r="C1501">
        <v>5</v>
      </c>
      <c r="D1501">
        <v>-2.3999999999999998E-3</v>
      </c>
      <c r="E1501">
        <v>5.995744923305061</v>
      </c>
      <c r="F1501">
        <v>606.80342685203175</v>
      </c>
      <c r="G1501">
        <v>0.42399999999999999</v>
      </c>
      <c r="H1501">
        <v>0</v>
      </c>
      <c r="I1501">
        <v>475.01310000000001</v>
      </c>
    </row>
    <row r="1502" spans="1:9" x14ac:dyDescent="0.3">
      <c r="A1502" t="s">
        <v>9</v>
      </c>
      <c r="B1502" t="s">
        <v>1510</v>
      </c>
      <c r="C1502">
        <v>5</v>
      </c>
      <c r="D1502">
        <v>-2.3999999999999998E-3</v>
      </c>
      <c r="E1502">
        <v>5.9987079933104566</v>
      </c>
      <c r="F1502">
        <v>709.27738856516237</v>
      </c>
      <c r="G1502">
        <v>0.42399999999999999</v>
      </c>
      <c r="H1502">
        <v>0</v>
      </c>
      <c r="I1502">
        <v>475.21120000000002</v>
      </c>
    </row>
    <row r="1503" spans="1:9" x14ac:dyDescent="0.3">
      <c r="A1503" t="s">
        <v>9</v>
      </c>
      <c r="B1503" t="s">
        <v>1511</v>
      </c>
      <c r="C1503">
        <v>5</v>
      </c>
      <c r="D1503">
        <v>-1.4E-3</v>
      </c>
      <c r="E1503">
        <v>6.0070236181635526</v>
      </c>
      <c r="F1503">
        <v>710.06654136372117</v>
      </c>
      <c r="G1503">
        <v>0.42399999999999999</v>
      </c>
      <c r="H1503">
        <v>2.0000000000000001E-4</v>
      </c>
      <c r="I1503">
        <v>475.4117</v>
      </c>
    </row>
    <row r="1504" spans="1:9" x14ac:dyDescent="0.3">
      <c r="A1504" t="s">
        <v>9</v>
      </c>
      <c r="B1504" t="s">
        <v>1512</v>
      </c>
      <c r="C1504">
        <v>5</v>
      </c>
      <c r="D1504">
        <v>-5.9999999999999995E-4</v>
      </c>
      <c r="E1504">
        <v>6.0206039080772964</v>
      </c>
      <c r="F1504">
        <v>711.35531087653544</v>
      </c>
      <c r="G1504">
        <v>0.42399999999999999</v>
      </c>
      <c r="H1504">
        <v>4.0000000000000002E-4</v>
      </c>
      <c r="I1504">
        <v>475.61149999999998</v>
      </c>
    </row>
    <row r="1505" spans="1:9" x14ac:dyDescent="0.3">
      <c r="A1505" t="s">
        <v>9</v>
      </c>
      <c r="B1505" t="s">
        <v>1513</v>
      </c>
      <c r="C1505">
        <v>5</v>
      </c>
      <c r="D1505">
        <v>-2.0000000000000001E-4</v>
      </c>
      <c r="E1505">
        <v>6.0403330767653696</v>
      </c>
      <c r="F1505">
        <v>713.22760898503373</v>
      </c>
      <c r="G1505">
        <v>0.42399999999999999</v>
      </c>
      <c r="H1505">
        <v>6.9999999999999999E-4</v>
      </c>
      <c r="I1505">
        <v>475.82</v>
      </c>
    </row>
    <row r="1506" spans="1:9" x14ac:dyDescent="0.3">
      <c r="A1506" t="s">
        <v>9</v>
      </c>
      <c r="B1506" t="s">
        <v>1514</v>
      </c>
      <c r="C1506">
        <v>5</v>
      </c>
      <c r="D1506">
        <v>0</v>
      </c>
      <c r="E1506">
        <v>6.0634865513592757</v>
      </c>
      <c r="F1506">
        <v>715.42487372399535</v>
      </c>
      <c r="G1506">
        <v>0.42399999999999999</v>
      </c>
      <c r="H1506">
        <v>1.1000000000000001E-3</v>
      </c>
      <c r="I1506">
        <v>476.01209999999998</v>
      </c>
    </row>
    <row r="1507" spans="1:9" x14ac:dyDescent="0.3">
      <c r="A1507" t="s">
        <v>9</v>
      </c>
      <c r="B1507" t="s">
        <v>1515</v>
      </c>
      <c r="C1507">
        <v>5</v>
      </c>
      <c r="D1507">
        <v>4.0000000000000002E-4</v>
      </c>
      <c r="E1507">
        <v>6.092646426360683</v>
      </c>
      <c r="F1507">
        <v>718.19214586162889</v>
      </c>
      <c r="G1507">
        <v>0.42399999999999999</v>
      </c>
      <c r="H1507">
        <v>1.5E-3</v>
      </c>
      <c r="I1507">
        <v>476.21269999999998</v>
      </c>
    </row>
    <row r="1508" spans="1:9" x14ac:dyDescent="0.3">
      <c r="A1508" t="s">
        <v>9</v>
      </c>
      <c r="B1508" t="s">
        <v>1516</v>
      </c>
      <c r="C1508">
        <v>5</v>
      </c>
      <c r="D1508">
        <v>8.9999999999999998E-4</v>
      </c>
      <c r="E1508">
        <v>6.1263536152758462</v>
      </c>
      <c r="F1508">
        <v>721.39095808967784</v>
      </c>
      <c r="G1508">
        <v>0.42399999999999999</v>
      </c>
      <c r="H1508">
        <v>2E-3</v>
      </c>
      <c r="I1508">
        <v>476.41090000000003</v>
      </c>
    </row>
    <row r="1509" spans="1:9" x14ac:dyDescent="0.3">
      <c r="A1509" t="s">
        <v>9</v>
      </c>
      <c r="B1509" t="s">
        <v>1517</v>
      </c>
      <c r="C1509">
        <v>5</v>
      </c>
      <c r="D1509">
        <v>1.6999999999999999E-3</v>
      </c>
      <c r="E1509">
        <v>6.1653634290178001</v>
      </c>
      <c r="F1509">
        <v>725.09298941378927</v>
      </c>
      <c r="G1509">
        <v>0.42399999999999999</v>
      </c>
      <c r="H1509">
        <v>2.5999999999999999E-3</v>
      </c>
      <c r="I1509">
        <v>476.61189999999999</v>
      </c>
    </row>
    <row r="1510" spans="1:9" x14ac:dyDescent="0.3">
      <c r="A1510" t="s">
        <v>9</v>
      </c>
      <c r="B1510" t="s">
        <v>1518</v>
      </c>
      <c r="C1510">
        <v>5</v>
      </c>
      <c r="D1510">
        <v>2.5000000000000001E-3</v>
      </c>
      <c r="E1510">
        <v>6.208906000273589</v>
      </c>
      <c r="F1510">
        <v>729.22517942596357</v>
      </c>
      <c r="G1510">
        <v>0.42399999999999999</v>
      </c>
      <c r="H1510">
        <v>3.3E-3</v>
      </c>
      <c r="I1510">
        <v>476.81209999999999</v>
      </c>
    </row>
    <row r="1511" spans="1:9" x14ac:dyDescent="0.3">
      <c r="A1511" t="s">
        <v>9</v>
      </c>
      <c r="B1511" t="s">
        <v>1519</v>
      </c>
      <c r="C1511">
        <v>5</v>
      </c>
      <c r="D1511">
        <v>2.5999999999999999E-3</v>
      </c>
      <c r="E1511">
        <v>6.2567555629296354</v>
      </c>
      <c r="F1511">
        <v>733.76610292202236</v>
      </c>
      <c r="G1511">
        <v>0.42399999999999999</v>
      </c>
      <c r="H1511">
        <v>4.1000000000000003E-3</v>
      </c>
      <c r="I1511">
        <v>477.01150000000001</v>
      </c>
    </row>
    <row r="1512" spans="1:9" x14ac:dyDescent="0.3">
      <c r="A1512" t="s">
        <v>9</v>
      </c>
      <c r="B1512" t="s">
        <v>1520</v>
      </c>
      <c r="C1512">
        <v>5</v>
      </c>
      <c r="D1512">
        <v>3.7000000000000002E-3</v>
      </c>
      <c r="E1512">
        <v>6.3095712907841506</v>
      </c>
      <c r="F1512">
        <v>738.77831549541588</v>
      </c>
      <c r="G1512">
        <v>0.42399999999999999</v>
      </c>
      <c r="H1512">
        <v>4.8999999999999998E-3</v>
      </c>
      <c r="I1512">
        <v>477.21350000000001</v>
      </c>
    </row>
    <row r="1513" spans="1:9" x14ac:dyDescent="0.3">
      <c r="A1513" t="s">
        <v>9</v>
      </c>
      <c r="B1513" t="s">
        <v>1521</v>
      </c>
      <c r="C1513">
        <v>5</v>
      </c>
      <c r="D1513">
        <v>4.3E-3</v>
      </c>
      <c r="E1513">
        <v>6.3656692232654652</v>
      </c>
      <c r="F1513">
        <v>744.10200928789266</v>
      </c>
      <c r="G1513">
        <v>0.42399999999999999</v>
      </c>
      <c r="H1513">
        <v>5.7000000000000002E-3</v>
      </c>
      <c r="I1513">
        <v>477.41239999999999</v>
      </c>
    </row>
    <row r="1514" spans="1:9" x14ac:dyDescent="0.3">
      <c r="A1514" t="s">
        <v>9</v>
      </c>
      <c r="B1514" t="s">
        <v>1522</v>
      </c>
      <c r="C1514">
        <v>5</v>
      </c>
      <c r="D1514">
        <v>5.1000000000000004E-3</v>
      </c>
      <c r="E1514">
        <v>6.4258702359068796</v>
      </c>
      <c r="F1514">
        <v>749.81508538756304</v>
      </c>
      <c r="G1514">
        <v>0.42399999999999999</v>
      </c>
      <c r="H1514">
        <v>6.7000000000000002E-3</v>
      </c>
      <c r="I1514">
        <v>477.61219999999997</v>
      </c>
    </row>
    <row r="1515" spans="1:9" x14ac:dyDescent="0.3">
      <c r="A1515" t="s">
        <v>9</v>
      </c>
      <c r="B1515" t="s">
        <v>1523</v>
      </c>
      <c r="C1515">
        <v>5</v>
      </c>
      <c r="D1515">
        <v>6.3E-3</v>
      </c>
      <c r="E1515">
        <v>6.4901458646617458</v>
      </c>
      <c r="F1515">
        <v>755.91484255639966</v>
      </c>
      <c r="G1515">
        <v>0.42399999999999999</v>
      </c>
      <c r="H1515">
        <v>7.7000000000000002E-3</v>
      </c>
      <c r="I1515">
        <v>477.81330000000003</v>
      </c>
    </row>
    <row r="1516" spans="1:9" x14ac:dyDescent="0.3">
      <c r="A1516" t="s">
        <v>9</v>
      </c>
      <c r="B1516" t="s">
        <v>1524</v>
      </c>
      <c r="C1516">
        <v>5</v>
      </c>
      <c r="D1516">
        <v>7.4000000000000003E-3</v>
      </c>
      <c r="E1516">
        <v>6.5566041424636632</v>
      </c>
      <c r="F1516">
        <v>762.22173311980168</v>
      </c>
      <c r="G1516">
        <v>0.42399999999999999</v>
      </c>
      <c r="H1516">
        <v>8.6999999999999994E-3</v>
      </c>
      <c r="I1516">
        <v>478.01080000000002</v>
      </c>
    </row>
    <row r="1517" spans="1:9" x14ac:dyDescent="0.3">
      <c r="A1517" t="s">
        <v>9</v>
      </c>
      <c r="B1517" t="s">
        <v>1525</v>
      </c>
      <c r="C1517">
        <v>5</v>
      </c>
      <c r="D1517">
        <v>8.2000000000000007E-3</v>
      </c>
      <c r="E1517">
        <v>6.6277293885976496</v>
      </c>
      <c r="F1517">
        <v>768.97151897791707</v>
      </c>
      <c r="G1517">
        <v>0.42399999999999999</v>
      </c>
      <c r="H1517">
        <v>9.7999999999999997E-3</v>
      </c>
      <c r="I1517">
        <v>478.21289999999999</v>
      </c>
    </row>
    <row r="1518" spans="1:9" x14ac:dyDescent="0.3">
      <c r="A1518" t="s">
        <v>9</v>
      </c>
      <c r="B1518" t="s">
        <v>1526</v>
      </c>
      <c r="C1518">
        <v>5</v>
      </c>
      <c r="D1518">
        <v>9.4999999999999998E-3</v>
      </c>
      <c r="E1518">
        <v>6.7008832048937048</v>
      </c>
      <c r="F1518">
        <v>775.91381614441264</v>
      </c>
      <c r="G1518">
        <v>0.42399999999999999</v>
      </c>
      <c r="H1518">
        <v>1.0999999999999999E-2</v>
      </c>
      <c r="I1518">
        <v>478.4126</v>
      </c>
    </row>
    <row r="1519" spans="1:9" x14ac:dyDescent="0.3">
      <c r="A1519" t="s">
        <v>9</v>
      </c>
      <c r="B1519" t="s">
        <v>1527</v>
      </c>
      <c r="C1519">
        <v>5</v>
      </c>
      <c r="D1519">
        <v>1.0500000000000001E-2</v>
      </c>
      <c r="E1519">
        <v>6.7769742513024891</v>
      </c>
      <c r="F1519">
        <v>783.13485644860623</v>
      </c>
      <c r="G1519">
        <v>0.42399999999999999</v>
      </c>
      <c r="H1519">
        <v>1.21E-2</v>
      </c>
      <c r="I1519">
        <v>478.61340000000001</v>
      </c>
    </row>
    <row r="1520" spans="1:9" x14ac:dyDescent="0.3">
      <c r="A1520" t="s">
        <v>9</v>
      </c>
      <c r="B1520" t="s">
        <v>1528</v>
      </c>
      <c r="C1520">
        <v>5</v>
      </c>
      <c r="D1520">
        <v>1.18E-2</v>
      </c>
      <c r="E1520">
        <v>6.854583380199136</v>
      </c>
      <c r="F1520">
        <v>790.49996278089804</v>
      </c>
      <c r="G1520">
        <v>0.42399999999999999</v>
      </c>
      <c r="H1520">
        <v>1.3299999999999999E-2</v>
      </c>
      <c r="I1520">
        <v>478.81220000000002</v>
      </c>
    </row>
    <row r="1521" spans="1:9" x14ac:dyDescent="0.3">
      <c r="A1521" t="s">
        <v>9</v>
      </c>
      <c r="B1521" t="s">
        <v>1529</v>
      </c>
      <c r="C1521">
        <v>5</v>
      </c>
      <c r="D1521">
        <v>1.29E-2</v>
      </c>
      <c r="E1521">
        <v>6.9347627881797971</v>
      </c>
      <c r="F1521">
        <v>798.10898859826273</v>
      </c>
      <c r="G1521">
        <v>0.42399999999999999</v>
      </c>
      <c r="H1521">
        <v>1.46E-2</v>
      </c>
      <c r="I1521">
        <v>479.0127</v>
      </c>
    </row>
    <row r="1522" spans="1:9" x14ac:dyDescent="0.3">
      <c r="A1522" t="s">
        <v>9</v>
      </c>
      <c r="B1522" t="s">
        <v>1530</v>
      </c>
      <c r="C1522">
        <v>5</v>
      </c>
      <c r="D1522">
        <v>1.4500000000000001E-2</v>
      </c>
      <c r="E1522">
        <v>7.0167376206412921</v>
      </c>
      <c r="F1522">
        <v>805.88840019885868</v>
      </c>
      <c r="G1522">
        <v>0.42399999999999999</v>
      </c>
      <c r="H1522">
        <v>1.5900000000000001E-2</v>
      </c>
      <c r="I1522">
        <v>479.21350000000001</v>
      </c>
    </row>
    <row r="1523" spans="1:9" x14ac:dyDescent="0.3">
      <c r="A1523" t="s">
        <v>9</v>
      </c>
      <c r="B1523" t="s">
        <v>1531</v>
      </c>
      <c r="C1523">
        <v>5</v>
      </c>
      <c r="D1523">
        <v>1.5699999999999999E-2</v>
      </c>
      <c r="E1523">
        <v>7.0988316615032776</v>
      </c>
      <c r="F1523">
        <v>813.6791246766611</v>
      </c>
      <c r="G1523">
        <v>0.42399999999999999</v>
      </c>
      <c r="H1523">
        <v>1.7100000000000001E-2</v>
      </c>
      <c r="I1523">
        <v>479.41140000000001</v>
      </c>
    </row>
    <row r="1524" spans="1:9" x14ac:dyDescent="0.3">
      <c r="A1524" t="s">
        <v>9</v>
      </c>
      <c r="B1524" t="s">
        <v>1532</v>
      </c>
      <c r="C1524">
        <v>5</v>
      </c>
      <c r="D1524">
        <v>1.7299999999999999E-2</v>
      </c>
      <c r="E1524">
        <v>7.1828488501323378</v>
      </c>
      <c r="F1524">
        <v>821.65235587755888</v>
      </c>
      <c r="G1524">
        <v>0.42399999999999999</v>
      </c>
      <c r="H1524">
        <v>1.84E-2</v>
      </c>
      <c r="I1524">
        <v>479.61169999999998</v>
      </c>
    </row>
    <row r="1525" spans="1:9" x14ac:dyDescent="0.3">
      <c r="A1525" t="s">
        <v>9</v>
      </c>
      <c r="B1525" t="s">
        <v>1533</v>
      </c>
      <c r="C1525">
        <v>5</v>
      </c>
      <c r="D1525">
        <v>1.83E-2</v>
      </c>
      <c r="E1525">
        <v>7.2673108401741056</v>
      </c>
      <c r="F1525">
        <v>829.66779873252278</v>
      </c>
      <c r="G1525">
        <v>0.42399999999999999</v>
      </c>
      <c r="H1525">
        <v>1.9800000000000002E-2</v>
      </c>
      <c r="I1525">
        <v>479.81150000000002</v>
      </c>
    </row>
    <row r="1526" spans="1:9" x14ac:dyDescent="0.3">
      <c r="A1526" t="s">
        <v>9</v>
      </c>
      <c r="B1526" t="s">
        <v>1534</v>
      </c>
      <c r="C1526">
        <v>5</v>
      </c>
      <c r="D1526">
        <v>1.9900000000000001E-2</v>
      </c>
      <c r="E1526">
        <v>7.352726902890538</v>
      </c>
      <c r="F1526">
        <v>837.77378308431207</v>
      </c>
      <c r="G1526">
        <v>0.42399999999999999</v>
      </c>
      <c r="H1526">
        <v>2.1100000000000001E-2</v>
      </c>
      <c r="I1526">
        <v>480.01280000000003</v>
      </c>
    </row>
    <row r="1527" spans="1:9" x14ac:dyDescent="0.3">
      <c r="A1527" t="s">
        <v>9</v>
      </c>
      <c r="B1527" t="s">
        <v>1535</v>
      </c>
      <c r="C1527">
        <v>5</v>
      </c>
      <c r="D1527">
        <v>2.1000000000000001E-2</v>
      </c>
      <c r="E1527">
        <v>7.4369074962318313</v>
      </c>
      <c r="F1527">
        <v>845.7625213924008</v>
      </c>
      <c r="G1527">
        <v>0.42399999999999999</v>
      </c>
      <c r="H1527">
        <v>2.24E-2</v>
      </c>
      <c r="I1527">
        <v>480.21120000000002</v>
      </c>
    </row>
    <row r="1528" spans="1:9" x14ac:dyDescent="0.3">
      <c r="A1528" t="s">
        <v>9</v>
      </c>
      <c r="B1528" t="s">
        <v>1536</v>
      </c>
      <c r="C1528">
        <v>5</v>
      </c>
      <c r="D1528">
        <v>2.2700000000000001E-2</v>
      </c>
      <c r="E1528">
        <v>7.5217627929010664</v>
      </c>
      <c r="F1528">
        <v>853.81528904631114</v>
      </c>
      <c r="G1528">
        <v>0.42399999999999999</v>
      </c>
      <c r="H1528">
        <v>2.3699999999999999E-2</v>
      </c>
      <c r="I1528">
        <v>480.41199999999998</v>
      </c>
    </row>
    <row r="1529" spans="1:9" x14ac:dyDescent="0.3">
      <c r="A1529" t="s">
        <v>9</v>
      </c>
      <c r="B1529" t="s">
        <v>1537</v>
      </c>
      <c r="C1529">
        <v>5</v>
      </c>
      <c r="D1529">
        <v>2.3800000000000002E-2</v>
      </c>
      <c r="E1529">
        <v>7.6052755759171697</v>
      </c>
      <c r="F1529">
        <v>861.74065215453948</v>
      </c>
      <c r="G1529">
        <v>0.42399999999999999</v>
      </c>
      <c r="H1529">
        <v>2.5000000000000001E-2</v>
      </c>
      <c r="I1529">
        <v>480.61130000000003</v>
      </c>
    </row>
    <row r="1530" spans="1:9" x14ac:dyDescent="0.3">
      <c r="A1530" t="s">
        <v>9</v>
      </c>
      <c r="B1530" t="s">
        <v>1538</v>
      </c>
      <c r="C1530">
        <v>5</v>
      </c>
      <c r="D1530">
        <v>2.5000000000000001E-2</v>
      </c>
      <c r="E1530">
        <v>7.6881769090423324</v>
      </c>
      <c r="F1530">
        <v>869.6079886681174</v>
      </c>
      <c r="G1530">
        <v>0.42399999999999999</v>
      </c>
      <c r="H1530">
        <v>2.63E-2</v>
      </c>
      <c r="I1530">
        <v>480.81150000000002</v>
      </c>
    </row>
    <row r="1531" spans="1:9" x14ac:dyDescent="0.3">
      <c r="A1531" t="s">
        <v>9</v>
      </c>
      <c r="B1531" t="s">
        <v>1539</v>
      </c>
      <c r="C1531">
        <v>5</v>
      </c>
      <c r="D1531">
        <v>2.6100000000000002E-2</v>
      </c>
      <c r="E1531">
        <v>7.7695528612061331</v>
      </c>
      <c r="F1531">
        <v>877.3305665284621</v>
      </c>
      <c r="G1531">
        <v>0.42399999999999999</v>
      </c>
      <c r="H1531">
        <v>2.76E-2</v>
      </c>
      <c r="I1531">
        <v>481.01139999999998</v>
      </c>
    </row>
    <row r="1532" spans="1:9" x14ac:dyDescent="0.3">
      <c r="A1532" t="s">
        <v>9</v>
      </c>
      <c r="B1532" t="s">
        <v>1540</v>
      </c>
      <c r="C1532">
        <v>5</v>
      </c>
      <c r="D1532">
        <v>2.75E-2</v>
      </c>
      <c r="E1532">
        <v>7.8500124494750159</v>
      </c>
      <c r="F1532">
        <v>884.96618145517903</v>
      </c>
      <c r="G1532">
        <v>0.42399999999999999</v>
      </c>
      <c r="H1532">
        <v>2.8799999999999999E-2</v>
      </c>
      <c r="I1532">
        <v>481.2131</v>
      </c>
    </row>
    <row r="1533" spans="1:9" x14ac:dyDescent="0.3">
      <c r="A1533" t="s">
        <v>9</v>
      </c>
      <c r="B1533" t="s">
        <v>1541</v>
      </c>
      <c r="C1533">
        <v>5</v>
      </c>
      <c r="D1533">
        <v>2.8799999999999999E-2</v>
      </c>
      <c r="E1533">
        <v>7.9286960758590652</v>
      </c>
      <c r="F1533">
        <v>892.4332575990253</v>
      </c>
      <c r="G1533">
        <v>0.42399999999999999</v>
      </c>
      <c r="H1533">
        <v>0.03</v>
      </c>
      <c r="I1533">
        <v>481.41539999999998</v>
      </c>
    </row>
    <row r="1534" spans="1:9" x14ac:dyDescent="0.3">
      <c r="A1534" t="s">
        <v>9</v>
      </c>
      <c r="B1534" t="s">
        <v>1542</v>
      </c>
      <c r="C1534">
        <v>5</v>
      </c>
      <c r="D1534">
        <v>2.9399999999999999E-2</v>
      </c>
      <c r="E1534">
        <v>8.0028319423115271</v>
      </c>
      <c r="F1534">
        <v>899.468751325364</v>
      </c>
      <c r="G1534">
        <v>0.42399999999999999</v>
      </c>
      <c r="H1534">
        <v>3.1199999999999999E-2</v>
      </c>
      <c r="I1534">
        <v>481.61180000000002</v>
      </c>
    </row>
    <row r="1535" spans="1:9" x14ac:dyDescent="0.3">
      <c r="A1535" t="s">
        <v>9</v>
      </c>
      <c r="B1535" t="s">
        <v>1543</v>
      </c>
      <c r="C1535">
        <v>5</v>
      </c>
      <c r="D1535">
        <v>3.0700000000000002E-2</v>
      </c>
      <c r="E1535">
        <v>8.076001571966831</v>
      </c>
      <c r="F1535">
        <v>906.41254917965227</v>
      </c>
      <c r="G1535">
        <v>0.42399999999999999</v>
      </c>
      <c r="H1535">
        <v>3.2300000000000002E-2</v>
      </c>
      <c r="I1535">
        <v>481.8125</v>
      </c>
    </row>
    <row r="1536" spans="1:9" x14ac:dyDescent="0.3">
      <c r="A1536" t="s">
        <v>9</v>
      </c>
      <c r="B1536" t="s">
        <v>1544</v>
      </c>
      <c r="C1536">
        <v>5</v>
      </c>
      <c r="D1536">
        <v>3.1899999999999998E-2</v>
      </c>
      <c r="E1536">
        <v>8.1462587052251489</v>
      </c>
      <c r="F1536">
        <v>913.07995112586673</v>
      </c>
      <c r="G1536">
        <v>0.42399999999999999</v>
      </c>
      <c r="H1536">
        <v>3.3399999999999999E-2</v>
      </c>
      <c r="I1536">
        <v>482.01319999999998</v>
      </c>
    </row>
    <row r="1537" spans="1:9" x14ac:dyDescent="0.3">
      <c r="A1537" t="s">
        <v>9</v>
      </c>
      <c r="B1537" t="s">
        <v>1545</v>
      </c>
      <c r="C1537">
        <v>5</v>
      </c>
      <c r="D1537">
        <v>3.32E-2</v>
      </c>
      <c r="E1537">
        <v>8.2134533179089981</v>
      </c>
      <c r="F1537">
        <v>919.45671986956393</v>
      </c>
      <c r="G1537">
        <v>0.42399999999999999</v>
      </c>
      <c r="H1537">
        <v>3.4500000000000003E-2</v>
      </c>
      <c r="I1537">
        <v>482.21420000000001</v>
      </c>
    </row>
    <row r="1538" spans="1:9" x14ac:dyDescent="0.3">
      <c r="A1538" t="s">
        <v>9</v>
      </c>
      <c r="B1538" t="s">
        <v>1546</v>
      </c>
      <c r="C1538">
        <v>5</v>
      </c>
      <c r="D1538">
        <v>3.4200000000000001E-2</v>
      </c>
      <c r="E1538">
        <v>8.2760129944500225</v>
      </c>
      <c r="F1538">
        <v>925.39363317330719</v>
      </c>
      <c r="G1538">
        <v>0.42399999999999999</v>
      </c>
      <c r="H1538">
        <v>3.5400000000000001E-2</v>
      </c>
      <c r="I1538">
        <v>482.41129999999998</v>
      </c>
    </row>
    <row r="1539" spans="1:9" x14ac:dyDescent="0.3">
      <c r="A1539" t="s">
        <v>9</v>
      </c>
      <c r="B1539" t="s">
        <v>1547</v>
      </c>
      <c r="C1539">
        <v>5</v>
      </c>
      <c r="D1539">
        <v>3.4799999999999998E-2</v>
      </c>
      <c r="E1539">
        <v>8.3369240269216949</v>
      </c>
      <c r="F1539">
        <v>931.17409015486885</v>
      </c>
      <c r="G1539">
        <v>0.42399999999999999</v>
      </c>
      <c r="H1539">
        <v>3.6400000000000002E-2</v>
      </c>
      <c r="I1539">
        <v>482.61509999999998</v>
      </c>
    </row>
    <row r="1540" spans="1:9" x14ac:dyDescent="0.3">
      <c r="A1540" t="s">
        <v>9</v>
      </c>
      <c r="B1540" t="s">
        <v>1548</v>
      </c>
      <c r="C1540">
        <v>5</v>
      </c>
      <c r="D1540">
        <v>3.5499999999999997E-2</v>
      </c>
      <c r="E1540">
        <v>8.3925140667416063</v>
      </c>
      <c r="F1540">
        <v>936.44958493377851</v>
      </c>
      <c r="G1540">
        <v>0.42399999999999999</v>
      </c>
      <c r="H1540">
        <v>3.7199999999999997E-2</v>
      </c>
      <c r="I1540">
        <v>482.8141</v>
      </c>
    </row>
    <row r="1541" spans="1:9" x14ac:dyDescent="0.3">
      <c r="A1541" t="s">
        <v>9</v>
      </c>
      <c r="B1541" t="s">
        <v>1549</v>
      </c>
      <c r="C1541">
        <v>5</v>
      </c>
      <c r="D1541">
        <v>3.6799999999999999E-2</v>
      </c>
      <c r="E1541">
        <v>8.44351215031819</v>
      </c>
      <c r="F1541">
        <v>941.28930306519624</v>
      </c>
      <c r="G1541">
        <v>0.42399999999999999</v>
      </c>
      <c r="H1541">
        <v>3.7999999999999999E-2</v>
      </c>
      <c r="I1541">
        <v>483.0111</v>
      </c>
    </row>
    <row r="1542" spans="1:9" x14ac:dyDescent="0.3">
      <c r="A1542" t="s">
        <v>9</v>
      </c>
      <c r="B1542" t="s">
        <v>1550</v>
      </c>
      <c r="C1542">
        <v>5</v>
      </c>
      <c r="D1542">
        <v>3.7999999999999999E-2</v>
      </c>
      <c r="E1542">
        <v>8.491916842978009</v>
      </c>
      <c r="F1542">
        <v>945.88290839861315</v>
      </c>
      <c r="G1542">
        <v>0.42399999999999999</v>
      </c>
      <c r="H1542">
        <v>3.8800000000000001E-2</v>
      </c>
      <c r="I1542">
        <v>483.21519999999998</v>
      </c>
    </row>
    <row r="1543" spans="1:9" x14ac:dyDescent="0.3">
      <c r="A1543" t="s">
        <v>9</v>
      </c>
      <c r="B1543" t="s">
        <v>1551</v>
      </c>
      <c r="C1543">
        <v>5</v>
      </c>
      <c r="D1543">
        <v>3.8699999999999998E-2</v>
      </c>
      <c r="E1543">
        <v>8.5345938558238519</v>
      </c>
      <c r="F1543">
        <v>949.93295691768355</v>
      </c>
      <c r="G1543">
        <v>0.42399999999999999</v>
      </c>
      <c r="H1543">
        <v>3.9399999999999998E-2</v>
      </c>
      <c r="I1543">
        <v>483.41419999999999</v>
      </c>
    </row>
    <row r="1544" spans="1:9" x14ac:dyDescent="0.3">
      <c r="A1544" t="s">
        <v>9</v>
      </c>
      <c r="B1544" t="s">
        <v>1552</v>
      </c>
      <c r="C1544">
        <v>5</v>
      </c>
      <c r="D1544">
        <v>3.9E-2</v>
      </c>
      <c r="E1544">
        <v>8.572456308984636</v>
      </c>
      <c r="F1544">
        <v>953.52610372264201</v>
      </c>
      <c r="G1544">
        <v>0.42399999999999999</v>
      </c>
      <c r="H1544">
        <v>0.04</v>
      </c>
      <c r="I1544">
        <v>483.6123</v>
      </c>
    </row>
    <row r="1545" spans="1:9" x14ac:dyDescent="0.3">
      <c r="A1545" t="s">
        <v>9</v>
      </c>
      <c r="B1545" t="s">
        <v>1553</v>
      </c>
      <c r="C1545">
        <v>5</v>
      </c>
      <c r="D1545">
        <v>3.9300000000000002E-2</v>
      </c>
      <c r="E1545">
        <v>8.6057195074285922</v>
      </c>
      <c r="F1545">
        <v>956.68278125497341</v>
      </c>
      <c r="G1545">
        <v>0.42399999999999999</v>
      </c>
      <c r="H1545">
        <v>4.0599999999999997E-2</v>
      </c>
      <c r="I1545">
        <v>483.81130000000002</v>
      </c>
    </row>
    <row r="1546" spans="1:9" x14ac:dyDescent="0.3">
      <c r="A1546" t="s">
        <v>9</v>
      </c>
      <c r="B1546" t="s">
        <v>1554</v>
      </c>
      <c r="C1546">
        <v>5</v>
      </c>
      <c r="D1546">
        <v>4.1000000000000002E-2</v>
      </c>
      <c r="E1546">
        <v>8.6345132017957056</v>
      </c>
      <c r="F1546">
        <v>959.41530285041256</v>
      </c>
      <c r="G1546">
        <v>0.42399999999999999</v>
      </c>
      <c r="H1546">
        <v>4.1000000000000002E-2</v>
      </c>
      <c r="I1546">
        <v>484.01369999999997</v>
      </c>
    </row>
    <row r="1547" spans="1:9" x14ac:dyDescent="0.3">
      <c r="A1547" t="s">
        <v>9</v>
      </c>
      <c r="B1547" t="s">
        <v>1555</v>
      </c>
      <c r="C1547">
        <v>5</v>
      </c>
      <c r="D1547">
        <v>4.2099999999999999E-2</v>
      </c>
      <c r="E1547">
        <v>8.657779924370077</v>
      </c>
      <c r="F1547">
        <v>961.62331482272032</v>
      </c>
      <c r="G1547">
        <v>0.42399999999999999</v>
      </c>
      <c r="H1547">
        <v>4.1399999999999999E-2</v>
      </c>
      <c r="I1547">
        <v>484.2131</v>
      </c>
    </row>
    <row r="1548" spans="1:9" x14ac:dyDescent="0.3">
      <c r="A1548" t="s">
        <v>9</v>
      </c>
      <c r="B1548" t="s">
        <v>1556</v>
      </c>
      <c r="C1548">
        <v>5</v>
      </c>
      <c r="D1548">
        <v>4.2500000000000003E-2</v>
      </c>
      <c r="E1548">
        <v>8.6761359906916464</v>
      </c>
      <c r="F1548">
        <v>963.36530551663725</v>
      </c>
      <c r="G1548">
        <v>0.42399999999999999</v>
      </c>
      <c r="H1548">
        <v>4.1599999999999998E-2</v>
      </c>
      <c r="I1548">
        <v>484.4153</v>
      </c>
    </row>
    <row r="1549" spans="1:9" x14ac:dyDescent="0.3">
      <c r="A1549" t="s">
        <v>9</v>
      </c>
      <c r="B1549" t="s">
        <v>1557</v>
      </c>
      <c r="C1549">
        <v>5</v>
      </c>
      <c r="D1549">
        <v>4.3099999999999999E-2</v>
      </c>
      <c r="E1549">
        <v>8.6889079138447283</v>
      </c>
      <c r="F1549">
        <v>964.5773610238648</v>
      </c>
      <c r="G1549">
        <v>0.42399999999999999</v>
      </c>
      <c r="H1549">
        <v>4.1799999999999997E-2</v>
      </c>
      <c r="I1549">
        <v>484.61320000000001</v>
      </c>
    </row>
    <row r="1550" spans="1:9" x14ac:dyDescent="0.3">
      <c r="A1550" t="s">
        <v>9</v>
      </c>
      <c r="B1550" t="s">
        <v>1558</v>
      </c>
      <c r="C1550">
        <v>5</v>
      </c>
      <c r="D1550">
        <v>4.3299999999999998E-2</v>
      </c>
      <c r="E1550">
        <v>8.6965554976597783</v>
      </c>
      <c r="F1550">
        <v>965.30311672791299</v>
      </c>
      <c r="G1550">
        <v>0.42399999999999999</v>
      </c>
      <c r="H1550">
        <v>4.2000000000000003E-2</v>
      </c>
      <c r="I1550">
        <v>484.81360000000001</v>
      </c>
    </row>
    <row r="1551" spans="1:9" x14ac:dyDescent="0.3">
      <c r="A1551" t="s">
        <v>9</v>
      </c>
      <c r="B1551" t="s">
        <v>1559</v>
      </c>
      <c r="C1551">
        <v>5</v>
      </c>
      <c r="D1551">
        <v>4.3400000000000001E-2</v>
      </c>
      <c r="E1551">
        <v>8.698859382461066</v>
      </c>
      <c r="F1551">
        <v>965.52175539555526</v>
      </c>
      <c r="G1551">
        <v>0.42399999999999999</v>
      </c>
      <c r="H1551">
        <v>4.2000000000000003E-2</v>
      </c>
      <c r="I1551">
        <v>485.01369999999997</v>
      </c>
    </row>
    <row r="1552" spans="1:9" x14ac:dyDescent="0.3">
      <c r="A1552" t="s">
        <v>9</v>
      </c>
      <c r="B1552" t="s">
        <v>1560</v>
      </c>
      <c r="C1552">
        <v>5</v>
      </c>
      <c r="D1552">
        <v>4.3299999999999998E-2</v>
      </c>
      <c r="E1552">
        <v>8.6958787669780886</v>
      </c>
      <c r="F1552">
        <v>858.45590108235785</v>
      </c>
      <c r="G1552">
        <v>0.42399999999999999</v>
      </c>
      <c r="H1552">
        <v>4.2000000000000003E-2</v>
      </c>
      <c r="I1552">
        <v>485.21190000000001</v>
      </c>
    </row>
    <row r="1553" spans="1:9" x14ac:dyDescent="0.3">
      <c r="A1553" t="s">
        <v>9</v>
      </c>
      <c r="B1553" t="s">
        <v>1561</v>
      </c>
      <c r="C1553">
        <v>5</v>
      </c>
      <c r="D1553">
        <v>4.24E-2</v>
      </c>
      <c r="E1553">
        <v>8.6875881065535978</v>
      </c>
      <c r="F1553">
        <v>857.68321153079535</v>
      </c>
      <c r="G1553">
        <v>0.42399999999999999</v>
      </c>
      <c r="H1553">
        <v>4.1799999999999997E-2</v>
      </c>
      <c r="I1553">
        <v>485.41160000000002</v>
      </c>
    </row>
    <row r="1554" spans="1:9" x14ac:dyDescent="0.3">
      <c r="A1554" t="s">
        <v>9</v>
      </c>
      <c r="B1554" t="s">
        <v>1562</v>
      </c>
      <c r="C1554">
        <v>5</v>
      </c>
      <c r="D1554">
        <v>4.19E-2</v>
      </c>
      <c r="E1554">
        <v>8.6729927814379337</v>
      </c>
      <c r="F1554">
        <v>856.32292723001547</v>
      </c>
      <c r="G1554">
        <v>0.42399999999999999</v>
      </c>
      <c r="H1554">
        <v>4.1599999999999998E-2</v>
      </c>
      <c r="I1554">
        <v>485.62389999999999</v>
      </c>
    </row>
    <row r="1555" spans="1:9" x14ac:dyDescent="0.3">
      <c r="A1555" t="s">
        <v>9</v>
      </c>
      <c r="B1555" t="s">
        <v>1563</v>
      </c>
      <c r="C1555">
        <v>5</v>
      </c>
      <c r="D1555">
        <v>4.1799999999999997E-2</v>
      </c>
      <c r="E1555">
        <v>8.6551216581333197</v>
      </c>
      <c r="F1555">
        <v>854.65733853802544</v>
      </c>
      <c r="G1555">
        <v>0.42399999999999999</v>
      </c>
      <c r="H1555">
        <v>4.1300000000000003E-2</v>
      </c>
      <c r="I1555">
        <v>485.81209999999999</v>
      </c>
    </row>
    <row r="1556" spans="1:9" x14ac:dyDescent="0.3">
      <c r="A1556" t="s">
        <v>9</v>
      </c>
      <c r="B1556" t="s">
        <v>1564</v>
      </c>
      <c r="C1556">
        <v>5</v>
      </c>
      <c r="D1556">
        <v>4.1200000000000001E-2</v>
      </c>
      <c r="E1556">
        <v>8.6309345169565344</v>
      </c>
      <c r="F1556">
        <v>852.40309698034901</v>
      </c>
      <c r="G1556">
        <v>0.42399999999999999</v>
      </c>
      <c r="H1556">
        <v>4.0899999999999999E-2</v>
      </c>
      <c r="I1556">
        <v>486.01350000000002</v>
      </c>
    </row>
    <row r="1557" spans="1:9" x14ac:dyDescent="0.3">
      <c r="A1557" t="s">
        <v>9</v>
      </c>
      <c r="B1557" t="s">
        <v>1565</v>
      </c>
      <c r="C1557">
        <v>5</v>
      </c>
      <c r="D1557">
        <v>4.1099999999999998E-2</v>
      </c>
      <c r="E1557">
        <v>8.6019238957381887</v>
      </c>
      <c r="F1557">
        <v>849.69930708279924</v>
      </c>
      <c r="G1557">
        <v>0.42399999999999999</v>
      </c>
      <c r="H1557">
        <v>4.0500000000000001E-2</v>
      </c>
      <c r="I1557">
        <v>486.21289999999999</v>
      </c>
    </row>
    <row r="1558" spans="1:9" x14ac:dyDescent="0.3">
      <c r="A1558" t="s">
        <v>9</v>
      </c>
      <c r="B1558" t="s">
        <v>1566</v>
      </c>
      <c r="C1558">
        <v>5</v>
      </c>
      <c r="D1558">
        <v>4.1099999999999998E-2</v>
      </c>
      <c r="E1558">
        <v>8.5676887839065721</v>
      </c>
      <c r="F1558">
        <v>846.50859466009251</v>
      </c>
      <c r="G1558">
        <v>0.42399999999999999</v>
      </c>
      <c r="H1558">
        <v>0.04</v>
      </c>
      <c r="I1558">
        <v>486.41399999999999</v>
      </c>
    </row>
    <row r="1559" spans="1:9" x14ac:dyDescent="0.3">
      <c r="A1559" t="s">
        <v>9</v>
      </c>
      <c r="B1559" t="s">
        <v>1567</v>
      </c>
      <c r="C1559">
        <v>5</v>
      </c>
      <c r="D1559">
        <v>4.1099999999999998E-2</v>
      </c>
      <c r="E1559">
        <v>8.5285851847801517</v>
      </c>
      <c r="F1559">
        <v>842.86413922151019</v>
      </c>
      <c r="G1559">
        <v>0.42399999999999999</v>
      </c>
      <c r="H1559">
        <v>3.9399999999999998E-2</v>
      </c>
      <c r="I1559">
        <v>486.61509999999998</v>
      </c>
    </row>
    <row r="1560" spans="1:9" x14ac:dyDescent="0.3">
      <c r="A1560" t="s">
        <v>9</v>
      </c>
      <c r="B1560" t="s">
        <v>1568</v>
      </c>
      <c r="C1560">
        <v>5</v>
      </c>
      <c r="D1560">
        <v>4.0300000000000002E-2</v>
      </c>
      <c r="E1560">
        <v>8.485459315814099</v>
      </c>
      <c r="F1560">
        <v>838.84480823387401</v>
      </c>
      <c r="G1560">
        <v>0.42399999999999999</v>
      </c>
      <c r="H1560">
        <v>3.8699999999999998E-2</v>
      </c>
      <c r="I1560">
        <v>486.81319999999999</v>
      </c>
    </row>
    <row r="1561" spans="1:9" x14ac:dyDescent="0.3">
      <c r="A1561" t="s">
        <v>9</v>
      </c>
      <c r="B1561" t="s">
        <v>1569</v>
      </c>
      <c r="C1561">
        <v>5</v>
      </c>
      <c r="D1561">
        <v>3.9699999999999999E-2</v>
      </c>
      <c r="E1561">
        <v>8.4378063659247111</v>
      </c>
      <c r="F1561">
        <v>834.40355330418311</v>
      </c>
      <c r="G1561">
        <v>0.42399999999999999</v>
      </c>
      <c r="H1561">
        <v>3.7900000000000003E-2</v>
      </c>
      <c r="I1561">
        <v>487.01170000000002</v>
      </c>
    </row>
    <row r="1562" spans="1:9" x14ac:dyDescent="0.3">
      <c r="A1562" t="s">
        <v>9</v>
      </c>
      <c r="B1562" t="s">
        <v>1570</v>
      </c>
      <c r="C1562">
        <v>5</v>
      </c>
      <c r="D1562">
        <v>3.9699999999999999E-2</v>
      </c>
      <c r="E1562">
        <v>8.3852115385347759</v>
      </c>
      <c r="F1562">
        <v>829.50171539144117</v>
      </c>
      <c r="G1562">
        <v>0.42399999999999999</v>
      </c>
      <c r="H1562">
        <v>3.7100000000000001E-2</v>
      </c>
      <c r="I1562">
        <v>487.21289999999999</v>
      </c>
    </row>
    <row r="1563" spans="1:9" x14ac:dyDescent="0.3">
      <c r="A1563" t="s">
        <v>9</v>
      </c>
      <c r="B1563" t="s">
        <v>1571</v>
      </c>
      <c r="C1563">
        <v>5</v>
      </c>
      <c r="D1563">
        <v>3.8899999999999997E-2</v>
      </c>
      <c r="E1563">
        <v>8.3288993553091792</v>
      </c>
      <c r="F1563">
        <v>824.25341991481548</v>
      </c>
      <c r="G1563">
        <v>0.42399999999999999</v>
      </c>
      <c r="H1563">
        <v>3.6299999999999999E-2</v>
      </c>
      <c r="I1563">
        <v>487.41250000000002</v>
      </c>
    </row>
    <row r="1564" spans="1:9" x14ac:dyDescent="0.3">
      <c r="A1564" t="s">
        <v>9</v>
      </c>
      <c r="B1564" t="s">
        <v>1572</v>
      </c>
      <c r="C1564">
        <v>5</v>
      </c>
      <c r="D1564">
        <v>3.8199999999999998E-2</v>
      </c>
      <c r="E1564">
        <v>8.2686508620429464</v>
      </c>
      <c r="F1564">
        <v>818.63826034240265</v>
      </c>
      <c r="G1564">
        <v>0.42399999999999999</v>
      </c>
      <c r="H1564">
        <v>3.5299999999999998E-2</v>
      </c>
      <c r="I1564">
        <v>487.61239999999998</v>
      </c>
    </row>
    <row r="1565" spans="1:9" x14ac:dyDescent="0.3">
      <c r="A1565" t="s">
        <v>9</v>
      </c>
      <c r="B1565" t="s">
        <v>1573</v>
      </c>
      <c r="C1565">
        <v>5</v>
      </c>
      <c r="D1565">
        <v>3.8199999999999998E-2</v>
      </c>
      <c r="E1565">
        <v>8.2038282532463782</v>
      </c>
      <c r="F1565">
        <v>812.59679320256248</v>
      </c>
      <c r="G1565">
        <v>0.42399999999999999</v>
      </c>
      <c r="H1565">
        <v>3.4299999999999997E-2</v>
      </c>
      <c r="I1565">
        <v>487.8152</v>
      </c>
    </row>
    <row r="1566" spans="1:9" x14ac:dyDescent="0.3">
      <c r="A1566" t="s">
        <v>9</v>
      </c>
      <c r="B1566" t="s">
        <v>1574</v>
      </c>
      <c r="C1566">
        <v>5</v>
      </c>
      <c r="D1566">
        <v>3.6700000000000003E-2</v>
      </c>
      <c r="E1566">
        <v>8.137690702807685</v>
      </c>
      <c r="F1566">
        <v>806.43277350167625</v>
      </c>
      <c r="G1566">
        <v>0.42399999999999999</v>
      </c>
      <c r="H1566">
        <v>3.3300000000000003E-2</v>
      </c>
      <c r="I1566">
        <v>488.01170000000002</v>
      </c>
    </row>
    <row r="1567" spans="1:9" x14ac:dyDescent="0.3">
      <c r="A1567" t="s">
        <v>9</v>
      </c>
      <c r="B1567" t="s">
        <v>1575</v>
      </c>
      <c r="C1567">
        <v>5</v>
      </c>
      <c r="D1567">
        <v>3.5499999999999997E-2</v>
      </c>
      <c r="E1567">
        <v>8.0668659104994145</v>
      </c>
      <c r="F1567">
        <v>799.8319028585455</v>
      </c>
      <c r="G1567">
        <v>0.42399999999999999</v>
      </c>
      <c r="H1567">
        <v>3.2199999999999999E-2</v>
      </c>
      <c r="I1567">
        <v>488.21289999999999</v>
      </c>
    </row>
    <row r="1568" spans="1:9" x14ac:dyDescent="0.3">
      <c r="A1568" t="s">
        <v>9</v>
      </c>
      <c r="B1568" t="s">
        <v>1576</v>
      </c>
      <c r="C1568">
        <v>5</v>
      </c>
      <c r="D1568">
        <v>3.44E-2</v>
      </c>
      <c r="E1568">
        <v>7.9932222855374082</v>
      </c>
      <c r="F1568">
        <v>792.96831701208646</v>
      </c>
      <c r="G1568">
        <v>0.42399999999999999</v>
      </c>
      <c r="H1568">
        <v>3.1E-2</v>
      </c>
      <c r="I1568">
        <v>488.41390000000001</v>
      </c>
    </row>
    <row r="1569" spans="1:9" x14ac:dyDescent="0.3">
      <c r="A1569" t="s">
        <v>9</v>
      </c>
      <c r="B1569" t="s">
        <v>1577</v>
      </c>
      <c r="C1569">
        <v>5</v>
      </c>
      <c r="D1569">
        <v>3.3599999999999998E-2</v>
      </c>
      <c r="E1569">
        <v>7.9175269785805868</v>
      </c>
      <c r="F1569">
        <v>785.91351440371068</v>
      </c>
      <c r="G1569">
        <v>0.42399999999999999</v>
      </c>
      <c r="H1569">
        <v>2.9899999999999999E-2</v>
      </c>
      <c r="I1569">
        <v>488.61360000000002</v>
      </c>
    </row>
    <row r="1570" spans="1:9" x14ac:dyDescent="0.3">
      <c r="A1570" t="s">
        <v>9</v>
      </c>
      <c r="B1570" t="s">
        <v>1578</v>
      </c>
      <c r="C1570">
        <v>5</v>
      </c>
      <c r="D1570">
        <v>3.1800000000000002E-2</v>
      </c>
      <c r="E1570">
        <v>7.8397418753784578</v>
      </c>
      <c r="F1570">
        <v>778.6639427852723</v>
      </c>
      <c r="G1570">
        <v>0.42399999999999999</v>
      </c>
      <c r="H1570">
        <v>2.87E-2</v>
      </c>
      <c r="I1570">
        <v>488.81290000000001</v>
      </c>
    </row>
    <row r="1571" spans="1:9" x14ac:dyDescent="0.3">
      <c r="A1571" t="s">
        <v>9</v>
      </c>
      <c r="B1571" t="s">
        <v>1579</v>
      </c>
      <c r="C1571">
        <v>5</v>
      </c>
      <c r="D1571">
        <v>3.09E-2</v>
      </c>
      <c r="E1571">
        <v>7.7589668308661004</v>
      </c>
      <c r="F1571">
        <v>771.13570863672055</v>
      </c>
      <c r="G1571">
        <v>0.42399999999999999</v>
      </c>
      <c r="H1571">
        <v>2.7400000000000001E-2</v>
      </c>
      <c r="I1571">
        <v>489.01479999999998</v>
      </c>
    </row>
    <row r="1572" spans="1:9" x14ac:dyDescent="0.3">
      <c r="A1572" t="s">
        <v>9</v>
      </c>
      <c r="B1572" t="s">
        <v>1580</v>
      </c>
      <c r="C1572">
        <v>5</v>
      </c>
      <c r="D1572">
        <v>2.9100000000000001E-2</v>
      </c>
      <c r="E1572">
        <v>7.673795267011899</v>
      </c>
      <c r="F1572">
        <v>763.19771888550895</v>
      </c>
      <c r="G1572">
        <v>0.42399999999999999</v>
      </c>
      <c r="H1572">
        <v>2.6100000000000002E-2</v>
      </c>
      <c r="I1572">
        <v>489.22340000000003</v>
      </c>
    </row>
    <row r="1573" spans="1:9" x14ac:dyDescent="0.3">
      <c r="A1573" t="s">
        <v>9</v>
      </c>
      <c r="B1573" t="s">
        <v>1581</v>
      </c>
      <c r="C1573">
        <v>5</v>
      </c>
      <c r="D1573">
        <v>2.7799999999999998E-2</v>
      </c>
      <c r="E1573">
        <v>7.5954575071775681</v>
      </c>
      <c r="F1573">
        <v>755.89663966894932</v>
      </c>
      <c r="G1573">
        <v>0.42399999999999999</v>
      </c>
      <c r="H1573">
        <v>2.4899999999999999E-2</v>
      </c>
      <c r="I1573">
        <v>489.41219999999998</v>
      </c>
    </row>
    <row r="1574" spans="1:9" x14ac:dyDescent="0.3">
      <c r="A1574" t="s">
        <v>9</v>
      </c>
      <c r="B1574" t="s">
        <v>1582</v>
      </c>
      <c r="C1574">
        <v>5</v>
      </c>
      <c r="D1574">
        <v>2.5999999999999999E-2</v>
      </c>
      <c r="E1574">
        <v>7.5110482283332951</v>
      </c>
      <c r="F1574">
        <v>748.0296948806631</v>
      </c>
      <c r="G1574">
        <v>0.42399999999999999</v>
      </c>
      <c r="H1574">
        <v>2.35E-2</v>
      </c>
      <c r="I1574">
        <v>489.61340000000001</v>
      </c>
    </row>
    <row r="1575" spans="1:9" x14ac:dyDescent="0.3">
      <c r="A1575" t="s">
        <v>9</v>
      </c>
      <c r="B1575" t="s">
        <v>1583</v>
      </c>
      <c r="C1575">
        <v>5</v>
      </c>
      <c r="D1575">
        <v>2.4500000000000001E-2</v>
      </c>
      <c r="E1575">
        <v>7.4271178104447282</v>
      </c>
      <c r="F1575">
        <v>740.20737993344869</v>
      </c>
      <c r="G1575">
        <v>0.42399999999999999</v>
      </c>
      <c r="H1575">
        <v>2.2200000000000001E-2</v>
      </c>
      <c r="I1575">
        <v>489.81189999999998</v>
      </c>
    </row>
    <row r="1576" spans="1:9" x14ac:dyDescent="0.3">
      <c r="A1576" t="s">
        <v>9</v>
      </c>
      <c r="B1576" t="s">
        <v>1584</v>
      </c>
      <c r="C1576">
        <v>5</v>
      </c>
      <c r="D1576">
        <v>2.2700000000000001E-2</v>
      </c>
      <c r="E1576">
        <v>7.3421137060102586</v>
      </c>
      <c r="F1576">
        <v>732.28499740015616</v>
      </c>
      <c r="G1576">
        <v>0.42399999999999999</v>
      </c>
      <c r="H1576">
        <v>2.0899999999999998E-2</v>
      </c>
      <c r="I1576">
        <v>490.01220000000001</v>
      </c>
    </row>
    <row r="1577" spans="1:9" x14ac:dyDescent="0.3">
      <c r="A1577" t="s">
        <v>9</v>
      </c>
      <c r="B1577" t="s">
        <v>1585</v>
      </c>
      <c r="C1577">
        <v>5</v>
      </c>
      <c r="D1577">
        <v>2.1299999999999999E-2</v>
      </c>
      <c r="E1577">
        <v>7.2573772122707663</v>
      </c>
      <c r="F1577">
        <v>724.38755618363541</v>
      </c>
      <c r="G1577">
        <v>0.42399999999999999</v>
      </c>
      <c r="H1577">
        <v>1.9599999999999999E-2</v>
      </c>
      <c r="I1577">
        <v>490.21190000000001</v>
      </c>
    </row>
    <row r="1578" spans="1:9" x14ac:dyDescent="0.3">
      <c r="A1578" t="s">
        <v>9</v>
      </c>
      <c r="B1578" t="s">
        <v>1586</v>
      </c>
      <c r="C1578">
        <v>5</v>
      </c>
      <c r="D1578">
        <v>2.01E-2</v>
      </c>
      <c r="E1578">
        <v>7.1714810721863804</v>
      </c>
      <c r="F1578">
        <v>716.38203592777063</v>
      </c>
      <c r="G1578">
        <v>0.42399999999999999</v>
      </c>
      <c r="H1578">
        <v>1.83E-2</v>
      </c>
      <c r="I1578">
        <v>490.4153</v>
      </c>
    </row>
    <row r="1579" spans="1:9" x14ac:dyDescent="0.3">
      <c r="A1579" t="s">
        <v>9</v>
      </c>
      <c r="B1579" t="s">
        <v>1587</v>
      </c>
      <c r="C1579">
        <v>5</v>
      </c>
      <c r="D1579">
        <v>1.89E-2</v>
      </c>
      <c r="E1579">
        <v>7.0888724889426893</v>
      </c>
      <c r="F1579">
        <v>708.68291596945869</v>
      </c>
      <c r="G1579">
        <v>0.42399999999999999</v>
      </c>
      <c r="H1579">
        <v>1.7000000000000001E-2</v>
      </c>
      <c r="I1579">
        <v>490.61239999999998</v>
      </c>
    </row>
    <row r="1580" spans="1:9" x14ac:dyDescent="0.3">
      <c r="A1580" t="s">
        <v>9</v>
      </c>
      <c r="B1580" t="s">
        <v>1588</v>
      </c>
      <c r="C1580">
        <v>5</v>
      </c>
      <c r="D1580">
        <v>1.7000000000000001E-2</v>
      </c>
      <c r="E1580">
        <v>7.0050000533713659</v>
      </c>
      <c r="F1580">
        <v>700.86600497421136</v>
      </c>
      <c r="G1580">
        <v>0.42399999999999999</v>
      </c>
      <c r="H1580">
        <v>1.5699999999999999E-2</v>
      </c>
      <c r="I1580">
        <v>490.815</v>
      </c>
    </row>
    <row r="1581" spans="1:9" x14ac:dyDescent="0.3">
      <c r="A1581" t="s">
        <v>9</v>
      </c>
      <c r="B1581" t="s">
        <v>1589</v>
      </c>
      <c r="C1581">
        <v>5</v>
      </c>
      <c r="D1581">
        <v>1.54E-2</v>
      </c>
      <c r="E1581">
        <v>6.9240222734840291</v>
      </c>
      <c r="F1581">
        <v>693.31887588871155</v>
      </c>
      <c r="G1581">
        <v>0.42399999999999999</v>
      </c>
      <c r="H1581">
        <v>1.44E-2</v>
      </c>
      <c r="I1581">
        <v>491.01389999999998</v>
      </c>
    </row>
    <row r="1582" spans="1:9" x14ac:dyDescent="0.3">
      <c r="A1582" t="s">
        <v>9</v>
      </c>
      <c r="B1582" t="s">
        <v>1590</v>
      </c>
      <c r="C1582">
        <v>5</v>
      </c>
      <c r="D1582">
        <v>1.4200000000000001E-2</v>
      </c>
      <c r="E1582">
        <v>6.8438161044338726</v>
      </c>
      <c r="F1582">
        <v>685.84366093323695</v>
      </c>
      <c r="G1582">
        <v>0.42399999999999999</v>
      </c>
      <c r="H1582">
        <v>1.32E-2</v>
      </c>
      <c r="I1582">
        <v>491.21499999999997</v>
      </c>
    </row>
    <row r="1583" spans="1:9" x14ac:dyDescent="0.3">
      <c r="A1583" t="s">
        <v>9</v>
      </c>
      <c r="B1583" t="s">
        <v>1591</v>
      </c>
      <c r="C1583">
        <v>5</v>
      </c>
      <c r="D1583">
        <v>1.23E-2</v>
      </c>
      <c r="E1583">
        <v>6.7669226314109103</v>
      </c>
      <c r="F1583">
        <v>678.67718924749681</v>
      </c>
      <c r="G1583">
        <v>0.42399999999999999</v>
      </c>
      <c r="H1583">
        <v>1.2E-2</v>
      </c>
      <c r="I1583">
        <v>491.4128</v>
      </c>
    </row>
    <row r="1584" spans="1:9" x14ac:dyDescent="0.3">
      <c r="A1584" t="s">
        <v>9</v>
      </c>
      <c r="B1584" t="s">
        <v>1592</v>
      </c>
      <c r="C1584">
        <v>5</v>
      </c>
      <c r="D1584">
        <v>1.18E-2</v>
      </c>
      <c r="E1584">
        <v>6.6914381692440701</v>
      </c>
      <c r="F1584">
        <v>671.6420373735474</v>
      </c>
      <c r="G1584">
        <v>0.42399999999999999</v>
      </c>
      <c r="H1584">
        <v>1.0800000000000001E-2</v>
      </c>
      <c r="I1584">
        <v>491.61270000000002</v>
      </c>
    </row>
    <row r="1585" spans="1:9" x14ac:dyDescent="0.3">
      <c r="A1585" t="s">
        <v>9</v>
      </c>
      <c r="B1585" t="s">
        <v>1593</v>
      </c>
      <c r="C1585">
        <v>5</v>
      </c>
      <c r="D1585">
        <v>1.04E-2</v>
      </c>
      <c r="E1585">
        <v>6.6184027504070047</v>
      </c>
      <c r="F1585">
        <v>664.83513633793291</v>
      </c>
      <c r="G1585">
        <v>0.42399999999999999</v>
      </c>
      <c r="H1585">
        <v>9.7000000000000003E-3</v>
      </c>
      <c r="I1585">
        <v>491.81310000000002</v>
      </c>
    </row>
    <row r="1586" spans="1:9" x14ac:dyDescent="0.3">
      <c r="A1586" t="s">
        <v>9</v>
      </c>
      <c r="B1586" t="s">
        <v>1594</v>
      </c>
      <c r="C1586">
        <v>5</v>
      </c>
      <c r="D1586">
        <v>9.4999999999999998E-3</v>
      </c>
      <c r="E1586">
        <v>6.5487526068613811</v>
      </c>
      <c r="F1586">
        <v>658.34374295948078</v>
      </c>
      <c r="G1586">
        <v>0.42399999999999999</v>
      </c>
      <c r="H1586">
        <v>8.6E-3</v>
      </c>
      <c r="I1586">
        <v>492.012</v>
      </c>
    </row>
    <row r="1587" spans="1:9" x14ac:dyDescent="0.3">
      <c r="A1587" t="s">
        <v>9</v>
      </c>
      <c r="B1587" t="s">
        <v>1595</v>
      </c>
      <c r="C1587">
        <v>5</v>
      </c>
      <c r="D1587">
        <v>7.7999999999999996E-3</v>
      </c>
      <c r="E1587">
        <v>6.481538531581533</v>
      </c>
      <c r="F1587">
        <v>652.07939114339888</v>
      </c>
      <c r="G1587">
        <v>0.42399999999999999</v>
      </c>
      <c r="H1587">
        <v>7.4999999999999997E-3</v>
      </c>
      <c r="I1587">
        <v>492.21300000000002</v>
      </c>
    </row>
    <row r="1588" spans="1:9" x14ac:dyDescent="0.3">
      <c r="A1588" t="s">
        <v>9</v>
      </c>
      <c r="B1588" t="s">
        <v>1596</v>
      </c>
      <c r="C1588">
        <v>5</v>
      </c>
      <c r="D1588">
        <v>6.4000000000000003E-3</v>
      </c>
      <c r="E1588">
        <v>6.4184484992995587</v>
      </c>
      <c r="F1588">
        <v>646.19940013471887</v>
      </c>
      <c r="G1588">
        <v>0.42399999999999999</v>
      </c>
      <c r="H1588">
        <v>6.6E-3</v>
      </c>
      <c r="I1588">
        <v>492.4117</v>
      </c>
    </row>
    <row r="1589" spans="1:9" x14ac:dyDescent="0.3">
      <c r="A1589" t="s">
        <v>9</v>
      </c>
      <c r="B1589" t="s">
        <v>1597</v>
      </c>
      <c r="C1589">
        <v>5</v>
      </c>
      <c r="D1589">
        <v>5.5999999999999999E-3</v>
      </c>
      <c r="E1589">
        <v>6.3584321380376787</v>
      </c>
      <c r="F1589">
        <v>640.60587526511165</v>
      </c>
      <c r="G1589">
        <v>0.42399999999999999</v>
      </c>
      <c r="H1589">
        <v>5.5999999999999999E-3</v>
      </c>
      <c r="I1589">
        <v>492.61250000000001</v>
      </c>
    </row>
    <row r="1590" spans="1:9" x14ac:dyDescent="0.3">
      <c r="A1590" t="s">
        <v>9</v>
      </c>
      <c r="B1590" t="s">
        <v>1598</v>
      </c>
      <c r="C1590">
        <v>5</v>
      </c>
      <c r="D1590">
        <v>4.5999999999999999E-3</v>
      </c>
      <c r="E1590">
        <v>6.302633199687385</v>
      </c>
      <c r="F1590">
        <v>635.40541421086425</v>
      </c>
      <c r="G1590">
        <v>0.42399999999999999</v>
      </c>
      <c r="H1590">
        <v>4.7999999999999996E-3</v>
      </c>
      <c r="I1590">
        <v>492.81209999999999</v>
      </c>
    </row>
    <row r="1591" spans="1:9" x14ac:dyDescent="0.3">
      <c r="A1591" t="s">
        <v>9</v>
      </c>
      <c r="B1591" t="s">
        <v>1599</v>
      </c>
      <c r="C1591">
        <v>5</v>
      </c>
      <c r="D1591">
        <v>3.8E-3</v>
      </c>
      <c r="E1591">
        <v>6.2506521739187439</v>
      </c>
      <c r="F1591">
        <v>630.56078260922698</v>
      </c>
      <c r="G1591">
        <v>0.42399999999999999</v>
      </c>
      <c r="H1591">
        <v>4.0000000000000001E-3</v>
      </c>
      <c r="I1591">
        <v>493.0129</v>
      </c>
    </row>
    <row r="1592" spans="1:9" x14ac:dyDescent="0.3">
      <c r="A1592" t="s">
        <v>9</v>
      </c>
      <c r="B1592" t="s">
        <v>1600</v>
      </c>
      <c r="C1592">
        <v>5</v>
      </c>
      <c r="D1592">
        <v>3.0000000000000001E-3</v>
      </c>
      <c r="E1592">
        <v>6.2033627691037729</v>
      </c>
      <c r="F1592">
        <v>626.15341008047164</v>
      </c>
      <c r="G1592">
        <v>0.42399999999999999</v>
      </c>
      <c r="H1592">
        <v>3.2000000000000002E-3</v>
      </c>
      <c r="I1592">
        <v>493.2122</v>
      </c>
    </row>
    <row r="1593" spans="1:9" x14ac:dyDescent="0.3">
      <c r="A1593" t="s">
        <v>9</v>
      </c>
      <c r="B1593" t="s">
        <v>1601</v>
      </c>
      <c r="C1593">
        <v>5</v>
      </c>
      <c r="D1593">
        <v>1.6999999999999999E-3</v>
      </c>
      <c r="E1593">
        <v>6.1601041490141819</v>
      </c>
      <c r="F1593">
        <v>622.12170668812178</v>
      </c>
      <c r="G1593">
        <v>0.42399999999999999</v>
      </c>
      <c r="H1593">
        <v>2.5999999999999999E-3</v>
      </c>
      <c r="I1593">
        <v>493.41379999999998</v>
      </c>
    </row>
    <row r="1594" spans="1:9" x14ac:dyDescent="0.3">
      <c r="A1594" t="s">
        <v>9</v>
      </c>
      <c r="B1594" t="s">
        <v>1602</v>
      </c>
      <c r="C1594">
        <v>5</v>
      </c>
      <c r="D1594">
        <v>1.6000000000000001E-3</v>
      </c>
      <c r="E1594">
        <v>6.1219089260089037</v>
      </c>
      <c r="F1594">
        <v>618.56191190402978</v>
      </c>
      <c r="G1594">
        <v>0.42399999999999999</v>
      </c>
      <c r="H1594">
        <v>2E-3</v>
      </c>
      <c r="I1594">
        <v>493.61360000000002</v>
      </c>
    </row>
    <row r="1595" spans="1:9" x14ac:dyDescent="0.3">
      <c r="A1595" t="s">
        <v>9</v>
      </c>
      <c r="B1595" t="s">
        <v>1603</v>
      </c>
      <c r="C1595">
        <v>5</v>
      </c>
      <c r="D1595">
        <v>8.0000000000000004E-4</v>
      </c>
      <c r="E1595">
        <v>6.0887761675052108</v>
      </c>
      <c r="F1595">
        <v>615.47393881148571</v>
      </c>
      <c r="G1595">
        <v>0.42399999999999999</v>
      </c>
      <c r="H1595">
        <v>1.4E-3</v>
      </c>
      <c r="I1595">
        <v>493.81200000000001</v>
      </c>
    </row>
    <row r="1596" spans="1:9" x14ac:dyDescent="0.3">
      <c r="A1596" t="s">
        <v>9</v>
      </c>
      <c r="B1596" t="s">
        <v>1604</v>
      </c>
      <c r="C1596">
        <v>5</v>
      </c>
      <c r="D1596">
        <v>0</v>
      </c>
      <c r="E1596">
        <v>6.0601638402045559</v>
      </c>
      <c r="F1596">
        <v>612.80726990706466</v>
      </c>
      <c r="G1596">
        <v>0.42399999999999999</v>
      </c>
      <c r="H1596">
        <v>1E-3</v>
      </c>
      <c r="I1596">
        <v>494.01319999999998</v>
      </c>
    </row>
    <row r="1597" spans="1:9" x14ac:dyDescent="0.3">
      <c r="A1597" t="s">
        <v>9</v>
      </c>
      <c r="B1597" t="s">
        <v>1605</v>
      </c>
      <c r="C1597">
        <v>5</v>
      </c>
      <c r="D1597">
        <v>-8.0000000000000004E-4</v>
      </c>
      <c r="E1597">
        <v>6.0369183237504078</v>
      </c>
      <c r="F1597">
        <v>610.64078777353802</v>
      </c>
      <c r="G1597">
        <v>0.42399999999999999</v>
      </c>
      <c r="H1597">
        <v>5.9999999999999995E-4</v>
      </c>
      <c r="I1597">
        <v>494.2122</v>
      </c>
    </row>
    <row r="1598" spans="1:9" x14ac:dyDescent="0.3">
      <c r="A1598" t="s">
        <v>9</v>
      </c>
      <c r="B1598" t="s">
        <v>1606</v>
      </c>
      <c r="C1598">
        <v>5</v>
      </c>
      <c r="D1598">
        <v>-1.4E-3</v>
      </c>
      <c r="E1598">
        <v>6.0185576877734857</v>
      </c>
      <c r="F1598">
        <v>608.92957650048891</v>
      </c>
      <c r="G1598">
        <v>0.42399999999999999</v>
      </c>
      <c r="H1598">
        <v>4.0000000000000002E-4</v>
      </c>
      <c r="I1598">
        <v>494.41419999999999</v>
      </c>
    </row>
    <row r="1599" spans="1:9" x14ac:dyDescent="0.3">
      <c r="A1599" t="s">
        <v>9</v>
      </c>
      <c r="B1599" t="s">
        <v>1607</v>
      </c>
      <c r="C1599">
        <v>5</v>
      </c>
      <c r="D1599">
        <v>-1.4E-3</v>
      </c>
      <c r="E1599">
        <v>6.0056810071974436</v>
      </c>
      <c r="F1599">
        <v>607.72946987080184</v>
      </c>
      <c r="G1599">
        <v>0.42399999999999999</v>
      </c>
      <c r="H1599">
        <v>2.0000000000000001E-4</v>
      </c>
      <c r="I1599">
        <v>494.61349999999999</v>
      </c>
    </row>
    <row r="1600" spans="1:9" x14ac:dyDescent="0.3">
      <c r="A1600" t="s">
        <v>9</v>
      </c>
      <c r="B1600" t="s">
        <v>1608</v>
      </c>
      <c r="C1600">
        <v>5</v>
      </c>
      <c r="D1600">
        <v>-1.5E-3</v>
      </c>
      <c r="E1600">
        <v>5.9957334838115024</v>
      </c>
      <c r="F1600">
        <v>606.80236069123202</v>
      </c>
      <c r="G1600">
        <v>0.42399999999999999</v>
      </c>
      <c r="H1600">
        <v>0</v>
      </c>
      <c r="I1600">
        <v>494.81200000000001</v>
      </c>
    </row>
    <row r="1601" spans="1:9" x14ac:dyDescent="0.3">
      <c r="A1601" t="s">
        <v>9</v>
      </c>
      <c r="B1601" t="s">
        <v>1609</v>
      </c>
      <c r="C1601">
        <v>5</v>
      </c>
      <c r="D1601">
        <v>-2.3E-3</v>
      </c>
      <c r="E1601">
        <v>5.9957334838115024</v>
      </c>
      <c r="F1601">
        <v>606.80236069123202</v>
      </c>
      <c r="G1601">
        <v>0.42399999999999999</v>
      </c>
      <c r="H1601">
        <v>0</v>
      </c>
      <c r="I1601">
        <v>495.0145</v>
      </c>
    </row>
    <row r="1602" spans="1:9" x14ac:dyDescent="0.3">
      <c r="A1602" t="s">
        <v>9</v>
      </c>
      <c r="B1602" t="s">
        <v>1610</v>
      </c>
      <c r="C1602">
        <v>5</v>
      </c>
      <c r="D1602">
        <v>-2.3E-3</v>
      </c>
      <c r="E1602">
        <v>5.9957334838115024</v>
      </c>
      <c r="F1602">
        <v>606.80236069123202</v>
      </c>
      <c r="G1602">
        <v>0.42399999999999999</v>
      </c>
      <c r="H1602">
        <v>0</v>
      </c>
      <c r="I1602">
        <v>495.21260000000001</v>
      </c>
    </row>
    <row r="1603" spans="1:9" x14ac:dyDescent="0.3">
      <c r="A1603" t="s">
        <v>9</v>
      </c>
      <c r="B1603" t="s">
        <v>1611</v>
      </c>
      <c r="C1603">
        <v>5</v>
      </c>
      <c r="D1603">
        <v>-2.3E-3</v>
      </c>
      <c r="E1603">
        <v>5.9957334838115024</v>
      </c>
      <c r="F1603">
        <v>606.80236069123202</v>
      </c>
      <c r="G1603">
        <v>0.42399999999999999</v>
      </c>
      <c r="H1603">
        <v>0</v>
      </c>
      <c r="I1603">
        <v>495.41480000000001</v>
      </c>
    </row>
    <row r="1604" spans="1:9" x14ac:dyDescent="0.3">
      <c r="A1604" t="s">
        <v>9</v>
      </c>
      <c r="B1604" t="s">
        <v>1612</v>
      </c>
      <c r="C1604">
        <v>5</v>
      </c>
      <c r="D1604">
        <v>-3.0000000000000001E-3</v>
      </c>
      <c r="E1604">
        <v>5.9957334838115024</v>
      </c>
      <c r="F1604">
        <v>606.80236069123202</v>
      </c>
      <c r="G1604">
        <v>0.42399999999999999</v>
      </c>
      <c r="H1604">
        <v>0</v>
      </c>
      <c r="I1604">
        <v>495.61430000000001</v>
      </c>
    </row>
    <row r="1605" spans="1:9" x14ac:dyDescent="0.3">
      <c r="A1605" t="s">
        <v>9</v>
      </c>
      <c r="B1605" t="s">
        <v>1613</v>
      </c>
      <c r="C1605">
        <v>5</v>
      </c>
      <c r="D1605">
        <v>-3.0000000000000001E-3</v>
      </c>
      <c r="E1605">
        <v>5.9957334838115024</v>
      </c>
      <c r="F1605">
        <v>606.80236069123202</v>
      </c>
      <c r="G1605">
        <v>0.42399999999999999</v>
      </c>
      <c r="H1605">
        <v>0</v>
      </c>
      <c r="I1605">
        <v>495.82350000000002</v>
      </c>
    </row>
    <row r="1606" spans="1:9" x14ac:dyDescent="0.3">
      <c r="A1606" t="s">
        <v>9</v>
      </c>
      <c r="B1606" t="s">
        <v>1614</v>
      </c>
      <c r="C1606">
        <v>5</v>
      </c>
      <c r="D1606">
        <v>-3.0000000000000001E-3</v>
      </c>
      <c r="E1606">
        <v>5.9957334838115024</v>
      </c>
      <c r="F1606">
        <v>606.80236069123202</v>
      </c>
      <c r="G1606">
        <v>0.42399999999999999</v>
      </c>
      <c r="H1606">
        <v>0</v>
      </c>
      <c r="I1606">
        <v>496.01220000000001</v>
      </c>
    </row>
    <row r="1607" spans="1:9" x14ac:dyDescent="0.3">
      <c r="A1607" t="s">
        <v>9</v>
      </c>
      <c r="B1607" t="s">
        <v>1615</v>
      </c>
      <c r="C1607">
        <v>5</v>
      </c>
      <c r="D1607">
        <v>-3.0000000000000001E-3</v>
      </c>
      <c r="E1607">
        <v>5.9957334838115024</v>
      </c>
      <c r="F1607">
        <v>606.80236069123202</v>
      </c>
      <c r="G1607">
        <v>0.42399999999999999</v>
      </c>
      <c r="H1607">
        <v>0</v>
      </c>
      <c r="I1607">
        <v>496.21539999999999</v>
      </c>
    </row>
    <row r="1608" spans="1:9" x14ac:dyDescent="0.3">
      <c r="A1608" t="s">
        <v>9</v>
      </c>
      <c r="B1608" t="s">
        <v>1616</v>
      </c>
      <c r="C1608">
        <v>5</v>
      </c>
      <c r="D1608">
        <v>-3.0000000000000001E-3</v>
      </c>
      <c r="E1608">
        <v>5.9957334838115024</v>
      </c>
      <c r="F1608">
        <v>606.80236069123202</v>
      </c>
      <c r="G1608">
        <v>0.42399999999999999</v>
      </c>
      <c r="H1608">
        <v>0</v>
      </c>
      <c r="I1608">
        <v>496.41269999999997</v>
      </c>
    </row>
    <row r="1609" spans="1:9" x14ac:dyDescent="0.3">
      <c r="A1609" t="s">
        <v>9</v>
      </c>
      <c r="B1609" t="s">
        <v>1617</v>
      </c>
      <c r="C1609">
        <v>5</v>
      </c>
      <c r="D1609">
        <v>-3.0000000000000001E-3</v>
      </c>
      <c r="E1609">
        <v>5.9957334838115024</v>
      </c>
      <c r="F1609">
        <v>606.80236069123202</v>
      </c>
      <c r="G1609">
        <v>0.42399999999999999</v>
      </c>
      <c r="H1609">
        <v>0</v>
      </c>
      <c r="I1609">
        <v>496.6148</v>
      </c>
    </row>
    <row r="1610" spans="1:9" x14ac:dyDescent="0.3">
      <c r="A1610" t="s">
        <v>9</v>
      </c>
      <c r="B1610" t="s">
        <v>1618</v>
      </c>
      <c r="C1610">
        <v>5</v>
      </c>
      <c r="D1610">
        <v>-3.0000000000000001E-3</v>
      </c>
      <c r="E1610">
        <v>5.9957334838115024</v>
      </c>
      <c r="F1610">
        <v>606.80236069123202</v>
      </c>
      <c r="G1610">
        <v>0.42399999999999999</v>
      </c>
      <c r="H1610">
        <v>0</v>
      </c>
      <c r="I1610">
        <v>496.81220000000002</v>
      </c>
    </row>
    <row r="1611" spans="1:9" x14ac:dyDescent="0.3">
      <c r="A1611" t="s">
        <v>9</v>
      </c>
      <c r="B1611" t="s">
        <v>1619</v>
      </c>
      <c r="C1611">
        <v>5</v>
      </c>
      <c r="D1611">
        <v>-3.0000000000000001E-3</v>
      </c>
      <c r="E1611">
        <v>5.9957334838115024</v>
      </c>
      <c r="F1611">
        <v>606.80236069123202</v>
      </c>
      <c r="G1611">
        <v>0.42399999999999999</v>
      </c>
      <c r="H1611">
        <v>0</v>
      </c>
      <c r="I1611">
        <v>497.01319999999998</v>
      </c>
    </row>
    <row r="1612" spans="1:9" x14ac:dyDescent="0.3">
      <c r="A1612" t="s">
        <v>9</v>
      </c>
      <c r="B1612" t="s">
        <v>1620</v>
      </c>
      <c r="C1612">
        <v>5</v>
      </c>
      <c r="D1612">
        <v>-3.0000000000000001E-3</v>
      </c>
      <c r="E1612">
        <v>5.9957334838115024</v>
      </c>
      <c r="F1612">
        <v>606.80236069123202</v>
      </c>
      <c r="G1612">
        <v>0.42399999999999999</v>
      </c>
      <c r="H1612">
        <v>0</v>
      </c>
      <c r="I1612">
        <v>497.21460000000002</v>
      </c>
    </row>
    <row r="1613" spans="1:9" x14ac:dyDescent="0.3">
      <c r="A1613" t="s">
        <v>9</v>
      </c>
      <c r="B1613" t="s">
        <v>1621</v>
      </c>
      <c r="C1613">
        <v>5</v>
      </c>
      <c r="D1613">
        <v>-3.0000000000000001E-3</v>
      </c>
      <c r="E1613">
        <v>5.9957334838115024</v>
      </c>
      <c r="F1613">
        <v>606.80236069123202</v>
      </c>
      <c r="G1613">
        <v>0.42399999999999999</v>
      </c>
      <c r="H1613">
        <v>0</v>
      </c>
      <c r="I1613">
        <v>497.41230000000002</v>
      </c>
    </row>
    <row r="1614" spans="1:9" x14ac:dyDescent="0.3">
      <c r="A1614" t="s">
        <v>9</v>
      </c>
      <c r="B1614" t="s">
        <v>1622</v>
      </c>
      <c r="C1614">
        <v>5</v>
      </c>
      <c r="D1614">
        <v>-3.0000000000000001E-3</v>
      </c>
      <c r="E1614">
        <v>5.9957334838115024</v>
      </c>
      <c r="F1614">
        <v>606.80236069123202</v>
      </c>
      <c r="G1614">
        <v>0.42399999999999999</v>
      </c>
      <c r="H1614">
        <v>0</v>
      </c>
      <c r="I1614">
        <v>497.61200000000002</v>
      </c>
    </row>
    <row r="1615" spans="1:9" x14ac:dyDescent="0.3">
      <c r="A1615" t="s">
        <v>9</v>
      </c>
      <c r="B1615" t="s">
        <v>1623</v>
      </c>
      <c r="C1615">
        <v>5</v>
      </c>
      <c r="D1615">
        <v>-3.0000000000000001E-3</v>
      </c>
      <c r="E1615">
        <v>5.9957334838115024</v>
      </c>
      <c r="F1615">
        <v>606.80236069123202</v>
      </c>
      <c r="G1615">
        <v>0.42399999999999999</v>
      </c>
      <c r="H1615">
        <v>0</v>
      </c>
      <c r="I1615">
        <v>497.81400000000002</v>
      </c>
    </row>
    <row r="1616" spans="1:9" x14ac:dyDescent="0.3">
      <c r="A1616" t="s">
        <v>9</v>
      </c>
      <c r="B1616" t="s">
        <v>1624</v>
      </c>
      <c r="C1616">
        <v>5</v>
      </c>
      <c r="D1616">
        <v>-3.0000000000000001E-3</v>
      </c>
      <c r="E1616">
        <v>5.9957334838115024</v>
      </c>
      <c r="F1616">
        <v>606.80236069123202</v>
      </c>
      <c r="G1616">
        <v>0.42399999999999999</v>
      </c>
      <c r="H1616">
        <v>0</v>
      </c>
      <c r="I1616">
        <v>498.01249999999999</v>
      </c>
    </row>
    <row r="1617" spans="1:9" x14ac:dyDescent="0.3">
      <c r="A1617" t="s">
        <v>9</v>
      </c>
      <c r="B1617" t="s">
        <v>1625</v>
      </c>
      <c r="C1617">
        <v>5</v>
      </c>
      <c r="D1617">
        <v>-3.0000000000000001E-3</v>
      </c>
      <c r="E1617">
        <v>5.9957334838115024</v>
      </c>
      <c r="F1617">
        <v>606.80236069123202</v>
      </c>
      <c r="G1617">
        <v>0.42399999999999999</v>
      </c>
      <c r="H1617">
        <v>0</v>
      </c>
      <c r="I1617">
        <v>498.2149</v>
      </c>
    </row>
    <row r="1618" spans="1:9" x14ac:dyDescent="0.3">
      <c r="A1618" t="s">
        <v>9</v>
      </c>
      <c r="B1618" t="s">
        <v>1626</v>
      </c>
      <c r="C1618">
        <v>5</v>
      </c>
      <c r="D1618">
        <v>-3.0000000000000001E-3</v>
      </c>
      <c r="E1618">
        <v>5.9957334838115024</v>
      </c>
      <c r="F1618">
        <v>606.80236069123202</v>
      </c>
      <c r="G1618">
        <v>0.42399999999999999</v>
      </c>
      <c r="H1618">
        <v>0</v>
      </c>
      <c r="I1618">
        <v>498.41309999999999</v>
      </c>
    </row>
    <row r="1619" spans="1:9" x14ac:dyDescent="0.3">
      <c r="A1619" t="s">
        <v>9</v>
      </c>
      <c r="B1619" t="s">
        <v>1627</v>
      </c>
      <c r="C1619">
        <v>5</v>
      </c>
      <c r="D1619">
        <v>-3.0000000000000001E-3</v>
      </c>
      <c r="E1619">
        <v>5.9957334838115024</v>
      </c>
      <c r="F1619">
        <v>606.80236069123202</v>
      </c>
      <c r="G1619">
        <v>0.42399999999999999</v>
      </c>
      <c r="H1619">
        <v>0</v>
      </c>
      <c r="I1619">
        <v>498.61360000000002</v>
      </c>
    </row>
    <row r="1620" spans="1:9" x14ac:dyDescent="0.3">
      <c r="A1620" t="s">
        <v>9</v>
      </c>
      <c r="B1620" t="s">
        <v>1628</v>
      </c>
      <c r="C1620">
        <v>5</v>
      </c>
      <c r="D1620">
        <v>-3.0000000000000001E-3</v>
      </c>
      <c r="E1620">
        <v>5.9957334838115024</v>
      </c>
      <c r="F1620">
        <v>606.80236069123202</v>
      </c>
      <c r="G1620">
        <v>0.42399999999999999</v>
      </c>
      <c r="H1620">
        <v>0</v>
      </c>
      <c r="I1620">
        <v>498.81220000000002</v>
      </c>
    </row>
    <row r="1621" spans="1:9" x14ac:dyDescent="0.3">
      <c r="A1621" t="s">
        <v>9</v>
      </c>
      <c r="B1621" t="s">
        <v>1629</v>
      </c>
      <c r="C1621">
        <v>5</v>
      </c>
      <c r="D1621">
        <v>-3.0000000000000001E-3</v>
      </c>
      <c r="E1621">
        <v>6.9348840239340346</v>
      </c>
      <c r="F1621">
        <v>798.12049387134005</v>
      </c>
      <c r="G1621">
        <v>0.42399999999999999</v>
      </c>
      <c r="H1621">
        <v>1.46E-2</v>
      </c>
      <c r="I1621">
        <v>499.0129</v>
      </c>
    </row>
    <row r="1622" spans="1:9" x14ac:dyDescent="0.3">
      <c r="A1622" t="s">
        <v>9</v>
      </c>
      <c r="B1622" t="s">
        <v>1630</v>
      </c>
      <c r="C1622">
        <v>5</v>
      </c>
      <c r="D1622">
        <v>5.0000000000000001E-3</v>
      </c>
      <c r="E1622">
        <v>7.0174808485259739</v>
      </c>
      <c r="F1622">
        <v>805.95893252511496</v>
      </c>
      <c r="G1622">
        <v>0.42399999999999999</v>
      </c>
      <c r="H1622">
        <v>1.5900000000000001E-2</v>
      </c>
      <c r="I1622">
        <v>499.21530000000001</v>
      </c>
    </row>
    <row r="1623" spans="1:9" x14ac:dyDescent="0.3">
      <c r="A1623" t="s">
        <v>9</v>
      </c>
      <c r="B1623" t="s">
        <v>1631</v>
      </c>
      <c r="C1623">
        <v>5</v>
      </c>
      <c r="D1623">
        <v>1.23E-2</v>
      </c>
      <c r="E1623">
        <v>7.1000922700649118</v>
      </c>
      <c r="F1623">
        <v>813.79875642916022</v>
      </c>
      <c r="G1623">
        <v>0.42399999999999999</v>
      </c>
      <c r="H1623">
        <v>1.72E-2</v>
      </c>
      <c r="I1623">
        <v>499.41449999999998</v>
      </c>
    </row>
    <row r="1624" spans="1:9" x14ac:dyDescent="0.3">
      <c r="A1624" t="s">
        <v>9</v>
      </c>
      <c r="B1624" t="s">
        <v>1632</v>
      </c>
      <c r="C1624">
        <v>5</v>
      </c>
      <c r="D1624">
        <v>1.6E-2</v>
      </c>
      <c r="E1624">
        <v>7.1840194441874816</v>
      </c>
      <c r="F1624">
        <v>821.76344525339209</v>
      </c>
      <c r="G1624">
        <v>0.42399999999999999</v>
      </c>
      <c r="H1624">
        <v>1.8499999999999999E-2</v>
      </c>
      <c r="I1624">
        <v>499.61450000000002</v>
      </c>
    </row>
    <row r="1625" spans="1:9" x14ac:dyDescent="0.3">
      <c r="A1625" t="s">
        <v>9</v>
      </c>
      <c r="B1625" t="s">
        <v>1633</v>
      </c>
      <c r="C1625">
        <v>5</v>
      </c>
      <c r="D1625">
        <v>1.7999999999999999E-2</v>
      </c>
      <c r="E1625">
        <v>7.2686732218939802</v>
      </c>
      <c r="F1625">
        <v>829.79708875773872</v>
      </c>
      <c r="G1625">
        <v>0.42399999999999999</v>
      </c>
      <c r="H1625">
        <v>1.9800000000000002E-2</v>
      </c>
      <c r="I1625">
        <v>499.81470000000002</v>
      </c>
    </row>
    <row r="1626" spans="1:9" x14ac:dyDescent="0.3">
      <c r="A1626" t="s">
        <v>9</v>
      </c>
      <c r="B1626" t="s">
        <v>1634</v>
      </c>
      <c r="C1626">
        <v>5</v>
      </c>
      <c r="D1626">
        <v>1.9699999999999999E-2</v>
      </c>
      <c r="E1626">
        <v>7.3536173166574574</v>
      </c>
      <c r="F1626">
        <v>837.8582833507927</v>
      </c>
      <c r="G1626">
        <v>0.42399999999999999</v>
      </c>
      <c r="H1626">
        <v>2.1100000000000001E-2</v>
      </c>
      <c r="I1626">
        <v>500.01479999999998</v>
      </c>
    </row>
    <row r="1627" spans="1:9" x14ac:dyDescent="0.3">
      <c r="A1627" t="s">
        <v>9</v>
      </c>
      <c r="B1627" t="s">
        <v>1635</v>
      </c>
      <c r="C1627">
        <v>5</v>
      </c>
      <c r="D1627">
        <v>2.0899999999999998E-2</v>
      </c>
      <c r="E1627">
        <v>7.4384953196886867</v>
      </c>
      <c r="F1627">
        <v>845.91320583845641</v>
      </c>
      <c r="G1627">
        <v>0.42399999999999999</v>
      </c>
      <c r="H1627">
        <v>2.24E-2</v>
      </c>
      <c r="I1627">
        <v>500.2149</v>
      </c>
    </row>
    <row r="1628" spans="1:9" x14ac:dyDescent="0.3">
      <c r="A1628" t="s">
        <v>9</v>
      </c>
      <c r="B1628" t="s">
        <v>1636</v>
      </c>
      <c r="C1628">
        <v>5</v>
      </c>
      <c r="D1628">
        <v>2.2499999999999999E-2</v>
      </c>
      <c r="E1628">
        <v>7.522604550177987</v>
      </c>
      <c r="F1628">
        <v>853.89517181189103</v>
      </c>
      <c r="G1628">
        <v>0.42399999999999999</v>
      </c>
      <c r="H1628">
        <v>2.3699999999999999E-2</v>
      </c>
      <c r="I1628">
        <v>500.41399999999999</v>
      </c>
    </row>
    <row r="1629" spans="1:9" x14ac:dyDescent="0.3">
      <c r="A1629" t="s">
        <v>9</v>
      </c>
      <c r="B1629" t="s">
        <v>1637</v>
      </c>
      <c r="C1629">
        <v>5</v>
      </c>
      <c r="D1629">
        <v>2.3400000000000001E-2</v>
      </c>
      <c r="E1629">
        <v>7.6059470354791072</v>
      </c>
      <c r="F1629">
        <v>861.80437366696731</v>
      </c>
      <c r="G1629">
        <v>0.42399999999999999</v>
      </c>
      <c r="H1629">
        <v>2.5000000000000001E-2</v>
      </c>
      <c r="I1629">
        <v>500.61290000000002</v>
      </c>
    </row>
    <row r="1630" spans="1:9" x14ac:dyDescent="0.3">
      <c r="A1630" t="s">
        <v>9</v>
      </c>
      <c r="B1630" t="s">
        <v>1638</v>
      </c>
      <c r="C1630">
        <v>5</v>
      </c>
      <c r="D1630">
        <v>2.46E-2</v>
      </c>
      <c r="E1630">
        <v>7.6884595221550551</v>
      </c>
      <c r="F1630">
        <v>869.63480865251472</v>
      </c>
      <c r="G1630">
        <v>0.42399999999999999</v>
      </c>
      <c r="H1630">
        <v>2.63E-2</v>
      </c>
      <c r="I1630">
        <v>500.81220000000002</v>
      </c>
    </row>
    <row r="1631" spans="1:9" x14ac:dyDescent="0.3">
      <c r="A1631" t="s">
        <v>9</v>
      </c>
      <c r="B1631" t="s">
        <v>1639</v>
      </c>
      <c r="C1631">
        <v>5</v>
      </c>
      <c r="D1631">
        <v>2.6200000000000001E-2</v>
      </c>
      <c r="E1631">
        <v>7.7706338462255324</v>
      </c>
      <c r="F1631">
        <v>877.43315200680308</v>
      </c>
      <c r="G1631">
        <v>0.42399999999999999</v>
      </c>
      <c r="H1631">
        <v>2.76E-2</v>
      </c>
      <c r="I1631">
        <v>501.01400000000001</v>
      </c>
    </row>
    <row r="1632" spans="1:9" x14ac:dyDescent="0.3">
      <c r="A1632" t="s">
        <v>9</v>
      </c>
      <c r="B1632" t="s">
        <v>1640</v>
      </c>
      <c r="C1632">
        <v>5</v>
      </c>
      <c r="D1632">
        <v>2.7699999999999999E-2</v>
      </c>
      <c r="E1632">
        <v>7.8498818878935293</v>
      </c>
      <c r="F1632">
        <v>884.95379116109598</v>
      </c>
      <c r="G1632">
        <v>0.42399999999999999</v>
      </c>
      <c r="H1632">
        <v>2.8799999999999999E-2</v>
      </c>
      <c r="I1632">
        <v>501.21269999999998</v>
      </c>
    </row>
    <row r="1633" spans="1:9" x14ac:dyDescent="0.3">
      <c r="A1633" t="s">
        <v>9</v>
      </c>
      <c r="B1633" t="s">
        <v>1641</v>
      </c>
      <c r="C1633">
        <v>5</v>
      </c>
      <c r="D1633">
        <v>2.8899999999999999E-2</v>
      </c>
      <c r="E1633">
        <v>7.9277310554741529</v>
      </c>
      <c r="F1633">
        <v>892.34167716449713</v>
      </c>
      <c r="G1633">
        <v>0.42399999999999999</v>
      </c>
      <c r="H1633">
        <v>0.03</v>
      </c>
      <c r="I1633">
        <v>501.41289999999998</v>
      </c>
    </row>
    <row r="1634" spans="1:9" x14ac:dyDescent="0.3">
      <c r="A1634" t="s">
        <v>9</v>
      </c>
      <c r="B1634" t="s">
        <v>1642</v>
      </c>
      <c r="C1634">
        <v>5</v>
      </c>
      <c r="D1634">
        <v>2.9399999999999999E-2</v>
      </c>
      <c r="E1634">
        <v>8.0030513019872576</v>
      </c>
      <c r="F1634">
        <v>899.4895685585908</v>
      </c>
      <c r="G1634">
        <v>0.42399999999999999</v>
      </c>
      <c r="H1634">
        <v>3.1199999999999999E-2</v>
      </c>
      <c r="I1634">
        <v>501.61239999999998</v>
      </c>
    </row>
    <row r="1635" spans="1:9" x14ac:dyDescent="0.3">
      <c r="A1635" t="s">
        <v>9</v>
      </c>
      <c r="B1635" t="s">
        <v>1643</v>
      </c>
      <c r="C1635">
        <v>5</v>
      </c>
      <c r="D1635">
        <v>3.09E-2</v>
      </c>
      <c r="E1635">
        <v>8.0764561046775381</v>
      </c>
      <c r="F1635">
        <v>906.45568433389838</v>
      </c>
      <c r="G1635">
        <v>0.42399999999999999</v>
      </c>
      <c r="H1635">
        <v>3.2300000000000002E-2</v>
      </c>
      <c r="I1635">
        <v>501.81380000000001</v>
      </c>
    </row>
    <row r="1636" spans="1:9" x14ac:dyDescent="0.3">
      <c r="A1636" t="s">
        <v>9</v>
      </c>
      <c r="B1636" t="s">
        <v>1644</v>
      </c>
      <c r="C1636">
        <v>5</v>
      </c>
      <c r="D1636">
        <v>3.2000000000000001E-2</v>
      </c>
      <c r="E1636">
        <v>8.1467606780136048</v>
      </c>
      <c r="F1636">
        <v>913.1275883434912</v>
      </c>
      <c r="G1636">
        <v>0.42399999999999999</v>
      </c>
      <c r="H1636">
        <v>3.3399999999999999E-2</v>
      </c>
      <c r="I1636">
        <v>502.01459999999997</v>
      </c>
    </row>
    <row r="1637" spans="1:9" x14ac:dyDescent="0.3">
      <c r="A1637" t="s">
        <v>9</v>
      </c>
      <c r="B1637" t="s">
        <v>1645</v>
      </c>
      <c r="C1637">
        <v>5</v>
      </c>
      <c r="D1637">
        <v>3.2899999999999999E-2</v>
      </c>
      <c r="E1637">
        <v>8.2131236701892796</v>
      </c>
      <c r="F1637">
        <v>919.4254363009627</v>
      </c>
      <c r="G1637">
        <v>0.42399999999999999</v>
      </c>
      <c r="H1637">
        <v>3.4500000000000003E-2</v>
      </c>
      <c r="I1637">
        <v>502.2131</v>
      </c>
    </row>
    <row r="1638" spans="1:9" x14ac:dyDescent="0.3">
      <c r="A1638" t="s">
        <v>9</v>
      </c>
      <c r="B1638" t="s">
        <v>1646</v>
      </c>
      <c r="C1638">
        <v>5</v>
      </c>
      <c r="D1638">
        <v>3.4000000000000002E-2</v>
      </c>
      <c r="E1638">
        <v>8.2766001160959686</v>
      </c>
      <c r="F1638">
        <v>925.44935101750741</v>
      </c>
      <c r="G1638">
        <v>0.42399999999999999</v>
      </c>
      <c r="H1638">
        <v>3.5400000000000001E-2</v>
      </c>
      <c r="I1638">
        <v>502.41320000000002</v>
      </c>
    </row>
    <row r="1639" spans="1:9" x14ac:dyDescent="0.3">
      <c r="A1639" t="s">
        <v>9</v>
      </c>
      <c r="B1639" t="s">
        <v>1647</v>
      </c>
      <c r="C1639">
        <v>5</v>
      </c>
      <c r="D1639">
        <v>3.5200000000000002E-2</v>
      </c>
      <c r="E1639">
        <v>8.3367857613959586</v>
      </c>
      <c r="F1639">
        <v>931.16096875647656</v>
      </c>
      <c r="G1639">
        <v>0.42399999999999999</v>
      </c>
      <c r="H1639">
        <v>3.6400000000000002E-2</v>
      </c>
      <c r="I1639">
        <v>502.6146</v>
      </c>
    </row>
    <row r="1640" spans="1:9" x14ac:dyDescent="0.3">
      <c r="A1640" t="s">
        <v>9</v>
      </c>
      <c r="B1640" t="s">
        <v>1648</v>
      </c>
      <c r="C1640">
        <v>5</v>
      </c>
      <c r="D1640">
        <v>3.61E-2</v>
      </c>
      <c r="E1640">
        <v>8.3929345399093211</v>
      </c>
      <c r="F1640">
        <v>936.48948783739468</v>
      </c>
      <c r="G1640">
        <v>0.42399999999999999</v>
      </c>
      <c r="H1640">
        <v>3.7199999999999997E-2</v>
      </c>
      <c r="I1640">
        <v>502.81569999999999</v>
      </c>
    </row>
    <row r="1641" spans="1:9" x14ac:dyDescent="0.3">
      <c r="A1641" t="s">
        <v>9</v>
      </c>
      <c r="B1641" t="s">
        <v>1649</v>
      </c>
      <c r="C1641">
        <v>5</v>
      </c>
      <c r="D1641">
        <v>3.6600000000000001E-2</v>
      </c>
      <c r="E1641">
        <v>8.4442132092448769</v>
      </c>
      <c r="F1641">
        <v>941.35583355733888</v>
      </c>
      <c r="G1641">
        <v>0.42399999999999999</v>
      </c>
      <c r="H1641">
        <v>3.7999999999999999E-2</v>
      </c>
      <c r="I1641">
        <v>503.01389999999998</v>
      </c>
    </row>
    <row r="1642" spans="1:9" x14ac:dyDescent="0.3">
      <c r="A1642" t="s">
        <v>9</v>
      </c>
      <c r="B1642" t="s">
        <v>1650</v>
      </c>
      <c r="C1642">
        <v>5</v>
      </c>
      <c r="D1642">
        <v>3.7999999999999999E-2</v>
      </c>
      <c r="E1642">
        <v>8.4917980400482698</v>
      </c>
      <c r="F1642">
        <v>945.8716340005808</v>
      </c>
      <c r="G1642">
        <v>0.42399999999999999</v>
      </c>
      <c r="H1642">
        <v>3.8800000000000001E-2</v>
      </c>
      <c r="I1642">
        <v>503.21469999999999</v>
      </c>
    </row>
    <row r="1643" spans="1:9" x14ac:dyDescent="0.3">
      <c r="A1643" t="s">
        <v>9</v>
      </c>
      <c r="B1643" t="s">
        <v>1651</v>
      </c>
      <c r="C1643">
        <v>5</v>
      </c>
      <c r="D1643">
        <v>3.8800000000000001E-2</v>
      </c>
      <c r="E1643">
        <v>8.5348124045580818</v>
      </c>
      <c r="F1643">
        <v>949.953697192562</v>
      </c>
      <c r="G1643">
        <v>0.42399999999999999</v>
      </c>
      <c r="H1643">
        <v>3.95E-2</v>
      </c>
      <c r="I1643">
        <v>503.4153</v>
      </c>
    </row>
    <row r="1644" spans="1:9" x14ac:dyDescent="0.3">
      <c r="A1644" t="s">
        <v>9</v>
      </c>
      <c r="B1644" t="s">
        <v>1652</v>
      </c>
      <c r="C1644">
        <v>5</v>
      </c>
      <c r="D1644">
        <v>3.9199999999999999E-2</v>
      </c>
      <c r="E1644">
        <v>8.5725536219646266</v>
      </c>
      <c r="F1644">
        <v>953.53533872444314</v>
      </c>
      <c r="G1644">
        <v>0.42399999999999999</v>
      </c>
      <c r="H1644">
        <v>0.04</v>
      </c>
      <c r="I1644">
        <v>503.61279999999999</v>
      </c>
    </row>
    <row r="1645" spans="1:9" x14ac:dyDescent="0.3">
      <c r="A1645" t="s">
        <v>9</v>
      </c>
      <c r="B1645" t="s">
        <v>1653</v>
      </c>
      <c r="C1645">
        <v>5</v>
      </c>
      <c r="D1645">
        <v>3.9800000000000002E-2</v>
      </c>
      <c r="E1645">
        <v>8.6059238646865737</v>
      </c>
      <c r="F1645">
        <v>956.70217475875586</v>
      </c>
      <c r="G1645">
        <v>0.42399999999999999</v>
      </c>
      <c r="H1645">
        <v>4.0599999999999997E-2</v>
      </c>
      <c r="I1645">
        <v>503.81259999999997</v>
      </c>
    </row>
    <row r="1646" spans="1:9" x14ac:dyDescent="0.3">
      <c r="A1646" t="s">
        <v>9</v>
      </c>
      <c r="B1646" t="s">
        <v>1654</v>
      </c>
      <c r="C1646">
        <v>5</v>
      </c>
      <c r="D1646">
        <v>4.1300000000000003E-2</v>
      </c>
      <c r="E1646">
        <v>8.6349661126234132</v>
      </c>
      <c r="F1646">
        <v>959.45828408796194</v>
      </c>
      <c r="G1646">
        <v>0.42399999999999999</v>
      </c>
      <c r="H1646">
        <v>4.1000000000000002E-2</v>
      </c>
      <c r="I1646">
        <v>504.0172</v>
      </c>
    </row>
    <row r="1647" spans="1:9" x14ac:dyDescent="0.3">
      <c r="A1647" t="s">
        <v>9</v>
      </c>
      <c r="B1647" t="s">
        <v>1655</v>
      </c>
      <c r="C1647">
        <v>5</v>
      </c>
      <c r="D1647">
        <v>4.2000000000000003E-2</v>
      </c>
      <c r="E1647">
        <v>8.6578715607595687</v>
      </c>
      <c r="F1647">
        <v>961.63201111608316</v>
      </c>
      <c r="G1647">
        <v>0.42399999999999999</v>
      </c>
      <c r="H1647">
        <v>4.1399999999999999E-2</v>
      </c>
      <c r="I1647">
        <v>504.21390000000002</v>
      </c>
    </row>
    <row r="1648" spans="1:9" x14ac:dyDescent="0.3">
      <c r="A1648" t="s">
        <v>9</v>
      </c>
      <c r="B1648" t="s">
        <v>1656</v>
      </c>
      <c r="C1648">
        <v>5</v>
      </c>
      <c r="D1648">
        <v>4.2799999999999998E-2</v>
      </c>
      <c r="E1648">
        <v>8.6759478522636631</v>
      </c>
      <c r="F1648">
        <v>963.34745117982163</v>
      </c>
      <c r="G1648">
        <v>0.42399999999999999</v>
      </c>
      <c r="H1648">
        <v>4.1599999999999998E-2</v>
      </c>
      <c r="I1648">
        <v>504.41289999999998</v>
      </c>
    </row>
    <row r="1649" spans="1:9" x14ac:dyDescent="0.3">
      <c r="A1649" t="s">
        <v>9</v>
      </c>
      <c r="B1649" t="s">
        <v>1657</v>
      </c>
      <c r="C1649">
        <v>5</v>
      </c>
      <c r="D1649">
        <v>4.3200000000000002E-2</v>
      </c>
      <c r="E1649">
        <v>8.6889484609197218</v>
      </c>
      <c r="F1649">
        <v>964.5812089412816</v>
      </c>
      <c r="G1649">
        <v>0.42399999999999999</v>
      </c>
      <c r="H1649">
        <v>4.1799999999999997E-2</v>
      </c>
      <c r="I1649">
        <v>504.61399999999998</v>
      </c>
    </row>
    <row r="1650" spans="1:9" x14ac:dyDescent="0.3">
      <c r="A1650" t="s">
        <v>9</v>
      </c>
      <c r="B1650" t="s">
        <v>1658</v>
      </c>
      <c r="C1650">
        <v>5</v>
      </c>
      <c r="D1650">
        <v>4.3299999999999998E-2</v>
      </c>
      <c r="E1650">
        <v>8.6965733383727759</v>
      </c>
      <c r="F1650">
        <v>965.30480981157643</v>
      </c>
      <c r="G1650">
        <v>0.42399999999999999</v>
      </c>
      <c r="H1650">
        <v>4.2000000000000003E-2</v>
      </c>
      <c r="I1650">
        <v>504.8143</v>
      </c>
    </row>
    <row r="1651" spans="1:9" x14ac:dyDescent="0.3">
      <c r="A1651" t="s">
        <v>9</v>
      </c>
      <c r="B1651" t="s">
        <v>1659</v>
      </c>
      <c r="C1651">
        <v>5</v>
      </c>
      <c r="D1651">
        <v>4.3299999999999998E-2</v>
      </c>
      <c r="E1651">
        <v>8.6988581660488151</v>
      </c>
      <c r="F1651">
        <v>965.52163995803255</v>
      </c>
      <c r="G1651">
        <v>0.42399999999999999</v>
      </c>
      <c r="H1651">
        <v>4.2000000000000003E-2</v>
      </c>
      <c r="I1651">
        <v>505.01440000000002</v>
      </c>
    </row>
    <row r="1652" spans="1:9" x14ac:dyDescent="0.3">
      <c r="A1652" t="s">
        <v>9</v>
      </c>
      <c r="B1652" t="s">
        <v>1660</v>
      </c>
      <c r="C1652">
        <v>5</v>
      </c>
      <c r="D1652">
        <v>4.3299999999999998E-2</v>
      </c>
      <c r="E1652">
        <v>8.6958536277915908</v>
      </c>
      <c r="F1652">
        <v>858.45355811017623</v>
      </c>
      <c r="G1652">
        <v>0.42399999999999999</v>
      </c>
      <c r="H1652">
        <v>4.2000000000000003E-2</v>
      </c>
      <c r="I1652">
        <v>505.21269999999998</v>
      </c>
    </row>
    <row r="1653" spans="1:9" x14ac:dyDescent="0.3">
      <c r="A1653" t="s">
        <v>9</v>
      </c>
      <c r="B1653" t="s">
        <v>1661</v>
      </c>
      <c r="C1653">
        <v>5</v>
      </c>
      <c r="D1653">
        <v>4.24E-2</v>
      </c>
      <c r="E1653">
        <v>8.6874676817408574</v>
      </c>
      <c r="F1653">
        <v>857.67198793824798</v>
      </c>
      <c r="G1653">
        <v>0.42399999999999999</v>
      </c>
      <c r="H1653">
        <v>4.1799999999999997E-2</v>
      </c>
      <c r="I1653">
        <v>505.41379999999998</v>
      </c>
    </row>
    <row r="1654" spans="1:9" x14ac:dyDescent="0.3">
      <c r="A1654" t="s">
        <v>9</v>
      </c>
      <c r="B1654" t="s">
        <v>1662</v>
      </c>
      <c r="C1654">
        <v>5</v>
      </c>
      <c r="D1654">
        <v>4.2000000000000003E-2</v>
      </c>
      <c r="E1654">
        <v>8.6737931806983593</v>
      </c>
      <c r="F1654">
        <v>856.39752444108706</v>
      </c>
      <c r="G1654">
        <v>0.42399999999999999</v>
      </c>
      <c r="H1654">
        <v>4.1599999999999998E-2</v>
      </c>
      <c r="I1654">
        <v>505.61410000000001</v>
      </c>
    </row>
    <row r="1655" spans="1:9" x14ac:dyDescent="0.3">
      <c r="A1655" t="s">
        <v>9</v>
      </c>
      <c r="B1655" t="s">
        <v>1663</v>
      </c>
      <c r="C1655">
        <v>5</v>
      </c>
      <c r="D1655">
        <v>4.1799999999999997E-2</v>
      </c>
      <c r="E1655">
        <v>8.6548654006193431</v>
      </c>
      <c r="F1655">
        <v>854.63345533772281</v>
      </c>
      <c r="G1655">
        <v>0.42399999999999999</v>
      </c>
      <c r="H1655">
        <v>4.1300000000000003E-2</v>
      </c>
      <c r="I1655">
        <v>505.81450000000001</v>
      </c>
    </row>
    <row r="1656" spans="1:9" x14ac:dyDescent="0.3">
      <c r="A1656" t="s">
        <v>9</v>
      </c>
      <c r="B1656" t="s">
        <v>1664</v>
      </c>
      <c r="C1656">
        <v>5</v>
      </c>
      <c r="D1656">
        <v>4.1700000000000001E-2</v>
      </c>
      <c r="E1656">
        <v>8.6308882932910365</v>
      </c>
      <c r="F1656">
        <v>852.39878893472462</v>
      </c>
      <c r="G1656">
        <v>0.42399999999999999</v>
      </c>
      <c r="H1656">
        <v>4.0899999999999999E-2</v>
      </c>
      <c r="I1656">
        <v>506.01389999999998</v>
      </c>
    </row>
    <row r="1657" spans="1:9" x14ac:dyDescent="0.3">
      <c r="A1657" t="s">
        <v>9</v>
      </c>
      <c r="B1657" t="s">
        <v>1665</v>
      </c>
      <c r="C1657">
        <v>5</v>
      </c>
      <c r="D1657">
        <v>4.1500000000000002E-2</v>
      </c>
      <c r="E1657">
        <v>8.601769005911704</v>
      </c>
      <c r="F1657">
        <v>849.68487135097087</v>
      </c>
      <c r="G1657">
        <v>0.42399999999999999</v>
      </c>
      <c r="H1657">
        <v>4.0500000000000001E-2</v>
      </c>
      <c r="I1657">
        <v>506.21390000000002</v>
      </c>
    </row>
    <row r="1658" spans="1:9" x14ac:dyDescent="0.3">
      <c r="A1658" t="s">
        <v>9</v>
      </c>
      <c r="B1658" t="s">
        <v>1666</v>
      </c>
      <c r="C1658">
        <v>5</v>
      </c>
      <c r="D1658">
        <v>4.1500000000000002E-2</v>
      </c>
      <c r="E1658">
        <v>8.5675274065480878</v>
      </c>
      <c r="F1658">
        <v>846.49355429028185</v>
      </c>
      <c r="G1658">
        <v>0.42399999999999999</v>
      </c>
      <c r="H1658">
        <v>0.04</v>
      </c>
      <c r="I1658">
        <v>506.41489999999999</v>
      </c>
    </row>
    <row r="1659" spans="1:9" x14ac:dyDescent="0.3">
      <c r="A1659" t="s">
        <v>9</v>
      </c>
      <c r="B1659" t="s">
        <v>1667</v>
      </c>
      <c r="C1659">
        <v>5</v>
      </c>
      <c r="D1659">
        <v>4.1300000000000003E-2</v>
      </c>
      <c r="E1659">
        <v>8.528553558061656</v>
      </c>
      <c r="F1659">
        <v>842.86119161134638</v>
      </c>
      <c r="G1659">
        <v>0.42399999999999999</v>
      </c>
      <c r="H1659">
        <v>3.9399999999999998E-2</v>
      </c>
      <c r="I1659">
        <v>506.61529999999999</v>
      </c>
    </row>
    <row r="1660" spans="1:9" x14ac:dyDescent="0.3">
      <c r="A1660" t="s">
        <v>9</v>
      </c>
      <c r="B1660" t="s">
        <v>1668</v>
      </c>
      <c r="C1660">
        <v>5</v>
      </c>
      <c r="D1660">
        <v>4.1099999999999998E-2</v>
      </c>
      <c r="E1660">
        <v>8.4852910454528665</v>
      </c>
      <c r="F1660">
        <v>838.82912543620716</v>
      </c>
      <c r="G1660">
        <v>0.42399999999999999</v>
      </c>
      <c r="H1660">
        <v>3.8699999999999998E-2</v>
      </c>
      <c r="I1660">
        <v>506.81389999999999</v>
      </c>
    </row>
    <row r="1661" spans="1:9" x14ac:dyDescent="0.3">
      <c r="A1661" t="s">
        <v>9</v>
      </c>
      <c r="B1661" t="s">
        <v>1669</v>
      </c>
      <c r="C1661">
        <v>5</v>
      </c>
      <c r="D1661">
        <v>4.0300000000000002E-2</v>
      </c>
      <c r="E1661">
        <v>8.4372314084012636</v>
      </c>
      <c r="F1661">
        <v>834.34996726299778</v>
      </c>
      <c r="G1661">
        <v>0.42399999999999999</v>
      </c>
      <c r="H1661">
        <v>3.7900000000000003E-2</v>
      </c>
      <c r="I1661">
        <v>507.01400000000001</v>
      </c>
    </row>
    <row r="1662" spans="1:9" x14ac:dyDescent="0.3">
      <c r="A1662" t="s">
        <v>9</v>
      </c>
      <c r="B1662" t="s">
        <v>1670</v>
      </c>
      <c r="C1662">
        <v>5</v>
      </c>
      <c r="D1662">
        <v>3.9899999999999998E-2</v>
      </c>
      <c r="E1662">
        <v>8.3851693695767793</v>
      </c>
      <c r="F1662">
        <v>829.49778524455587</v>
      </c>
      <c r="G1662">
        <v>0.42399999999999999</v>
      </c>
      <c r="H1662">
        <v>3.7100000000000001E-2</v>
      </c>
      <c r="I1662">
        <v>507.21300000000002</v>
      </c>
    </row>
    <row r="1663" spans="1:9" x14ac:dyDescent="0.3">
      <c r="A1663" t="s">
        <v>9</v>
      </c>
      <c r="B1663" t="s">
        <v>1671</v>
      </c>
      <c r="C1663">
        <v>5</v>
      </c>
      <c r="D1663">
        <v>3.9100000000000003E-2</v>
      </c>
      <c r="E1663">
        <v>8.3281451797142516</v>
      </c>
      <c r="F1663">
        <v>824.18313074936827</v>
      </c>
      <c r="G1663">
        <v>0.42399999999999999</v>
      </c>
      <c r="H1663">
        <v>3.6200000000000003E-2</v>
      </c>
      <c r="I1663">
        <v>507.4151</v>
      </c>
    </row>
    <row r="1664" spans="1:9" x14ac:dyDescent="0.3">
      <c r="A1664" t="s">
        <v>9</v>
      </c>
      <c r="B1664" t="s">
        <v>1672</v>
      </c>
      <c r="C1664">
        <v>5</v>
      </c>
      <c r="D1664">
        <v>3.8399999999999997E-2</v>
      </c>
      <c r="E1664">
        <v>8.2678634378465166</v>
      </c>
      <c r="F1664">
        <v>818.56487240729541</v>
      </c>
      <c r="G1664">
        <v>0.42399999999999999</v>
      </c>
      <c r="H1664">
        <v>3.5299999999999998E-2</v>
      </c>
      <c r="I1664">
        <v>507.61500000000001</v>
      </c>
    </row>
    <row r="1665" spans="1:9" x14ac:dyDescent="0.3">
      <c r="A1665" t="s">
        <v>9</v>
      </c>
      <c r="B1665" t="s">
        <v>1673</v>
      </c>
      <c r="C1665">
        <v>5</v>
      </c>
      <c r="D1665">
        <v>3.78E-2</v>
      </c>
      <c r="E1665">
        <v>8.2044956581008197</v>
      </c>
      <c r="F1665">
        <v>812.65899533499646</v>
      </c>
      <c r="G1665">
        <v>0.42399999999999999</v>
      </c>
      <c r="H1665">
        <v>3.4299999999999997E-2</v>
      </c>
      <c r="I1665">
        <v>507.81319999999999</v>
      </c>
    </row>
    <row r="1666" spans="1:9" x14ac:dyDescent="0.3">
      <c r="A1666" t="s">
        <v>9</v>
      </c>
      <c r="B1666" t="s">
        <v>1674</v>
      </c>
      <c r="C1666">
        <v>5</v>
      </c>
      <c r="D1666">
        <v>3.78E-2</v>
      </c>
      <c r="E1666">
        <v>8.1365999864902836</v>
      </c>
      <c r="F1666">
        <v>806.33111874089445</v>
      </c>
      <c r="G1666">
        <v>0.42399999999999999</v>
      </c>
      <c r="H1666">
        <v>3.3300000000000003E-2</v>
      </c>
      <c r="I1666">
        <v>508.01490000000001</v>
      </c>
    </row>
    <row r="1667" spans="1:9" x14ac:dyDescent="0.3">
      <c r="A1667" t="s">
        <v>9</v>
      </c>
      <c r="B1667" t="s">
        <v>1675</v>
      </c>
      <c r="C1667">
        <v>5</v>
      </c>
      <c r="D1667">
        <v>3.61E-2</v>
      </c>
      <c r="E1667">
        <v>8.0664965266462012</v>
      </c>
      <c r="F1667">
        <v>799.79747628342602</v>
      </c>
      <c r="G1667">
        <v>0.42399999999999999</v>
      </c>
      <c r="H1667">
        <v>3.2199999999999999E-2</v>
      </c>
      <c r="I1667">
        <v>508.214</v>
      </c>
    </row>
    <row r="1668" spans="1:9" x14ac:dyDescent="0.3">
      <c r="A1668" t="s">
        <v>9</v>
      </c>
      <c r="B1668" t="s">
        <v>1676</v>
      </c>
      <c r="C1668">
        <v>5</v>
      </c>
      <c r="D1668">
        <v>3.49E-2</v>
      </c>
      <c r="E1668">
        <v>7.9930382018169253</v>
      </c>
      <c r="F1668">
        <v>792.95116040933749</v>
      </c>
      <c r="G1668">
        <v>0.42399999999999999</v>
      </c>
      <c r="H1668">
        <v>3.1E-2</v>
      </c>
      <c r="I1668">
        <v>508.41449999999998</v>
      </c>
    </row>
    <row r="1669" spans="1:9" x14ac:dyDescent="0.3">
      <c r="A1669" t="s">
        <v>9</v>
      </c>
      <c r="B1669" t="s">
        <v>1677</v>
      </c>
      <c r="C1669">
        <v>5</v>
      </c>
      <c r="D1669">
        <v>3.3000000000000002E-2</v>
      </c>
      <c r="E1669">
        <v>7.9169252599876421</v>
      </c>
      <c r="F1669">
        <v>785.8574342308483</v>
      </c>
      <c r="G1669">
        <v>0.42399999999999999</v>
      </c>
      <c r="H1669">
        <v>2.9899999999999999E-2</v>
      </c>
      <c r="I1669">
        <v>508.61520000000002</v>
      </c>
    </row>
    <row r="1670" spans="1:9" x14ac:dyDescent="0.3">
      <c r="A1670" t="s">
        <v>9</v>
      </c>
      <c r="B1670" t="s">
        <v>1678</v>
      </c>
      <c r="C1670">
        <v>5</v>
      </c>
      <c r="D1670">
        <v>3.1699999999999999E-2</v>
      </c>
      <c r="E1670">
        <v>7.8389897271372764</v>
      </c>
      <c r="F1670">
        <v>778.59384256919418</v>
      </c>
      <c r="G1670">
        <v>0.42399999999999999</v>
      </c>
      <c r="H1670">
        <v>2.86E-2</v>
      </c>
      <c r="I1670">
        <v>508.81479999999999</v>
      </c>
    </row>
    <row r="1671" spans="1:9" x14ac:dyDescent="0.3">
      <c r="A1671" t="s">
        <v>9</v>
      </c>
      <c r="B1671" t="s">
        <v>1679</v>
      </c>
      <c r="C1671">
        <v>5</v>
      </c>
      <c r="D1671">
        <v>3.0099999999999998E-2</v>
      </c>
      <c r="E1671">
        <v>7.7571754610927641</v>
      </c>
      <c r="F1671">
        <v>770.96875297384565</v>
      </c>
      <c r="G1671">
        <v>0.42399999999999999</v>
      </c>
      <c r="H1671">
        <v>2.7400000000000001E-2</v>
      </c>
      <c r="I1671">
        <v>509.01920000000001</v>
      </c>
    </row>
    <row r="1672" spans="1:9" x14ac:dyDescent="0.3">
      <c r="A1672" t="s">
        <v>9</v>
      </c>
      <c r="B1672" t="s">
        <v>1680</v>
      </c>
      <c r="C1672">
        <v>5</v>
      </c>
      <c r="D1672">
        <v>2.8899999999999999E-2</v>
      </c>
      <c r="E1672">
        <v>7.6778925489402727</v>
      </c>
      <c r="F1672">
        <v>763.57958556123344</v>
      </c>
      <c r="G1672">
        <v>0.42399999999999999</v>
      </c>
      <c r="H1672">
        <v>2.6100000000000002E-2</v>
      </c>
      <c r="I1672">
        <v>509.21339999999998</v>
      </c>
    </row>
    <row r="1673" spans="1:9" x14ac:dyDescent="0.3">
      <c r="A1673" t="s">
        <v>9</v>
      </c>
      <c r="B1673" t="s">
        <v>1681</v>
      </c>
      <c r="C1673">
        <v>5</v>
      </c>
      <c r="D1673">
        <v>2.8299999999999999E-2</v>
      </c>
      <c r="E1673">
        <v>7.5944811336116569</v>
      </c>
      <c r="F1673">
        <v>755.80564165260648</v>
      </c>
      <c r="G1673">
        <v>0.42399999999999999</v>
      </c>
      <c r="H1673">
        <v>2.4799999999999999E-2</v>
      </c>
      <c r="I1673">
        <v>509.41460000000001</v>
      </c>
    </row>
    <row r="1674" spans="1:9" x14ac:dyDescent="0.3">
      <c r="A1674" t="s">
        <v>9</v>
      </c>
      <c r="B1674" t="s">
        <v>1682</v>
      </c>
      <c r="C1674">
        <v>5</v>
      </c>
      <c r="D1674">
        <v>2.6499999999999999E-2</v>
      </c>
      <c r="E1674">
        <v>7.5105332804808409</v>
      </c>
      <c r="F1674">
        <v>747.9817017408144</v>
      </c>
      <c r="G1674">
        <v>0.42399999999999999</v>
      </c>
      <c r="H1674">
        <v>2.35E-2</v>
      </c>
      <c r="I1674">
        <v>509.6146</v>
      </c>
    </row>
    <row r="1675" spans="1:9" x14ac:dyDescent="0.3">
      <c r="A1675" t="s">
        <v>9</v>
      </c>
      <c r="B1675" t="s">
        <v>1683</v>
      </c>
      <c r="C1675">
        <v>5</v>
      </c>
      <c r="D1675">
        <v>2.5100000000000001E-2</v>
      </c>
      <c r="E1675">
        <v>7.4258377392870951</v>
      </c>
      <c r="F1675">
        <v>740.08807730155729</v>
      </c>
      <c r="G1675">
        <v>0.42399999999999999</v>
      </c>
      <c r="H1675">
        <v>2.2200000000000001E-2</v>
      </c>
      <c r="I1675">
        <v>509.81490000000002</v>
      </c>
    </row>
    <row r="1676" spans="1:9" x14ac:dyDescent="0.3">
      <c r="A1676" t="s">
        <v>9</v>
      </c>
      <c r="B1676" t="s">
        <v>1684</v>
      </c>
      <c r="C1676">
        <v>5</v>
      </c>
      <c r="D1676">
        <v>2.35E-2</v>
      </c>
      <c r="E1676">
        <v>7.3409552760776151</v>
      </c>
      <c r="F1676">
        <v>732.17703173043378</v>
      </c>
      <c r="G1676">
        <v>0.42399999999999999</v>
      </c>
      <c r="H1676">
        <v>2.0899999999999998E-2</v>
      </c>
      <c r="I1676">
        <v>510.01490000000001</v>
      </c>
    </row>
    <row r="1677" spans="1:9" x14ac:dyDescent="0.3">
      <c r="A1677" t="s">
        <v>9</v>
      </c>
      <c r="B1677" t="s">
        <v>1685</v>
      </c>
      <c r="C1677">
        <v>5</v>
      </c>
      <c r="D1677">
        <v>2.2100000000000002E-2</v>
      </c>
      <c r="E1677">
        <v>7.2564681468493477</v>
      </c>
      <c r="F1677">
        <v>724.30283128635926</v>
      </c>
      <c r="G1677">
        <v>0.42399999999999999</v>
      </c>
      <c r="H1677">
        <v>1.9599999999999999E-2</v>
      </c>
      <c r="I1677">
        <v>510.21409999999997</v>
      </c>
    </row>
    <row r="1678" spans="1:9" x14ac:dyDescent="0.3">
      <c r="A1678" t="s">
        <v>9</v>
      </c>
      <c r="B1678" t="s">
        <v>1686</v>
      </c>
      <c r="C1678">
        <v>5</v>
      </c>
      <c r="D1678">
        <v>2.01E-2</v>
      </c>
      <c r="E1678">
        <v>7.1715187809661236</v>
      </c>
      <c r="F1678">
        <v>716.38555038604284</v>
      </c>
      <c r="G1678">
        <v>0.42399999999999999</v>
      </c>
      <c r="H1678">
        <v>1.83E-2</v>
      </c>
      <c r="I1678">
        <v>510.4151</v>
      </c>
    </row>
    <row r="1679" spans="1:9" x14ac:dyDescent="0.3">
      <c r="A1679" t="s">
        <v>9</v>
      </c>
      <c r="B1679" t="s">
        <v>1687</v>
      </c>
      <c r="C1679">
        <v>5</v>
      </c>
      <c r="D1679">
        <v>1.9E-2</v>
      </c>
      <c r="E1679">
        <v>7.0878166431097878</v>
      </c>
      <c r="F1679">
        <v>708.58451113783224</v>
      </c>
      <c r="G1679">
        <v>0.42399999999999999</v>
      </c>
      <c r="H1679">
        <v>1.7000000000000001E-2</v>
      </c>
      <c r="I1679">
        <v>510.61489999999998</v>
      </c>
    </row>
    <row r="1680" spans="1:9" x14ac:dyDescent="0.3">
      <c r="A1680" t="s">
        <v>9</v>
      </c>
      <c r="B1680" t="s">
        <v>1688</v>
      </c>
      <c r="C1680">
        <v>5</v>
      </c>
      <c r="D1680">
        <v>1.7500000000000002E-2</v>
      </c>
      <c r="E1680">
        <v>7.0052161692810992</v>
      </c>
      <c r="F1680">
        <v>700.88614697699848</v>
      </c>
      <c r="G1680">
        <v>0.42399999999999999</v>
      </c>
      <c r="H1680">
        <v>1.5699999999999999E-2</v>
      </c>
      <c r="I1680">
        <v>510.81450000000001</v>
      </c>
    </row>
    <row r="1681" spans="1:9" x14ac:dyDescent="0.3">
      <c r="A1681" t="s">
        <v>9</v>
      </c>
      <c r="B1681" t="s">
        <v>1689</v>
      </c>
      <c r="C1681">
        <v>5</v>
      </c>
      <c r="D1681">
        <v>1.6299999999999999E-2</v>
      </c>
      <c r="E1681">
        <v>6.9243519212037503</v>
      </c>
      <c r="F1681">
        <v>693.3495990561895</v>
      </c>
      <c r="G1681">
        <v>0.42399999999999999</v>
      </c>
      <c r="H1681">
        <v>1.44E-2</v>
      </c>
      <c r="I1681">
        <v>511.01310000000001</v>
      </c>
    </row>
    <row r="1682" spans="1:9" x14ac:dyDescent="0.3">
      <c r="A1682" t="s">
        <v>9</v>
      </c>
      <c r="B1682" t="s">
        <v>1690</v>
      </c>
      <c r="C1682">
        <v>5</v>
      </c>
      <c r="D1682">
        <v>1.4500000000000001E-2</v>
      </c>
      <c r="E1682">
        <v>6.8443679501245729</v>
      </c>
      <c r="F1682">
        <v>685.8950929516102</v>
      </c>
      <c r="G1682">
        <v>0.42399999999999999</v>
      </c>
      <c r="H1682">
        <v>1.32E-2</v>
      </c>
      <c r="I1682">
        <v>511.21370000000002</v>
      </c>
    </row>
    <row r="1683" spans="1:9" x14ac:dyDescent="0.3">
      <c r="A1683" t="s">
        <v>9</v>
      </c>
      <c r="B1683" t="s">
        <v>1691</v>
      </c>
      <c r="C1683">
        <v>5</v>
      </c>
      <c r="D1683">
        <v>1.2999999999999999E-2</v>
      </c>
      <c r="E1683">
        <v>6.7658023157287621</v>
      </c>
      <c r="F1683">
        <v>678.57277582592064</v>
      </c>
      <c r="G1683">
        <v>0.42399999999999999</v>
      </c>
      <c r="H1683">
        <v>1.2E-2</v>
      </c>
      <c r="I1683">
        <v>511.41570000000002</v>
      </c>
    </row>
    <row r="1684" spans="1:9" x14ac:dyDescent="0.3">
      <c r="A1684" t="s">
        <v>9</v>
      </c>
      <c r="B1684" t="s">
        <v>1692</v>
      </c>
      <c r="C1684">
        <v>5</v>
      </c>
      <c r="D1684">
        <v>1.14E-2</v>
      </c>
      <c r="E1684">
        <v>6.6913631571553278</v>
      </c>
      <c r="F1684">
        <v>671.63504624687653</v>
      </c>
      <c r="G1684">
        <v>0.42399999999999999</v>
      </c>
      <c r="H1684">
        <v>1.0800000000000001E-2</v>
      </c>
      <c r="I1684">
        <v>511.61290000000002</v>
      </c>
    </row>
    <row r="1685" spans="1:9" x14ac:dyDescent="0.3">
      <c r="A1685" t="s">
        <v>9</v>
      </c>
      <c r="B1685" t="s">
        <v>1693</v>
      </c>
      <c r="C1685">
        <v>5</v>
      </c>
      <c r="D1685">
        <v>1.0500000000000001E-2</v>
      </c>
      <c r="E1685">
        <v>6.6177572409730647</v>
      </c>
      <c r="F1685">
        <v>664.77497485868969</v>
      </c>
      <c r="G1685">
        <v>0.42399999999999999</v>
      </c>
      <c r="H1685">
        <v>9.7000000000000003E-3</v>
      </c>
      <c r="I1685">
        <v>511.81490000000002</v>
      </c>
    </row>
    <row r="1686" spans="1:9" x14ac:dyDescent="0.3">
      <c r="A1686" t="s">
        <v>9</v>
      </c>
      <c r="B1686" t="s">
        <v>1694</v>
      </c>
      <c r="C1686">
        <v>5</v>
      </c>
      <c r="D1686">
        <v>9.4999999999999998E-3</v>
      </c>
      <c r="E1686">
        <v>6.5475690377422406</v>
      </c>
      <c r="F1686">
        <v>658.23343431757689</v>
      </c>
      <c r="G1686">
        <v>0.42399999999999999</v>
      </c>
      <c r="H1686">
        <v>8.6E-3</v>
      </c>
      <c r="I1686">
        <v>512.0154</v>
      </c>
    </row>
    <row r="1687" spans="1:9" x14ac:dyDescent="0.3">
      <c r="A1687" t="s">
        <v>9</v>
      </c>
      <c r="B1687" t="s">
        <v>1695</v>
      </c>
      <c r="C1687">
        <v>5</v>
      </c>
      <c r="D1687">
        <v>7.1999999999999998E-3</v>
      </c>
      <c r="E1687">
        <v>6.357769315002713</v>
      </c>
      <c r="F1687">
        <v>640.54410015825283</v>
      </c>
      <c r="G1687">
        <v>0.42399999999999999</v>
      </c>
      <c r="H1687">
        <v>5.5999999999999999E-3</v>
      </c>
      <c r="I1687">
        <v>512.61469999999997</v>
      </c>
    </row>
    <row r="1688" spans="1:9" x14ac:dyDescent="0.3">
      <c r="A1688" t="s">
        <v>9</v>
      </c>
      <c r="B1688" t="s">
        <v>1696</v>
      </c>
      <c r="C1688">
        <v>5</v>
      </c>
      <c r="D1688">
        <v>6.7000000000000002E-3</v>
      </c>
      <c r="E1688">
        <v>6.301872496013381</v>
      </c>
      <c r="F1688">
        <v>635.33451662844709</v>
      </c>
      <c r="G1688">
        <v>0.42399999999999999</v>
      </c>
      <c r="H1688">
        <v>4.7999999999999996E-3</v>
      </c>
      <c r="I1688">
        <v>512.81489999999997</v>
      </c>
    </row>
    <row r="1689" spans="1:9" x14ac:dyDescent="0.3">
      <c r="A1689" t="s">
        <v>9</v>
      </c>
      <c r="B1689" t="s">
        <v>1697</v>
      </c>
      <c r="C1689">
        <v>5</v>
      </c>
      <c r="D1689">
        <v>4.3E-3</v>
      </c>
      <c r="E1689">
        <v>6.2504212177795644</v>
      </c>
      <c r="F1689">
        <v>630.53925749705547</v>
      </c>
      <c r="G1689">
        <v>0.42399999999999999</v>
      </c>
      <c r="H1689">
        <v>4.0000000000000001E-3</v>
      </c>
      <c r="I1689">
        <v>513.01379999999995</v>
      </c>
    </row>
    <row r="1690" spans="1:9" x14ac:dyDescent="0.3">
      <c r="A1690" t="s">
        <v>9</v>
      </c>
      <c r="B1690" t="s">
        <v>1698</v>
      </c>
      <c r="C1690">
        <v>5</v>
      </c>
      <c r="D1690">
        <v>3.2000000000000002E-3</v>
      </c>
      <c r="E1690">
        <v>6.2026256232803396</v>
      </c>
      <c r="F1690">
        <v>626.08470808972766</v>
      </c>
      <c r="G1690">
        <v>0.42399999999999999</v>
      </c>
      <c r="H1690">
        <v>3.2000000000000002E-3</v>
      </c>
      <c r="I1690">
        <v>513.21550000000002</v>
      </c>
    </row>
    <row r="1691" spans="1:9" x14ac:dyDescent="0.3">
      <c r="A1691" t="s">
        <v>9</v>
      </c>
      <c r="B1691" t="s">
        <v>1699</v>
      </c>
      <c r="C1691">
        <v>5</v>
      </c>
      <c r="D1691">
        <v>2.2000000000000001E-3</v>
      </c>
      <c r="E1691">
        <v>6.1600335160095394</v>
      </c>
      <c r="F1691">
        <v>622.11512369208913</v>
      </c>
      <c r="G1691">
        <v>0.42399999999999999</v>
      </c>
      <c r="H1691">
        <v>2.5999999999999999E-3</v>
      </c>
      <c r="I1691">
        <v>513.41409999999996</v>
      </c>
    </row>
    <row r="1692" spans="1:9" x14ac:dyDescent="0.3">
      <c r="A1692" t="s">
        <v>9</v>
      </c>
      <c r="B1692" t="s">
        <v>1700</v>
      </c>
      <c r="C1692">
        <v>5</v>
      </c>
      <c r="D1692">
        <v>1.8E-3</v>
      </c>
      <c r="E1692">
        <v>6.1216726176558254</v>
      </c>
      <c r="F1692">
        <v>618.53988796552289</v>
      </c>
      <c r="G1692">
        <v>0.42399999999999999</v>
      </c>
      <c r="H1692">
        <v>2E-3</v>
      </c>
      <c r="I1692">
        <v>513.61490000000003</v>
      </c>
    </row>
    <row r="1693" spans="1:9" x14ac:dyDescent="0.3">
      <c r="A1693" t="s">
        <v>9</v>
      </c>
      <c r="B1693" t="s">
        <v>1701</v>
      </c>
      <c r="C1693">
        <v>5</v>
      </c>
      <c r="D1693">
        <v>1E-3</v>
      </c>
      <c r="E1693">
        <v>6.0882718024393334</v>
      </c>
      <c r="F1693">
        <v>615.42693198734582</v>
      </c>
      <c r="G1693">
        <v>0.42399999999999999</v>
      </c>
      <c r="H1693">
        <v>1.4E-3</v>
      </c>
      <c r="I1693">
        <v>513.8152</v>
      </c>
    </row>
    <row r="1694" spans="1:9" x14ac:dyDescent="0.3">
      <c r="A1694" t="s">
        <v>9</v>
      </c>
      <c r="B1694" t="s">
        <v>1702</v>
      </c>
      <c r="C1694">
        <v>5</v>
      </c>
      <c r="D1694">
        <v>2.9999999999999997E-4</v>
      </c>
      <c r="E1694">
        <v>6.0596792621112749</v>
      </c>
      <c r="F1694">
        <v>612.76210722877079</v>
      </c>
      <c r="G1694">
        <v>0.42399999999999999</v>
      </c>
      <c r="H1694">
        <v>1E-3</v>
      </c>
      <c r="I1694">
        <v>514.01689999999996</v>
      </c>
    </row>
    <row r="1695" spans="1:9" x14ac:dyDescent="0.3">
      <c r="A1695" t="s">
        <v>9</v>
      </c>
      <c r="B1695" t="s">
        <v>1703</v>
      </c>
      <c r="C1695">
        <v>5</v>
      </c>
      <c r="D1695">
        <v>2.9999999999999997E-4</v>
      </c>
      <c r="E1695">
        <v>6.0367055732479038</v>
      </c>
      <c r="F1695">
        <v>610.62095942670464</v>
      </c>
      <c r="G1695">
        <v>0.42399999999999999</v>
      </c>
      <c r="H1695">
        <v>5.9999999999999995E-4</v>
      </c>
      <c r="I1695">
        <v>514.21420000000001</v>
      </c>
    </row>
    <row r="1696" spans="1:9" x14ac:dyDescent="0.3">
      <c r="A1696" t="s">
        <v>9</v>
      </c>
      <c r="B1696" t="s">
        <v>1704</v>
      </c>
      <c r="C1696">
        <v>5</v>
      </c>
      <c r="D1696">
        <v>-4.0000000000000002E-4</v>
      </c>
      <c r="E1696">
        <v>6.0185646172686038</v>
      </c>
      <c r="F1696">
        <v>608.93022232943395</v>
      </c>
      <c r="G1696">
        <v>0.42399999999999999</v>
      </c>
      <c r="H1696">
        <v>4.0000000000000002E-4</v>
      </c>
      <c r="I1696">
        <v>514.41409999999996</v>
      </c>
    </row>
    <row r="1697" spans="1:9" x14ac:dyDescent="0.3">
      <c r="A1697" t="s">
        <v>9</v>
      </c>
      <c r="B1697" t="s">
        <v>1705</v>
      </c>
      <c r="C1697">
        <v>5</v>
      </c>
      <c r="D1697">
        <v>-8.0000000000000004E-4</v>
      </c>
      <c r="E1697">
        <v>6.0056456420386333</v>
      </c>
      <c r="F1697">
        <v>607.72617383800059</v>
      </c>
      <c r="G1697">
        <v>0.42399999999999999</v>
      </c>
      <c r="H1697">
        <v>2.0000000000000001E-4</v>
      </c>
      <c r="I1697">
        <v>514.61429999999996</v>
      </c>
    </row>
    <row r="1698" spans="1:9" x14ac:dyDescent="0.3">
      <c r="A1698" t="s">
        <v>9</v>
      </c>
      <c r="B1698" t="s">
        <v>1706</v>
      </c>
      <c r="C1698">
        <v>5</v>
      </c>
      <c r="D1698">
        <v>-1.5E-3</v>
      </c>
      <c r="E1698">
        <v>5.998017998869595</v>
      </c>
      <c r="F1698">
        <v>607.01527749464628</v>
      </c>
      <c r="G1698">
        <v>0.42399999999999999</v>
      </c>
      <c r="H1698">
        <v>0</v>
      </c>
      <c r="I1698">
        <v>514.81489999999997</v>
      </c>
    </row>
    <row r="1699" spans="1:9" x14ac:dyDescent="0.3">
      <c r="A1699" t="s">
        <v>9</v>
      </c>
      <c r="B1699" t="s">
        <v>1707</v>
      </c>
      <c r="C1699">
        <v>5</v>
      </c>
      <c r="D1699">
        <v>-1.6000000000000001E-3</v>
      </c>
      <c r="E1699">
        <v>5.9957483873754844</v>
      </c>
      <c r="F1699">
        <v>606.80374970339506</v>
      </c>
      <c r="G1699">
        <v>0.42399999999999999</v>
      </c>
      <c r="H1699">
        <v>0</v>
      </c>
      <c r="I1699">
        <v>515.01499999999999</v>
      </c>
    </row>
    <row r="1700" spans="1:9" x14ac:dyDescent="0.3">
      <c r="A1700" t="s">
        <v>9</v>
      </c>
      <c r="B1700" t="s">
        <v>1708</v>
      </c>
      <c r="C1700">
        <v>5</v>
      </c>
      <c r="D1700">
        <v>-1.6000000000000001E-3</v>
      </c>
      <c r="E1700">
        <v>5.9987675269587903</v>
      </c>
      <c r="F1700">
        <v>709.28303830838922</v>
      </c>
      <c r="G1700">
        <v>0.42399999999999999</v>
      </c>
      <c r="H1700">
        <v>0</v>
      </c>
      <c r="I1700">
        <v>515.2133</v>
      </c>
    </row>
    <row r="1701" spans="1:9" x14ac:dyDescent="0.3">
      <c r="A1701" t="s">
        <v>9</v>
      </c>
      <c r="B1701" t="s">
        <v>1709</v>
      </c>
      <c r="C1701">
        <v>5</v>
      </c>
      <c r="D1701">
        <v>-1E-3</v>
      </c>
      <c r="E1701">
        <v>6.0070991005983636</v>
      </c>
      <c r="F1701">
        <v>710.07370464678479</v>
      </c>
      <c r="G1701">
        <v>0.42399999999999999</v>
      </c>
      <c r="H1701">
        <v>2.0000000000000001E-4</v>
      </c>
      <c r="I1701">
        <v>515.41309999999999</v>
      </c>
    </row>
    <row r="1702" spans="1:9" x14ac:dyDescent="0.3">
      <c r="A1702" t="s">
        <v>9</v>
      </c>
      <c r="B1702" t="s">
        <v>1710</v>
      </c>
      <c r="C1702">
        <v>5</v>
      </c>
      <c r="D1702">
        <v>-5.0000000000000001E-4</v>
      </c>
      <c r="E1702">
        <v>6.0207748545454809</v>
      </c>
      <c r="F1702">
        <v>711.37153369636621</v>
      </c>
      <c r="G1702">
        <v>0.42399999999999999</v>
      </c>
      <c r="H1702">
        <v>4.0000000000000002E-4</v>
      </c>
      <c r="I1702">
        <v>515.61360000000002</v>
      </c>
    </row>
    <row r="1703" spans="1:9" x14ac:dyDescent="0.3">
      <c r="A1703" t="s">
        <v>9</v>
      </c>
      <c r="B1703" t="s">
        <v>1711</v>
      </c>
      <c r="C1703">
        <v>5</v>
      </c>
      <c r="D1703">
        <v>-2.0000000000000001E-4</v>
      </c>
      <c r="E1703">
        <v>6.039763917473647</v>
      </c>
      <c r="F1703">
        <v>713.17359576824913</v>
      </c>
      <c r="G1703">
        <v>0.42399999999999999</v>
      </c>
      <c r="H1703">
        <v>6.9999999999999999E-4</v>
      </c>
      <c r="I1703">
        <v>515.81470000000002</v>
      </c>
    </row>
    <row r="1704" spans="1:9" x14ac:dyDescent="0.3">
      <c r="A1704" t="s">
        <v>9</v>
      </c>
      <c r="B1704" t="s">
        <v>1712</v>
      </c>
      <c r="C1704">
        <v>5</v>
      </c>
      <c r="D1704">
        <v>-1E-4</v>
      </c>
      <c r="E1704">
        <v>6.0637145070149048</v>
      </c>
      <c r="F1704">
        <v>715.44650671571446</v>
      </c>
      <c r="G1704">
        <v>0.42399999999999999</v>
      </c>
      <c r="H1704">
        <v>1.1000000000000001E-3</v>
      </c>
      <c r="I1704">
        <v>516.01390000000004</v>
      </c>
    </row>
    <row r="1705" spans="1:9" x14ac:dyDescent="0.3">
      <c r="A1705" t="s">
        <v>9</v>
      </c>
      <c r="B1705" t="s">
        <v>1713</v>
      </c>
      <c r="C1705">
        <v>5</v>
      </c>
      <c r="D1705">
        <v>5.9999999999999995E-4</v>
      </c>
      <c r="E1705">
        <v>6.0929789934698011</v>
      </c>
      <c r="F1705">
        <v>718.22370648028414</v>
      </c>
      <c r="G1705">
        <v>0.42399999999999999</v>
      </c>
      <c r="H1705">
        <v>1.5E-3</v>
      </c>
      <c r="I1705">
        <v>516.21479999999997</v>
      </c>
    </row>
    <row r="1706" spans="1:9" x14ac:dyDescent="0.3">
      <c r="A1706" t="s">
        <v>9</v>
      </c>
      <c r="B1706" t="s">
        <v>1714</v>
      </c>
      <c r="C1706">
        <v>5</v>
      </c>
      <c r="D1706">
        <v>8.9999999999999998E-4</v>
      </c>
      <c r="E1706">
        <v>6.1269587398230909</v>
      </c>
      <c r="F1706">
        <v>721.44838440921137</v>
      </c>
      <c r="G1706">
        <v>0.42399999999999999</v>
      </c>
      <c r="H1706">
        <v>2E-3</v>
      </c>
      <c r="I1706">
        <v>516.41420000000005</v>
      </c>
    </row>
    <row r="1707" spans="1:9" x14ac:dyDescent="0.3">
      <c r="A1707" t="s">
        <v>9</v>
      </c>
      <c r="B1707" t="s">
        <v>1715</v>
      </c>
      <c r="C1707">
        <v>5</v>
      </c>
      <c r="D1707">
        <v>1.4E-3</v>
      </c>
      <c r="E1707">
        <v>6.1656069547502277</v>
      </c>
      <c r="F1707">
        <v>725.11610000579662</v>
      </c>
      <c r="G1707">
        <v>0.42399999999999999</v>
      </c>
      <c r="H1707">
        <v>2.5999999999999999E-3</v>
      </c>
      <c r="I1707">
        <v>516.61310000000003</v>
      </c>
    </row>
    <row r="1708" spans="1:9" x14ac:dyDescent="0.3">
      <c r="A1708" t="s">
        <v>9</v>
      </c>
      <c r="B1708" t="s">
        <v>1716</v>
      </c>
      <c r="C1708">
        <v>5</v>
      </c>
      <c r="D1708">
        <v>1.8E-3</v>
      </c>
      <c r="E1708">
        <v>6.209343422118649</v>
      </c>
      <c r="F1708">
        <v>729.26669075905977</v>
      </c>
      <c r="G1708">
        <v>0.42399999999999999</v>
      </c>
      <c r="H1708">
        <v>3.3E-3</v>
      </c>
      <c r="I1708">
        <v>516.81399999999996</v>
      </c>
    </row>
    <row r="1709" spans="1:9" x14ac:dyDescent="0.3">
      <c r="A1709" t="s">
        <v>9</v>
      </c>
      <c r="B1709" t="s">
        <v>1717</v>
      </c>
      <c r="C1709">
        <v>5</v>
      </c>
      <c r="D1709">
        <v>3.0000000000000001E-3</v>
      </c>
      <c r="E1709">
        <v>6.2575032104454902</v>
      </c>
      <c r="F1709">
        <v>733.83705467127709</v>
      </c>
      <c r="G1709">
        <v>0.42399999999999999</v>
      </c>
      <c r="H1709">
        <v>4.1000000000000003E-3</v>
      </c>
      <c r="I1709">
        <v>517.0145</v>
      </c>
    </row>
    <row r="1710" spans="1:9" x14ac:dyDescent="0.3">
      <c r="A1710" t="s">
        <v>9</v>
      </c>
      <c r="B1710" t="s">
        <v>1718</v>
      </c>
      <c r="C1710">
        <v>6</v>
      </c>
      <c r="D1710">
        <v>3.8999999999999998E-3</v>
      </c>
      <c r="E1710">
        <v>6.3102895416706346</v>
      </c>
      <c r="F1710">
        <v>738.84647750454326</v>
      </c>
      <c r="G1710">
        <v>0.42399999999999999</v>
      </c>
      <c r="H1710">
        <v>4.8999999999999998E-3</v>
      </c>
      <c r="I1710">
        <v>517.21609999999998</v>
      </c>
    </row>
    <row r="1711" spans="1:9" x14ac:dyDescent="0.3">
      <c r="A1711" t="s">
        <v>9</v>
      </c>
      <c r="B1711" t="s">
        <v>1719</v>
      </c>
      <c r="C1711">
        <v>6</v>
      </c>
      <c r="D1711">
        <v>4.3E-3</v>
      </c>
      <c r="E1711">
        <v>6.3666668840457481</v>
      </c>
      <c r="F1711">
        <v>744.1966872959415</v>
      </c>
      <c r="G1711">
        <v>0.42399999999999999</v>
      </c>
      <c r="H1711">
        <v>5.7999999999999996E-3</v>
      </c>
      <c r="I1711">
        <v>517.41579999999999</v>
      </c>
    </row>
    <row r="1712" spans="1:9" x14ac:dyDescent="0.3">
      <c r="A1712" t="s">
        <v>9</v>
      </c>
      <c r="B1712" t="s">
        <v>1720</v>
      </c>
      <c r="C1712">
        <v>6</v>
      </c>
      <c r="D1712">
        <v>5.4000000000000003E-3</v>
      </c>
      <c r="E1712">
        <v>6.4266300880923097</v>
      </c>
      <c r="F1712">
        <v>749.88719535996017</v>
      </c>
      <c r="G1712">
        <v>0.42399999999999999</v>
      </c>
      <c r="H1712">
        <v>6.7000000000000002E-3</v>
      </c>
      <c r="I1712">
        <v>517.6146</v>
      </c>
    </row>
    <row r="1713" spans="1:9" x14ac:dyDescent="0.3">
      <c r="A1713" t="s">
        <v>9</v>
      </c>
      <c r="B1713" t="s">
        <v>1721</v>
      </c>
      <c r="C1713">
        <v>6</v>
      </c>
      <c r="D1713">
        <v>6.1999999999999998E-3</v>
      </c>
      <c r="E1713">
        <v>6.4909803234651688</v>
      </c>
      <c r="F1713">
        <v>755.99403269684456</v>
      </c>
      <c r="G1713">
        <v>0.42399999999999999</v>
      </c>
      <c r="H1713">
        <v>7.7000000000000002E-3</v>
      </c>
      <c r="I1713">
        <v>517.81590000000006</v>
      </c>
    </row>
    <row r="1714" spans="1:9" x14ac:dyDescent="0.3">
      <c r="A1714" t="s">
        <v>9</v>
      </c>
      <c r="B1714" t="s">
        <v>1722</v>
      </c>
      <c r="C1714">
        <v>6</v>
      </c>
      <c r="D1714">
        <v>7.1999999999999998E-3</v>
      </c>
      <c r="E1714">
        <v>6.5579649023005384</v>
      </c>
      <c r="F1714">
        <v>762.35086922832113</v>
      </c>
      <c r="G1714">
        <v>0.42399999999999999</v>
      </c>
      <c r="H1714">
        <v>8.6999999999999994E-3</v>
      </c>
      <c r="I1714">
        <v>518.01480000000004</v>
      </c>
    </row>
    <row r="1715" spans="1:9" x14ac:dyDescent="0.3">
      <c r="A1715" t="s">
        <v>9</v>
      </c>
      <c r="B1715" t="s">
        <v>1723</v>
      </c>
      <c r="C1715">
        <v>6</v>
      </c>
      <c r="D1715">
        <v>8.2000000000000007E-3</v>
      </c>
      <c r="E1715">
        <v>6.628538302743828</v>
      </c>
      <c r="F1715">
        <v>769.04828493038929</v>
      </c>
      <c r="G1715">
        <v>0.42399999999999999</v>
      </c>
      <c r="H1715">
        <v>9.7999999999999997E-3</v>
      </c>
      <c r="I1715">
        <v>518.21510000000001</v>
      </c>
    </row>
    <row r="1716" spans="1:9" x14ac:dyDescent="0.3">
      <c r="A1716" t="s">
        <v>9</v>
      </c>
      <c r="B1716" t="s">
        <v>1724</v>
      </c>
      <c r="C1716">
        <v>6</v>
      </c>
      <c r="D1716">
        <v>9.2999999999999992E-3</v>
      </c>
      <c r="E1716">
        <v>6.7021032663803428</v>
      </c>
      <c r="F1716">
        <v>776.02959997949461</v>
      </c>
      <c r="G1716">
        <v>0.42399999999999999</v>
      </c>
      <c r="H1716">
        <v>1.0999999999999999E-2</v>
      </c>
      <c r="I1716">
        <v>518.41589999999997</v>
      </c>
    </row>
    <row r="1717" spans="1:9" x14ac:dyDescent="0.3">
      <c r="A1717" t="s">
        <v>9</v>
      </c>
      <c r="B1717" t="s">
        <v>1725</v>
      </c>
      <c r="C1717">
        <v>6</v>
      </c>
      <c r="D1717">
        <v>1.0500000000000001E-2</v>
      </c>
      <c r="E1717">
        <v>6.7773541773952068</v>
      </c>
      <c r="F1717">
        <v>783.17091143480513</v>
      </c>
      <c r="G1717">
        <v>0.42399999999999999</v>
      </c>
      <c r="H1717">
        <v>1.21E-2</v>
      </c>
      <c r="I1717">
        <v>518.61429999999996</v>
      </c>
    </row>
    <row r="1718" spans="1:9" x14ac:dyDescent="0.3">
      <c r="A1718" t="s">
        <v>9</v>
      </c>
      <c r="B1718" t="s">
        <v>1726</v>
      </c>
      <c r="C1718">
        <v>6</v>
      </c>
      <c r="D1718">
        <v>1.1900000000000001E-2</v>
      </c>
      <c r="E1718">
        <v>6.8552426756385767</v>
      </c>
      <c r="F1718">
        <v>790.56252991810095</v>
      </c>
      <c r="G1718">
        <v>0.42399999999999999</v>
      </c>
      <c r="H1718">
        <v>1.34E-2</v>
      </c>
      <c r="I1718">
        <v>518.81380000000001</v>
      </c>
    </row>
    <row r="1719" spans="1:9" x14ac:dyDescent="0.3">
      <c r="A1719" t="s">
        <v>9</v>
      </c>
      <c r="B1719" t="s">
        <v>1727</v>
      </c>
      <c r="C1719">
        <v>6</v>
      </c>
      <c r="D1719">
        <v>1.2699999999999999E-2</v>
      </c>
      <c r="E1719">
        <v>6.9350640529470198</v>
      </c>
      <c r="F1719">
        <v>798.13757862467219</v>
      </c>
      <c r="G1719">
        <v>0.42399999999999999</v>
      </c>
      <c r="H1719">
        <v>1.46E-2</v>
      </c>
      <c r="I1719">
        <v>519.01340000000005</v>
      </c>
    </row>
    <row r="1720" spans="1:9" x14ac:dyDescent="0.3">
      <c r="A1720" t="s">
        <v>9</v>
      </c>
      <c r="B1720" t="s">
        <v>1728</v>
      </c>
      <c r="C1720">
        <v>6</v>
      </c>
      <c r="D1720">
        <v>1.38E-2</v>
      </c>
      <c r="E1720">
        <v>7.0172241855412496</v>
      </c>
      <c r="F1720">
        <v>805.93457520786467</v>
      </c>
      <c r="G1720">
        <v>0.42399999999999999</v>
      </c>
      <c r="H1720">
        <v>1.5900000000000001E-2</v>
      </c>
      <c r="I1720">
        <v>519.21469999999999</v>
      </c>
    </row>
    <row r="1721" spans="1:9" x14ac:dyDescent="0.3">
      <c r="A1721" t="s">
        <v>9</v>
      </c>
      <c r="B1721" t="s">
        <v>1729</v>
      </c>
      <c r="C1721">
        <v>6</v>
      </c>
      <c r="D1721">
        <v>1.55E-2</v>
      </c>
      <c r="E1721">
        <v>7.100663578351611</v>
      </c>
      <c r="F1721">
        <v>813.85297358556795</v>
      </c>
      <c r="G1721">
        <v>0.42399999999999999</v>
      </c>
      <c r="H1721">
        <v>1.72E-2</v>
      </c>
      <c r="I1721">
        <v>519.41579999999999</v>
      </c>
    </row>
    <row r="1722" spans="1:9" x14ac:dyDescent="0.3">
      <c r="A1722" t="s">
        <v>9</v>
      </c>
      <c r="B1722" t="s">
        <v>1730</v>
      </c>
      <c r="C1722">
        <v>6</v>
      </c>
      <c r="D1722">
        <v>1.67E-2</v>
      </c>
      <c r="E1722">
        <v>7.1840226879534788</v>
      </c>
      <c r="F1722">
        <v>821.76375308678519</v>
      </c>
      <c r="G1722">
        <v>0.42399999999999999</v>
      </c>
      <c r="H1722">
        <v>1.8499999999999999E-2</v>
      </c>
      <c r="I1722">
        <v>519.61450000000002</v>
      </c>
    </row>
    <row r="1723" spans="1:9" x14ac:dyDescent="0.3">
      <c r="A1723" t="s">
        <v>9</v>
      </c>
      <c r="B1723" t="s">
        <v>1731</v>
      </c>
      <c r="C1723">
        <v>6</v>
      </c>
      <c r="D1723">
        <v>1.83E-2</v>
      </c>
      <c r="E1723">
        <v>7.2682649128487693</v>
      </c>
      <c r="F1723">
        <v>829.75834022934828</v>
      </c>
      <c r="G1723">
        <v>0.42399999999999999</v>
      </c>
      <c r="H1723">
        <v>1.9800000000000002E-2</v>
      </c>
      <c r="I1723">
        <v>519.81370000000004</v>
      </c>
    </row>
    <row r="1724" spans="1:9" x14ac:dyDescent="0.3">
      <c r="A1724" t="s">
        <v>9</v>
      </c>
      <c r="B1724" t="s">
        <v>1732</v>
      </c>
      <c r="C1724">
        <v>6</v>
      </c>
      <c r="D1724">
        <v>1.95E-2</v>
      </c>
      <c r="E1724">
        <v>7.3531465651167496</v>
      </c>
      <c r="F1724">
        <v>837.81360902957954</v>
      </c>
      <c r="G1724">
        <v>0.42399999999999999</v>
      </c>
      <c r="H1724">
        <v>2.1100000000000001E-2</v>
      </c>
      <c r="I1724">
        <v>520.01369999999997</v>
      </c>
    </row>
    <row r="1725" spans="1:9" x14ac:dyDescent="0.3">
      <c r="A1725" t="s">
        <v>9</v>
      </c>
      <c r="B1725" t="s">
        <v>1733</v>
      </c>
      <c r="C1725">
        <v>6</v>
      </c>
      <c r="D1725">
        <v>2.07E-2</v>
      </c>
      <c r="E1725">
        <v>7.438684269058168</v>
      </c>
      <c r="F1725">
        <v>845.93113713362015</v>
      </c>
      <c r="G1725">
        <v>0.42399999999999999</v>
      </c>
      <c r="H1725">
        <v>2.24E-2</v>
      </c>
      <c r="I1725">
        <v>520.21529999999996</v>
      </c>
    </row>
    <row r="1726" spans="1:9" x14ac:dyDescent="0.3">
      <c r="A1726" t="s">
        <v>9</v>
      </c>
      <c r="B1726" t="s">
        <v>1734</v>
      </c>
      <c r="C1726">
        <v>6</v>
      </c>
      <c r="D1726">
        <v>2.1999999999999999E-2</v>
      </c>
      <c r="E1726">
        <v>7.5231393660971886</v>
      </c>
      <c r="F1726">
        <v>853.94592584262318</v>
      </c>
      <c r="G1726">
        <v>0.42399999999999999</v>
      </c>
      <c r="H1726">
        <v>2.3699999999999999E-2</v>
      </c>
      <c r="I1726">
        <v>520.4153</v>
      </c>
    </row>
    <row r="1727" spans="1:9" x14ac:dyDescent="0.3">
      <c r="A1727" t="s">
        <v>9</v>
      </c>
      <c r="B1727" t="s">
        <v>1735</v>
      </c>
      <c r="C1727">
        <v>6</v>
      </c>
      <c r="D1727">
        <v>2.3699999999999999E-2</v>
      </c>
      <c r="E1727">
        <v>7.6064968538160578</v>
      </c>
      <c r="F1727">
        <v>861.85655142714393</v>
      </c>
      <c r="G1727">
        <v>0.42399999999999999</v>
      </c>
      <c r="H1727">
        <v>2.5000000000000001E-2</v>
      </c>
      <c r="I1727">
        <v>520.61419999999998</v>
      </c>
    </row>
    <row r="1728" spans="1:9" x14ac:dyDescent="0.3">
      <c r="A1728" t="s">
        <v>9</v>
      </c>
      <c r="B1728" t="s">
        <v>1736</v>
      </c>
      <c r="C1728">
        <v>6</v>
      </c>
      <c r="D1728">
        <v>2.4500000000000001E-2</v>
      </c>
      <c r="E1728">
        <v>7.6896005168454522</v>
      </c>
      <c r="F1728">
        <v>869.74308904863346</v>
      </c>
      <c r="G1728">
        <v>0.42399999999999999</v>
      </c>
      <c r="H1728">
        <v>2.63E-2</v>
      </c>
      <c r="I1728">
        <v>520.81500000000005</v>
      </c>
    </row>
    <row r="1729" spans="1:9" x14ac:dyDescent="0.3">
      <c r="A1729" t="s">
        <v>9</v>
      </c>
      <c r="B1729" t="s">
        <v>1737</v>
      </c>
      <c r="C1729">
        <v>6</v>
      </c>
      <c r="D1729">
        <v>2.6200000000000001E-2</v>
      </c>
      <c r="E1729">
        <v>7.7713028729629716</v>
      </c>
      <c r="F1729">
        <v>877.49664264418607</v>
      </c>
      <c r="G1729">
        <v>0.42399999999999999</v>
      </c>
      <c r="H1729">
        <v>2.76E-2</v>
      </c>
      <c r="I1729">
        <v>521.01570000000004</v>
      </c>
    </row>
    <row r="1730" spans="1:9" x14ac:dyDescent="0.3">
      <c r="A1730" t="s">
        <v>9</v>
      </c>
      <c r="B1730" t="s">
        <v>1738</v>
      </c>
      <c r="C1730">
        <v>6</v>
      </c>
      <c r="D1730">
        <v>2.7300000000000001E-2</v>
      </c>
      <c r="E1730">
        <v>7.8508039283789444</v>
      </c>
      <c r="F1730">
        <v>885.04129280316181</v>
      </c>
      <c r="G1730">
        <v>0.42399999999999999</v>
      </c>
      <c r="H1730">
        <v>2.8799999999999999E-2</v>
      </c>
      <c r="I1730">
        <v>521.21510000000001</v>
      </c>
    </row>
    <row r="1731" spans="1:9" x14ac:dyDescent="0.3">
      <c r="A1731" t="s">
        <v>9</v>
      </c>
      <c r="B1731" t="s">
        <v>1739</v>
      </c>
      <c r="C1731">
        <v>6</v>
      </c>
      <c r="D1731">
        <v>2.87E-2</v>
      </c>
      <c r="E1731">
        <v>7.9280878697341199</v>
      </c>
      <c r="F1731">
        <v>892.37553883776798</v>
      </c>
      <c r="G1731">
        <v>0.42399999999999999</v>
      </c>
      <c r="H1731">
        <v>0.03</v>
      </c>
      <c r="I1731">
        <v>521.41380000000004</v>
      </c>
    </row>
    <row r="1732" spans="1:9" x14ac:dyDescent="0.3">
      <c r="A1732" t="s">
        <v>9</v>
      </c>
      <c r="B1732" t="s">
        <v>1740</v>
      </c>
      <c r="C1732">
        <v>6</v>
      </c>
      <c r="D1732">
        <v>2.9399999999999999E-2</v>
      </c>
      <c r="E1732">
        <v>8.0040280810239182</v>
      </c>
      <c r="F1732">
        <v>899.58226488916989</v>
      </c>
      <c r="G1732">
        <v>0.42399999999999999</v>
      </c>
      <c r="H1732">
        <v>3.1199999999999999E-2</v>
      </c>
      <c r="I1732">
        <v>521.61509999999998</v>
      </c>
    </row>
    <row r="1733" spans="1:9" x14ac:dyDescent="0.3">
      <c r="A1733" t="s">
        <v>9</v>
      </c>
      <c r="B1733" t="s">
        <v>1741</v>
      </c>
      <c r="C1733">
        <v>6</v>
      </c>
      <c r="D1733">
        <v>3.0499999999999999E-2</v>
      </c>
      <c r="E1733">
        <v>8.0770837733984813</v>
      </c>
      <c r="F1733">
        <v>906.51525009551597</v>
      </c>
      <c r="G1733">
        <v>0.42399999999999999</v>
      </c>
      <c r="H1733">
        <v>3.2300000000000002E-2</v>
      </c>
      <c r="I1733">
        <v>521.81560000000002</v>
      </c>
    </row>
    <row r="1734" spans="1:9" x14ac:dyDescent="0.3">
      <c r="A1734" t="s">
        <v>9</v>
      </c>
      <c r="B1734" t="s">
        <v>1742</v>
      </c>
      <c r="C1734">
        <v>6</v>
      </c>
      <c r="D1734">
        <v>3.1600000000000003E-2</v>
      </c>
      <c r="E1734">
        <v>8.1471791238275664</v>
      </c>
      <c r="F1734">
        <v>913.16729885123607</v>
      </c>
      <c r="G1734">
        <v>0.42399999999999999</v>
      </c>
      <c r="H1734">
        <v>3.3399999999999999E-2</v>
      </c>
      <c r="I1734">
        <v>522.01589999999999</v>
      </c>
    </row>
    <row r="1735" spans="1:9" x14ac:dyDescent="0.3">
      <c r="A1735" t="s">
        <v>9</v>
      </c>
      <c r="B1735" t="s">
        <v>1743</v>
      </c>
      <c r="C1735">
        <v>6</v>
      </c>
      <c r="D1735">
        <v>3.3000000000000002E-2</v>
      </c>
      <c r="E1735">
        <v>8.2142026278549309</v>
      </c>
      <c r="F1735">
        <v>919.52782938343296</v>
      </c>
      <c r="G1735">
        <v>0.42399999999999999</v>
      </c>
      <c r="H1735">
        <v>3.4500000000000003E-2</v>
      </c>
      <c r="I1735">
        <v>522.21640000000002</v>
      </c>
    </row>
    <row r="1736" spans="1:9" x14ac:dyDescent="0.3">
      <c r="A1736" t="s">
        <v>9</v>
      </c>
      <c r="B1736" t="s">
        <v>1744</v>
      </c>
      <c r="C1736">
        <v>6</v>
      </c>
      <c r="D1736">
        <v>3.4000000000000002E-2</v>
      </c>
      <c r="E1736">
        <v>8.2773210430894029</v>
      </c>
      <c r="F1736">
        <v>925.51776698918434</v>
      </c>
      <c r="G1736">
        <v>0.42399999999999999</v>
      </c>
      <c r="H1736">
        <v>3.5499999999999997E-2</v>
      </c>
      <c r="I1736">
        <v>522.41549999999995</v>
      </c>
    </row>
    <row r="1737" spans="1:9" x14ac:dyDescent="0.3">
      <c r="A1737" t="s">
        <v>9</v>
      </c>
      <c r="B1737" t="s">
        <v>1745</v>
      </c>
      <c r="C1737">
        <v>6</v>
      </c>
      <c r="D1737">
        <v>3.44E-2</v>
      </c>
      <c r="E1737">
        <v>8.3366896648282172</v>
      </c>
      <c r="F1737">
        <v>931.1518491921978</v>
      </c>
      <c r="G1737">
        <v>0.42399999999999999</v>
      </c>
      <c r="H1737">
        <v>3.6400000000000002E-2</v>
      </c>
      <c r="I1737">
        <v>522.61429999999996</v>
      </c>
    </row>
    <row r="1738" spans="1:9" x14ac:dyDescent="0.3">
      <c r="A1738" t="s">
        <v>9</v>
      </c>
      <c r="B1738" t="s">
        <v>1746</v>
      </c>
      <c r="C1738">
        <v>6</v>
      </c>
      <c r="D1738">
        <v>3.5900000000000001E-2</v>
      </c>
      <c r="E1738">
        <v>8.3927930306175806</v>
      </c>
      <c r="F1738">
        <v>936.4760586056085</v>
      </c>
      <c r="G1738">
        <v>0.42399999999999999</v>
      </c>
      <c r="H1738">
        <v>3.7199999999999997E-2</v>
      </c>
      <c r="I1738">
        <v>522.81510000000003</v>
      </c>
    </row>
    <row r="1739" spans="1:9" x14ac:dyDescent="0.3">
      <c r="A1739" t="s">
        <v>9</v>
      </c>
      <c r="B1739" t="s">
        <v>1747</v>
      </c>
      <c r="C1739">
        <v>6</v>
      </c>
      <c r="D1739">
        <v>3.6999999999999998E-2</v>
      </c>
      <c r="E1739">
        <v>8.4445886751593413</v>
      </c>
      <c r="F1739">
        <v>941.39146527262153</v>
      </c>
      <c r="G1739">
        <v>0.42399999999999999</v>
      </c>
      <c r="H1739">
        <v>3.7999999999999999E-2</v>
      </c>
      <c r="I1739">
        <v>523.0154</v>
      </c>
    </row>
    <row r="1740" spans="1:9" x14ac:dyDescent="0.3">
      <c r="A1740" t="s">
        <v>9</v>
      </c>
      <c r="B1740" t="s">
        <v>1748</v>
      </c>
      <c r="C1740">
        <v>6</v>
      </c>
      <c r="D1740">
        <v>3.7699999999999997E-2</v>
      </c>
      <c r="E1740">
        <v>8.4921179564699898</v>
      </c>
      <c r="F1740">
        <v>945.90199406900206</v>
      </c>
      <c r="G1740">
        <v>0.42399999999999999</v>
      </c>
      <c r="H1740">
        <v>3.8800000000000001E-2</v>
      </c>
      <c r="I1740">
        <v>523.21609999999998</v>
      </c>
    </row>
    <row r="1741" spans="1:9" x14ac:dyDescent="0.3">
      <c r="A1741" t="s">
        <v>9</v>
      </c>
      <c r="B1741" t="s">
        <v>1749</v>
      </c>
      <c r="C1741">
        <v>6</v>
      </c>
      <c r="D1741">
        <v>3.8199999999999998E-2</v>
      </c>
      <c r="E1741">
        <v>8.5349222871313231</v>
      </c>
      <c r="F1741">
        <v>949.96412504876264</v>
      </c>
      <c r="G1741">
        <v>0.42399999999999999</v>
      </c>
      <c r="H1741">
        <v>3.95E-2</v>
      </c>
      <c r="I1741">
        <v>523.41579999999999</v>
      </c>
    </row>
    <row r="1742" spans="1:9" x14ac:dyDescent="0.3">
      <c r="A1742" t="s">
        <v>9</v>
      </c>
      <c r="B1742" t="s">
        <v>1750</v>
      </c>
      <c r="C1742">
        <v>6</v>
      </c>
      <c r="D1742">
        <v>3.9300000000000002E-2</v>
      </c>
      <c r="E1742">
        <v>8.5728074466541031</v>
      </c>
      <c r="F1742">
        <v>953.55942668747446</v>
      </c>
      <c r="G1742">
        <v>0.42399999999999999</v>
      </c>
      <c r="H1742">
        <v>0.04</v>
      </c>
      <c r="I1742">
        <v>523.61429999999996</v>
      </c>
    </row>
    <row r="1743" spans="1:9" x14ac:dyDescent="0.3">
      <c r="A1743" t="s">
        <v>9</v>
      </c>
      <c r="B1743" t="s">
        <v>1751</v>
      </c>
      <c r="C1743">
        <v>6</v>
      </c>
      <c r="D1743">
        <v>4.0500000000000001E-2</v>
      </c>
      <c r="E1743">
        <v>8.6061128140560541</v>
      </c>
      <c r="F1743">
        <v>956.72010605391961</v>
      </c>
      <c r="G1743">
        <v>0.42399999999999999</v>
      </c>
      <c r="H1743">
        <v>4.0599999999999997E-2</v>
      </c>
      <c r="I1743">
        <v>523.81380000000001</v>
      </c>
    </row>
    <row r="1744" spans="1:9" x14ac:dyDescent="0.3">
      <c r="A1744" t="s">
        <v>9</v>
      </c>
      <c r="B1744" t="s">
        <v>1752</v>
      </c>
      <c r="C1744">
        <v>6</v>
      </c>
      <c r="D1744">
        <v>4.1000000000000002E-2</v>
      </c>
      <c r="E1744">
        <v>8.6345277987427043</v>
      </c>
      <c r="F1744">
        <v>959.41668810068268</v>
      </c>
      <c r="G1744">
        <v>0.42399999999999999</v>
      </c>
      <c r="H1744">
        <v>4.1000000000000002E-2</v>
      </c>
      <c r="I1744">
        <v>524.01390000000004</v>
      </c>
    </row>
    <row r="1745" spans="1:9" x14ac:dyDescent="0.3">
      <c r="A1745" t="s">
        <v>9</v>
      </c>
      <c r="B1745" t="s">
        <v>1753</v>
      </c>
      <c r="C1745">
        <v>6</v>
      </c>
      <c r="D1745">
        <v>4.1700000000000001E-2</v>
      </c>
      <c r="E1745">
        <v>8.6580941642012981</v>
      </c>
      <c r="F1745">
        <v>961.65313618270329</v>
      </c>
      <c r="G1745">
        <v>0.42399999999999999</v>
      </c>
      <c r="H1745">
        <v>4.1399999999999999E-2</v>
      </c>
      <c r="I1745">
        <v>524.21609999999998</v>
      </c>
    </row>
    <row r="1746" spans="1:9" x14ac:dyDescent="0.3">
      <c r="A1746" t="s">
        <v>9</v>
      </c>
      <c r="B1746" t="s">
        <v>1754</v>
      </c>
      <c r="C1746">
        <v>6</v>
      </c>
      <c r="D1746">
        <v>4.2099999999999999E-2</v>
      </c>
      <c r="E1746">
        <v>8.6762766890418828</v>
      </c>
      <c r="F1746">
        <v>963.37865779007473</v>
      </c>
      <c r="G1746">
        <v>0.42399999999999999</v>
      </c>
      <c r="H1746">
        <v>4.1599999999999998E-2</v>
      </c>
      <c r="I1746">
        <v>524.4171</v>
      </c>
    </row>
    <row r="1747" spans="1:9" x14ac:dyDescent="0.3">
      <c r="A1747" t="s">
        <v>9</v>
      </c>
      <c r="B1747" t="s">
        <v>1755</v>
      </c>
      <c r="C1747">
        <v>6</v>
      </c>
      <c r="D1747">
        <v>4.2200000000000001E-2</v>
      </c>
      <c r="E1747">
        <v>8.6891325446402075</v>
      </c>
      <c r="F1747">
        <v>964.59867848635577</v>
      </c>
      <c r="G1747">
        <v>0.42399999999999999</v>
      </c>
      <c r="H1747">
        <v>4.1799999999999997E-2</v>
      </c>
      <c r="I1747">
        <v>524.61760000000004</v>
      </c>
    </row>
    <row r="1748" spans="1:9" x14ac:dyDescent="0.3">
      <c r="A1748" t="s">
        <v>9</v>
      </c>
      <c r="B1748" t="s">
        <v>1756</v>
      </c>
      <c r="C1748">
        <v>6</v>
      </c>
      <c r="D1748">
        <v>4.2200000000000001E-2</v>
      </c>
      <c r="E1748">
        <v>8.6965664453700242</v>
      </c>
      <c r="F1748">
        <v>965.30415566561533</v>
      </c>
      <c r="G1748">
        <v>0.42399999999999999</v>
      </c>
      <c r="H1748">
        <v>4.2000000000000003E-2</v>
      </c>
      <c r="I1748">
        <v>524.81399999999996</v>
      </c>
    </row>
    <row r="1749" spans="1:9" x14ac:dyDescent="0.3">
      <c r="A1749" t="s">
        <v>9</v>
      </c>
      <c r="B1749" t="s">
        <v>1757</v>
      </c>
      <c r="C1749">
        <v>6</v>
      </c>
      <c r="D1749">
        <v>4.2299999999999997E-2</v>
      </c>
      <c r="E1749">
        <v>8.6988541113413156</v>
      </c>
      <c r="F1749">
        <v>965.52125516629087</v>
      </c>
      <c r="G1749">
        <v>0.42399999999999999</v>
      </c>
      <c r="H1749">
        <v>4.2000000000000003E-2</v>
      </c>
      <c r="I1749">
        <v>525.01620000000003</v>
      </c>
    </row>
    <row r="1750" spans="1:9" x14ac:dyDescent="0.3">
      <c r="A1750" t="s">
        <v>9</v>
      </c>
      <c r="B1750" t="s">
        <v>1758</v>
      </c>
      <c r="C1750">
        <v>6</v>
      </c>
      <c r="D1750">
        <v>4.2299999999999997E-2</v>
      </c>
      <c r="E1750">
        <v>8.6957688844048473</v>
      </c>
      <c r="F1750">
        <v>858.44566002653175</v>
      </c>
      <c r="G1750">
        <v>0.42399999999999999</v>
      </c>
      <c r="H1750">
        <v>4.2000000000000003E-2</v>
      </c>
      <c r="I1750">
        <v>525.21569999999997</v>
      </c>
    </row>
    <row r="1751" spans="1:9" x14ac:dyDescent="0.3">
      <c r="A1751" t="s">
        <v>9</v>
      </c>
      <c r="B1751" t="s">
        <v>1759</v>
      </c>
      <c r="C1751">
        <v>6</v>
      </c>
      <c r="D1751">
        <v>4.1700000000000001E-2</v>
      </c>
      <c r="E1751">
        <v>8.6874113213066124</v>
      </c>
      <c r="F1751">
        <v>857.66673514577633</v>
      </c>
      <c r="G1751">
        <v>0.42399999999999999</v>
      </c>
      <c r="H1751">
        <v>4.1799999999999997E-2</v>
      </c>
      <c r="I1751">
        <v>525.41480000000001</v>
      </c>
    </row>
    <row r="1752" spans="1:9" x14ac:dyDescent="0.3">
      <c r="A1752" t="s">
        <v>9</v>
      </c>
      <c r="B1752" t="s">
        <v>1760</v>
      </c>
      <c r="C1752">
        <v>6</v>
      </c>
      <c r="D1752">
        <v>4.1399999999999999E-2</v>
      </c>
      <c r="E1752">
        <v>8.6736342361643732</v>
      </c>
      <c r="F1752">
        <v>856.3827108105196</v>
      </c>
      <c r="G1752">
        <v>0.42399999999999999</v>
      </c>
      <c r="H1752">
        <v>4.1599999999999998E-2</v>
      </c>
      <c r="I1752">
        <v>525.61609999999996</v>
      </c>
    </row>
    <row r="1753" spans="1:9" x14ac:dyDescent="0.3">
      <c r="A1753" t="s">
        <v>9</v>
      </c>
      <c r="B1753" t="s">
        <v>1761</v>
      </c>
      <c r="C1753">
        <v>6</v>
      </c>
      <c r="D1753">
        <v>4.1300000000000003E-2</v>
      </c>
      <c r="E1753">
        <v>8.6546659090103617</v>
      </c>
      <c r="F1753">
        <v>854.61486271976571</v>
      </c>
      <c r="G1753">
        <v>0.42399999999999999</v>
      </c>
      <c r="H1753">
        <v>4.1300000000000003E-2</v>
      </c>
      <c r="I1753">
        <v>525.81629999999996</v>
      </c>
    </row>
    <row r="1754" spans="1:9" x14ac:dyDescent="0.3">
      <c r="A1754" t="s">
        <v>9</v>
      </c>
      <c r="B1754" t="s">
        <v>1762</v>
      </c>
      <c r="C1754">
        <v>6</v>
      </c>
      <c r="D1754">
        <v>4.1200000000000001E-2</v>
      </c>
      <c r="E1754">
        <v>8.6307447566455515</v>
      </c>
      <c r="F1754">
        <v>852.3854113193654</v>
      </c>
      <c r="G1754">
        <v>0.42399999999999999</v>
      </c>
      <c r="H1754">
        <v>4.0899999999999999E-2</v>
      </c>
      <c r="I1754">
        <v>526.01499999999999</v>
      </c>
    </row>
    <row r="1755" spans="1:9" x14ac:dyDescent="0.3">
      <c r="A1755" t="s">
        <v>9</v>
      </c>
      <c r="B1755" t="s">
        <v>1763</v>
      </c>
      <c r="C1755">
        <v>6</v>
      </c>
      <c r="D1755">
        <v>4.1099999999999998E-2</v>
      </c>
      <c r="E1755">
        <v>8.6015297781692244</v>
      </c>
      <c r="F1755">
        <v>849.66257532537179</v>
      </c>
      <c r="G1755">
        <v>0.42399999999999999</v>
      </c>
      <c r="H1755">
        <v>4.0500000000000001E-2</v>
      </c>
      <c r="I1755">
        <v>526.21550000000002</v>
      </c>
    </row>
    <row r="1756" spans="1:9" x14ac:dyDescent="0.3">
      <c r="A1756" t="s">
        <v>9</v>
      </c>
      <c r="B1756" t="s">
        <v>1764</v>
      </c>
      <c r="C1756">
        <v>6</v>
      </c>
      <c r="D1756">
        <v>4.1000000000000002E-2</v>
      </c>
      <c r="E1756">
        <v>8.5673668401311005</v>
      </c>
      <c r="F1756">
        <v>846.47858950021862</v>
      </c>
      <c r="G1756">
        <v>0.42399999999999999</v>
      </c>
      <c r="H1756">
        <v>0.04</v>
      </c>
      <c r="I1756">
        <v>526.41579999999999</v>
      </c>
    </row>
    <row r="1757" spans="1:9" x14ac:dyDescent="0.3">
      <c r="A1757" t="s">
        <v>9</v>
      </c>
      <c r="B1757" t="s">
        <v>1765</v>
      </c>
      <c r="C1757">
        <v>6</v>
      </c>
      <c r="D1757">
        <v>4.0800000000000003E-2</v>
      </c>
      <c r="E1757">
        <v>8.52871209712489</v>
      </c>
      <c r="F1757">
        <v>842.87596745203973</v>
      </c>
      <c r="G1757">
        <v>0.42399999999999999</v>
      </c>
      <c r="H1757">
        <v>3.9399999999999998E-2</v>
      </c>
      <c r="I1757">
        <v>526.61450000000002</v>
      </c>
    </row>
    <row r="1758" spans="1:9" x14ac:dyDescent="0.3">
      <c r="A1758" t="s">
        <v>9</v>
      </c>
      <c r="B1758" t="s">
        <v>1766</v>
      </c>
      <c r="C1758">
        <v>6</v>
      </c>
      <c r="D1758">
        <v>4.0599999999999997E-2</v>
      </c>
      <c r="E1758">
        <v>8.4848880075274025</v>
      </c>
      <c r="F1758">
        <v>838.79156230155388</v>
      </c>
      <c r="G1758">
        <v>0.42399999999999999</v>
      </c>
      <c r="H1758">
        <v>3.8699999999999998E-2</v>
      </c>
      <c r="I1758">
        <v>526.81569999999999</v>
      </c>
    </row>
    <row r="1759" spans="1:9" x14ac:dyDescent="0.3">
      <c r="A1759" t="s">
        <v>9</v>
      </c>
      <c r="B1759" t="s">
        <v>1767</v>
      </c>
      <c r="C1759">
        <v>6</v>
      </c>
      <c r="D1759">
        <v>3.9899999999999998E-2</v>
      </c>
      <c r="E1759">
        <v>8.4367776866320554</v>
      </c>
      <c r="F1759">
        <v>834.30768039410759</v>
      </c>
      <c r="G1759">
        <v>0.42399999999999999</v>
      </c>
      <c r="H1759">
        <v>3.7900000000000003E-2</v>
      </c>
      <c r="I1759">
        <v>527.01580000000001</v>
      </c>
    </row>
    <row r="1760" spans="1:9" x14ac:dyDescent="0.3">
      <c r="A1760" t="s">
        <v>9</v>
      </c>
      <c r="B1760" t="s">
        <v>1768</v>
      </c>
      <c r="C1760">
        <v>6</v>
      </c>
      <c r="D1760">
        <v>3.9800000000000002E-2</v>
      </c>
      <c r="E1760">
        <v>8.3848239084978111</v>
      </c>
      <c r="F1760">
        <v>829.46558827199601</v>
      </c>
      <c r="G1760">
        <v>0.42399999999999999</v>
      </c>
      <c r="H1760">
        <v>3.7100000000000001E-2</v>
      </c>
      <c r="I1760">
        <v>527.21429999999998</v>
      </c>
    </row>
    <row r="1761" spans="1:9" x14ac:dyDescent="0.3">
      <c r="A1761" t="s">
        <v>9</v>
      </c>
      <c r="B1761" t="s">
        <v>1769</v>
      </c>
      <c r="C1761">
        <v>6</v>
      </c>
      <c r="D1761">
        <v>3.9699999999999999E-2</v>
      </c>
      <c r="E1761">
        <v>8.3281999182654936</v>
      </c>
      <c r="F1761">
        <v>824.18823238234404</v>
      </c>
      <c r="G1761">
        <v>0.42399999999999999</v>
      </c>
      <c r="H1761">
        <v>3.6200000000000003E-2</v>
      </c>
      <c r="I1761">
        <v>527.41489999999999</v>
      </c>
    </row>
    <row r="1762" spans="1:9" x14ac:dyDescent="0.3">
      <c r="A1762" t="s">
        <v>9</v>
      </c>
      <c r="B1762" t="s">
        <v>1770</v>
      </c>
      <c r="C1762">
        <v>6</v>
      </c>
      <c r="D1762">
        <v>3.8600000000000002E-2</v>
      </c>
      <c r="E1762">
        <v>8.2681626752599886</v>
      </c>
      <c r="F1762">
        <v>818.592761334231</v>
      </c>
      <c r="G1762">
        <v>0.42399999999999999</v>
      </c>
      <c r="H1762">
        <v>3.5299999999999998E-2</v>
      </c>
      <c r="I1762">
        <v>527.61400000000003</v>
      </c>
    </row>
    <row r="1763" spans="1:9" x14ac:dyDescent="0.3">
      <c r="A1763" t="s">
        <v>9</v>
      </c>
      <c r="B1763" t="s">
        <v>1771</v>
      </c>
      <c r="C1763">
        <v>6</v>
      </c>
      <c r="D1763">
        <v>3.7699999999999997E-2</v>
      </c>
      <c r="E1763">
        <v>8.2035517221949057</v>
      </c>
      <c r="F1763">
        <v>812.5710205085652</v>
      </c>
      <c r="G1763">
        <v>0.42399999999999999</v>
      </c>
      <c r="H1763">
        <v>3.4299999999999997E-2</v>
      </c>
      <c r="I1763">
        <v>527.81600000000003</v>
      </c>
    </row>
    <row r="1764" spans="1:9" x14ac:dyDescent="0.3">
      <c r="A1764" t="s">
        <v>9</v>
      </c>
      <c r="B1764" t="s">
        <v>1772</v>
      </c>
      <c r="C1764">
        <v>6</v>
      </c>
      <c r="D1764">
        <v>3.7400000000000003E-2</v>
      </c>
      <c r="E1764">
        <v>8.1364296887752996</v>
      </c>
      <c r="F1764">
        <v>806.31524699385795</v>
      </c>
      <c r="G1764">
        <v>0.42399999999999999</v>
      </c>
      <c r="H1764">
        <v>3.3300000000000003E-2</v>
      </c>
      <c r="I1764">
        <v>528.0154</v>
      </c>
    </row>
    <row r="1765" spans="1:9" x14ac:dyDescent="0.3">
      <c r="A1765" t="s">
        <v>9</v>
      </c>
      <c r="B1765" t="s">
        <v>1773</v>
      </c>
      <c r="C1765">
        <v>6</v>
      </c>
      <c r="D1765">
        <v>3.6999999999999998E-2</v>
      </c>
      <c r="E1765">
        <v>8.0663886714267115</v>
      </c>
      <c r="F1765">
        <v>799.78742417696958</v>
      </c>
      <c r="G1765">
        <v>0.42399999999999999</v>
      </c>
      <c r="H1765">
        <v>3.2199999999999999E-2</v>
      </c>
      <c r="I1765">
        <v>528.21420000000001</v>
      </c>
    </row>
    <row r="1766" spans="1:9" x14ac:dyDescent="0.3">
      <c r="A1766" t="s">
        <v>9</v>
      </c>
      <c r="B1766" t="s">
        <v>1774</v>
      </c>
      <c r="C1766">
        <v>6</v>
      </c>
      <c r="D1766">
        <v>3.49E-2</v>
      </c>
      <c r="E1766">
        <v>7.992328628004489</v>
      </c>
      <c r="F1766">
        <v>792.88502813001844</v>
      </c>
      <c r="G1766">
        <v>0.42399999999999999</v>
      </c>
      <c r="H1766">
        <v>3.1E-2</v>
      </c>
      <c r="I1766">
        <v>528.41629999999998</v>
      </c>
    </row>
    <row r="1767" spans="1:9" x14ac:dyDescent="0.3">
      <c r="A1767" t="s">
        <v>9</v>
      </c>
      <c r="B1767" t="s">
        <v>1775</v>
      </c>
      <c r="C1767">
        <v>6</v>
      </c>
      <c r="D1767">
        <v>3.4000000000000002E-2</v>
      </c>
      <c r="E1767">
        <v>7.9165668238446756</v>
      </c>
      <c r="F1767">
        <v>785.82402798232374</v>
      </c>
      <c r="G1767">
        <v>0.42399999999999999</v>
      </c>
      <c r="H1767">
        <v>2.98E-2</v>
      </c>
      <c r="I1767">
        <v>528.61609999999996</v>
      </c>
    </row>
    <row r="1768" spans="1:9" x14ac:dyDescent="0.3">
      <c r="A1768" t="s">
        <v>9</v>
      </c>
      <c r="B1768" t="s">
        <v>1776</v>
      </c>
      <c r="C1768">
        <v>6</v>
      </c>
      <c r="D1768">
        <v>3.2300000000000002E-2</v>
      </c>
      <c r="E1768">
        <v>7.8388328099570392</v>
      </c>
      <c r="F1768">
        <v>778.57921788799604</v>
      </c>
      <c r="G1768">
        <v>0.42399999999999999</v>
      </c>
      <c r="H1768">
        <v>2.86E-2</v>
      </c>
      <c r="I1768">
        <v>528.8152</v>
      </c>
    </row>
    <row r="1769" spans="1:9" x14ac:dyDescent="0.3">
      <c r="A1769" t="s">
        <v>9</v>
      </c>
      <c r="B1769" t="s">
        <v>1777</v>
      </c>
      <c r="C1769">
        <v>6</v>
      </c>
      <c r="D1769">
        <v>3.1199999999999999E-2</v>
      </c>
      <c r="E1769">
        <v>7.7590390046595932</v>
      </c>
      <c r="F1769">
        <v>771.1424352342741</v>
      </c>
      <c r="G1769">
        <v>0.42399999999999999</v>
      </c>
      <c r="H1769">
        <v>2.7400000000000001E-2</v>
      </c>
      <c r="I1769">
        <v>529.01459999999997</v>
      </c>
    </row>
    <row r="1770" spans="1:9" x14ac:dyDescent="0.3">
      <c r="A1770" t="s">
        <v>9</v>
      </c>
      <c r="B1770" t="s">
        <v>1778</v>
      </c>
      <c r="C1770">
        <v>6</v>
      </c>
      <c r="D1770">
        <v>2.9399999999999999E-2</v>
      </c>
      <c r="E1770">
        <v>7.6769895655801053</v>
      </c>
      <c r="F1770">
        <v>763.49542751206582</v>
      </c>
      <c r="G1770">
        <v>0.42399999999999999</v>
      </c>
      <c r="H1770">
        <v>2.6100000000000002E-2</v>
      </c>
      <c r="I1770">
        <v>529.21559999999999</v>
      </c>
    </row>
    <row r="1771" spans="1:9" x14ac:dyDescent="0.3">
      <c r="A1771" t="s">
        <v>9</v>
      </c>
      <c r="B1771" t="s">
        <v>1779</v>
      </c>
      <c r="C1771">
        <v>6</v>
      </c>
      <c r="D1771">
        <v>2.7900000000000001E-2</v>
      </c>
      <c r="E1771">
        <v>7.5939503723999584</v>
      </c>
      <c r="F1771">
        <v>755.75617470767611</v>
      </c>
      <c r="G1771">
        <v>0.42399999999999999</v>
      </c>
      <c r="H1771">
        <v>2.4799999999999999E-2</v>
      </c>
      <c r="I1771">
        <v>529.41579999999999</v>
      </c>
    </row>
    <row r="1772" spans="1:9" x14ac:dyDescent="0.3">
      <c r="A1772" t="s">
        <v>9</v>
      </c>
      <c r="B1772" t="s">
        <v>1780</v>
      </c>
      <c r="C1772">
        <v>6</v>
      </c>
      <c r="D1772">
        <v>2.6700000000000002E-2</v>
      </c>
      <c r="E1772">
        <v>7.5105503102523397</v>
      </c>
      <c r="F1772">
        <v>747.98328891551807</v>
      </c>
      <c r="G1772">
        <v>0.42399999999999999</v>
      </c>
      <c r="H1772">
        <v>2.35E-2</v>
      </c>
      <c r="I1772">
        <v>529.6146</v>
      </c>
    </row>
    <row r="1773" spans="1:9" x14ac:dyDescent="0.3">
      <c r="A1773" t="s">
        <v>9</v>
      </c>
      <c r="B1773" t="s">
        <v>1781</v>
      </c>
      <c r="C1773">
        <v>6</v>
      </c>
      <c r="D1773">
        <v>2.4899999999999999E-2</v>
      </c>
      <c r="E1773">
        <v>7.4256487899176111</v>
      </c>
      <c r="F1773">
        <v>740.07046722032135</v>
      </c>
      <c r="G1773">
        <v>0.42399999999999999</v>
      </c>
      <c r="H1773">
        <v>2.2200000000000001E-2</v>
      </c>
      <c r="I1773">
        <v>529.81539999999995</v>
      </c>
    </row>
    <row r="1774" spans="1:9" x14ac:dyDescent="0.3">
      <c r="A1774" t="s">
        <v>9</v>
      </c>
      <c r="B1774" t="s">
        <v>1782</v>
      </c>
      <c r="C1774">
        <v>6</v>
      </c>
      <c r="D1774">
        <v>2.3099999999999999E-2</v>
      </c>
      <c r="E1774">
        <v>7.3408486372703754</v>
      </c>
      <c r="F1774">
        <v>732.16709299359889</v>
      </c>
      <c r="G1774">
        <v>0.42399999999999999</v>
      </c>
      <c r="H1774">
        <v>2.0899999999999998E-2</v>
      </c>
      <c r="I1774">
        <v>530.01520000000005</v>
      </c>
    </row>
    <row r="1775" spans="1:9" x14ac:dyDescent="0.3">
      <c r="A1775" t="s">
        <v>9</v>
      </c>
      <c r="B1775" t="s">
        <v>1783</v>
      </c>
      <c r="C1775">
        <v>6</v>
      </c>
      <c r="D1775">
        <v>2.1999999999999999E-2</v>
      </c>
      <c r="E1775">
        <v>7.2561356608343797</v>
      </c>
      <c r="F1775">
        <v>724.27184358976422</v>
      </c>
      <c r="G1775">
        <v>0.42399999999999999</v>
      </c>
      <c r="H1775">
        <v>1.9599999999999999E-2</v>
      </c>
      <c r="I1775">
        <v>530.21479999999997</v>
      </c>
    </row>
    <row r="1776" spans="1:9" x14ac:dyDescent="0.3">
      <c r="A1776" t="s">
        <v>9</v>
      </c>
      <c r="B1776" t="s">
        <v>1784</v>
      </c>
      <c r="C1776">
        <v>6</v>
      </c>
      <c r="D1776">
        <v>2.0199999999999999E-2</v>
      </c>
      <c r="E1776">
        <v>7.1714129531003854</v>
      </c>
      <c r="F1776">
        <v>716.37568722895594</v>
      </c>
      <c r="G1776">
        <v>0.42399999999999999</v>
      </c>
      <c r="H1776">
        <v>1.83E-2</v>
      </c>
      <c r="I1776">
        <v>530.41539999999998</v>
      </c>
    </row>
    <row r="1777" spans="1:9" x14ac:dyDescent="0.3">
      <c r="A1777" t="s">
        <v>9</v>
      </c>
      <c r="B1777" t="s">
        <v>1785</v>
      </c>
      <c r="C1777">
        <v>6</v>
      </c>
      <c r="D1777">
        <v>1.89E-2</v>
      </c>
      <c r="E1777">
        <v>7.0880360027855174</v>
      </c>
      <c r="F1777">
        <v>708.60495545961021</v>
      </c>
      <c r="G1777">
        <v>0.42399999999999999</v>
      </c>
      <c r="H1777">
        <v>1.7000000000000001E-2</v>
      </c>
      <c r="I1777">
        <v>530.61440000000005</v>
      </c>
    </row>
    <row r="1778" spans="1:9" x14ac:dyDescent="0.3">
      <c r="A1778" t="s">
        <v>9</v>
      </c>
      <c r="B1778" t="s">
        <v>1786</v>
      </c>
      <c r="C1778">
        <v>6</v>
      </c>
      <c r="D1778">
        <v>1.7399999999999999E-2</v>
      </c>
      <c r="E1778">
        <v>7.0042552036036856</v>
      </c>
      <c r="F1778">
        <v>700.79658497586354</v>
      </c>
      <c r="G1778">
        <v>0.42399999999999999</v>
      </c>
      <c r="H1778">
        <v>1.5699999999999999E-2</v>
      </c>
      <c r="I1778">
        <v>530.81679999999994</v>
      </c>
    </row>
    <row r="1779" spans="1:9" x14ac:dyDescent="0.3">
      <c r="A1779" t="s">
        <v>9</v>
      </c>
      <c r="B1779" t="s">
        <v>1787</v>
      </c>
      <c r="C1779">
        <v>6</v>
      </c>
      <c r="D1779">
        <v>1.6799999999999999E-2</v>
      </c>
      <c r="E1779">
        <v>6.921822594665481</v>
      </c>
      <c r="F1779">
        <v>693.11386582282285</v>
      </c>
      <c r="G1779">
        <v>0.42399999999999999</v>
      </c>
      <c r="H1779">
        <v>1.44E-2</v>
      </c>
      <c r="I1779">
        <v>531.01930000000004</v>
      </c>
    </row>
    <row r="1780" spans="1:9" x14ac:dyDescent="0.3">
      <c r="A1780" t="s">
        <v>9</v>
      </c>
      <c r="B1780" t="s">
        <v>1788</v>
      </c>
      <c r="C1780">
        <v>6</v>
      </c>
      <c r="D1780">
        <v>1.54E-2</v>
      </c>
      <c r="E1780">
        <v>6.8439434222493594</v>
      </c>
      <c r="F1780">
        <v>685.85552695364026</v>
      </c>
      <c r="G1780">
        <v>0.42399999999999999</v>
      </c>
      <c r="H1780">
        <v>1.32E-2</v>
      </c>
      <c r="I1780">
        <v>531.21469999999999</v>
      </c>
    </row>
    <row r="1781" spans="1:9" x14ac:dyDescent="0.3">
      <c r="A1781" t="s">
        <v>9</v>
      </c>
      <c r="B1781" t="s">
        <v>1789</v>
      </c>
      <c r="C1781">
        <v>6</v>
      </c>
      <c r="D1781">
        <v>1.37E-2</v>
      </c>
      <c r="E1781">
        <v>6.7654455014687951</v>
      </c>
      <c r="F1781">
        <v>678.53952073689175</v>
      </c>
      <c r="G1781">
        <v>0.42399999999999999</v>
      </c>
      <c r="H1781">
        <v>1.2E-2</v>
      </c>
      <c r="I1781">
        <v>531.41660000000002</v>
      </c>
    </row>
    <row r="1782" spans="1:9" x14ac:dyDescent="0.3">
      <c r="A1782" t="s">
        <v>9</v>
      </c>
      <c r="B1782" t="s">
        <v>1790</v>
      </c>
      <c r="C1782">
        <v>6</v>
      </c>
      <c r="D1782">
        <v>1.18E-2</v>
      </c>
      <c r="E1782">
        <v>6.6900080739089507</v>
      </c>
      <c r="F1782">
        <v>671.50875248831426</v>
      </c>
      <c r="G1782">
        <v>0.42399999999999999</v>
      </c>
      <c r="H1782">
        <v>1.0800000000000001E-2</v>
      </c>
      <c r="I1782">
        <v>531.61659999999995</v>
      </c>
    </row>
    <row r="1783" spans="1:9" x14ac:dyDescent="0.3">
      <c r="A1783" t="s">
        <v>9</v>
      </c>
      <c r="B1783" t="s">
        <v>1791</v>
      </c>
      <c r="C1783">
        <v>6</v>
      </c>
      <c r="D1783">
        <v>1.0500000000000001E-2</v>
      </c>
      <c r="E1783">
        <v>6.6176501966950747</v>
      </c>
      <c r="F1783">
        <v>664.76499833198102</v>
      </c>
      <c r="G1783">
        <v>0.42399999999999999</v>
      </c>
      <c r="H1783">
        <v>9.7000000000000003E-3</v>
      </c>
      <c r="I1783">
        <v>531.8152</v>
      </c>
    </row>
    <row r="1784" spans="1:9" x14ac:dyDescent="0.3">
      <c r="A1784" t="s">
        <v>9</v>
      </c>
      <c r="B1784" t="s">
        <v>1792</v>
      </c>
      <c r="C1784">
        <v>6</v>
      </c>
      <c r="D1784">
        <v>9.7999999999999997E-3</v>
      </c>
      <c r="E1784">
        <v>6.5477490667552241</v>
      </c>
      <c r="F1784">
        <v>658.25021302158689</v>
      </c>
      <c r="G1784">
        <v>0.42399999999999999</v>
      </c>
      <c r="H1784">
        <v>8.6E-3</v>
      </c>
      <c r="I1784">
        <v>532.01490000000001</v>
      </c>
    </row>
    <row r="1785" spans="1:9" x14ac:dyDescent="0.3">
      <c r="A1785" t="s">
        <v>9</v>
      </c>
      <c r="B1785" t="s">
        <v>1793</v>
      </c>
      <c r="C1785">
        <v>6</v>
      </c>
      <c r="D1785">
        <v>8.0999999999999996E-3</v>
      </c>
      <c r="E1785">
        <v>6.4807255627278586</v>
      </c>
      <c r="F1785">
        <v>652.00362244623648</v>
      </c>
      <c r="G1785">
        <v>0.42399999999999999</v>
      </c>
      <c r="H1785">
        <v>7.4999999999999997E-3</v>
      </c>
      <c r="I1785">
        <v>532.21550000000002</v>
      </c>
    </row>
    <row r="1786" spans="1:9" x14ac:dyDescent="0.3">
      <c r="A1786" t="s">
        <v>9</v>
      </c>
      <c r="B1786" t="s">
        <v>1794</v>
      </c>
      <c r="C1786">
        <v>6</v>
      </c>
      <c r="D1786">
        <v>7.1000000000000004E-3</v>
      </c>
      <c r="E1786">
        <v>6.417440499015151</v>
      </c>
      <c r="F1786">
        <v>646.10545450821212</v>
      </c>
      <c r="G1786">
        <v>0.42399999999999999</v>
      </c>
      <c r="H1786">
        <v>6.6E-3</v>
      </c>
      <c r="I1786">
        <v>532.41499999999996</v>
      </c>
    </row>
    <row r="1787" spans="1:9" x14ac:dyDescent="0.3">
      <c r="A1787" t="s">
        <v>9</v>
      </c>
      <c r="B1787" t="s">
        <v>1795</v>
      </c>
      <c r="C1787">
        <v>6</v>
      </c>
      <c r="D1787">
        <v>5.4999999999999997E-3</v>
      </c>
      <c r="E1787">
        <v>6.3573456386160769</v>
      </c>
      <c r="F1787">
        <v>640.50461351901833</v>
      </c>
      <c r="G1787">
        <v>0.42399999999999999</v>
      </c>
      <c r="H1787">
        <v>5.5999999999999999E-3</v>
      </c>
      <c r="I1787">
        <v>532.61620000000005</v>
      </c>
    </row>
    <row r="1788" spans="1:9" x14ac:dyDescent="0.3">
      <c r="A1788" t="s">
        <v>9</v>
      </c>
      <c r="B1788" t="s">
        <v>1796</v>
      </c>
      <c r="C1788">
        <v>6</v>
      </c>
      <c r="D1788">
        <v>4.4000000000000003E-3</v>
      </c>
      <c r="E1788">
        <v>6.3017526388596918</v>
      </c>
      <c r="F1788">
        <v>635.32334594172335</v>
      </c>
      <c r="G1788">
        <v>0.42399999999999999</v>
      </c>
      <c r="H1788">
        <v>4.7999999999999996E-3</v>
      </c>
      <c r="I1788">
        <v>532.81539999999995</v>
      </c>
    </row>
    <row r="1789" spans="1:9" x14ac:dyDescent="0.3">
      <c r="A1789" t="s">
        <v>9</v>
      </c>
      <c r="B1789" t="s">
        <v>1797</v>
      </c>
      <c r="C1789">
        <v>6</v>
      </c>
      <c r="D1789">
        <v>3.7000000000000002E-3</v>
      </c>
      <c r="E1789">
        <v>6.2503107675472753</v>
      </c>
      <c r="F1789">
        <v>630.52896353540609</v>
      </c>
      <c r="G1789">
        <v>0.42399999999999999</v>
      </c>
      <c r="H1789">
        <v>4.0000000000000001E-3</v>
      </c>
      <c r="I1789">
        <v>533.01419999999996</v>
      </c>
    </row>
    <row r="1790" spans="1:9" x14ac:dyDescent="0.3">
      <c r="A1790" t="s">
        <v>9</v>
      </c>
      <c r="B1790" t="s">
        <v>1798</v>
      </c>
      <c r="C1790">
        <v>6</v>
      </c>
      <c r="D1790">
        <v>2.5999999999999999E-3</v>
      </c>
      <c r="E1790">
        <v>6.2022839736264199</v>
      </c>
      <c r="F1790">
        <v>626.05286634198239</v>
      </c>
      <c r="G1790">
        <v>0.42399999999999999</v>
      </c>
      <c r="H1790">
        <v>3.2000000000000002E-3</v>
      </c>
      <c r="I1790">
        <v>533.21699999999998</v>
      </c>
    </row>
    <row r="1791" spans="1:9" x14ac:dyDescent="0.3">
      <c r="A1791" t="s">
        <v>9</v>
      </c>
      <c r="B1791" t="s">
        <v>1799</v>
      </c>
      <c r="C1791">
        <v>6</v>
      </c>
      <c r="D1791">
        <v>1.9E-3</v>
      </c>
      <c r="E1791">
        <v>5.9957334838115024</v>
      </c>
      <c r="F1791">
        <v>606.80236069123202</v>
      </c>
      <c r="G1791">
        <v>0.42399999999999999</v>
      </c>
      <c r="H1791">
        <v>0</v>
      </c>
      <c r="I1791">
        <v>533.41539999999998</v>
      </c>
    </row>
    <row r="1792" spans="1:9" x14ac:dyDescent="0.3">
      <c r="A1792" t="s">
        <v>9</v>
      </c>
      <c r="B1792" t="s">
        <v>1800</v>
      </c>
      <c r="C1792">
        <v>6</v>
      </c>
      <c r="D1792">
        <v>1E-4</v>
      </c>
      <c r="E1792">
        <v>5.9957334838115024</v>
      </c>
      <c r="F1792">
        <v>606.80236069123202</v>
      </c>
      <c r="G1792">
        <v>0.42399999999999999</v>
      </c>
      <c r="H1792">
        <v>0</v>
      </c>
      <c r="I1792">
        <v>533.61630000000002</v>
      </c>
    </row>
    <row r="1793" spans="1:9" x14ac:dyDescent="0.3">
      <c r="A1793" t="s">
        <v>9</v>
      </c>
      <c r="B1793" t="s">
        <v>1801</v>
      </c>
      <c r="C1793">
        <v>6</v>
      </c>
      <c r="D1793">
        <v>-1.2999999999999999E-3</v>
      </c>
      <c r="E1793">
        <v>5.9957334838115024</v>
      </c>
      <c r="F1793">
        <v>606.80236069123202</v>
      </c>
      <c r="G1793">
        <v>0.42399999999999999</v>
      </c>
      <c r="H1793">
        <v>0</v>
      </c>
      <c r="I1793">
        <v>533.81619999999998</v>
      </c>
    </row>
    <row r="1794" spans="1:9" x14ac:dyDescent="0.3">
      <c r="A1794" t="s">
        <v>9</v>
      </c>
      <c r="B1794" t="s">
        <v>1802</v>
      </c>
      <c r="C1794">
        <v>6</v>
      </c>
      <c r="D1794">
        <v>-2.3E-3</v>
      </c>
      <c r="E1794">
        <v>5.9957334838115024</v>
      </c>
      <c r="F1794">
        <v>606.80236069123202</v>
      </c>
      <c r="G1794">
        <v>0.42399999999999999</v>
      </c>
      <c r="H1794">
        <v>0</v>
      </c>
      <c r="I1794">
        <v>534.01620000000003</v>
      </c>
    </row>
    <row r="1795" spans="1:9" x14ac:dyDescent="0.3">
      <c r="A1795" t="s">
        <v>9</v>
      </c>
      <c r="B1795" t="s">
        <v>1803</v>
      </c>
      <c r="C1795">
        <v>6</v>
      </c>
      <c r="D1795">
        <v>-2.3999999999999998E-3</v>
      </c>
      <c r="E1795">
        <v>6.0366392382332092</v>
      </c>
      <c r="F1795">
        <v>712.87706370833155</v>
      </c>
      <c r="G1795">
        <v>0.42399999999999999</v>
      </c>
      <c r="H1795">
        <v>5.9999999999999995E-4</v>
      </c>
      <c r="I1795">
        <v>534.21479999999997</v>
      </c>
    </row>
    <row r="1796" spans="1:9" x14ac:dyDescent="0.3">
      <c r="A1796" t="s">
        <v>9</v>
      </c>
      <c r="B1796" t="s">
        <v>1804</v>
      </c>
      <c r="C1796">
        <v>6</v>
      </c>
      <c r="D1796">
        <v>-1.1999999999999999E-3</v>
      </c>
      <c r="E1796">
        <v>6.0185224807482669</v>
      </c>
      <c r="F1796">
        <v>608.92629520573848</v>
      </c>
      <c r="G1796">
        <v>0.42399999999999999</v>
      </c>
      <c r="H1796">
        <v>4.0000000000000002E-4</v>
      </c>
      <c r="I1796">
        <v>534.41459999999995</v>
      </c>
    </row>
    <row r="1797" spans="1:9" x14ac:dyDescent="0.3">
      <c r="A1797" t="s">
        <v>9</v>
      </c>
      <c r="B1797" t="s">
        <v>1805</v>
      </c>
      <c r="C1797">
        <v>6</v>
      </c>
      <c r="D1797">
        <v>-1.2999999999999999E-3</v>
      </c>
      <c r="E1797">
        <v>6.0055730587196834</v>
      </c>
      <c r="F1797">
        <v>607.71940907267447</v>
      </c>
      <c r="G1797">
        <v>0.42399999999999999</v>
      </c>
      <c r="H1797">
        <v>2.0000000000000001E-4</v>
      </c>
      <c r="I1797">
        <v>534.61569999999995</v>
      </c>
    </row>
    <row r="1798" spans="1:9" x14ac:dyDescent="0.3">
      <c r="A1798" t="s">
        <v>9</v>
      </c>
      <c r="B1798" t="s">
        <v>1806</v>
      </c>
      <c r="C1798">
        <v>6</v>
      </c>
      <c r="D1798">
        <v>-1.6999999999999999E-3</v>
      </c>
      <c r="E1798">
        <v>5.9979843249292806</v>
      </c>
      <c r="F1798">
        <v>607.01213908340901</v>
      </c>
      <c r="G1798">
        <v>0.42399999999999999</v>
      </c>
      <c r="H1798">
        <v>0</v>
      </c>
      <c r="I1798">
        <v>534.81619999999998</v>
      </c>
    </row>
    <row r="1799" spans="1:9" x14ac:dyDescent="0.3">
      <c r="A1799" t="s">
        <v>9</v>
      </c>
      <c r="B1799" t="s">
        <v>1807</v>
      </c>
      <c r="C1799">
        <v>6</v>
      </c>
      <c r="D1799">
        <v>-2.3999999999999998E-3</v>
      </c>
      <c r="E1799">
        <v>5.9957525764843718</v>
      </c>
      <c r="F1799">
        <v>606.80414012834342</v>
      </c>
      <c r="G1799">
        <v>0.42399999999999999</v>
      </c>
      <c r="H1799">
        <v>0</v>
      </c>
      <c r="I1799">
        <v>535.01689999999996</v>
      </c>
    </row>
    <row r="1800" spans="1:9" x14ac:dyDescent="0.3">
      <c r="A1800" t="s">
        <v>9</v>
      </c>
      <c r="B1800" t="s">
        <v>1808</v>
      </c>
      <c r="C1800">
        <v>6</v>
      </c>
      <c r="D1800">
        <v>-2.3999999999999998E-3</v>
      </c>
      <c r="E1800">
        <v>5.9988820829878957</v>
      </c>
      <c r="F1800">
        <v>709.29390967555139</v>
      </c>
      <c r="G1800">
        <v>0.42399999999999999</v>
      </c>
      <c r="H1800">
        <v>0</v>
      </c>
      <c r="I1800">
        <v>535.21730000000002</v>
      </c>
    </row>
    <row r="1801" spans="1:9" x14ac:dyDescent="0.3">
      <c r="A1801" t="s">
        <v>9</v>
      </c>
      <c r="B1801" t="s">
        <v>1809</v>
      </c>
      <c r="C1801">
        <v>6</v>
      </c>
      <c r="D1801">
        <v>-1.4E-3</v>
      </c>
      <c r="E1801">
        <v>6.0073383648332106</v>
      </c>
      <c r="F1801">
        <v>710.09641082267171</v>
      </c>
      <c r="G1801">
        <v>0.42399999999999999</v>
      </c>
      <c r="H1801">
        <v>2.0000000000000001E-4</v>
      </c>
      <c r="I1801">
        <v>535.41740000000004</v>
      </c>
    </row>
    <row r="1802" spans="1:9" x14ac:dyDescent="0.3">
      <c r="A1802" t="s">
        <v>9</v>
      </c>
      <c r="B1802" t="s">
        <v>1810</v>
      </c>
      <c r="C1802">
        <v>6</v>
      </c>
      <c r="D1802">
        <v>-5.0000000000000001E-4</v>
      </c>
      <c r="E1802">
        <v>6.0209972795800812</v>
      </c>
      <c r="F1802">
        <v>711.39264183214971</v>
      </c>
      <c r="G1802">
        <v>0.42399999999999999</v>
      </c>
      <c r="H1802">
        <v>4.0000000000000002E-4</v>
      </c>
      <c r="I1802">
        <v>535.6164</v>
      </c>
    </row>
    <row r="1803" spans="1:9" x14ac:dyDescent="0.3">
      <c r="A1803" t="s">
        <v>9</v>
      </c>
      <c r="B1803" t="s">
        <v>1811</v>
      </c>
      <c r="C1803">
        <v>6</v>
      </c>
      <c r="D1803">
        <v>-1E-4</v>
      </c>
      <c r="E1803">
        <v>6.0397909218255954</v>
      </c>
      <c r="F1803">
        <v>713.17615848124899</v>
      </c>
      <c r="G1803">
        <v>0.42399999999999999</v>
      </c>
      <c r="H1803">
        <v>6.9999999999999999E-4</v>
      </c>
      <c r="I1803">
        <v>535.81489999999997</v>
      </c>
    </row>
    <row r="1804" spans="1:9" x14ac:dyDescent="0.3">
      <c r="A1804" t="s">
        <v>9</v>
      </c>
      <c r="B1804" t="s">
        <v>1812</v>
      </c>
      <c r="C1804">
        <v>6</v>
      </c>
      <c r="D1804">
        <v>1E-4</v>
      </c>
      <c r="E1804">
        <v>6.0644083891093166</v>
      </c>
      <c r="F1804">
        <v>715.51235612647417</v>
      </c>
      <c r="G1804">
        <v>0.42399999999999999</v>
      </c>
      <c r="H1804">
        <v>1.1000000000000001E-3</v>
      </c>
      <c r="I1804">
        <v>536.01900000000001</v>
      </c>
    </row>
    <row r="1805" spans="1:9" x14ac:dyDescent="0.3">
      <c r="A1805" t="s">
        <v>9</v>
      </c>
      <c r="B1805" t="s">
        <v>1813</v>
      </c>
      <c r="C1805">
        <v>6</v>
      </c>
      <c r="D1805">
        <v>6.9999999999999999E-4</v>
      </c>
      <c r="E1805">
        <v>6.0930186890562226</v>
      </c>
      <c r="F1805">
        <v>718.22747359143557</v>
      </c>
      <c r="G1805">
        <v>0.42399999999999999</v>
      </c>
      <c r="H1805">
        <v>1.5E-3</v>
      </c>
      <c r="I1805">
        <v>536.21510000000001</v>
      </c>
    </row>
    <row r="1806" spans="1:9" x14ac:dyDescent="0.3">
      <c r="A1806" t="s">
        <v>9</v>
      </c>
      <c r="B1806" t="s">
        <v>1814</v>
      </c>
      <c r="C1806">
        <v>6</v>
      </c>
      <c r="D1806">
        <v>8.9999999999999998E-4</v>
      </c>
      <c r="E1806">
        <v>6.1274393443030224</v>
      </c>
      <c r="F1806">
        <v>721.49399377435691</v>
      </c>
      <c r="G1806">
        <v>0.42399999999999999</v>
      </c>
      <c r="H1806">
        <v>2E-3</v>
      </c>
      <c r="I1806">
        <v>536.41690000000006</v>
      </c>
    </row>
    <row r="1807" spans="1:9" x14ac:dyDescent="0.3">
      <c r="A1807" t="s">
        <v>9</v>
      </c>
      <c r="B1807" t="s">
        <v>1815</v>
      </c>
      <c r="C1807">
        <v>6</v>
      </c>
      <c r="D1807">
        <v>1.1999999999999999E-3</v>
      </c>
      <c r="E1807">
        <v>6.1661094951977322</v>
      </c>
      <c r="F1807">
        <v>725.16379109426487</v>
      </c>
      <c r="G1807">
        <v>0.42399999999999999</v>
      </c>
      <c r="H1807">
        <v>2.5999999999999999E-3</v>
      </c>
      <c r="I1807">
        <v>536.6155</v>
      </c>
    </row>
    <row r="1808" spans="1:9" x14ac:dyDescent="0.3">
      <c r="A1808" t="s">
        <v>9</v>
      </c>
      <c r="B1808" t="s">
        <v>1816</v>
      </c>
      <c r="C1808">
        <v>6</v>
      </c>
      <c r="D1808">
        <v>2.3999999999999998E-3</v>
      </c>
      <c r="E1808">
        <v>6.2094231782151672</v>
      </c>
      <c r="F1808">
        <v>729.2742596126194</v>
      </c>
      <c r="G1808">
        <v>0.42399999999999999</v>
      </c>
      <c r="H1808">
        <v>3.3E-3</v>
      </c>
      <c r="I1808">
        <v>536.81439999999998</v>
      </c>
    </row>
    <row r="1809" spans="1:9" x14ac:dyDescent="0.3">
      <c r="A1809" t="s">
        <v>9</v>
      </c>
      <c r="B1809" t="s">
        <v>1817</v>
      </c>
      <c r="C1809">
        <v>6</v>
      </c>
      <c r="D1809">
        <v>3.0000000000000001E-3</v>
      </c>
      <c r="E1809">
        <v>6.2581277164945854</v>
      </c>
      <c r="F1809">
        <v>733.89632029533607</v>
      </c>
      <c r="G1809">
        <v>0.42399999999999999</v>
      </c>
      <c r="H1809">
        <v>4.1000000000000003E-3</v>
      </c>
      <c r="I1809">
        <v>537.01700000000005</v>
      </c>
    </row>
    <row r="1810" spans="1:9" x14ac:dyDescent="0.3">
      <c r="A1810" t="s">
        <v>9</v>
      </c>
      <c r="B1810" t="s">
        <v>1818</v>
      </c>
      <c r="C1810">
        <v>6</v>
      </c>
      <c r="D1810">
        <v>3.3999999999999998E-3</v>
      </c>
      <c r="E1810">
        <v>6.3102388578268904</v>
      </c>
      <c r="F1810">
        <v>738.8416676077718</v>
      </c>
      <c r="G1810">
        <v>0.42399999999999999</v>
      </c>
      <c r="H1810">
        <v>4.8999999999999998E-3</v>
      </c>
      <c r="I1810">
        <v>537.21590000000003</v>
      </c>
    </row>
    <row r="1811" spans="1:9" x14ac:dyDescent="0.3">
      <c r="A1811" t="s">
        <v>9</v>
      </c>
      <c r="B1811" t="s">
        <v>1819</v>
      </c>
      <c r="C1811">
        <v>6</v>
      </c>
      <c r="D1811">
        <v>4.4999999999999997E-3</v>
      </c>
      <c r="E1811">
        <v>6.36671185075192</v>
      </c>
      <c r="F1811">
        <v>744.20095463635721</v>
      </c>
      <c r="G1811">
        <v>0.42399999999999999</v>
      </c>
      <c r="H1811">
        <v>5.7999999999999996E-3</v>
      </c>
      <c r="I1811">
        <v>537.41600000000005</v>
      </c>
    </row>
    <row r="1812" spans="1:9" x14ac:dyDescent="0.3">
      <c r="A1812" t="s">
        <v>9</v>
      </c>
      <c r="B1812" t="s">
        <v>1820</v>
      </c>
      <c r="C1812">
        <v>6</v>
      </c>
      <c r="D1812">
        <v>5.4000000000000003E-3</v>
      </c>
      <c r="E1812">
        <v>6.4267683536180469</v>
      </c>
      <c r="F1812">
        <v>749.90031675835269</v>
      </c>
      <c r="G1812">
        <v>0.42399999999999999</v>
      </c>
      <c r="H1812">
        <v>6.7000000000000002E-3</v>
      </c>
      <c r="I1812">
        <v>537.61509999999998</v>
      </c>
    </row>
    <row r="1813" spans="1:9" x14ac:dyDescent="0.3">
      <c r="A1813" t="s">
        <v>9</v>
      </c>
      <c r="B1813" t="s">
        <v>1821</v>
      </c>
      <c r="C1813">
        <v>6</v>
      </c>
      <c r="D1813">
        <v>6.4999999999999997E-3</v>
      </c>
      <c r="E1813">
        <v>6.4915735271723642</v>
      </c>
      <c r="F1813">
        <v>756.05032772865741</v>
      </c>
      <c r="G1813">
        <v>0.42399999999999999</v>
      </c>
      <c r="H1813">
        <v>7.7000000000000002E-3</v>
      </c>
      <c r="I1813">
        <v>537.81759999999997</v>
      </c>
    </row>
    <row r="1814" spans="1:9" x14ac:dyDescent="0.3">
      <c r="A1814" t="s">
        <v>9</v>
      </c>
      <c r="B1814" t="s">
        <v>1822</v>
      </c>
      <c r="C1814">
        <v>6</v>
      </c>
      <c r="D1814">
        <v>7.4999999999999997E-3</v>
      </c>
      <c r="E1814">
        <v>6.5586542025754726</v>
      </c>
      <c r="F1814">
        <v>762.41628382441252</v>
      </c>
      <c r="G1814">
        <v>0.42399999999999999</v>
      </c>
      <c r="H1814">
        <v>8.6999999999999994E-3</v>
      </c>
      <c r="I1814">
        <v>538.01679999999999</v>
      </c>
    </row>
    <row r="1815" spans="1:9" x14ac:dyDescent="0.3">
      <c r="A1815" t="s">
        <v>9</v>
      </c>
      <c r="B1815" t="s">
        <v>1823</v>
      </c>
      <c r="C1815">
        <v>6</v>
      </c>
      <c r="D1815">
        <v>8.0000000000000002E-3</v>
      </c>
      <c r="E1815">
        <v>6.6285062705545812</v>
      </c>
      <c r="F1815">
        <v>769.04524507562974</v>
      </c>
      <c r="G1815">
        <v>0.42399999999999999</v>
      </c>
      <c r="H1815">
        <v>9.7999999999999997E-3</v>
      </c>
      <c r="I1815">
        <v>538.21500000000003</v>
      </c>
    </row>
    <row r="1816" spans="1:9" x14ac:dyDescent="0.3">
      <c r="A1816" t="s">
        <v>9</v>
      </c>
      <c r="B1816" t="s">
        <v>1824</v>
      </c>
      <c r="C1816">
        <v>6</v>
      </c>
      <c r="D1816">
        <v>8.8999999999999999E-3</v>
      </c>
      <c r="E1816">
        <v>6.7017618600088751</v>
      </c>
      <c r="F1816">
        <v>775.99720051484223</v>
      </c>
      <c r="G1816">
        <v>0.42399999999999999</v>
      </c>
      <c r="H1816">
        <v>1.0999999999999999E-2</v>
      </c>
      <c r="I1816">
        <v>538.41499999999996</v>
      </c>
    </row>
    <row r="1817" spans="1:9" x14ac:dyDescent="0.3">
      <c r="A1817" t="s">
        <v>9</v>
      </c>
      <c r="B1817" t="s">
        <v>1825</v>
      </c>
      <c r="C1817">
        <v>6</v>
      </c>
      <c r="D1817">
        <v>1.06E-2</v>
      </c>
      <c r="E1817">
        <v>6.7781428180038832</v>
      </c>
      <c r="F1817">
        <v>783.24575342856861</v>
      </c>
      <c r="G1817">
        <v>0.42399999999999999</v>
      </c>
      <c r="H1817">
        <v>1.2200000000000001E-2</v>
      </c>
      <c r="I1817">
        <v>538.6164</v>
      </c>
    </row>
    <row r="1818" spans="1:9" x14ac:dyDescent="0.3">
      <c r="A1818" t="s">
        <v>9</v>
      </c>
      <c r="B1818" t="s">
        <v>1826</v>
      </c>
      <c r="C1818">
        <v>6</v>
      </c>
      <c r="D1818">
        <v>1.1900000000000001E-2</v>
      </c>
      <c r="E1818">
        <v>6.856418135342718</v>
      </c>
      <c r="F1818">
        <v>790.67408104402398</v>
      </c>
      <c r="G1818">
        <v>0.42399999999999999</v>
      </c>
      <c r="H1818">
        <v>1.34E-2</v>
      </c>
      <c r="I1818">
        <v>538.81679999999994</v>
      </c>
    </row>
    <row r="1819" spans="1:9" x14ac:dyDescent="0.3">
      <c r="A1819" t="s">
        <v>9</v>
      </c>
      <c r="B1819" t="s">
        <v>1827</v>
      </c>
      <c r="C1819">
        <v>6</v>
      </c>
      <c r="D1819">
        <v>1.29E-2</v>
      </c>
      <c r="E1819">
        <v>6.9359905536106847</v>
      </c>
      <c r="F1819">
        <v>798.22550353765405</v>
      </c>
      <c r="G1819">
        <v>0.42399999999999999</v>
      </c>
      <c r="H1819">
        <v>1.46E-2</v>
      </c>
      <c r="I1819">
        <v>539.01570000000004</v>
      </c>
    </row>
    <row r="1820" spans="1:9" x14ac:dyDescent="0.3">
      <c r="A1820" t="s">
        <v>9</v>
      </c>
      <c r="B1820" t="s">
        <v>1828</v>
      </c>
      <c r="C1820">
        <v>6</v>
      </c>
      <c r="D1820">
        <v>1.4200000000000001E-2</v>
      </c>
      <c r="E1820">
        <v>7.017167825107002</v>
      </c>
      <c r="F1820">
        <v>805.92922660265458</v>
      </c>
      <c r="G1820">
        <v>0.42399999999999999</v>
      </c>
      <c r="H1820">
        <v>1.5900000000000001E-2</v>
      </c>
      <c r="I1820">
        <v>539.21450000000004</v>
      </c>
    </row>
    <row r="1821" spans="1:9" x14ac:dyDescent="0.3">
      <c r="A1821" t="s">
        <v>9</v>
      </c>
      <c r="B1821" t="s">
        <v>1829</v>
      </c>
      <c r="C1821">
        <v>6</v>
      </c>
      <c r="D1821">
        <v>1.4999999999999999E-2</v>
      </c>
      <c r="E1821">
        <v>7.1010520193300746</v>
      </c>
      <c r="F1821">
        <v>813.88983663442411</v>
      </c>
      <c r="G1821">
        <v>0.42399999999999999</v>
      </c>
      <c r="H1821">
        <v>1.72E-2</v>
      </c>
      <c r="I1821">
        <v>539.41669999999999</v>
      </c>
    </row>
    <row r="1822" spans="1:9" x14ac:dyDescent="0.3">
      <c r="A1822" t="s">
        <v>9</v>
      </c>
      <c r="B1822" t="s">
        <v>1830</v>
      </c>
      <c r="C1822">
        <v>6</v>
      </c>
      <c r="D1822">
        <v>1.67E-2</v>
      </c>
      <c r="E1822">
        <v>7.1841901473732142</v>
      </c>
      <c r="F1822">
        <v>821.77964498571805</v>
      </c>
      <c r="G1822">
        <v>0.42399999999999999</v>
      </c>
      <c r="H1822">
        <v>1.8499999999999999E-2</v>
      </c>
      <c r="I1822">
        <v>539.61490000000003</v>
      </c>
    </row>
    <row r="1823" spans="1:9" x14ac:dyDescent="0.3">
      <c r="A1823" t="s">
        <v>9</v>
      </c>
      <c r="B1823" t="s">
        <v>1831</v>
      </c>
      <c r="C1823">
        <v>6</v>
      </c>
      <c r="D1823">
        <v>1.8100000000000002E-2</v>
      </c>
      <c r="E1823">
        <v>7.2686184833427374</v>
      </c>
      <c r="F1823">
        <v>829.7918940692258</v>
      </c>
      <c r="G1823">
        <v>0.42399999999999999</v>
      </c>
      <c r="H1823">
        <v>1.9800000000000002E-2</v>
      </c>
      <c r="I1823">
        <v>539.81460000000004</v>
      </c>
    </row>
    <row r="1824" spans="1:9" x14ac:dyDescent="0.3">
      <c r="A1824" t="s">
        <v>9</v>
      </c>
      <c r="B1824" t="s">
        <v>1832</v>
      </c>
      <c r="C1824">
        <v>6</v>
      </c>
      <c r="D1824">
        <v>1.9300000000000001E-2</v>
      </c>
      <c r="E1824">
        <v>7.354758311347851</v>
      </c>
      <c r="F1824">
        <v>837.96656374691111</v>
      </c>
      <c r="G1824">
        <v>0.42399999999999999</v>
      </c>
      <c r="H1824">
        <v>2.1100000000000001E-2</v>
      </c>
      <c r="I1824">
        <v>540.01750000000004</v>
      </c>
    </row>
    <row r="1825" spans="1:9" x14ac:dyDescent="0.3">
      <c r="A1825" t="s">
        <v>9</v>
      </c>
      <c r="B1825" t="s">
        <v>1833</v>
      </c>
      <c r="C1825">
        <v>6</v>
      </c>
      <c r="D1825">
        <v>2.07E-2</v>
      </c>
      <c r="E1825">
        <v>7.4395515709923403</v>
      </c>
      <c r="F1825">
        <v>846.01344408717318</v>
      </c>
      <c r="G1825">
        <v>0.42399999999999999</v>
      </c>
      <c r="H1825">
        <v>2.24E-2</v>
      </c>
      <c r="I1825">
        <v>540.2174</v>
      </c>
    </row>
    <row r="1826" spans="1:9" x14ac:dyDescent="0.3">
      <c r="A1826" t="s">
        <v>9</v>
      </c>
      <c r="B1826" t="s">
        <v>1834</v>
      </c>
      <c r="C1826">
        <v>6</v>
      </c>
      <c r="D1826">
        <v>2.23E-2</v>
      </c>
      <c r="E1826">
        <v>7.5236543139496401</v>
      </c>
      <c r="F1826">
        <v>853.99479439382094</v>
      </c>
      <c r="G1826">
        <v>0.42399999999999999</v>
      </c>
      <c r="H1826">
        <v>2.3699999999999999E-2</v>
      </c>
      <c r="I1826">
        <v>540.41650000000004</v>
      </c>
    </row>
    <row r="1827" spans="1:9" x14ac:dyDescent="0.3">
      <c r="A1827" t="s">
        <v>9</v>
      </c>
      <c r="B1827" t="s">
        <v>1835</v>
      </c>
      <c r="C1827">
        <v>6</v>
      </c>
      <c r="D1827">
        <v>2.3400000000000001E-2</v>
      </c>
      <c r="E1827">
        <v>7.6067024274862893</v>
      </c>
      <c r="F1827">
        <v>861.87606036844886</v>
      </c>
      <c r="G1827">
        <v>0.42399999999999999</v>
      </c>
      <c r="H1827">
        <v>2.5000000000000001E-2</v>
      </c>
      <c r="I1827">
        <v>540.61469999999997</v>
      </c>
    </row>
    <row r="1828" spans="1:9" x14ac:dyDescent="0.3">
      <c r="A1828" t="s">
        <v>9</v>
      </c>
      <c r="B1828" t="s">
        <v>1836</v>
      </c>
      <c r="C1828">
        <v>6</v>
      </c>
      <c r="D1828">
        <v>2.46E-2</v>
      </c>
      <c r="E1828">
        <v>7.6894440051359663</v>
      </c>
      <c r="F1828">
        <v>869.72823608740327</v>
      </c>
      <c r="G1828">
        <v>0.42399999999999999</v>
      </c>
      <c r="H1828">
        <v>2.63E-2</v>
      </c>
      <c r="I1828">
        <v>540.81460000000004</v>
      </c>
    </row>
    <row r="1829" spans="1:9" x14ac:dyDescent="0.3">
      <c r="A1829" t="s">
        <v>9</v>
      </c>
      <c r="B1829" t="s">
        <v>1837</v>
      </c>
      <c r="C1829">
        <v>6</v>
      </c>
      <c r="D1829">
        <v>2.5899999999999999E-2</v>
      </c>
      <c r="E1829">
        <v>7.7715408842932012</v>
      </c>
      <c r="F1829">
        <v>877.51922991942479</v>
      </c>
      <c r="G1829">
        <v>0.42399999999999999</v>
      </c>
      <c r="H1829">
        <v>2.76E-2</v>
      </c>
      <c r="I1829">
        <v>541.0163</v>
      </c>
    </row>
    <row r="1830" spans="1:9" x14ac:dyDescent="0.3">
      <c r="A1830" t="s">
        <v>9</v>
      </c>
      <c r="B1830" t="s">
        <v>1838</v>
      </c>
      <c r="C1830">
        <v>6</v>
      </c>
      <c r="D1830">
        <v>2.7300000000000001E-2</v>
      </c>
      <c r="E1830">
        <v>7.8506924239227054</v>
      </c>
      <c r="F1830">
        <v>885.0307110302648</v>
      </c>
      <c r="G1830">
        <v>0.42399999999999999</v>
      </c>
      <c r="H1830">
        <v>2.8799999999999999E-2</v>
      </c>
      <c r="I1830">
        <v>541.21479999999997</v>
      </c>
    </row>
    <row r="1831" spans="1:9" x14ac:dyDescent="0.3">
      <c r="A1831" t="s">
        <v>9</v>
      </c>
      <c r="B1831" t="s">
        <v>1839</v>
      </c>
      <c r="C1831">
        <v>6</v>
      </c>
      <c r="D1831">
        <v>2.8500000000000001E-2</v>
      </c>
      <c r="E1831">
        <v>7.9288732665767974</v>
      </c>
      <c r="F1831">
        <v>892.45007299813813</v>
      </c>
      <c r="G1831">
        <v>0.42399999999999999</v>
      </c>
      <c r="H1831">
        <v>0.03</v>
      </c>
      <c r="I1831">
        <v>541.41589999999997</v>
      </c>
    </row>
    <row r="1832" spans="1:9" x14ac:dyDescent="0.3">
      <c r="A1832" t="s">
        <v>9</v>
      </c>
      <c r="B1832" t="s">
        <v>1840</v>
      </c>
      <c r="C1832">
        <v>6</v>
      </c>
      <c r="D1832">
        <v>2.9499999999999998E-2</v>
      </c>
      <c r="E1832">
        <v>8.004427469712633</v>
      </c>
      <c r="F1832">
        <v>899.62016687572896</v>
      </c>
      <c r="G1832">
        <v>0.42399999999999999</v>
      </c>
      <c r="H1832">
        <v>3.1199999999999999E-2</v>
      </c>
      <c r="I1832">
        <v>541.61609999999996</v>
      </c>
    </row>
    <row r="1833" spans="1:9" x14ac:dyDescent="0.3">
      <c r="A1833" t="s">
        <v>9</v>
      </c>
      <c r="B1833" t="s">
        <v>1841</v>
      </c>
      <c r="C1833">
        <v>6</v>
      </c>
      <c r="D1833">
        <v>3.0700000000000002E-2</v>
      </c>
      <c r="E1833">
        <v>8.0774166648842005</v>
      </c>
      <c r="F1833">
        <v>906.54684149751063</v>
      </c>
      <c r="G1833">
        <v>0.42399999999999999</v>
      </c>
      <c r="H1833">
        <v>3.2300000000000002E-2</v>
      </c>
      <c r="I1833">
        <v>541.81650000000002</v>
      </c>
    </row>
    <row r="1834" spans="1:9" x14ac:dyDescent="0.3">
      <c r="A1834" t="s">
        <v>9</v>
      </c>
      <c r="B1834" t="s">
        <v>1842</v>
      </c>
      <c r="C1834">
        <v>6</v>
      </c>
      <c r="D1834">
        <v>3.1600000000000003E-2</v>
      </c>
      <c r="E1834">
        <v>8.147032343416079</v>
      </c>
      <c r="F1834">
        <v>913.15336939018596</v>
      </c>
      <c r="G1834">
        <v>0.42399999999999999</v>
      </c>
      <c r="H1834">
        <v>3.3399999999999999E-2</v>
      </c>
      <c r="I1834">
        <v>542.0154</v>
      </c>
    </row>
    <row r="1835" spans="1:9" x14ac:dyDescent="0.3">
      <c r="A1835" t="s">
        <v>9</v>
      </c>
      <c r="B1835" t="s">
        <v>1843</v>
      </c>
      <c r="C1835">
        <v>6</v>
      </c>
      <c r="D1835">
        <v>3.3099999999999997E-2</v>
      </c>
      <c r="E1835">
        <v>8.2145691734128956</v>
      </c>
      <c r="F1835">
        <v>919.56261455688389</v>
      </c>
      <c r="G1835">
        <v>0.42399999999999999</v>
      </c>
      <c r="H1835">
        <v>3.4500000000000003E-2</v>
      </c>
      <c r="I1835">
        <v>542.21759999999995</v>
      </c>
    </row>
    <row r="1836" spans="1:9" x14ac:dyDescent="0.3">
      <c r="A1836" t="s">
        <v>9</v>
      </c>
      <c r="B1836" t="s">
        <v>1844</v>
      </c>
      <c r="C1836">
        <v>6</v>
      </c>
      <c r="D1836">
        <v>3.4200000000000001E-2</v>
      </c>
      <c r="E1836">
        <v>8.27778733445186</v>
      </c>
      <c r="F1836">
        <v>925.56201803948159</v>
      </c>
      <c r="G1836">
        <v>0.42399999999999999</v>
      </c>
      <c r="H1836">
        <v>3.5499999999999997E-2</v>
      </c>
      <c r="I1836">
        <v>542.4171</v>
      </c>
    </row>
    <row r="1837" spans="1:9" x14ac:dyDescent="0.3">
      <c r="A1837" t="s">
        <v>9</v>
      </c>
      <c r="B1837" t="s">
        <v>1845</v>
      </c>
      <c r="C1837">
        <v>6</v>
      </c>
      <c r="D1837">
        <v>3.4799999999999998E-2</v>
      </c>
      <c r="E1837">
        <v>8.3376469812688789</v>
      </c>
      <c r="F1837">
        <v>931.24269852241662</v>
      </c>
      <c r="G1837">
        <v>0.42399999999999999</v>
      </c>
      <c r="H1837">
        <v>3.6400000000000002E-2</v>
      </c>
      <c r="I1837">
        <v>542.61760000000004</v>
      </c>
    </row>
    <row r="1838" spans="1:9" x14ac:dyDescent="0.3">
      <c r="A1838" t="s">
        <v>9</v>
      </c>
      <c r="B1838" t="s">
        <v>1846</v>
      </c>
      <c r="C1838">
        <v>6</v>
      </c>
      <c r="D1838">
        <v>3.5999999999999997E-2</v>
      </c>
      <c r="E1838">
        <v>8.3932130983145434</v>
      </c>
      <c r="F1838">
        <v>936.5159230300502</v>
      </c>
      <c r="G1838">
        <v>0.42399999999999999</v>
      </c>
      <c r="H1838">
        <v>3.73E-2</v>
      </c>
      <c r="I1838">
        <v>542.81669999999997</v>
      </c>
    </row>
    <row r="1839" spans="1:9" x14ac:dyDescent="0.3">
      <c r="A1839" t="s">
        <v>9</v>
      </c>
      <c r="B1839" t="s">
        <v>1847</v>
      </c>
      <c r="C1839">
        <v>6</v>
      </c>
      <c r="D1839">
        <v>3.6900000000000002E-2</v>
      </c>
      <c r="E1839">
        <v>8.4445302873713466</v>
      </c>
      <c r="F1839">
        <v>941.38592427154083</v>
      </c>
      <c r="G1839">
        <v>0.42399999999999999</v>
      </c>
      <c r="H1839">
        <v>3.7999999999999999E-2</v>
      </c>
      <c r="I1839">
        <v>543.01520000000005</v>
      </c>
    </row>
    <row r="1840" spans="1:9" x14ac:dyDescent="0.3">
      <c r="A1840" t="s">
        <v>9</v>
      </c>
      <c r="B1840" t="s">
        <v>1848</v>
      </c>
      <c r="C1840">
        <v>6</v>
      </c>
      <c r="D1840">
        <v>3.7999999999999999E-2</v>
      </c>
      <c r="E1840">
        <v>8.4923056894272229</v>
      </c>
      <c r="F1840">
        <v>945.91980992664355</v>
      </c>
      <c r="G1840">
        <v>0.42399999999999999</v>
      </c>
      <c r="H1840">
        <v>3.8800000000000001E-2</v>
      </c>
      <c r="I1840">
        <v>543.21690000000001</v>
      </c>
    </row>
    <row r="1841" spans="1:9" x14ac:dyDescent="0.3">
      <c r="A1841" t="s">
        <v>9</v>
      </c>
      <c r="B1841" t="s">
        <v>1849</v>
      </c>
      <c r="C1841">
        <v>6</v>
      </c>
      <c r="D1841">
        <v>3.8699999999999998E-2</v>
      </c>
      <c r="E1841">
        <v>8.5351306990968023</v>
      </c>
      <c r="F1841">
        <v>949.98390334428655</v>
      </c>
      <c r="G1841">
        <v>0.42399999999999999</v>
      </c>
      <c r="H1841">
        <v>3.95E-2</v>
      </c>
      <c r="I1841">
        <v>543.41690000000006</v>
      </c>
    </row>
    <row r="1842" spans="1:9" x14ac:dyDescent="0.3">
      <c r="A1842" t="s">
        <v>9</v>
      </c>
      <c r="B1842" t="s">
        <v>1850</v>
      </c>
      <c r="C1842">
        <v>6</v>
      </c>
      <c r="D1842">
        <v>3.9399999999999998E-2</v>
      </c>
      <c r="E1842">
        <v>8.5730349157448327</v>
      </c>
      <c r="F1842">
        <v>953.58101350418463</v>
      </c>
      <c r="G1842">
        <v>0.42399999999999999</v>
      </c>
      <c r="H1842">
        <v>0.04</v>
      </c>
      <c r="I1842">
        <v>543.6155</v>
      </c>
    </row>
    <row r="1843" spans="1:9" x14ac:dyDescent="0.3">
      <c r="A1843" t="s">
        <v>9</v>
      </c>
      <c r="B1843" t="s">
        <v>1851</v>
      </c>
      <c r="C1843">
        <v>6</v>
      </c>
      <c r="D1843">
        <v>0.04</v>
      </c>
      <c r="E1843">
        <v>8.6066541175072562</v>
      </c>
      <c r="F1843">
        <v>956.77147575143863</v>
      </c>
      <c r="G1843">
        <v>0.42399999999999999</v>
      </c>
      <c r="H1843">
        <v>4.0599999999999997E-2</v>
      </c>
      <c r="I1843">
        <v>543.81730000000005</v>
      </c>
    </row>
    <row r="1844" spans="1:9" x14ac:dyDescent="0.3">
      <c r="A1844" t="s">
        <v>9</v>
      </c>
      <c r="B1844" t="s">
        <v>1852</v>
      </c>
      <c r="C1844">
        <v>6</v>
      </c>
      <c r="D1844">
        <v>4.0500000000000001E-2</v>
      </c>
      <c r="E1844">
        <v>8.6348055462064277</v>
      </c>
      <c r="F1844">
        <v>959.44304633499007</v>
      </c>
      <c r="G1844">
        <v>0.42399999999999999</v>
      </c>
      <c r="H1844">
        <v>4.1000000000000002E-2</v>
      </c>
      <c r="I1844">
        <v>544.01599999999996</v>
      </c>
    </row>
    <row r="1845" spans="1:9" x14ac:dyDescent="0.3">
      <c r="A1845" t="s">
        <v>9</v>
      </c>
      <c r="B1845" t="s">
        <v>1853</v>
      </c>
      <c r="C1845">
        <v>6</v>
      </c>
      <c r="D1845">
        <v>4.1300000000000003E-2</v>
      </c>
      <c r="E1845">
        <v>8.6580548335385501</v>
      </c>
      <c r="F1845">
        <v>961.6494037028084</v>
      </c>
      <c r="G1845">
        <v>0.42399999999999999</v>
      </c>
      <c r="H1845">
        <v>4.1399999999999999E-2</v>
      </c>
      <c r="I1845">
        <v>544.21569999999997</v>
      </c>
    </row>
    <row r="1846" spans="1:9" x14ac:dyDescent="0.3">
      <c r="A1846" t="s">
        <v>9</v>
      </c>
      <c r="B1846" t="s">
        <v>1854</v>
      </c>
      <c r="C1846">
        <v>6</v>
      </c>
      <c r="D1846">
        <v>4.2500000000000003E-2</v>
      </c>
      <c r="E1846">
        <v>8.6761153116833967</v>
      </c>
      <c r="F1846">
        <v>963.36334307875438</v>
      </c>
      <c r="G1846">
        <v>0.42399999999999999</v>
      </c>
      <c r="H1846">
        <v>4.1599999999999998E-2</v>
      </c>
      <c r="I1846">
        <v>544.41499999999996</v>
      </c>
    </row>
    <row r="1847" spans="1:9" x14ac:dyDescent="0.3">
      <c r="A1847" t="s">
        <v>9</v>
      </c>
      <c r="B1847" t="s">
        <v>1855</v>
      </c>
      <c r="C1847">
        <v>6</v>
      </c>
      <c r="D1847">
        <v>4.2999999999999997E-2</v>
      </c>
      <c r="E1847">
        <v>8.6890088760614681</v>
      </c>
      <c r="F1847">
        <v>964.58694233823337</v>
      </c>
      <c r="G1847">
        <v>0.42399999999999999</v>
      </c>
      <c r="H1847">
        <v>4.1799999999999997E-2</v>
      </c>
      <c r="I1847">
        <v>544.61519999999996</v>
      </c>
    </row>
    <row r="1848" spans="1:9" x14ac:dyDescent="0.3">
      <c r="A1848" t="s">
        <v>9</v>
      </c>
      <c r="B1848" t="s">
        <v>1856</v>
      </c>
      <c r="C1848">
        <v>6</v>
      </c>
      <c r="D1848">
        <v>4.3099999999999999E-2</v>
      </c>
      <c r="E1848">
        <v>8.6965992885007708</v>
      </c>
      <c r="F1848">
        <v>965.30727247872323</v>
      </c>
      <c r="G1848">
        <v>0.42399999999999999</v>
      </c>
      <c r="H1848">
        <v>4.2000000000000003E-2</v>
      </c>
      <c r="I1848">
        <v>544.81539999999995</v>
      </c>
    </row>
    <row r="1849" spans="1:9" x14ac:dyDescent="0.3">
      <c r="A1849" t="s">
        <v>9</v>
      </c>
      <c r="B1849" t="s">
        <v>1857</v>
      </c>
      <c r="C1849">
        <v>6</v>
      </c>
      <c r="D1849">
        <v>4.3200000000000002E-2</v>
      </c>
      <c r="E1849">
        <v>8.6988500566338178</v>
      </c>
      <c r="F1849">
        <v>965.52087037454942</v>
      </c>
      <c r="G1849">
        <v>0.42399999999999999</v>
      </c>
      <c r="H1849">
        <v>4.2000000000000003E-2</v>
      </c>
      <c r="I1849">
        <v>545.01819999999998</v>
      </c>
    </row>
    <row r="1850" spans="1:9" x14ac:dyDescent="0.3">
      <c r="A1850" t="s">
        <v>9</v>
      </c>
      <c r="B1850" t="s">
        <v>1858</v>
      </c>
      <c r="C1850">
        <v>6</v>
      </c>
      <c r="D1850">
        <v>4.3200000000000002E-2</v>
      </c>
      <c r="E1850">
        <v>8.6957522601041006</v>
      </c>
      <c r="F1850">
        <v>858.4441106417022</v>
      </c>
      <c r="G1850">
        <v>0.42399999999999999</v>
      </c>
      <c r="H1850">
        <v>4.2000000000000003E-2</v>
      </c>
      <c r="I1850">
        <v>545.21630000000005</v>
      </c>
    </row>
    <row r="1851" spans="1:9" x14ac:dyDescent="0.3">
      <c r="A1851" t="s">
        <v>9</v>
      </c>
      <c r="B1851" t="s">
        <v>1859</v>
      </c>
      <c r="C1851">
        <v>6</v>
      </c>
      <c r="D1851">
        <v>4.24E-2</v>
      </c>
      <c r="E1851">
        <v>8.6873703687608685</v>
      </c>
      <c r="F1851">
        <v>857.66291836851292</v>
      </c>
      <c r="G1851">
        <v>0.42399999999999999</v>
      </c>
      <c r="H1851">
        <v>4.1799999999999997E-2</v>
      </c>
      <c r="I1851">
        <v>545.41549999999995</v>
      </c>
    </row>
    <row r="1852" spans="1:9" x14ac:dyDescent="0.3">
      <c r="A1852" t="s">
        <v>9</v>
      </c>
      <c r="B1852" t="s">
        <v>1860</v>
      </c>
      <c r="C1852">
        <v>6</v>
      </c>
      <c r="D1852">
        <v>4.2099999999999999E-2</v>
      </c>
      <c r="E1852">
        <v>8.6735778757301283</v>
      </c>
      <c r="F1852">
        <v>856.37745801804795</v>
      </c>
      <c r="G1852">
        <v>0.42399999999999999</v>
      </c>
      <c r="H1852">
        <v>4.1599999999999998E-2</v>
      </c>
      <c r="I1852">
        <v>545.61680000000001</v>
      </c>
    </row>
    <row r="1853" spans="1:9" x14ac:dyDescent="0.3">
      <c r="A1853" t="s">
        <v>9</v>
      </c>
      <c r="B1853" t="s">
        <v>1861</v>
      </c>
      <c r="C1853">
        <v>6</v>
      </c>
      <c r="D1853">
        <v>4.19E-2</v>
      </c>
      <c r="E1853">
        <v>8.6547644384026032</v>
      </c>
      <c r="F1853">
        <v>854.62404565912266</v>
      </c>
      <c r="G1853">
        <v>0.42399999999999999</v>
      </c>
      <c r="H1853">
        <v>4.1300000000000003E-2</v>
      </c>
      <c r="I1853">
        <v>545.81539999999995</v>
      </c>
    </row>
    <row r="1854" spans="1:9" x14ac:dyDescent="0.3">
      <c r="A1854" t="s">
        <v>9</v>
      </c>
      <c r="B1854" t="s">
        <v>1862</v>
      </c>
      <c r="C1854">
        <v>6</v>
      </c>
      <c r="D1854">
        <v>4.1700000000000001E-2</v>
      </c>
      <c r="E1854">
        <v>8.6306855579160544</v>
      </c>
      <c r="F1854">
        <v>852.37989399777632</v>
      </c>
      <c r="G1854">
        <v>0.42399999999999999</v>
      </c>
      <c r="H1854">
        <v>4.0899999999999999E-2</v>
      </c>
      <c r="I1854">
        <v>546.0154</v>
      </c>
    </row>
    <row r="1855" spans="1:9" x14ac:dyDescent="0.3">
      <c r="A1855" t="s">
        <v>9</v>
      </c>
      <c r="B1855" t="s">
        <v>1863</v>
      </c>
      <c r="C1855">
        <v>6</v>
      </c>
      <c r="D1855">
        <v>4.1700000000000001E-2</v>
      </c>
      <c r="E1855">
        <v>8.601297848900245</v>
      </c>
      <c r="F1855">
        <v>849.64095951750289</v>
      </c>
      <c r="G1855">
        <v>0.42399999999999999</v>
      </c>
      <c r="H1855">
        <v>4.0500000000000001E-2</v>
      </c>
      <c r="I1855">
        <v>546.21690000000001</v>
      </c>
    </row>
    <row r="1856" spans="1:9" x14ac:dyDescent="0.3">
      <c r="A1856" t="s">
        <v>9</v>
      </c>
      <c r="B1856" t="s">
        <v>1864</v>
      </c>
      <c r="C1856">
        <v>6</v>
      </c>
      <c r="D1856">
        <v>4.1000000000000002E-2</v>
      </c>
      <c r="E1856">
        <v>8.567045301826381</v>
      </c>
      <c r="F1856">
        <v>846.44862213021872</v>
      </c>
      <c r="G1856">
        <v>0.42399999999999999</v>
      </c>
      <c r="H1856">
        <v>0.04</v>
      </c>
      <c r="I1856">
        <v>546.41750000000002</v>
      </c>
    </row>
    <row r="1857" spans="1:9" x14ac:dyDescent="0.3">
      <c r="A1857" t="s">
        <v>9</v>
      </c>
      <c r="B1857" t="s">
        <v>1865</v>
      </c>
      <c r="C1857">
        <v>6</v>
      </c>
      <c r="D1857">
        <v>4.1000000000000002E-2</v>
      </c>
      <c r="E1857">
        <v>8.5283897478786717</v>
      </c>
      <c r="F1857">
        <v>842.84592450229218</v>
      </c>
      <c r="G1857">
        <v>0.42399999999999999</v>
      </c>
      <c r="H1857">
        <v>3.9399999999999998E-2</v>
      </c>
      <c r="I1857">
        <v>546.61599999999999</v>
      </c>
    </row>
    <row r="1858" spans="1:9" x14ac:dyDescent="0.3">
      <c r="A1858" t="s">
        <v>9</v>
      </c>
      <c r="B1858" t="s">
        <v>1866</v>
      </c>
      <c r="C1858">
        <v>6</v>
      </c>
      <c r="D1858">
        <v>4.0399999999999998E-2</v>
      </c>
      <c r="E1858">
        <v>8.4847858288984117</v>
      </c>
      <c r="F1858">
        <v>838.78203925333196</v>
      </c>
      <c r="G1858">
        <v>0.42399999999999999</v>
      </c>
      <c r="H1858">
        <v>3.8699999999999998E-2</v>
      </c>
      <c r="I1858">
        <v>546.81610000000001</v>
      </c>
    </row>
    <row r="1859" spans="1:9" x14ac:dyDescent="0.3">
      <c r="A1859" t="s">
        <v>9</v>
      </c>
      <c r="B1859" t="s">
        <v>1867</v>
      </c>
      <c r="C1859">
        <v>6</v>
      </c>
      <c r="D1859">
        <v>4.0399999999999998E-2</v>
      </c>
      <c r="E1859">
        <v>8.4366779408275647</v>
      </c>
      <c r="F1859">
        <v>834.2983840851291</v>
      </c>
      <c r="G1859">
        <v>0.42399999999999999</v>
      </c>
      <c r="H1859">
        <v>3.7900000000000003E-2</v>
      </c>
      <c r="I1859">
        <v>547.01620000000003</v>
      </c>
    </row>
    <row r="1860" spans="1:9" x14ac:dyDescent="0.3">
      <c r="A1860" t="s">
        <v>9</v>
      </c>
      <c r="B1860" t="s">
        <v>1868</v>
      </c>
      <c r="C1860">
        <v>6</v>
      </c>
      <c r="D1860">
        <v>3.9600000000000003E-2</v>
      </c>
      <c r="E1860">
        <v>8.3842530056818649</v>
      </c>
      <c r="F1860">
        <v>829.41238012954989</v>
      </c>
      <c r="G1860">
        <v>0.42399999999999999</v>
      </c>
      <c r="H1860">
        <v>3.7100000000000001E-2</v>
      </c>
      <c r="I1860">
        <v>547.21640000000002</v>
      </c>
    </row>
    <row r="1861" spans="1:9" x14ac:dyDescent="0.3">
      <c r="A1861" t="s">
        <v>9</v>
      </c>
      <c r="B1861" t="s">
        <v>1869</v>
      </c>
      <c r="C1861">
        <v>6</v>
      </c>
      <c r="D1861">
        <v>3.9600000000000003E-2</v>
      </c>
      <c r="E1861">
        <v>8.3274165487765668</v>
      </c>
      <c r="F1861">
        <v>824.11522234597601</v>
      </c>
      <c r="G1861">
        <v>0.42399999999999999</v>
      </c>
      <c r="H1861">
        <v>3.6200000000000003E-2</v>
      </c>
      <c r="I1861">
        <v>547.41759999999999</v>
      </c>
    </row>
    <row r="1862" spans="1:9" x14ac:dyDescent="0.3">
      <c r="A1862" t="s">
        <v>9</v>
      </c>
      <c r="B1862" t="s">
        <v>1870</v>
      </c>
      <c r="C1862">
        <v>6</v>
      </c>
      <c r="D1862">
        <v>3.9399999999999998E-2</v>
      </c>
      <c r="E1862">
        <v>8.2677073316077827</v>
      </c>
      <c r="F1862">
        <v>818.55032330584538</v>
      </c>
      <c r="G1862">
        <v>0.42399999999999999</v>
      </c>
      <c r="H1862">
        <v>3.5299999999999998E-2</v>
      </c>
      <c r="I1862">
        <v>547.6155</v>
      </c>
    </row>
    <row r="1863" spans="1:9" x14ac:dyDescent="0.3">
      <c r="A1863" t="s">
        <v>9</v>
      </c>
      <c r="B1863" t="s">
        <v>1871</v>
      </c>
      <c r="C1863">
        <v>6</v>
      </c>
      <c r="D1863">
        <v>3.8300000000000001E-2</v>
      </c>
      <c r="E1863">
        <v>8.2031981517009367</v>
      </c>
      <c r="F1863">
        <v>812.53806773852727</v>
      </c>
      <c r="G1863">
        <v>0.42399999999999999</v>
      </c>
      <c r="H1863">
        <v>3.4299999999999997E-2</v>
      </c>
      <c r="I1863">
        <v>547.81709999999998</v>
      </c>
    </row>
    <row r="1864" spans="1:9" x14ac:dyDescent="0.3">
      <c r="A1864" t="s">
        <v>9</v>
      </c>
      <c r="B1864" t="s">
        <v>1872</v>
      </c>
      <c r="C1864">
        <v>6</v>
      </c>
      <c r="D1864">
        <v>3.73E-2</v>
      </c>
      <c r="E1864">
        <v>8.1356061776821242</v>
      </c>
      <c r="F1864">
        <v>806.23849575997406</v>
      </c>
      <c r="G1864">
        <v>0.42399999999999999</v>
      </c>
      <c r="H1864">
        <v>3.32E-2</v>
      </c>
      <c r="I1864">
        <v>548.01779999999997</v>
      </c>
    </row>
    <row r="1865" spans="1:9" x14ac:dyDescent="0.3">
      <c r="A1865" t="s">
        <v>9</v>
      </c>
      <c r="B1865" t="s">
        <v>1873</v>
      </c>
      <c r="C1865">
        <v>6</v>
      </c>
      <c r="D1865">
        <v>3.6200000000000003E-2</v>
      </c>
      <c r="E1865">
        <v>8.0650757571383309</v>
      </c>
      <c r="F1865">
        <v>799.66506056529249</v>
      </c>
      <c r="G1865">
        <v>0.42399999999999999</v>
      </c>
      <c r="H1865">
        <v>3.2199999999999999E-2</v>
      </c>
      <c r="I1865">
        <v>548.21789999999999</v>
      </c>
    </row>
    <row r="1866" spans="1:9" x14ac:dyDescent="0.3">
      <c r="A1866" t="s">
        <v>9</v>
      </c>
      <c r="B1866" t="s">
        <v>1874</v>
      </c>
      <c r="C1866">
        <v>6</v>
      </c>
      <c r="D1866">
        <v>3.4799999999999998E-2</v>
      </c>
      <c r="E1866">
        <v>7.9912014193195926</v>
      </c>
      <c r="F1866">
        <v>792.77997228058609</v>
      </c>
      <c r="G1866">
        <v>0.42399999999999999</v>
      </c>
      <c r="H1866">
        <v>3.1E-2</v>
      </c>
      <c r="I1866">
        <v>548.4194</v>
      </c>
    </row>
    <row r="1867" spans="1:9" x14ac:dyDescent="0.3">
      <c r="A1867" t="s">
        <v>9</v>
      </c>
      <c r="B1867" t="s">
        <v>1875</v>
      </c>
      <c r="C1867">
        <v>6</v>
      </c>
      <c r="D1867">
        <v>3.3599999999999998E-2</v>
      </c>
      <c r="E1867">
        <v>7.9154412370427787</v>
      </c>
      <c r="F1867">
        <v>785.71912329238705</v>
      </c>
      <c r="G1867">
        <v>0.42399999999999999</v>
      </c>
      <c r="H1867">
        <v>2.98E-2</v>
      </c>
      <c r="I1867">
        <v>548.61900000000003</v>
      </c>
    </row>
    <row r="1868" spans="1:9" x14ac:dyDescent="0.3">
      <c r="A1868" t="s">
        <v>9</v>
      </c>
      <c r="B1868" t="s">
        <v>1876</v>
      </c>
      <c r="C1868">
        <v>6</v>
      </c>
      <c r="D1868">
        <v>3.2099999999999997E-2</v>
      </c>
      <c r="E1868">
        <v>7.8386373730555583</v>
      </c>
      <c r="F1868">
        <v>778.56100316877803</v>
      </c>
      <c r="G1868">
        <v>0.42399999999999999</v>
      </c>
      <c r="H1868">
        <v>2.86E-2</v>
      </c>
      <c r="I1868">
        <v>548.81569999999999</v>
      </c>
    </row>
    <row r="1869" spans="1:9" x14ac:dyDescent="0.3">
      <c r="A1869" t="s">
        <v>9</v>
      </c>
      <c r="B1869" t="s">
        <v>1877</v>
      </c>
      <c r="C1869">
        <v>6</v>
      </c>
      <c r="D1869">
        <v>3.0499999999999999E-2</v>
      </c>
      <c r="E1869">
        <v>7.7586424542661314</v>
      </c>
      <c r="F1869">
        <v>771.10547673760345</v>
      </c>
      <c r="G1869">
        <v>0.42399999999999999</v>
      </c>
      <c r="H1869">
        <v>2.7400000000000001E-2</v>
      </c>
      <c r="I1869">
        <v>549.01559999999995</v>
      </c>
    </row>
    <row r="1870" spans="1:9" x14ac:dyDescent="0.3">
      <c r="A1870" t="s">
        <v>9</v>
      </c>
      <c r="B1870" t="s">
        <v>1878</v>
      </c>
      <c r="C1870">
        <v>6</v>
      </c>
      <c r="D1870">
        <v>2.9399999999999999E-2</v>
      </c>
      <c r="E1870">
        <v>7.6770860676185961</v>
      </c>
      <c r="F1870">
        <v>763.50442150205322</v>
      </c>
      <c r="G1870">
        <v>0.42399999999999999</v>
      </c>
      <c r="H1870">
        <v>2.6100000000000002E-2</v>
      </c>
      <c r="I1870">
        <v>549.21540000000005</v>
      </c>
    </row>
    <row r="1871" spans="1:9" x14ac:dyDescent="0.3">
      <c r="A1871" t="s">
        <v>9</v>
      </c>
      <c r="B1871" t="s">
        <v>1879</v>
      </c>
      <c r="C1871">
        <v>6</v>
      </c>
      <c r="D1871">
        <v>2.7799999999999998E-2</v>
      </c>
      <c r="E1871">
        <v>7.5933790641132584</v>
      </c>
      <c r="F1871">
        <v>755.70292877535564</v>
      </c>
      <c r="G1871">
        <v>0.42399999999999999</v>
      </c>
      <c r="H1871">
        <v>2.4799999999999999E-2</v>
      </c>
      <c r="I1871">
        <v>549.41719999999998</v>
      </c>
    </row>
    <row r="1872" spans="1:9" x14ac:dyDescent="0.3">
      <c r="A1872" t="s">
        <v>9</v>
      </c>
      <c r="B1872" t="s">
        <v>1880</v>
      </c>
      <c r="C1872">
        <v>6</v>
      </c>
      <c r="D1872">
        <v>2.6200000000000001E-2</v>
      </c>
      <c r="E1872">
        <v>7.5090930483769736</v>
      </c>
      <c r="F1872">
        <v>747.847472108734</v>
      </c>
      <c r="G1872">
        <v>0.42399999999999999</v>
      </c>
      <c r="H1872">
        <v>2.35E-2</v>
      </c>
      <c r="I1872">
        <v>549.61800000000005</v>
      </c>
    </row>
    <row r="1873" spans="1:9" x14ac:dyDescent="0.3">
      <c r="A1873" t="s">
        <v>9</v>
      </c>
      <c r="B1873" t="s">
        <v>1881</v>
      </c>
      <c r="C1873">
        <v>6</v>
      </c>
      <c r="D1873">
        <v>2.47E-2</v>
      </c>
      <c r="E1873">
        <v>7.4255839145976177</v>
      </c>
      <c r="F1873">
        <v>740.06442084049797</v>
      </c>
      <c r="G1873">
        <v>0.42399999999999999</v>
      </c>
      <c r="H1873">
        <v>2.2200000000000001E-2</v>
      </c>
      <c r="I1873">
        <v>549.81550000000004</v>
      </c>
    </row>
    <row r="1874" spans="1:9" x14ac:dyDescent="0.3">
      <c r="A1874" t="s">
        <v>9</v>
      </c>
      <c r="B1874" t="s">
        <v>1882</v>
      </c>
      <c r="C1874">
        <v>6</v>
      </c>
      <c r="D1874">
        <v>2.3599999999999999E-2</v>
      </c>
      <c r="E1874">
        <v>7.3398759129412134</v>
      </c>
      <c r="F1874">
        <v>732.07643508612102</v>
      </c>
      <c r="G1874">
        <v>0.42399999999999999</v>
      </c>
      <c r="H1874">
        <v>2.0899999999999998E-2</v>
      </c>
      <c r="I1874">
        <v>550.01750000000004</v>
      </c>
    </row>
    <row r="1875" spans="1:9" x14ac:dyDescent="0.3">
      <c r="A1875" t="s">
        <v>9</v>
      </c>
      <c r="B1875" t="s">
        <v>1883</v>
      </c>
      <c r="C1875">
        <v>6</v>
      </c>
      <c r="D1875">
        <v>2.1999999999999999E-2</v>
      </c>
      <c r="E1875">
        <v>7.2555971956784271</v>
      </c>
      <c r="F1875">
        <v>724.22165863722944</v>
      </c>
      <c r="G1875">
        <v>0.42399999999999999</v>
      </c>
      <c r="H1875">
        <v>1.9599999999999999E-2</v>
      </c>
      <c r="I1875">
        <v>550.21609999999998</v>
      </c>
    </row>
    <row r="1876" spans="1:9" x14ac:dyDescent="0.3">
      <c r="A1876" t="s">
        <v>9</v>
      </c>
      <c r="B1876" t="s">
        <v>1884</v>
      </c>
      <c r="C1876">
        <v>6</v>
      </c>
      <c r="D1876">
        <v>2.0299999999999999E-2</v>
      </c>
      <c r="E1876">
        <v>7.1711846730681552</v>
      </c>
      <c r="F1876">
        <v>716.35441152995213</v>
      </c>
      <c r="G1876">
        <v>0.42399999999999999</v>
      </c>
      <c r="H1876">
        <v>1.83E-2</v>
      </c>
      <c r="I1876">
        <v>550.41600000000005</v>
      </c>
    </row>
    <row r="1877" spans="1:9" x14ac:dyDescent="0.3">
      <c r="A1877" t="s">
        <v>9</v>
      </c>
      <c r="B1877" t="s">
        <v>1885</v>
      </c>
      <c r="C1877">
        <v>6</v>
      </c>
      <c r="D1877">
        <v>1.9199999999999998E-2</v>
      </c>
      <c r="E1877">
        <v>7.0875267315235631</v>
      </c>
      <c r="F1877">
        <v>708.55749137799614</v>
      </c>
      <c r="G1877">
        <v>0.42399999999999999</v>
      </c>
      <c r="H1877">
        <v>1.7000000000000001E-2</v>
      </c>
      <c r="I1877">
        <v>550.61559999999997</v>
      </c>
    </row>
    <row r="1878" spans="1:9" x14ac:dyDescent="0.3">
      <c r="A1878" t="s">
        <v>9</v>
      </c>
      <c r="B1878" t="s">
        <v>1886</v>
      </c>
      <c r="C1878">
        <v>6</v>
      </c>
      <c r="D1878">
        <v>1.7399999999999999E-2</v>
      </c>
      <c r="E1878">
        <v>7.0007422050260066</v>
      </c>
      <c r="F1878">
        <v>700.46917350842386</v>
      </c>
      <c r="G1878">
        <v>0.42399999999999999</v>
      </c>
      <c r="H1878">
        <v>1.5599999999999999E-2</v>
      </c>
      <c r="I1878">
        <v>550.82539999999995</v>
      </c>
    </row>
    <row r="1879" spans="1:9" x14ac:dyDescent="0.3">
      <c r="A1879" t="s">
        <v>9</v>
      </c>
      <c r="B1879" t="s">
        <v>1887</v>
      </c>
      <c r="C1879">
        <v>6</v>
      </c>
      <c r="D1879">
        <v>1.6E-2</v>
      </c>
      <c r="E1879">
        <v>6.923229172697102</v>
      </c>
      <c r="F1879">
        <v>693.2449588953699</v>
      </c>
      <c r="G1879">
        <v>0.42399999999999999</v>
      </c>
      <c r="H1879">
        <v>1.44E-2</v>
      </c>
      <c r="I1879">
        <v>551.01589999999999</v>
      </c>
    </row>
    <row r="1880" spans="1:9" x14ac:dyDescent="0.3">
      <c r="A1880" t="s">
        <v>9</v>
      </c>
      <c r="B1880" t="s">
        <v>1888</v>
      </c>
      <c r="C1880">
        <v>6</v>
      </c>
      <c r="D1880">
        <v>1.43E-2</v>
      </c>
      <c r="E1880">
        <v>6.8437487962893782</v>
      </c>
      <c r="F1880">
        <v>685.83738781417003</v>
      </c>
      <c r="G1880">
        <v>0.42399999999999999</v>
      </c>
      <c r="H1880">
        <v>1.32E-2</v>
      </c>
      <c r="I1880">
        <v>551.21519999999998</v>
      </c>
    </row>
    <row r="1881" spans="1:9" x14ac:dyDescent="0.3">
      <c r="A1881" t="s">
        <v>9</v>
      </c>
      <c r="B1881" t="s">
        <v>1889</v>
      </c>
      <c r="C1881">
        <v>6</v>
      </c>
      <c r="D1881">
        <v>1.2999999999999999E-2</v>
      </c>
      <c r="E1881">
        <v>6.7654422577027953</v>
      </c>
      <c r="F1881">
        <v>678.53921841790054</v>
      </c>
      <c r="G1881">
        <v>0.42399999999999999</v>
      </c>
      <c r="H1881">
        <v>1.2E-2</v>
      </c>
      <c r="I1881">
        <v>551.41660000000002</v>
      </c>
    </row>
    <row r="1882" spans="1:9" x14ac:dyDescent="0.3">
      <c r="A1882" t="s">
        <v>9</v>
      </c>
      <c r="B1882" t="s">
        <v>1890</v>
      </c>
      <c r="C1882">
        <v>6</v>
      </c>
      <c r="D1882">
        <v>1.18E-2</v>
      </c>
      <c r="E1882">
        <v>6.6904196267201641</v>
      </c>
      <c r="F1882">
        <v>671.54710921031926</v>
      </c>
      <c r="G1882">
        <v>0.42399999999999999</v>
      </c>
      <c r="H1882">
        <v>1.0800000000000001E-2</v>
      </c>
      <c r="I1882">
        <v>551.6155</v>
      </c>
    </row>
    <row r="1883" spans="1:9" x14ac:dyDescent="0.3">
      <c r="A1883" t="s">
        <v>9</v>
      </c>
      <c r="B1883" t="s">
        <v>1891</v>
      </c>
      <c r="C1883">
        <v>6</v>
      </c>
      <c r="D1883">
        <v>1.0800000000000001E-2</v>
      </c>
      <c r="E1883">
        <v>6.617560587659332</v>
      </c>
      <c r="F1883">
        <v>664.75664676984979</v>
      </c>
      <c r="G1883">
        <v>0.42399999999999999</v>
      </c>
      <c r="H1883">
        <v>9.7000000000000003E-3</v>
      </c>
      <c r="I1883">
        <v>551.81539999999995</v>
      </c>
    </row>
    <row r="1884" spans="1:9" x14ac:dyDescent="0.3">
      <c r="A1884" t="s">
        <v>9</v>
      </c>
      <c r="B1884" t="s">
        <v>1892</v>
      </c>
      <c r="C1884">
        <v>6</v>
      </c>
      <c r="D1884">
        <v>9.1000000000000004E-3</v>
      </c>
      <c r="E1884">
        <v>6.5467159272843176</v>
      </c>
      <c r="F1884">
        <v>658.1539244228984</v>
      </c>
      <c r="G1884">
        <v>0.42399999999999999</v>
      </c>
      <c r="H1884">
        <v>8.6E-3</v>
      </c>
      <c r="I1884">
        <v>552.01790000000005</v>
      </c>
    </row>
    <row r="1885" spans="1:9" x14ac:dyDescent="0.3">
      <c r="A1885" t="s">
        <v>9</v>
      </c>
      <c r="B1885" t="s">
        <v>1893</v>
      </c>
      <c r="C1885">
        <v>6</v>
      </c>
      <c r="D1885">
        <v>8.0000000000000002E-3</v>
      </c>
      <c r="E1885">
        <v>6.4799162431109334</v>
      </c>
      <c r="F1885">
        <v>651.92819385793894</v>
      </c>
      <c r="G1885">
        <v>0.42399999999999999</v>
      </c>
      <c r="H1885">
        <v>7.4999999999999997E-3</v>
      </c>
      <c r="I1885">
        <v>552.21799999999996</v>
      </c>
    </row>
    <row r="1886" spans="1:9" x14ac:dyDescent="0.3">
      <c r="A1886" t="s">
        <v>9</v>
      </c>
      <c r="B1886" t="s">
        <v>1894</v>
      </c>
      <c r="C1886">
        <v>6</v>
      </c>
      <c r="D1886">
        <v>6.4999999999999997E-3</v>
      </c>
      <c r="E1886">
        <v>6.4167645792749628</v>
      </c>
      <c r="F1886">
        <v>646.04245878842653</v>
      </c>
      <c r="G1886">
        <v>0.42399999999999999</v>
      </c>
      <c r="H1886">
        <v>6.4999999999999997E-3</v>
      </c>
      <c r="I1886">
        <v>552.41719999999998</v>
      </c>
    </row>
    <row r="1887" spans="1:9" x14ac:dyDescent="0.3">
      <c r="A1887" t="s">
        <v>9</v>
      </c>
      <c r="B1887" t="s">
        <v>1895</v>
      </c>
      <c r="C1887">
        <v>6</v>
      </c>
      <c r="D1887">
        <v>6.0000000000000001E-3</v>
      </c>
      <c r="E1887">
        <v>6.356908135676866</v>
      </c>
      <c r="F1887">
        <v>640.46383824508393</v>
      </c>
      <c r="G1887">
        <v>0.42399999999999999</v>
      </c>
      <c r="H1887">
        <v>5.5999999999999999E-3</v>
      </c>
      <c r="I1887">
        <v>552.61770000000001</v>
      </c>
    </row>
    <row r="1888" spans="1:9" x14ac:dyDescent="0.3">
      <c r="A1888" t="s">
        <v>9</v>
      </c>
      <c r="B1888" t="s">
        <v>1896</v>
      </c>
      <c r="C1888">
        <v>6</v>
      </c>
      <c r="D1888">
        <v>4.5999999999999999E-3</v>
      </c>
      <c r="E1888">
        <v>6.3011756539824937</v>
      </c>
      <c r="F1888">
        <v>635.26957095116848</v>
      </c>
      <c r="G1888">
        <v>0.42399999999999999</v>
      </c>
      <c r="H1888">
        <v>4.7000000000000002E-3</v>
      </c>
      <c r="I1888">
        <v>552.8175</v>
      </c>
    </row>
    <row r="1889" spans="1:9" x14ac:dyDescent="0.3">
      <c r="A1889" t="s">
        <v>9</v>
      </c>
      <c r="B1889" t="s">
        <v>1897</v>
      </c>
      <c r="C1889">
        <v>6</v>
      </c>
      <c r="D1889">
        <v>3.5999999999999999E-3</v>
      </c>
      <c r="E1889">
        <v>6.2475805707994736</v>
      </c>
      <c r="F1889">
        <v>630.27450919851105</v>
      </c>
      <c r="G1889">
        <v>0.42399999999999999</v>
      </c>
      <c r="H1889">
        <v>3.8999999999999998E-3</v>
      </c>
      <c r="I1889">
        <v>553.02530000000002</v>
      </c>
    </row>
    <row r="1890" spans="1:9" x14ac:dyDescent="0.3">
      <c r="A1890" t="s">
        <v>9</v>
      </c>
      <c r="B1890" t="s">
        <v>1898</v>
      </c>
      <c r="C1890">
        <v>6</v>
      </c>
      <c r="D1890">
        <v>2.8999999999999998E-3</v>
      </c>
      <c r="E1890">
        <v>6.2020630731618409</v>
      </c>
      <c r="F1890">
        <v>626.03227841868363</v>
      </c>
      <c r="G1890">
        <v>0.42399999999999999</v>
      </c>
      <c r="H1890">
        <v>3.2000000000000002E-3</v>
      </c>
      <c r="I1890">
        <v>553.21799999999996</v>
      </c>
    </row>
    <row r="1891" spans="1:9" x14ac:dyDescent="0.3">
      <c r="A1891" t="s">
        <v>9</v>
      </c>
      <c r="B1891" t="s">
        <v>1899</v>
      </c>
      <c r="C1891">
        <v>6</v>
      </c>
      <c r="D1891">
        <v>2.0999999999999999E-3</v>
      </c>
      <c r="E1891">
        <v>6.1597839487629367</v>
      </c>
      <c r="F1891">
        <v>622.09186402470573</v>
      </c>
      <c r="G1891">
        <v>0.42399999999999999</v>
      </c>
      <c r="H1891">
        <v>2.5000000000000001E-3</v>
      </c>
      <c r="I1891">
        <v>553.4153</v>
      </c>
    </row>
    <row r="1892" spans="1:9" x14ac:dyDescent="0.3">
      <c r="A1892" t="s">
        <v>9</v>
      </c>
      <c r="B1892" t="s">
        <v>1900</v>
      </c>
      <c r="C1892">
        <v>6</v>
      </c>
      <c r="D1892">
        <v>1.4E-3</v>
      </c>
      <c r="E1892">
        <v>6.1212441161672642</v>
      </c>
      <c r="F1892">
        <v>618.49995162678908</v>
      </c>
      <c r="G1892">
        <v>0.42399999999999999</v>
      </c>
      <c r="H1892">
        <v>2E-3</v>
      </c>
      <c r="I1892">
        <v>553.61739999999998</v>
      </c>
    </row>
    <row r="1893" spans="1:9" x14ac:dyDescent="0.3">
      <c r="A1893" t="s">
        <v>9</v>
      </c>
      <c r="B1893" t="s">
        <v>1901</v>
      </c>
      <c r="C1893">
        <v>6</v>
      </c>
      <c r="D1893">
        <v>5.9999999999999995E-4</v>
      </c>
      <c r="E1893">
        <v>6.0878572491445704</v>
      </c>
      <c r="F1893">
        <v>615.38829562027399</v>
      </c>
      <c r="G1893">
        <v>0.42399999999999999</v>
      </c>
      <c r="H1893">
        <v>1.4E-3</v>
      </c>
      <c r="I1893">
        <v>553.81790000000001</v>
      </c>
    </row>
    <row r="1894" spans="1:9" x14ac:dyDescent="0.3">
      <c r="A1894" t="s">
        <v>9</v>
      </c>
      <c r="B1894" t="s">
        <v>1902</v>
      </c>
      <c r="C1894">
        <v>6</v>
      </c>
      <c r="D1894">
        <v>-1E-4</v>
      </c>
      <c r="E1894">
        <v>6.0597209850514453</v>
      </c>
      <c r="F1894">
        <v>612.76599580679476</v>
      </c>
      <c r="G1894">
        <v>0.42399999999999999</v>
      </c>
      <c r="H1894">
        <v>1E-3</v>
      </c>
      <c r="I1894">
        <v>554.01660000000004</v>
      </c>
    </row>
    <row r="1895" spans="1:9" x14ac:dyDescent="0.3">
      <c r="A1895" t="s">
        <v>9</v>
      </c>
      <c r="B1895" t="s">
        <v>1903</v>
      </c>
      <c r="C1895">
        <v>6</v>
      </c>
      <c r="D1895">
        <v>-1E-4</v>
      </c>
      <c r="E1895">
        <v>6.0365528324163922</v>
      </c>
      <c r="F1895">
        <v>610.60672398120778</v>
      </c>
      <c r="G1895">
        <v>0.42399999999999999</v>
      </c>
      <c r="H1895">
        <v>5.9999999999999995E-4</v>
      </c>
      <c r="I1895">
        <v>554.21569999999997</v>
      </c>
    </row>
    <row r="1896" spans="1:9" x14ac:dyDescent="0.3">
      <c r="A1896" t="s">
        <v>9</v>
      </c>
      <c r="B1896" t="s">
        <v>1904</v>
      </c>
      <c r="C1896">
        <v>6</v>
      </c>
      <c r="D1896">
        <v>-8.0000000000000004E-4</v>
      </c>
      <c r="E1896">
        <v>6.0183825487377476</v>
      </c>
      <c r="F1896">
        <v>608.91325354235812</v>
      </c>
      <c r="G1896">
        <v>0.42399999999999999</v>
      </c>
      <c r="H1896">
        <v>4.0000000000000002E-4</v>
      </c>
      <c r="I1896">
        <v>554.41639999999995</v>
      </c>
    </row>
    <row r="1897" spans="1:9" x14ac:dyDescent="0.3">
      <c r="A1897" t="s">
        <v>9</v>
      </c>
      <c r="B1897" t="s">
        <v>1905</v>
      </c>
      <c r="C1897">
        <v>6</v>
      </c>
      <c r="D1897">
        <v>-8.0000000000000004E-4</v>
      </c>
      <c r="E1897">
        <v>6.0055230317385524</v>
      </c>
      <c r="F1897">
        <v>607.71474655803297</v>
      </c>
      <c r="G1897">
        <v>0.42399999999999999</v>
      </c>
      <c r="H1897">
        <v>2.0000000000000001E-4</v>
      </c>
      <c r="I1897">
        <v>554.61659999999995</v>
      </c>
    </row>
    <row r="1898" spans="1:9" x14ac:dyDescent="0.3">
      <c r="A1898" t="s">
        <v>9</v>
      </c>
      <c r="B1898" t="s">
        <v>1906</v>
      </c>
      <c r="C1898">
        <v>6</v>
      </c>
      <c r="D1898">
        <v>-1.6000000000000001E-3</v>
      </c>
      <c r="E1898">
        <v>5.9979936694081859</v>
      </c>
      <c r="F1898">
        <v>607.0130099888429</v>
      </c>
      <c r="G1898">
        <v>0.42399999999999999</v>
      </c>
      <c r="H1898">
        <v>0</v>
      </c>
      <c r="I1898">
        <v>554.81590000000006</v>
      </c>
    </row>
    <row r="1899" spans="1:9" x14ac:dyDescent="0.3">
      <c r="A1899" t="s">
        <v>9</v>
      </c>
      <c r="B1899" t="s">
        <v>1907</v>
      </c>
      <c r="C1899">
        <v>6</v>
      </c>
      <c r="D1899">
        <v>-1.6000000000000001E-3</v>
      </c>
      <c r="E1899">
        <v>5.9957494346537183</v>
      </c>
      <c r="F1899">
        <v>606.80384730972662</v>
      </c>
      <c r="G1899">
        <v>0.42399999999999999</v>
      </c>
      <c r="H1899">
        <v>0</v>
      </c>
      <c r="I1899">
        <v>555.0154</v>
      </c>
    </row>
    <row r="1900" spans="1:9" x14ac:dyDescent="0.3">
      <c r="A1900" t="s">
        <v>9</v>
      </c>
      <c r="B1900" t="s">
        <v>1908</v>
      </c>
      <c r="C1900">
        <v>6</v>
      </c>
      <c r="D1900">
        <v>-2E-3</v>
      </c>
      <c r="E1900">
        <v>5.9988710464795512</v>
      </c>
      <c r="F1900">
        <v>709.29286231090941</v>
      </c>
      <c r="G1900">
        <v>0.42399999999999999</v>
      </c>
      <c r="H1900">
        <v>0</v>
      </c>
      <c r="I1900">
        <v>555.21690000000001</v>
      </c>
    </row>
    <row r="1901" spans="1:9" x14ac:dyDescent="0.3">
      <c r="A1901" t="s">
        <v>9</v>
      </c>
      <c r="B1901" t="s">
        <v>1909</v>
      </c>
      <c r="C1901">
        <v>6</v>
      </c>
      <c r="D1901">
        <v>-1.6999999999999999E-3</v>
      </c>
      <c r="E1901">
        <v>6.00726070502047</v>
      </c>
      <c r="F1901">
        <v>710.08904090644262</v>
      </c>
      <c r="G1901">
        <v>0.42399999999999999</v>
      </c>
      <c r="H1901">
        <v>2.0000000000000001E-4</v>
      </c>
      <c r="I1901">
        <v>555.41600000000005</v>
      </c>
    </row>
    <row r="1902" spans="1:9" x14ac:dyDescent="0.3">
      <c r="A1902" t="s">
        <v>9</v>
      </c>
      <c r="B1902" t="s">
        <v>1910</v>
      </c>
      <c r="C1902">
        <v>6</v>
      </c>
      <c r="D1902">
        <v>-8.9999999999999998E-4</v>
      </c>
      <c r="E1902">
        <v>6.021073406713386</v>
      </c>
      <c r="F1902">
        <v>711.3998662971004</v>
      </c>
      <c r="G1902">
        <v>0.42399999999999999</v>
      </c>
      <c r="H1902">
        <v>4.0000000000000002E-4</v>
      </c>
      <c r="I1902">
        <v>555.6173</v>
      </c>
    </row>
    <row r="1903" spans="1:9" x14ac:dyDescent="0.3">
      <c r="A1903" t="s">
        <v>9</v>
      </c>
      <c r="B1903" t="s">
        <v>1911</v>
      </c>
      <c r="C1903">
        <v>6</v>
      </c>
      <c r="D1903">
        <v>-2.0000000000000001E-4</v>
      </c>
      <c r="E1903">
        <v>6.0399433382805059</v>
      </c>
      <c r="F1903">
        <v>713.19062280282003</v>
      </c>
      <c r="G1903">
        <v>0.42399999999999999</v>
      </c>
      <c r="H1903">
        <v>6.9999999999999999E-4</v>
      </c>
      <c r="I1903">
        <v>555.81629999999996</v>
      </c>
    </row>
    <row r="1904" spans="1:9" x14ac:dyDescent="0.3">
      <c r="A1904" t="s">
        <v>9</v>
      </c>
      <c r="B1904" t="s">
        <v>1912</v>
      </c>
      <c r="C1904">
        <v>6</v>
      </c>
      <c r="D1904">
        <v>-2.0000000000000001E-4</v>
      </c>
      <c r="E1904">
        <v>6.0639882808652814</v>
      </c>
      <c r="F1904">
        <v>715.47248785411512</v>
      </c>
      <c r="G1904">
        <v>0.42399999999999999</v>
      </c>
      <c r="H1904">
        <v>1.1000000000000001E-3</v>
      </c>
      <c r="I1904">
        <v>556.01589999999999</v>
      </c>
    </row>
    <row r="1905" spans="1:9" x14ac:dyDescent="0.3">
      <c r="A1905" t="s">
        <v>9</v>
      </c>
      <c r="B1905" t="s">
        <v>1913</v>
      </c>
      <c r="C1905">
        <v>6</v>
      </c>
      <c r="D1905">
        <v>5.9999999999999995E-4</v>
      </c>
      <c r="E1905">
        <v>6.0932121391510297</v>
      </c>
      <c r="F1905">
        <v>718.2458320054327</v>
      </c>
      <c r="G1905">
        <v>0.42399999999999999</v>
      </c>
      <c r="H1905">
        <v>1.5E-3</v>
      </c>
      <c r="I1905">
        <v>556.21630000000005</v>
      </c>
    </row>
    <row r="1906" spans="1:9" x14ac:dyDescent="0.3">
      <c r="A1906" t="s">
        <v>9</v>
      </c>
      <c r="B1906" t="s">
        <v>1914</v>
      </c>
      <c r="C1906">
        <v>6</v>
      </c>
      <c r="D1906">
        <v>1.1000000000000001E-3</v>
      </c>
      <c r="E1906">
        <v>6.1275030032107667</v>
      </c>
      <c r="F1906">
        <v>721.50003500470177</v>
      </c>
      <c r="G1906">
        <v>0.42399999999999999</v>
      </c>
      <c r="H1906">
        <v>2E-3</v>
      </c>
      <c r="I1906">
        <v>556.41719999999998</v>
      </c>
    </row>
    <row r="1907" spans="1:9" x14ac:dyDescent="0.3">
      <c r="A1907" t="s">
        <v>9</v>
      </c>
      <c r="B1907" t="s">
        <v>1915</v>
      </c>
      <c r="C1907">
        <v>6</v>
      </c>
      <c r="D1907">
        <v>1.6000000000000001E-3</v>
      </c>
      <c r="E1907">
        <v>6.1665825984687892</v>
      </c>
      <c r="F1907">
        <v>725.20868859468817</v>
      </c>
      <c r="G1907">
        <v>0.42399999999999999</v>
      </c>
      <c r="H1907">
        <v>2.7000000000000001E-3</v>
      </c>
      <c r="I1907">
        <v>556.61779999999999</v>
      </c>
    </row>
    <row r="1908" spans="1:9" x14ac:dyDescent="0.3">
      <c r="A1908" t="s">
        <v>9</v>
      </c>
      <c r="B1908" t="s">
        <v>1916</v>
      </c>
      <c r="C1908">
        <v>6</v>
      </c>
      <c r="D1908">
        <v>2E-3</v>
      </c>
      <c r="E1908">
        <v>6.2100821898250826</v>
      </c>
      <c r="F1908">
        <v>729.33679981440036</v>
      </c>
      <c r="G1908">
        <v>0.42399999999999999</v>
      </c>
      <c r="H1908">
        <v>3.3E-3</v>
      </c>
      <c r="I1908">
        <v>556.81730000000005</v>
      </c>
    </row>
    <row r="1909" spans="1:9" x14ac:dyDescent="0.3">
      <c r="A1909" t="s">
        <v>9</v>
      </c>
      <c r="B1909" t="s">
        <v>1917</v>
      </c>
      <c r="C1909">
        <v>6</v>
      </c>
      <c r="D1909">
        <v>2.8999999999999998E-3</v>
      </c>
      <c r="E1909">
        <v>6.2582030529599271</v>
      </c>
      <c r="F1909">
        <v>733.90346972589714</v>
      </c>
      <c r="G1909">
        <v>0.42399999999999999</v>
      </c>
      <c r="H1909">
        <v>4.1000000000000003E-3</v>
      </c>
      <c r="I1909">
        <v>557.01729999999998</v>
      </c>
    </row>
    <row r="1910" spans="1:9" x14ac:dyDescent="0.3">
      <c r="A1910" t="s">
        <v>9</v>
      </c>
      <c r="B1910" t="s">
        <v>1918</v>
      </c>
      <c r="C1910">
        <v>6</v>
      </c>
      <c r="D1910">
        <v>3.8E-3</v>
      </c>
      <c r="E1910">
        <v>6.3103203979947056</v>
      </c>
      <c r="F1910">
        <v>738.84940576969768</v>
      </c>
      <c r="G1910">
        <v>0.42399999999999999</v>
      </c>
      <c r="H1910">
        <v>4.8999999999999998E-3</v>
      </c>
      <c r="I1910">
        <v>557.21619999999996</v>
      </c>
    </row>
    <row r="1911" spans="1:9" x14ac:dyDescent="0.3">
      <c r="A1911" t="s">
        <v>9</v>
      </c>
      <c r="B1911" t="s">
        <v>1919</v>
      </c>
      <c r="C1911">
        <v>6</v>
      </c>
      <c r="D1911">
        <v>4.3E-3</v>
      </c>
      <c r="E1911">
        <v>6.3670264960538896</v>
      </c>
      <c r="F1911">
        <v>744.23081447551419</v>
      </c>
      <c r="G1911">
        <v>0.42399999999999999</v>
      </c>
      <c r="H1911">
        <v>5.7999999999999996E-3</v>
      </c>
      <c r="I1911">
        <v>557.4171</v>
      </c>
    </row>
    <row r="1912" spans="1:9" x14ac:dyDescent="0.3">
      <c r="A1912" t="s">
        <v>9</v>
      </c>
      <c r="B1912" t="s">
        <v>1920</v>
      </c>
      <c r="C1912">
        <v>6</v>
      </c>
      <c r="D1912">
        <v>5.4999999999999997E-3</v>
      </c>
      <c r="E1912">
        <v>6.4300676691104961</v>
      </c>
      <c r="F1912">
        <v>750.21342179858607</v>
      </c>
      <c r="G1912">
        <v>0.42399999999999999</v>
      </c>
      <c r="H1912">
        <v>6.7000000000000002E-3</v>
      </c>
      <c r="I1912">
        <v>557.62570000000005</v>
      </c>
    </row>
    <row r="1913" spans="1:9" x14ac:dyDescent="0.3">
      <c r="A1913" t="s">
        <v>9</v>
      </c>
      <c r="B1913" t="s">
        <v>1921</v>
      </c>
      <c r="C1913">
        <v>6</v>
      </c>
      <c r="D1913">
        <v>6.4000000000000003E-3</v>
      </c>
      <c r="E1913">
        <v>6.4915123010891218</v>
      </c>
      <c r="F1913">
        <v>756.04451737335773</v>
      </c>
      <c r="G1913">
        <v>0.42399999999999999</v>
      </c>
      <c r="H1913">
        <v>7.7000000000000002E-3</v>
      </c>
      <c r="I1913">
        <v>557.81740000000002</v>
      </c>
    </row>
    <row r="1914" spans="1:9" x14ac:dyDescent="0.3">
      <c r="A1914" t="s">
        <v>9</v>
      </c>
      <c r="B1914" t="s">
        <v>1922</v>
      </c>
      <c r="C1914">
        <v>6</v>
      </c>
      <c r="D1914">
        <v>6.7999999999999996E-3</v>
      </c>
      <c r="E1914">
        <v>6.5587239435444689</v>
      </c>
      <c r="F1914">
        <v>762.42290224237013</v>
      </c>
      <c r="G1914">
        <v>0.42399999999999999</v>
      </c>
      <c r="H1914">
        <v>8.6999999999999994E-3</v>
      </c>
      <c r="I1914">
        <v>558.01700000000005</v>
      </c>
    </row>
    <row r="1915" spans="1:9" x14ac:dyDescent="0.3">
      <c r="A1915" t="s">
        <v>9</v>
      </c>
      <c r="B1915" t="s">
        <v>1923</v>
      </c>
      <c r="C1915">
        <v>6</v>
      </c>
      <c r="D1915">
        <v>8.5000000000000006E-3</v>
      </c>
      <c r="E1915">
        <v>6.629417768800498</v>
      </c>
      <c r="F1915">
        <v>769.13174625916736</v>
      </c>
      <c r="G1915">
        <v>0.42399999999999999</v>
      </c>
      <c r="H1915">
        <v>9.7999999999999997E-3</v>
      </c>
      <c r="I1915">
        <v>558.21759999999995</v>
      </c>
    </row>
    <row r="1916" spans="1:9" x14ac:dyDescent="0.3">
      <c r="A1916" t="s">
        <v>9</v>
      </c>
      <c r="B1916" t="s">
        <v>1924</v>
      </c>
      <c r="C1916">
        <v>6</v>
      </c>
      <c r="D1916">
        <v>9.4000000000000004E-3</v>
      </c>
      <c r="E1916">
        <v>6.702616997820547</v>
      </c>
      <c r="F1916">
        <v>776.07835309316999</v>
      </c>
      <c r="G1916">
        <v>0.42399999999999999</v>
      </c>
      <c r="H1916">
        <v>1.0999999999999999E-2</v>
      </c>
      <c r="I1916">
        <v>558.41719999999998</v>
      </c>
    </row>
    <row r="1917" spans="1:9" x14ac:dyDescent="0.3">
      <c r="A1917" t="s">
        <v>9</v>
      </c>
      <c r="B1917" t="s">
        <v>1925</v>
      </c>
      <c r="C1917">
        <v>6</v>
      </c>
      <c r="D1917">
        <v>1.0800000000000001E-2</v>
      </c>
      <c r="E1917">
        <v>6.7782210738586253</v>
      </c>
      <c r="F1917">
        <v>783.25317990918359</v>
      </c>
      <c r="G1917">
        <v>0.42399999999999999</v>
      </c>
      <c r="H1917">
        <v>1.2200000000000001E-2</v>
      </c>
      <c r="I1917">
        <v>558.61659999999995</v>
      </c>
    </row>
    <row r="1918" spans="1:9" x14ac:dyDescent="0.3">
      <c r="A1918" t="s">
        <v>9</v>
      </c>
      <c r="B1918" t="s">
        <v>1926</v>
      </c>
      <c r="C1918">
        <v>6</v>
      </c>
      <c r="D1918">
        <v>1.1599999999999999E-2</v>
      </c>
      <c r="E1918">
        <v>6.8562291859732349</v>
      </c>
      <c r="F1918">
        <v>790.65614974886</v>
      </c>
      <c r="G1918">
        <v>0.42399999999999999</v>
      </c>
      <c r="H1918">
        <v>1.34E-2</v>
      </c>
      <c r="I1918">
        <v>558.81629999999996</v>
      </c>
    </row>
    <row r="1919" spans="1:9" x14ac:dyDescent="0.3">
      <c r="A1919" t="s">
        <v>9</v>
      </c>
      <c r="B1919" t="s">
        <v>1927</v>
      </c>
      <c r="C1919">
        <v>6</v>
      </c>
      <c r="D1919">
        <v>1.29E-2</v>
      </c>
      <c r="E1919">
        <v>6.9374279474193026</v>
      </c>
      <c r="F1919">
        <v>798.36191221009199</v>
      </c>
      <c r="G1919">
        <v>0.42399999999999999</v>
      </c>
      <c r="H1919">
        <v>1.46E-2</v>
      </c>
      <c r="I1919">
        <v>559.01919999999996</v>
      </c>
    </row>
    <row r="1920" spans="1:9" x14ac:dyDescent="0.3">
      <c r="A1920" t="s">
        <v>9</v>
      </c>
      <c r="B1920" t="s">
        <v>1928</v>
      </c>
      <c r="C1920">
        <v>6</v>
      </c>
      <c r="D1920">
        <v>1.3899999999999999E-2</v>
      </c>
      <c r="E1920">
        <v>7.0181709597424096</v>
      </c>
      <c r="F1920">
        <v>806.02442407955482</v>
      </c>
      <c r="G1920">
        <v>0.42399999999999999</v>
      </c>
      <c r="H1920">
        <v>1.5900000000000001E-2</v>
      </c>
      <c r="I1920">
        <v>559.21699999999998</v>
      </c>
    </row>
    <row r="1921" spans="1:9" x14ac:dyDescent="0.3">
      <c r="A1921" t="s">
        <v>9</v>
      </c>
      <c r="B1921" t="s">
        <v>1929</v>
      </c>
      <c r="C1921">
        <v>6</v>
      </c>
      <c r="D1921">
        <v>1.5699999999999999E-2</v>
      </c>
      <c r="E1921">
        <v>7.1009741689460819</v>
      </c>
      <c r="F1921">
        <v>813.88244863298326</v>
      </c>
      <c r="G1921">
        <v>0.42399999999999999</v>
      </c>
      <c r="H1921">
        <v>1.72E-2</v>
      </c>
      <c r="I1921">
        <v>559.41660000000002</v>
      </c>
    </row>
    <row r="1922" spans="1:9" x14ac:dyDescent="0.3">
      <c r="A1922" t="s">
        <v>9</v>
      </c>
      <c r="B1922" t="s">
        <v>1930</v>
      </c>
      <c r="C1922">
        <v>6</v>
      </c>
      <c r="D1922">
        <v>1.66E-2</v>
      </c>
      <c r="E1922">
        <v>7.1856470037778308</v>
      </c>
      <c r="F1922">
        <v>821.91790065851615</v>
      </c>
      <c r="G1922">
        <v>0.42399999999999999</v>
      </c>
      <c r="H1922">
        <v>1.8499999999999999E-2</v>
      </c>
      <c r="I1922">
        <v>559.61829999999998</v>
      </c>
    </row>
    <row r="1923" spans="1:9" x14ac:dyDescent="0.3">
      <c r="A1923" t="s">
        <v>9</v>
      </c>
      <c r="B1923" t="s">
        <v>1931</v>
      </c>
      <c r="C1923">
        <v>6</v>
      </c>
      <c r="D1923">
        <v>1.8100000000000002E-2</v>
      </c>
      <c r="E1923">
        <v>7.2691362694904376</v>
      </c>
      <c r="F1923">
        <v>829.84103197464253</v>
      </c>
      <c r="G1923">
        <v>0.42399999999999999</v>
      </c>
      <c r="H1923">
        <v>1.9800000000000002E-2</v>
      </c>
      <c r="I1923">
        <v>559.81579999999997</v>
      </c>
    </row>
    <row r="1924" spans="1:9" x14ac:dyDescent="0.3">
      <c r="A1924" t="s">
        <v>9</v>
      </c>
      <c r="B1924" t="s">
        <v>1932</v>
      </c>
      <c r="C1924">
        <v>6</v>
      </c>
      <c r="D1924">
        <v>1.9099999999999999E-2</v>
      </c>
      <c r="E1924">
        <v>7.3546796500223586</v>
      </c>
      <c r="F1924">
        <v>837.95909878712189</v>
      </c>
      <c r="G1924">
        <v>0.42399999999999999</v>
      </c>
      <c r="H1924">
        <v>2.1100000000000001E-2</v>
      </c>
      <c r="I1924">
        <v>560.01729999999998</v>
      </c>
    </row>
    <row r="1925" spans="1:9" x14ac:dyDescent="0.3">
      <c r="A1925" t="s">
        <v>9</v>
      </c>
      <c r="B1925" t="s">
        <v>1933</v>
      </c>
      <c r="C1925">
        <v>6</v>
      </c>
      <c r="D1925">
        <v>2.06E-2</v>
      </c>
      <c r="E1925">
        <v>7.4397405203618217</v>
      </c>
      <c r="F1925">
        <v>846.03137538233693</v>
      </c>
      <c r="G1925">
        <v>0.42399999999999999</v>
      </c>
      <c r="H1925">
        <v>2.24E-2</v>
      </c>
      <c r="I1925">
        <v>560.21780000000001</v>
      </c>
    </row>
    <row r="1926" spans="1:9" x14ac:dyDescent="0.3">
      <c r="A1926" t="s">
        <v>9</v>
      </c>
      <c r="B1926" t="s">
        <v>1934</v>
      </c>
      <c r="C1926">
        <v>6</v>
      </c>
      <c r="D1926">
        <v>2.1899999999999999E-2</v>
      </c>
      <c r="E1926">
        <v>7.5239235465276151</v>
      </c>
      <c r="F1926">
        <v>854.02034456547074</v>
      </c>
      <c r="G1926">
        <v>0.42399999999999999</v>
      </c>
      <c r="H1926">
        <v>2.3699999999999999E-2</v>
      </c>
      <c r="I1926">
        <v>560.4171</v>
      </c>
    </row>
    <row r="1927" spans="1:9" x14ac:dyDescent="0.3">
      <c r="A1927" t="s">
        <v>9</v>
      </c>
      <c r="B1927" t="s">
        <v>1935</v>
      </c>
      <c r="C1927">
        <v>6</v>
      </c>
      <c r="D1927">
        <v>2.35E-2</v>
      </c>
      <c r="E1927">
        <v>7.6083048478901416</v>
      </c>
      <c r="F1927">
        <v>862.02813006477459</v>
      </c>
      <c r="G1927">
        <v>0.42399999999999999</v>
      </c>
      <c r="H1927">
        <v>2.5100000000000001E-2</v>
      </c>
      <c r="I1927">
        <v>560.61850000000004</v>
      </c>
    </row>
    <row r="1928" spans="1:9" x14ac:dyDescent="0.3">
      <c r="A1928" t="s">
        <v>9</v>
      </c>
      <c r="B1928" t="s">
        <v>1936</v>
      </c>
      <c r="C1928">
        <v>6</v>
      </c>
      <c r="D1928">
        <v>2.46E-2</v>
      </c>
      <c r="E1928">
        <v>7.6911230595115621</v>
      </c>
      <c r="F1928">
        <v>869.88757834764726</v>
      </c>
      <c r="G1928">
        <v>0.42399999999999999</v>
      </c>
      <c r="H1928">
        <v>2.63E-2</v>
      </c>
      <c r="I1928">
        <v>560.81870000000004</v>
      </c>
    </row>
    <row r="1929" spans="1:9" x14ac:dyDescent="0.3">
      <c r="A1929" t="s">
        <v>9</v>
      </c>
      <c r="B1929" t="s">
        <v>1937</v>
      </c>
      <c r="C1929">
        <v>6</v>
      </c>
      <c r="D1929">
        <v>2.5899999999999999E-2</v>
      </c>
      <c r="E1929">
        <v>7.7717991691609267</v>
      </c>
      <c r="F1929">
        <v>877.54374115337203</v>
      </c>
      <c r="G1929">
        <v>0.42399999999999999</v>
      </c>
      <c r="H1929">
        <v>2.76E-2</v>
      </c>
      <c r="I1929">
        <v>561.01689999999996</v>
      </c>
    </row>
    <row r="1930" spans="1:9" x14ac:dyDescent="0.3">
      <c r="A1930" t="s">
        <v>9</v>
      </c>
      <c r="B1930" t="s">
        <v>1938</v>
      </c>
      <c r="C1930">
        <v>6</v>
      </c>
      <c r="D1930">
        <v>2.7099999999999999E-2</v>
      </c>
      <c r="E1930">
        <v>7.8511931802989077</v>
      </c>
      <c r="F1930">
        <v>885.07823281036633</v>
      </c>
      <c r="G1930">
        <v>0.42399999999999999</v>
      </c>
      <c r="H1930">
        <v>2.8799999999999999E-2</v>
      </c>
      <c r="I1930">
        <v>561.21609999999998</v>
      </c>
    </row>
    <row r="1931" spans="1:9" x14ac:dyDescent="0.3">
      <c r="A1931" t="s">
        <v>9</v>
      </c>
      <c r="B1931" t="s">
        <v>1939</v>
      </c>
      <c r="C1931">
        <v>6</v>
      </c>
      <c r="D1931">
        <v>2.86E-2</v>
      </c>
      <c r="E1931">
        <v>7.9296951557869741</v>
      </c>
      <c r="F1931">
        <v>892.52807028418385</v>
      </c>
      <c r="G1931">
        <v>0.42399999999999999</v>
      </c>
      <c r="H1931">
        <v>0.03</v>
      </c>
      <c r="I1931">
        <v>561.41800000000001</v>
      </c>
    </row>
    <row r="1932" spans="1:9" x14ac:dyDescent="0.3">
      <c r="A1932" t="s">
        <v>9</v>
      </c>
      <c r="B1932" t="s">
        <v>1940</v>
      </c>
      <c r="C1932">
        <v>6</v>
      </c>
      <c r="D1932">
        <v>2.9600000000000001E-2</v>
      </c>
      <c r="E1932">
        <v>8.0045746555948689</v>
      </c>
      <c r="F1932">
        <v>899.63413481595308</v>
      </c>
      <c r="G1932">
        <v>0.42399999999999999</v>
      </c>
      <c r="H1932">
        <v>3.1199999999999999E-2</v>
      </c>
      <c r="I1932">
        <v>561.61649999999997</v>
      </c>
    </row>
    <row r="1933" spans="1:9" x14ac:dyDescent="0.3">
      <c r="A1933" t="s">
        <v>9</v>
      </c>
      <c r="B1933" t="s">
        <v>1941</v>
      </c>
      <c r="C1933">
        <v>6</v>
      </c>
      <c r="D1933">
        <v>3.0700000000000002E-2</v>
      </c>
      <c r="E1933">
        <v>8.0780613633766425</v>
      </c>
      <c r="F1933">
        <v>906.60802338444341</v>
      </c>
      <c r="G1933">
        <v>0.42399999999999999</v>
      </c>
      <c r="H1933">
        <v>3.2399999999999998E-2</v>
      </c>
      <c r="I1933">
        <v>561.81830000000002</v>
      </c>
    </row>
    <row r="1934" spans="1:9" x14ac:dyDescent="0.3">
      <c r="A1934" t="s">
        <v>9</v>
      </c>
      <c r="B1934" t="s">
        <v>1942</v>
      </c>
      <c r="C1934">
        <v>6</v>
      </c>
      <c r="D1934">
        <v>3.2099999999999997E-2</v>
      </c>
      <c r="E1934">
        <v>8.1481648232207249</v>
      </c>
      <c r="F1934">
        <v>913.26084172364688</v>
      </c>
      <c r="G1934">
        <v>0.42399999999999999</v>
      </c>
      <c r="H1934">
        <v>3.3399999999999999E-2</v>
      </c>
      <c r="I1934">
        <v>562.01869999999997</v>
      </c>
    </row>
    <row r="1935" spans="1:9" x14ac:dyDescent="0.3">
      <c r="A1935" t="s">
        <v>9</v>
      </c>
      <c r="B1935" t="s">
        <v>1943</v>
      </c>
      <c r="C1935">
        <v>6</v>
      </c>
      <c r="D1935">
        <v>3.3099999999999997E-2</v>
      </c>
      <c r="E1935">
        <v>8.2140181386636968</v>
      </c>
      <c r="F1935">
        <v>919.5103213591849</v>
      </c>
      <c r="G1935">
        <v>0.42399999999999999</v>
      </c>
      <c r="H1935">
        <v>3.4500000000000003E-2</v>
      </c>
      <c r="I1935">
        <v>562.21590000000003</v>
      </c>
    </row>
    <row r="1936" spans="1:9" x14ac:dyDescent="0.3">
      <c r="A1936" t="s">
        <v>9</v>
      </c>
      <c r="B1936" t="s">
        <v>1944</v>
      </c>
      <c r="C1936">
        <v>6</v>
      </c>
      <c r="D1936">
        <v>3.39E-2</v>
      </c>
      <c r="E1936">
        <v>8.2774455226096411</v>
      </c>
      <c r="F1936">
        <v>925.52958009565498</v>
      </c>
      <c r="G1936">
        <v>0.42399999999999999</v>
      </c>
      <c r="H1936">
        <v>3.5499999999999997E-2</v>
      </c>
      <c r="I1936">
        <v>562.41600000000005</v>
      </c>
    </row>
    <row r="1937" spans="1:9" x14ac:dyDescent="0.3">
      <c r="A1937" t="s">
        <v>9</v>
      </c>
      <c r="B1937" t="s">
        <v>1945</v>
      </c>
      <c r="C1937">
        <v>6</v>
      </c>
      <c r="D1937">
        <v>3.5000000000000003E-2</v>
      </c>
      <c r="E1937">
        <v>8.3376352226171306</v>
      </c>
      <c r="F1937">
        <v>931.2415826263657</v>
      </c>
      <c r="G1937">
        <v>0.42399999999999999</v>
      </c>
      <c r="H1937">
        <v>3.6400000000000002E-2</v>
      </c>
      <c r="I1937">
        <v>562.61749999999995</v>
      </c>
    </row>
    <row r="1938" spans="1:9" x14ac:dyDescent="0.3">
      <c r="A1938" t="s">
        <v>9</v>
      </c>
      <c r="B1938" t="s">
        <v>1946</v>
      </c>
      <c r="C1938">
        <v>6</v>
      </c>
      <c r="D1938">
        <v>3.5799999999999998E-2</v>
      </c>
      <c r="E1938">
        <v>8.393071994493555</v>
      </c>
      <c r="F1938">
        <v>936.50253227743838</v>
      </c>
      <c r="G1938">
        <v>0.42399999999999999</v>
      </c>
      <c r="H1938">
        <v>3.7199999999999997E-2</v>
      </c>
      <c r="I1938">
        <v>562.81619999999998</v>
      </c>
    </row>
    <row r="1939" spans="1:9" x14ac:dyDescent="0.3">
      <c r="A1939" t="s">
        <v>9</v>
      </c>
      <c r="B1939" t="s">
        <v>1947</v>
      </c>
      <c r="C1939">
        <v>6</v>
      </c>
      <c r="D1939">
        <v>3.6400000000000002E-2</v>
      </c>
      <c r="E1939">
        <v>8.4450861877695456</v>
      </c>
      <c r="F1939">
        <v>941.43867921932997</v>
      </c>
      <c r="G1939">
        <v>0.42399999999999999</v>
      </c>
      <c r="H1939">
        <v>3.8100000000000002E-2</v>
      </c>
      <c r="I1939">
        <v>563.01750000000004</v>
      </c>
    </row>
    <row r="1940" spans="1:9" x14ac:dyDescent="0.3">
      <c r="A1940" t="s">
        <v>9</v>
      </c>
      <c r="B1940" t="s">
        <v>1948</v>
      </c>
      <c r="C1940">
        <v>6</v>
      </c>
      <c r="D1940">
        <v>3.7699999999999997E-2</v>
      </c>
      <c r="E1940">
        <v>8.4922529782297271</v>
      </c>
      <c r="F1940">
        <v>945.91480763400114</v>
      </c>
      <c r="G1940">
        <v>0.42399999999999999</v>
      </c>
      <c r="H1940">
        <v>3.8800000000000001E-2</v>
      </c>
      <c r="I1940">
        <v>563.21669999999995</v>
      </c>
    </row>
    <row r="1941" spans="1:9" x14ac:dyDescent="0.3">
      <c r="A1941" t="s">
        <v>9</v>
      </c>
      <c r="B1941" t="s">
        <v>1949</v>
      </c>
      <c r="C1941">
        <v>6</v>
      </c>
      <c r="D1941">
        <v>3.8699999999999998E-2</v>
      </c>
      <c r="E1941">
        <v>8.5351813829405465</v>
      </c>
      <c r="F1941">
        <v>949.98871324105789</v>
      </c>
      <c r="G1941">
        <v>0.42399999999999999</v>
      </c>
      <c r="H1941">
        <v>3.95E-2</v>
      </c>
      <c r="I1941">
        <v>563.4171</v>
      </c>
    </row>
    <row r="1942" spans="1:9" x14ac:dyDescent="0.3">
      <c r="A1942" t="s">
        <v>9</v>
      </c>
      <c r="B1942" t="s">
        <v>1950</v>
      </c>
      <c r="C1942">
        <v>6</v>
      </c>
      <c r="D1942">
        <v>3.9100000000000003E-2</v>
      </c>
      <c r="E1942">
        <v>8.573591627084534</v>
      </c>
      <c r="F1942">
        <v>953.63384541032235</v>
      </c>
      <c r="G1942">
        <v>0.42399999999999999</v>
      </c>
      <c r="H1942">
        <v>4.0099999999999997E-2</v>
      </c>
      <c r="I1942">
        <v>563.61869999999999</v>
      </c>
    </row>
    <row r="1943" spans="1:9" x14ac:dyDescent="0.3">
      <c r="A1943" t="s">
        <v>9</v>
      </c>
      <c r="B1943" t="s">
        <v>1951</v>
      </c>
      <c r="C1943">
        <v>6</v>
      </c>
      <c r="D1943">
        <v>3.9300000000000002E-2</v>
      </c>
      <c r="E1943">
        <v>8.6066703363372543</v>
      </c>
      <c r="F1943">
        <v>956.77301491840547</v>
      </c>
      <c r="G1943">
        <v>0.42399999999999999</v>
      </c>
      <c r="H1943">
        <v>4.0599999999999997E-2</v>
      </c>
      <c r="I1943">
        <v>563.81740000000002</v>
      </c>
    </row>
    <row r="1944" spans="1:9" x14ac:dyDescent="0.3">
      <c r="A1944" t="s">
        <v>9</v>
      </c>
      <c r="B1944" t="s">
        <v>1952</v>
      </c>
      <c r="C1944">
        <v>6</v>
      </c>
      <c r="D1944">
        <v>4.0599999999999997E-2</v>
      </c>
      <c r="E1944">
        <v>8.6349320530804157</v>
      </c>
      <c r="F1944">
        <v>959.45505183733155</v>
      </c>
      <c r="G1944">
        <v>0.42399999999999999</v>
      </c>
      <c r="H1944">
        <v>4.1000000000000002E-2</v>
      </c>
      <c r="I1944">
        <v>564.01700000000005</v>
      </c>
    </row>
    <row r="1945" spans="1:9" x14ac:dyDescent="0.3">
      <c r="A1945" t="s">
        <v>9</v>
      </c>
      <c r="B1945" t="s">
        <v>1953</v>
      </c>
      <c r="C1945">
        <v>6</v>
      </c>
      <c r="D1945">
        <v>4.1500000000000002E-2</v>
      </c>
      <c r="E1945">
        <v>8.6581862060615382</v>
      </c>
      <c r="F1945">
        <v>961.66187095524003</v>
      </c>
      <c r="G1945">
        <v>0.42399999999999999</v>
      </c>
      <c r="H1945">
        <v>4.1399999999999999E-2</v>
      </c>
      <c r="I1945">
        <v>564.21699999999998</v>
      </c>
    </row>
    <row r="1946" spans="1:9" x14ac:dyDescent="0.3">
      <c r="A1946" t="s">
        <v>9</v>
      </c>
      <c r="B1946" t="s">
        <v>1954</v>
      </c>
      <c r="C1946">
        <v>6</v>
      </c>
      <c r="D1946">
        <v>4.2200000000000001E-2</v>
      </c>
      <c r="E1946">
        <v>8.6761947839503915</v>
      </c>
      <c r="F1946">
        <v>963.37088499689219</v>
      </c>
      <c r="G1946">
        <v>0.42399999999999999</v>
      </c>
      <c r="H1946">
        <v>4.1599999999999998E-2</v>
      </c>
      <c r="I1946">
        <v>564.41610000000003</v>
      </c>
    </row>
    <row r="1947" spans="1:9" x14ac:dyDescent="0.3">
      <c r="A1947" t="s">
        <v>9</v>
      </c>
      <c r="B1947" t="s">
        <v>1955</v>
      </c>
      <c r="C1947">
        <v>6</v>
      </c>
      <c r="D1947">
        <v>4.2299999999999997E-2</v>
      </c>
      <c r="E1947">
        <v>8.6892785141101943</v>
      </c>
      <c r="F1947">
        <v>964.61253098905752</v>
      </c>
      <c r="G1947">
        <v>0.42399999999999999</v>
      </c>
      <c r="H1947">
        <v>4.19E-2</v>
      </c>
      <c r="I1947">
        <v>564.62049999999999</v>
      </c>
    </row>
    <row r="1948" spans="1:9" x14ac:dyDescent="0.3">
      <c r="A1948" t="s">
        <v>9</v>
      </c>
      <c r="B1948" t="s">
        <v>1956</v>
      </c>
      <c r="C1948">
        <v>6</v>
      </c>
      <c r="D1948">
        <v>4.2500000000000003E-2</v>
      </c>
      <c r="E1948">
        <v>8.696660920054768</v>
      </c>
      <c r="F1948">
        <v>965.31312131319748</v>
      </c>
      <c r="G1948">
        <v>0.42399999999999999</v>
      </c>
      <c r="H1948">
        <v>4.2000000000000003E-2</v>
      </c>
      <c r="I1948">
        <v>564.81790000000001</v>
      </c>
    </row>
    <row r="1949" spans="1:9" x14ac:dyDescent="0.3">
      <c r="A1949" t="s">
        <v>9</v>
      </c>
      <c r="B1949" t="s">
        <v>1957</v>
      </c>
      <c r="C1949">
        <v>6</v>
      </c>
      <c r="D1949">
        <v>4.24E-2</v>
      </c>
      <c r="E1949">
        <v>8.6988504621045646</v>
      </c>
      <c r="F1949">
        <v>965.5209088537232</v>
      </c>
      <c r="G1949">
        <v>0.42399999999999999</v>
      </c>
      <c r="H1949">
        <v>4.2000000000000003E-2</v>
      </c>
      <c r="I1949">
        <v>565.01800000000003</v>
      </c>
    </row>
    <row r="1950" spans="1:9" x14ac:dyDescent="0.3">
      <c r="A1950" t="s">
        <v>9</v>
      </c>
      <c r="B1950" t="s">
        <v>1958</v>
      </c>
      <c r="C1950">
        <v>6</v>
      </c>
      <c r="D1950">
        <v>4.2500000000000003E-2</v>
      </c>
      <c r="E1950">
        <v>8.6957011707896044</v>
      </c>
      <c r="F1950">
        <v>858.43934911759118</v>
      </c>
      <c r="G1950">
        <v>0.42399999999999999</v>
      </c>
      <c r="H1950">
        <v>4.2000000000000003E-2</v>
      </c>
      <c r="I1950">
        <v>565.21810000000005</v>
      </c>
    </row>
    <row r="1951" spans="1:9" x14ac:dyDescent="0.3">
      <c r="A1951" t="s">
        <v>9</v>
      </c>
      <c r="B1951" t="s">
        <v>1959</v>
      </c>
      <c r="C1951">
        <v>6</v>
      </c>
      <c r="D1951">
        <v>4.1799999999999997E-2</v>
      </c>
      <c r="E1951">
        <v>8.687256836950878</v>
      </c>
      <c r="F1951">
        <v>857.65233720382184</v>
      </c>
      <c r="G1951">
        <v>0.42399999999999999</v>
      </c>
      <c r="H1951">
        <v>4.1799999999999997E-2</v>
      </c>
      <c r="I1951">
        <v>565.41759999999999</v>
      </c>
    </row>
    <row r="1952" spans="1:9" x14ac:dyDescent="0.3">
      <c r="A1952" t="s">
        <v>9</v>
      </c>
      <c r="B1952" t="s">
        <v>1960</v>
      </c>
      <c r="C1952">
        <v>6</v>
      </c>
      <c r="D1952">
        <v>4.1300000000000003E-2</v>
      </c>
      <c r="E1952">
        <v>8.6734740752181398</v>
      </c>
      <c r="F1952">
        <v>856.36778381033071</v>
      </c>
      <c r="G1952">
        <v>0.42399999999999999</v>
      </c>
      <c r="H1952">
        <v>4.1599999999999998E-2</v>
      </c>
      <c r="I1952">
        <v>565.61800000000005</v>
      </c>
    </row>
    <row r="1953" spans="1:9" x14ac:dyDescent="0.3">
      <c r="A1953" t="s">
        <v>9</v>
      </c>
      <c r="B1953" t="s">
        <v>1961</v>
      </c>
      <c r="C1953">
        <v>6</v>
      </c>
      <c r="D1953">
        <v>4.1300000000000003E-2</v>
      </c>
      <c r="E1953">
        <v>8.6546379315286135</v>
      </c>
      <c r="F1953">
        <v>854.61225521846677</v>
      </c>
      <c r="G1953">
        <v>0.42399999999999999</v>
      </c>
      <c r="H1953">
        <v>4.1300000000000003E-2</v>
      </c>
      <c r="I1953">
        <v>565.81659999999999</v>
      </c>
    </row>
    <row r="1954" spans="1:9" x14ac:dyDescent="0.3">
      <c r="A1954" t="s">
        <v>9</v>
      </c>
      <c r="B1954" t="s">
        <v>1962</v>
      </c>
      <c r="C1954">
        <v>6</v>
      </c>
      <c r="D1954">
        <v>4.1200000000000001E-2</v>
      </c>
      <c r="E1954">
        <v>8.6297371618318923</v>
      </c>
      <c r="F1954">
        <v>852.29150348273242</v>
      </c>
      <c r="G1954">
        <v>0.42399999999999999</v>
      </c>
      <c r="H1954">
        <v>4.0899999999999999E-2</v>
      </c>
      <c r="I1954">
        <v>566.02250000000004</v>
      </c>
    </row>
    <row r="1955" spans="1:9" x14ac:dyDescent="0.3">
      <c r="A1955" t="s">
        <v>9</v>
      </c>
      <c r="B1955" t="s">
        <v>1963</v>
      </c>
      <c r="C1955">
        <v>6</v>
      </c>
      <c r="D1955">
        <v>4.1200000000000001E-2</v>
      </c>
      <c r="E1955">
        <v>8.6013428561534919</v>
      </c>
      <c r="F1955">
        <v>849.6451541935055</v>
      </c>
      <c r="G1955">
        <v>0.42399999999999999</v>
      </c>
      <c r="H1955">
        <v>4.0500000000000001E-2</v>
      </c>
      <c r="I1955">
        <v>566.21659999999997</v>
      </c>
    </row>
    <row r="1956" spans="1:9" x14ac:dyDescent="0.3">
      <c r="A1956" t="s">
        <v>9</v>
      </c>
      <c r="B1956" t="s">
        <v>1964</v>
      </c>
      <c r="C1956">
        <v>6</v>
      </c>
      <c r="D1956">
        <v>4.0500000000000001E-2</v>
      </c>
      <c r="E1956">
        <v>8.5672480372013631</v>
      </c>
      <c r="F1956">
        <v>846.46751706716702</v>
      </c>
      <c r="G1956">
        <v>0.42399999999999999</v>
      </c>
      <c r="H1956">
        <v>0.04</v>
      </c>
      <c r="I1956">
        <v>566.41639999999995</v>
      </c>
    </row>
    <row r="1957" spans="1:9" x14ac:dyDescent="0.3">
      <c r="A1957" t="s">
        <v>9</v>
      </c>
      <c r="B1957" t="s">
        <v>1965</v>
      </c>
      <c r="C1957">
        <v>6</v>
      </c>
      <c r="D1957">
        <v>4.0500000000000001E-2</v>
      </c>
      <c r="E1957">
        <v>8.5279567051177079</v>
      </c>
      <c r="F1957">
        <v>842.80556491697041</v>
      </c>
      <c r="G1957">
        <v>0.42399999999999999</v>
      </c>
      <c r="H1957">
        <v>3.9300000000000002E-2</v>
      </c>
      <c r="I1957">
        <v>566.6182</v>
      </c>
    </row>
    <row r="1958" spans="1:9" x14ac:dyDescent="0.3">
      <c r="A1958" t="s">
        <v>9</v>
      </c>
      <c r="B1958" t="s">
        <v>1966</v>
      </c>
      <c r="C1958">
        <v>6</v>
      </c>
      <c r="D1958">
        <v>4.0500000000000001E-2</v>
      </c>
      <c r="E1958">
        <v>8.4842935874079561</v>
      </c>
      <c r="F1958">
        <v>838.73616234642157</v>
      </c>
      <c r="G1958">
        <v>0.42399999999999999</v>
      </c>
      <c r="H1958">
        <v>3.8699999999999998E-2</v>
      </c>
      <c r="I1958">
        <v>566.81820000000005</v>
      </c>
    </row>
    <row r="1959" spans="1:9" x14ac:dyDescent="0.3">
      <c r="A1959" t="s">
        <v>9</v>
      </c>
      <c r="B1959" t="s">
        <v>1967</v>
      </c>
      <c r="C1959">
        <v>6</v>
      </c>
      <c r="D1959">
        <v>4.0399999999999998E-2</v>
      </c>
      <c r="E1959">
        <v>8.4365048048173321</v>
      </c>
      <c r="F1959">
        <v>834.2822478089754</v>
      </c>
      <c r="G1959">
        <v>0.42399999999999999</v>
      </c>
      <c r="H1959">
        <v>3.7900000000000003E-2</v>
      </c>
      <c r="I1959">
        <v>567.01689999999996</v>
      </c>
    </row>
    <row r="1960" spans="1:9" x14ac:dyDescent="0.3">
      <c r="A1960" t="s">
        <v>9</v>
      </c>
      <c r="B1960" t="s">
        <v>1968</v>
      </c>
      <c r="C1960">
        <v>6</v>
      </c>
      <c r="D1960">
        <v>4.0099999999999997E-2</v>
      </c>
      <c r="E1960">
        <v>8.3835892500641744</v>
      </c>
      <c r="F1960">
        <v>829.35051810598111</v>
      </c>
      <c r="G1960">
        <v>0.42399999999999999</v>
      </c>
      <c r="H1960">
        <v>3.7100000000000001E-2</v>
      </c>
      <c r="I1960">
        <v>567.21879999999999</v>
      </c>
    </row>
    <row r="1961" spans="1:9" x14ac:dyDescent="0.3">
      <c r="A1961" t="s">
        <v>9</v>
      </c>
      <c r="B1961" t="s">
        <v>1969</v>
      </c>
      <c r="C1961">
        <v>6</v>
      </c>
      <c r="D1961">
        <v>3.9100000000000003E-2</v>
      </c>
      <c r="E1961">
        <v>8.3271160949508438</v>
      </c>
      <c r="F1961">
        <v>824.08722004941865</v>
      </c>
      <c r="G1961">
        <v>0.42399999999999999</v>
      </c>
      <c r="H1961">
        <v>3.6200000000000003E-2</v>
      </c>
      <c r="I1961">
        <v>567.41859999999997</v>
      </c>
    </row>
    <row r="1962" spans="1:9" x14ac:dyDescent="0.3">
      <c r="A1962" t="s">
        <v>9</v>
      </c>
      <c r="B1962" t="s">
        <v>1970</v>
      </c>
      <c r="C1962">
        <v>6</v>
      </c>
      <c r="D1962">
        <v>3.8399999999999997E-2</v>
      </c>
      <c r="E1962">
        <v>8.267039926753343</v>
      </c>
      <c r="F1962">
        <v>818.48812117341163</v>
      </c>
      <c r="G1962">
        <v>0.42399999999999999</v>
      </c>
      <c r="H1962">
        <v>3.5299999999999998E-2</v>
      </c>
      <c r="I1962">
        <v>567.61760000000004</v>
      </c>
    </row>
    <row r="1963" spans="1:9" x14ac:dyDescent="0.3">
      <c r="A1963" t="s">
        <v>9</v>
      </c>
      <c r="B1963" t="s">
        <v>1971</v>
      </c>
      <c r="C1963">
        <v>6</v>
      </c>
      <c r="D1963">
        <v>3.8300000000000001E-2</v>
      </c>
      <c r="E1963">
        <v>8.2028920212847165</v>
      </c>
      <c r="F1963">
        <v>812.50953638373562</v>
      </c>
      <c r="G1963">
        <v>0.42399999999999999</v>
      </c>
      <c r="H1963">
        <v>3.4299999999999997E-2</v>
      </c>
      <c r="I1963">
        <v>567.81809999999996</v>
      </c>
    </row>
    <row r="1964" spans="1:9" x14ac:dyDescent="0.3">
      <c r="A1964" t="s">
        <v>9</v>
      </c>
      <c r="B1964" t="s">
        <v>1972</v>
      </c>
      <c r="C1964">
        <v>6</v>
      </c>
      <c r="D1964">
        <v>3.78E-2</v>
      </c>
      <c r="E1964">
        <v>8.1351342097291663</v>
      </c>
      <c r="F1964">
        <v>806.19450834675831</v>
      </c>
      <c r="G1964">
        <v>0.42399999999999999</v>
      </c>
      <c r="H1964">
        <v>3.32E-2</v>
      </c>
      <c r="I1964">
        <v>568.01919999999996</v>
      </c>
    </row>
    <row r="1965" spans="1:9" x14ac:dyDescent="0.3">
      <c r="A1965" t="s">
        <v>9</v>
      </c>
      <c r="B1965" t="s">
        <v>1973</v>
      </c>
      <c r="C1965">
        <v>6</v>
      </c>
      <c r="D1965">
        <v>3.6200000000000003E-2</v>
      </c>
      <c r="E1965">
        <v>8.0653522881898052</v>
      </c>
      <c r="F1965">
        <v>799.69083325928989</v>
      </c>
      <c r="G1965">
        <v>0.42399999999999999</v>
      </c>
      <c r="H1965">
        <v>3.2199999999999999E-2</v>
      </c>
      <c r="I1965">
        <v>568.21709999999996</v>
      </c>
    </row>
    <row r="1966" spans="1:9" x14ac:dyDescent="0.3">
      <c r="A1966" t="s">
        <v>9</v>
      </c>
      <c r="B1966" t="s">
        <v>1974</v>
      </c>
      <c r="C1966">
        <v>6</v>
      </c>
      <c r="D1966">
        <v>3.5099999999999999E-2</v>
      </c>
      <c r="E1966">
        <v>7.9917058249325468</v>
      </c>
      <c r="F1966">
        <v>792.82698288371341</v>
      </c>
      <c r="G1966">
        <v>0.42399999999999999</v>
      </c>
      <c r="H1966">
        <v>3.1E-2</v>
      </c>
      <c r="I1966">
        <v>568.41800000000001</v>
      </c>
    </row>
    <row r="1967" spans="1:9" x14ac:dyDescent="0.3">
      <c r="A1967" t="s">
        <v>9</v>
      </c>
      <c r="B1967" t="s">
        <v>1975</v>
      </c>
      <c r="C1967">
        <v>6</v>
      </c>
      <c r="D1967">
        <v>3.4200000000000001E-2</v>
      </c>
      <c r="E1967">
        <v>7.9156626240722581</v>
      </c>
      <c r="F1967">
        <v>785.73975656353446</v>
      </c>
      <c r="G1967">
        <v>0.42399999999999999</v>
      </c>
      <c r="H1967">
        <v>2.98E-2</v>
      </c>
      <c r="I1967">
        <v>568.61850000000004</v>
      </c>
    </row>
    <row r="1968" spans="1:9" x14ac:dyDescent="0.3">
      <c r="A1968" t="s">
        <v>9</v>
      </c>
      <c r="B1968" t="s">
        <v>1976</v>
      </c>
      <c r="C1968">
        <v>6</v>
      </c>
      <c r="D1968">
        <v>3.2300000000000002E-2</v>
      </c>
      <c r="E1968">
        <v>7.8382306858933459</v>
      </c>
      <c r="F1968">
        <v>778.52309992525988</v>
      </c>
      <c r="G1968">
        <v>0.42399999999999999</v>
      </c>
      <c r="H1968">
        <v>2.86E-2</v>
      </c>
      <c r="I1968">
        <v>568.81669999999997</v>
      </c>
    </row>
    <row r="1969" spans="1:9" x14ac:dyDescent="0.3">
      <c r="A1969" t="s">
        <v>9</v>
      </c>
      <c r="B1969" t="s">
        <v>1977</v>
      </c>
      <c r="C1969">
        <v>6</v>
      </c>
      <c r="D1969">
        <v>3.0499999999999999E-2</v>
      </c>
      <c r="E1969">
        <v>7.7580893921631811</v>
      </c>
      <c r="F1969">
        <v>771.05393134960855</v>
      </c>
      <c r="G1969">
        <v>0.42399999999999999</v>
      </c>
      <c r="H1969">
        <v>2.7400000000000001E-2</v>
      </c>
      <c r="I1969">
        <v>569.01700000000005</v>
      </c>
    </row>
    <row r="1970" spans="1:9" x14ac:dyDescent="0.3">
      <c r="A1970" t="s">
        <v>9</v>
      </c>
      <c r="B1970" t="s">
        <v>1978</v>
      </c>
      <c r="C1970">
        <v>6</v>
      </c>
      <c r="D1970">
        <v>2.9399999999999999E-2</v>
      </c>
      <c r="E1970">
        <v>7.6757026014197223</v>
      </c>
      <c r="F1970">
        <v>763.37548245231812</v>
      </c>
      <c r="G1970">
        <v>0.42399999999999999</v>
      </c>
      <c r="H1970">
        <v>2.6100000000000002E-2</v>
      </c>
      <c r="I1970">
        <v>569.21879999999999</v>
      </c>
    </row>
    <row r="1971" spans="1:9" x14ac:dyDescent="0.3">
      <c r="A1971" t="s">
        <v>9</v>
      </c>
      <c r="B1971" t="s">
        <v>1979</v>
      </c>
      <c r="C1971">
        <v>6</v>
      </c>
      <c r="D1971">
        <v>2.8299999999999999E-2</v>
      </c>
      <c r="E1971">
        <v>7.5928487083723066</v>
      </c>
      <c r="F1971">
        <v>755.65349962029904</v>
      </c>
      <c r="G1971">
        <v>0.42399999999999999</v>
      </c>
      <c r="H1971">
        <v>2.4799999999999999E-2</v>
      </c>
      <c r="I1971">
        <v>569.41849999999999</v>
      </c>
    </row>
    <row r="1972" spans="1:9" x14ac:dyDescent="0.3">
      <c r="A1972" t="s">
        <v>9</v>
      </c>
      <c r="B1972" t="s">
        <v>1980</v>
      </c>
      <c r="C1972">
        <v>6</v>
      </c>
      <c r="D1972">
        <v>2.7099999999999999E-2</v>
      </c>
      <c r="E1972">
        <v>7.5090695310734761</v>
      </c>
      <c r="F1972">
        <v>747.84528029604803</v>
      </c>
      <c r="G1972">
        <v>0.42399999999999999</v>
      </c>
      <c r="H1972">
        <v>2.35E-2</v>
      </c>
      <c r="I1972">
        <v>569.61810000000003</v>
      </c>
    </row>
    <row r="1973" spans="1:9" x14ac:dyDescent="0.3">
      <c r="A1973" t="s">
        <v>9</v>
      </c>
      <c r="B1973" t="s">
        <v>1981</v>
      </c>
      <c r="C1973">
        <v>6</v>
      </c>
      <c r="D1973">
        <v>2.5100000000000001E-2</v>
      </c>
      <c r="E1973">
        <v>7.4250450439709166</v>
      </c>
      <c r="F1973">
        <v>740.01419809808942</v>
      </c>
      <c r="G1973">
        <v>0.42399999999999999</v>
      </c>
      <c r="H1973">
        <v>2.2200000000000001E-2</v>
      </c>
      <c r="I1973">
        <v>569.81679999999994</v>
      </c>
    </row>
    <row r="1974" spans="1:9" x14ac:dyDescent="0.3">
      <c r="A1974" t="s">
        <v>9</v>
      </c>
      <c r="B1974" t="s">
        <v>1982</v>
      </c>
      <c r="C1974">
        <v>6</v>
      </c>
      <c r="D1974">
        <v>2.3300000000000001E-2</v>
      </c>
      <c r="E1974">
        <v>7.3398313111587168</v>
      </c>
      <c r="F1974">
        <v>732.07227819999241</v>
      </c>
      <c r="G1974">
        <v>0.42399999999999999</v>
      </c>
      <c r="H1974">
        <v>2.0899999999999998E-2</v>
      </c>
      <c r="I1974">
        <v>570.01760000000002</v>
      </c>
    </row>
    <row r="1975" spans="1:9" x14ac:dyDescent="0.3">
      <c r="A1975" t="s">
        <v>9</v>
      </c>
      <c r="B1975" t="s">
        <v>1983</v>
      </c>
      <c r="C1975">
        <v>6</v>
      </c>
      <c r="D1975">
        <v>2.1600000000000001E-2</v>
      </c>
      <c r="E1975">
        <v>7.2550173725059821</v>
      </c>
      <c r="F1975">
        <v>724.16761911755759</v>
      </c>
      <c r="G1975">
        <v>0.42399999999999999</v>
      </c>
      <c r="H1975">
        <v>1.9599999999999999E-2</v>
      </c>
      <c r="I1975">
        <v>570.21749999999997</v>
      </c>
    </row>
    <row r="1976" spans="1:9" x14ac:dyDescent="0.3">
      <c r="A1976" t="s">
        <v>9</v>
      </c>
      <c r="B1976" t="s">
        <v>1984</v>
      </c>
      <c r="C1976">
        <v>6</v>
      </c>
      <c r="D1976">
        <v>2.0299999999999999E-2</v>
      </c>
      <c r="E1976">
        <v>7.1708335353986881</v>
      </c>
      <c r="F1976">
        <v>716.32168549915775</v>
      </c>
      <c r="G1976">
        <v>0.42399999999999999</v>
      </c>
      <c r="H1976">
        <v>1.83E-2</v>
      </c>
      <c r="I1976">
        <v>570.41669999999999</v>
      </c>
    </row>
    <row r="1977" spans="1:9" x14ac:dyDescent="0.3">
      <c r="A1977" t="s">
        <v>9</v>
      </c>
      <c r="B1977" t="s">
        <v>1985</v>
      </c>
      <c r="C1977">
        <v>6</v>
      </c>
      <c r="D1977">
        <v>1.8599999999999998E-2</v>
      </c>
      <c r="E1977">
        <v>7.0856210189987383</v>
      </c>
      <c r="F1977">
        <v>708.3798789706824</v>
      </c>
      <c r="G1977">
        <v>0.42399999999999999</v>
      </c>
      <c r="H1977">
        <v>1.6899999999999998E-2</v>
      </c>
      <c r="I1977">
        <v>570.62019999999995</v>
      </c>
    </row>
    <row r="1978" spans="1:9" x14ac:dyDescent="0.3">
      <c r="A1978" t="s">
        <v>9</v>
      </c>
      <c r="B1978" t="s">
        <v>1986</v>
      </c>
      <c r="C1978">
        <v>6</v>
      </c>
      <c r="D1978">
        <v>1.7299999999999999E-2</v>
      </c>
      <c r="E1978">
        <v>5.9957334838115024</v>
      </c>
      <c r="F1978">
        <v>606.80236069123202</v>
      </c>
      <c r="G1978">
        <v>0.42399999999999999</v>
      </c>
      <c r="H1978">
        <v>0</v>
      </c>
      <c r="I1978">
        <v>570.81899999999996</v>
      </c>
    </row>
    <row r="1979" spans="1:9" x14ac:dyDescent="0.3">
      <c r="A1979" t="s">
        <v>9</v>
      </c>
      <c r="B1979" t="s">
        <v>1987</v>
      </c>
      <c r="C1979">
        <v>6</v>
      </c>
      <c r="D1979">
        <v>9.4000000000000004E-3</v>
      </c>
      <c r="E1979">
        <v>5.9957334838115024</v>
      </c>
      <c r="F1979">
        <v>606.80236069123202</v>
      </c>
      <c r="G1979">
        <v>0.42399999999999999</v>
      </c>
      <c r="H1979">
        <v>0</v>
      </c>
      <c r="I1979">
        <v>571.01900000000001</v>
      </c>
    </row>
    <row r="1980" spans="1:9" x14ac:dyDescent="0.3">
      <c r="A1980" t="s">
        <v>9</v>
      </c>
      <c r="B1980" t="s">
        <v>1988</v>
      </c>
      <c r="C1980">
        <v>6</v>
      </c>
      <c r="D1980">
        <v>3.2000000000000002E-3</v>
      </c>
      <c r="E1980">
        <v>5.9957334838115024</v>
      </c>
      <c r="F1980">
        <v>606.80236069123202</v>
      </c>
      <c r="G1980">
        <v>0.42399999999999999</v>
      </c>
      <c r="H1980">
        <v>0</v>
      </c>
      <c r="I1980">
        <v>571.21780000000001</v>
      </c>
    </row>
    <row r="1981" spans="1:9" x14ac:dyDescent="0.3">
      <c r="A1981" t="s">
        <v>9</v>
      </c>
      <c r="B1981" t="s">
        <v>1989</v>
      </c>
      <c r="C1981">
        <v>6</v>
      </c>
      <c r="D1981">
        <v>-5.9999999999999995E-4</v>
      </c>
      <c r="E1981">
        <v>5.9957334838115024</v>
      </c>
      <c r="F1981">
        <v>606.80236069123202</v>
      </c>
      <c r="G1981">
        <v>0.42399999999999999</v>
      </c>
      <c r="H1981">
        <v>0</v>
      </c>
      <c r="I1981">
        <v>571.41690000000006</v>
      </c>
    </row>
    <row r="1982" spans="1:9" x14ac:dyDescent="0.3">
      <c r="A1982" t="s">
        <v>9</v>
      </c>
      <c r="B1982" t="s">
        <v>1990</v>
      </c>
      <c r="C1982">
        <v>6</v>
      </c>
      <c r="D1982">
        <v>-1.5E-3</v>
      </c>
      <c r="E1982">
        <v>5.9957334838115024</v>
      </c>
      <c r="F1982">
        <v>606.80236069123202</v>
      </c>
      <c r="G1982">
        <v>0.42399999999999999</v>
      </c>
      <c r="H1982">
        <v>0</v>
      </c>
      <c r="I1982">
        <v>572.01710000000003</v>
      </c>
    </row>
    <row r="1983" spans="1:9" x14ac:dyDescent="0.3">
      <c r="A1983" t="s">
        <v>9</v>
      </c>
      <c r="B1983" t="s">
        <v>1991</v>
      </c>
      <c r="C1983">
        <v>6</v>
      </c>
      <c r="D1983">
        <v>-2.0999999999999999E-3</v>
      </c>
      <c r="E1983">
        <v>6.3568356375067738</v>
      </c>
      <c r="F1983">
        <v>743.26370199939288</v>
      </c>
      <c r="G1983">
        <v>0.42399999999999999</v>
      </c>
      <c r="H1983">
        <v>5.5999999999999999E-3</v>
      </c>
      <c r="I1983">
        <v>572.61800000000005</v>
      </c>
    </row>
    <row r="1984" spans="1:9" x14ac:dyDescent="0.3">
      <c r="A1984" t="s">
        <v>9</v>
      </c>
      <c r="B1984" t="s">
        <v>1992</v>
      </c>
      <c r="C1984">
        <v>6</v>
      </c>
      <c r="D1984">
        <v>1E-3</v>
      </c>
      <c r="E1984">
        <v>6.3011212803549226</v>
      </c>
      <c r="F1984">
        <v>635.26450332907893</v>
      </c>
      <c r="G1984">
        <v>0.42399999999999999</v>
      </c>
      <c r="H1984">
        <v>4.7000000000000002E-3</v>
      </c>
      <c r="I1984">
        <v>572.81769999999995</v>
      </c>
    </row>
    <row r="1985" spans="1:9" x14ac:dyDescent="0.3">
      <c r="A1985" t="s">
        <v>9</v>
      </c>
      <c r="B1985" t="s">
        <v>1993</v>
      </c>
      <c r="C1985">
        <v>6</v>
      </c>
      <c r="D1985">
        <v>1.6000000000000001E-3</v>
      </c>
      <c r="E1985">
        <v>6.2491152370410106</v>
      </c>
      <c r="F1985">
        <v>630.41754009222223</v>
      </c>
      <c r="G1985">
        <v>0.42399999999999999</v>
      </c>
      <c r="H1985">
        <v>3.8999999999999998E-3</v>
      </c>
      <c r="I1985">
        <v>573.01900000000001</v>
      </c>
    </row>
    <row r="1986" spans="1:9" x14ac:dyDescent="0.3">
      <c r="A1986" t="s">
        <v>9</v>
      </c>
      <c r="B1986" t="s">
        <v>1994</v>
      </c>
      <c r="C1986">
        <v>6</v>
      </c>
      <c r="D1986">
        <v>1.1999999999999999E-3</v>
      </c>
      <c r="E1986">
        <v>6.202225504744276</v>
      </c>
      <c r="F1986">
        <v>626.04741704216656</v>
      </c>
      <c r="G1986">
        <v>0.42399999999999999</v>
      </c>
      <c r="H1986">
        <v>3.2000000000000002E-3</v>
      </c>
      <c r="I1986">
        <v>573.21720000000005</v>
      </c>
    </row>
    <row r="1987" spans="1:9" x14ac:dyDescent="0.3">
      <c r="A1987" t="s">
        <v>9</v>
      </c>
      <c r="B1987" t="s">
        <v>1995</v>
      </c>
      <c r="C1987">
        <v>6</v>
      </c>
      <c r="D1987">
        <v>1.1999999999999999E-3</v>
      </c>
      <c r="E1987">
        <v>6.1590641570876006</v>
      </c>
      <c r="F1987">
        <v>622.02477944056443</v>
      </c>
      <c r="G1987">
        <v>0.42399999999999999</v>
      </c>
      <c r="H1987">
        <v>2.5000000000000001E-3</v>
      </c>
      <c r="I1987">
        <v>573.41890000000001</v>
      </c>
    </row>
    <row r="1988" spans="1:9" x14ac:dyDescent="0.3">
      <c r="A1988" t="s">
        <v>9</v>
      </c>
      <c r="B1988" t="s">
        <v>1996</v>
      </c>
      <c r="C1988">
        <v>6</v>
      </c>
      <c r="D1988">
        <v>5.9999999999999995E-4</v>
      </c>
      <c r="E1988">
        <v>6.1209911024192873</v>
      </c>
      <c r="F1988">
        <v>618.47637074547765</v>
      </c>
      <c r="G1988">
        <v>0.42399999999999999</v>
      </c>
      <c r="H1988">
        <v>1.9E-3</v>
      </c>
      <c r="I1988">
        <v>573.61879999999996</v>
      </c>
    </row>
    <row r="1989" spans="1:9" x14ac:dyDescent="0.3">
      <c r="A1989" t="s">
        <v>9</v>
      </c>
      <c r="B1989" t="s">
        <v>1997</v>
      </c>
      <c r="C1989">
        <v>6</v>
      </c>
      <c r="D1989">
        <v>5.9999999999999995E-4</v>
      </c>
      <c r="E1989">
        <v>6.0877288365580577</v>
      </c>
      <c r="F1989">
        <v>615.37632756721098</v>
      </c>
      <c r="G1989">
        <v>0.42399999999999999</v>
      </c>
      <c r="H1989">
        <v>1.4E-3</v>
      </c>
      <c r="I1989">
        <v>573.81880000000001</v>
      </c>
    </row>
    <row r="1990" spans="1:9" x14ac:dyDescent="0.3">
      <c r="A1990" t="s">
        <v>9</v>
      </c>
      <c r="B1990" t="s">
        <v>1998</v>
      </c>
      <c r="C1990">
        <v>6</v>
      </c>
      <c r="D1990">
        <v>1E-4</v>
      </c>
      <c r="E1990">
        <v>6.0594318844067221</v>
      </c>
      <c r="F1990">
        <v>612.73905162670655</v>
      </c>
      <c r="G1990">
        <v>0.42399999999999999</v>
      </c>
      <c r="H1990">
        <v>1E-3</v>
      </c>
      <c r="I1990">
        <v>574.01890000000003</v>
      </c>
    </row>
    <row r="1991" spans="1:9" x14ac:dyDescent="0.3">
      <c r="A1991" t="s">
        <v>9</v>
      </c>
      <c r="B1991" t="s">
        <v>1999</v>
      </c>
      <c r="C1991">
        <v>6</v>
      </c>
      <c r="D1991">
        <v>0</v>
      </c>
      <c r="E1991">
        <v>6.0361956126856748</v>
      </c>
      <c r="F1991">
        <v>610.57343110230488</v>
      </c>
      <c r="G1991">
        <v>0.42399999999999999</v>
      </c>
      <c r="H1991">
        <v>5.9999999999999995E-4</v>
      </c>
      <c r="I1991">
        <v>574.21910000000003</v>
      </c>
    </row>
    <row r="1992" spans="1:9" x14ac:dyDescent="0.3">
      <c r="A1992" t="s">
        <v>9</v>
      </c>
      <c r="B1992" t="s">
        <v>2000</v>
      </c>
      <c r="C1992">
        <v>6</v>
      </c>
      <c r="D1992">
        <v>0</v>
      </c>
      <c r="E1992">
        <v>6.0181718864096041</v>
      </c>
      <c r="F1992">
        <v>608.89361981337515</v>
      </c>
      <c r="G1992">
        <v>0.42399999999999999</v>
      </c>
      <c r="H1992">
        <v>2.9999999999999997E-4</v>
      </c>
      <c r="I1992">
        <v>574.41909999999996</v>
      </c>
    </row>
    <row r="1993" spans="1:9" x14ac:dyDescent="0.3">
      <c r="A1993" t="s">
        <v>9</v>
      </c>
      <c r="B1993" t="s">
        <v>2001</v>
      </c>
      <c r="C1993">
        <v>6</v>
      </c>
      <c r="D1993">
        <v>-6.9999999999999999E-4</v>
      </c>
      <c r="E1993">
        <v>6.0054286949138653</v>
      </c>
      <c r="F1993">
        <v>607.70595436597227</v>
      </c>
      <c r="G1993">
        <v>0.42399999999999999</v>
      </c>
      <c r="H1993">
        <v>2.0000000000000001E-4</v>
      </c>
      <c r="I1993">
        <v>574.61850000000004</v>
      </c>
    </row>
    <row r="1994" spans="1:9" x14ac:dyDescent="0.3">
      <c r="A1994" t="s">
        <v>9</v>
      </c>
      <c r="B1994" t="s">
        <v>2002</v>
      </c>
      <c r="C1994">
        <v>6</v>
      </c>
      <c r="D1994">
        <v>-6.9999999999999999E-4</v>
      </c>
      <c r="E1994">
        <v>5.9979213269388607</v>
      </c>
      <c r="F1994">
        <v>607.00626767070185</v>
      </c>
      <c r="G1994">
        <v>0.42399999999999999</v>
      </c>
      <c r="H1994">
        <v>0</v>
      </c>
      <c r="I1994">
        <v>574.81880000000001</v>
      </c>
    </row>
    <row r="1995" spans="1:9" x14ac:dyDescent="0.3">
      <c r="A1995" t="s">
        <v>9</v>
      </c>
      <c r="B1995" t="s">
        <v>2003</v>
      </c>
      <c r="C1995">
        <v>6</v>
      </c>
      <c r="D1995">
        <v>-6.9999999999999999E-4</v>
      </c>
      <c r="E1995">
        <v>5.99575902126759</v>
      </c>
      <c r="F1995">
        <v>606.80474078213945</v>
      </c>
      <c r="G1995">
        <v>0.42399999999999999</v>
      </c>
      <c r="H1995">
        <v>0</v>
      </c>
      <c r="I1995">
        <v>575.01949999999999</v>
      </c>
    </row>
    <row r="1996" spans="1:9" x14ac:dyDescent="0.3">
      <c r="A1996" t="s">
        <v>9</v>
      </c>
      <c r="B1996" t="s">
        <v>2004</v>
      </c>
      <c r="C1996">
        <v>6</v>
      </c>
      <c r="D1996">
        <v>-6.9999999999999999E-4</v>
      </c>
      <c r="E1996">
        <v>5.9988712881401183</v>
      </c>
      <c r="F1996">
        <v>709.29288524449726</v>
      </c>
      <c r="G1996">
        <v>0.42399999999999999</v>
      </c>
      <c r="H1996">
        <v>0</v>
      </c>
      <c r="I1996">
        <v>575.21690000000001</v>
      </c>
    </row>
    <row r="1997" spans="1:9" x14ac:dyDescent="0.3">
      <c r="A1997" t="s">
        <v>9</v>
      </c>
      <c r="B1997" t="s">
        <v>2005</v>
      </c>
      <c r="C1997">
        <v>6</v>
      </c>
      <c r="D1997">
        <v>-5.9999999999999995E-4</v>
      </c>
      <c r="E1997">
        <v>6.0073932250256812</v>
      </c>
      <c r="F1997">
        <v>710.10161705493715</v>
      </c>
      <c r="G1997">
        <v>0.42399999999999999</v>
      </c>
      <c r="H1997">
        <v>2.0000000000000001E-4</v>
      </c>
      <c r="I1997">
        <v>575.41840000000002</v>
      </c>
    </row>
    <row r="1998" spans="1:9" x14ac:dyDescent="0.3">
      <c r="A1998" t="s">
        <v>9</v>
      </c>
      <c r="B1998" t="s">
        <v>2006</v>
      </c>
      <c r="C1998">
        <v>6</v>
      </c>
      <c r="D1998">
        <v>-5.0000000000000001E-4</v>
      </c>
      <c r="E1998">
        <v>6.0212292899432089</v>
      </c>
      <c r="F1998">
        <v>711.41465961561062</v>
      </c>
      <c r="G1998">
        <v>0.42399999999999999</v>
      </c>
      <c r="H1998">
        <v>4.0000000000000002E-4</v>
      </c>
      <c r="I1998">
        <v>575.61919999999998</v>
      </c>
    </row>
    <row r="1999" spans="1:9" x14ac:dyDescent="0.3">
      <c r="A1999" t="s">
        <v>9</v>
      </c>
      <c r="B1999" t="s">
        <v>2007</v>
      </c>
      <c r="C1999">
        <v>6</v>
      </c>
      <c r="D1999">
        <v>-2.0000000000000001E-4</v>
      </c>
      <c r="E1999">
        <v>6.0401013096846921</v>
      </c>
      <c r="F1999">
        <v>713.20561428907729</v>
      </c>
      <c r="G1999">
        <v>0.42399999999999999</v>
      </c>
      <c r="H1999">
        <v>6.9999999999999999E-4</v>
      </c>
      <c r="I1999">
        <v>575.81780000000003</v>
      </c>
    </row>
    <row r="2000" spans="1:9" x14ac:dyDescent="0.3">
      <c r="A2000" t="s">
        <v>9</v>
      </c>
      <c r="B2000" t="s">
        <v>2008</v>
      </c>
      <c r="C2000">
        <v>6</v>
      </c>
      <c r="D2000">
        <v>-2.0000000000000001E-4</v>
      </c>
      <c r="E2000">
        <v>6.0643586783953713</v>
      </c>
      <c r="F2000">
        <v>715.50763857972072</v>
      </c>
      <c r="G2000">
        <v>0.42399999999999999</v>
      </c>
      <c r="H2000">
        <v>1.1000000000000001E-3</v>
      </c>
      <c r="I2000">
        <v>576.01869999999997</v>
      </c>
    </row>
    <row r="2001" spans="1:9" x14ac:dyDescent="0.3">
      <c r="A2001" t="s">
        <v>9</v>
      </c>
      <c r="B2001" t="s">
        <v>2009</v>
      </c>
      <c r="C2001">
        <v>6</v>
      </c>
      <c r="D2001">
        <v>1E-4</v>
      </c>
      <c r="E2001">
        <v>6.0934981987651291</v>
      </c>
      <c r="F2001">
        <v>718.2729790628108</v>
      </c>
      <c r="G2001">
        <v>0.42399999999999999</v>
      </c>
      <c r="H2001">
        <v>1.5E-3</v>
      </c>
      <c r="I2001">
        <v>576.21810000000005</v>
      </c>
    </row>
    <row r="2002" spans="1:9" x14ac:dyDescent="0.3">
      <c r="A2002" t="s">
        <v>9</v>
      </c>
      <c r="B2002" t="s">
        <v>2010</v>
      </c>
      <c r="C2002">
        <v>6</v>
      </c>
      <c r="D2002">
        <v>5.0000000000000001E-4</v>
      </c>
      <c r="E2002">
        <v>6.1277532597576432</v>
      </c>
      <c r="F2002">
        <v>721.52378435100036</v>
      </c>
      <c r="G2002">
        <v>0.42399999999999999</v>
      </c>
      <c r="H2002">
        <v>2.0999999999999999E-3</v>
      </c>
      <c r="I2002">
        <v>576.41859999999997</v>
      </c>
    </row>
    <row r="2003" spans="1:9" x14ac:dyDescent="0.3">
      <c r="A2003" t="s">
        <v>9</v>
      </c>
      <c r="B2003" t="s">
        <v>2011</v>
      </c>
      <c r="C2003">
        <v>6</v>
      </c>
      <c r="D2003">
        <v>8.9999999999999998E-4</v>
      </c>
      <c r="E2003">
        <v>6.1668653737698129</v>
      </c>
      <c r="F2003">
        <v>725.23552397075525</v>
      </c>
      <c r="G2003">
        <v>0.42399999999999999</v>
      </c>
      <c r="H2003">
        <v>2.7000000000000001E-3</v>
      </c>
      <c r="I2003">
        <v>576.61919999999998</v>
      </c>
    </row>
    <row r="2004" spans="1:9" x14ac:dyDescent="0.3">
      <c r="A2004" t="s">
        <v>9</v>
      </c>
      <c r="B2004" t="s">
        <v>2012</v>
      </c>
      <c r="C2004">
        <v>6</v>
      </c>
      <c r="D2004">
        <v>1.4E-3</v>
      </c>
      <c r="E2004">
        <v>6.2100283433094869</v>
      </c>
      <c r="F2004">
        <v>729.33168978007029</v>
      </c>
      <c r="G2004">
        <v>0.42399999999999999</v>
      </c>
      <c r="H2004">
        <v>3.3E-3</v>
      </c>
      <c r="I2004">
        <v>576.81700000000001</v>
      </c>
    </row>
    <row r="2005" spans="1:9" x14ac:dyDescent="0.3">
      <c r="A2005" t="s">
        <v>9</v>
      </c>
      <c r="B2005" t="s">
        <v>2013</v>
      </c>
      <c r="C2005">
        <v>6</v>
      </c>
      <c r="D2005">
        <v>1.8E-3</v>
      </c>
      <c r="E2005">
        <v>6.2583639032064386</v>
      </c>
      <c r="F2005">
        <v>733.91873441429107</v>
      </c>
      <c r="G2005">
        <v>0.42399999999999999</v>
      </c>
      <c r="H2005">
        <v>4.1000000000000003E-3</v>
      </c>
      <c r="I2005">
        <v>577.01790000000005</v>
      </c>
    </row>
    <row r="2006" spans="1:9" x14ac:dyDescent="0.3">
      <c r="A2006" t="s">
        <v>9</v>
      </c>
      <c r="B2006" t="s">
        <v>2014</v>
      </c>
      <c r="C2006">
        <v>7</v>
      </c>
      <c r="D2006">
        <v>3.2000000000000002E-3</v>
      </c>
      <c r="E2006">
        <v>6.3111299203470068</v>
      </c>
      <c r="F2006">
        <v>738.92622944093102</v>
      </c>
      <c r="G2006">
        <v>0.42399999999999999</v>
      </c>
      <c r="H2006">
        <v>4.8999999999999998E-3</v>
      </c>
      <c r="I2006">
        <v>577.2192</v>
      </c>
    </row>
    <row r="2007" spans="1:9" x14ac:dyDescent="0.3">
      <c r="A2007" t="s">
        <v>9</v>
      </c>
      <c r="B2007" t="s">
        <v>2015</v>
      </c>
      <c r="C2007">
        <v>7</v>
      </c>
      <c r="D2007">
        <v>4.3E-3</v>
      </c>
      <c r="E2007">
        <v>6.3672845781862426</v>
      </c>
      <c r="F2007">
        <v>744.25530646987454</v>
      </c>
      <c r="G2007">
        <v>0.42399999999999999</v>
      </c>
      <c r="H2007">
        <v>5.7999999999999996E-3</v>
      </c>
      <c r="I2007">
        <v>577.41790000000003</v>
      </c>
    </row>
    <row r="2008" spans="1:9" x14ac:dyDescent="0.3">
      <c r="A2008" t="s">
        <v>9</v>
      </c>
      <c r="B2008" t="s">
        <v>2016</v>
      </c>
      <c r="C2008">
        <v>7</v>
      </c>
      <c r="D2008">
        <v>5.4000000000000003E-3</v>
      </c>
      <c r="E2008">
        <v>6.4280123378789336</v>
      </c>
      <c r="F2008">
        <v>750.01837086471085</v>
      </c>
      <c r="G2008">
        <v>0.42399999999999999</v>
      </c>
      <c r="H2008">
        <v>6.7000000000000002E-3</v>
      </c>
      <c r="I2008">
        <v>577.6191</v>
      </c>
    </row>
    <row r="2009" spans="1:9" x14ac:dyDescent="0.3">
      <c r="A2009" t="s">
        <v>9</v>
      </c>
      <c r="B2009" t="s">
        <v>2017</v>
      </c>
      <c r="C2009">
        <v>7</v>
      </c>
      <c r="D2009">
        <v>6.4000000000000003E-3</v>
      </c>
      <c r="E2009">
        <v>6.4922336335533037</v>
      </c>
      <c r="F2009">
        <v>756.11297182420856</v>
      </c>
      <c r="G2009">
        <v>0.42399999999999999</v>
      </c>
      <c r="H2009">
        <v>7.7000000000000002E-3</v>
      </c>
      <c r="I2009">
        <v>577.81960000000004</v>
      </c>
    </row>
    <row r="2010" spans="1:9" x14ac:dyDescent="0.3">
      <c r="A2010" t="s">
        <v>9</v>
      </c>
      <c r="B2010" t="s">
        <v>2018</v>
      </c>
      <c r="C2010">
        <v>7</v>
      </c>
      <c r="D2010">
        <v>6.7999999999999996E-3</v>
      </c>
      <c r="E2010">
        <v>6.5607886006032796</v>
      </c>
      <c r="F2010">
        <v>762.61883819725131</v>
      </c>
      <c r="G2010">
        <v>0.42399999999999999</v>
      </c>
      <c r="H2010">
        <v>8.8000000000000005E-3</v>
      </c>
      <c r="I2010">
        <v>578.02290000000005</v>
      </c>
    </row>
    <row r="2011" spans="1:9" x14ac:dyDescent="0.3">
      <c r="A2011" t="s">
        <v>9</v>
      </c>
      <c r="B2011" t="s">
        <v>2019</v>
      </c>
      <c r="C2011">
        <v>7</v>
      </c>
      <c r="D2011">
        <v>8.3999999999999995E-3</v>
      </c>
      <c r="E2011">
        <v>6.6300847681841848</v>
      </c>
      <c r="F2011">
        <v>769.19504450067916</v>
      </c>
      <c r="G2011">
        <v>0.42399999999999999</v>
      </c>
      <c r="H2011">
        <v>9.9000000000000008E-3</v>
      </c>
      <c r="I2011">
        <v>578.21939999999995</v>
      </c>
    </row>
    <row r="2012" spans="1:9" x14ac:dyDescent="0.3">
      <c r="A2012" t="s">
        <v>9</v>
      </c>
      <c r="B2012" t="s">
        <v>2020</v>
      </c>
      <c r="C2012">
        <v>7</v>
      </c>
      <c r="D2012">
        <v>9.2999999999999992E-3</v>
      </c>
      <c r="E2012">
        <v>6.7030005731500131</v>
      </c>
      <c r="F2012">
        <v>776.11475439193623</v>
      </c>
      <c r="G2012">
        <v>0.42399999999999999</v>
      </c>
      <c r="H2012">
        <v>1.0999999999999999E-2</v>
      </c>
      <c r="I2012">
        <v>578.41830000000004</v>
      </c>
    </row>
    <row r="2013" spans="1:9" x14ac:dyDescent="0.3">
      <c r="A2013" t="s">
        <v>9</v>
      </c>
      <c r="B2013" t="s">
        <v>2021</v>
      </c>
      <c r="C2013">
        <v>7</v>
      </c>
      <c r="D2013">
        <v>1.0500000000000001E-2</v>
      </c>
      <c r="E2013">
        <v>6.7790097144673043</v>
      </c>
      <c r="F2013">
        <v>783.32802190294717</v>
      </c>
      <c r="G2013">
        <v>0.42399999999999999</v>
      </c>
      <c r="H2013">
        <v>1.2200000000000001E-2</v>
      </c>
      <c r="I2013">
        <v>578.61869999999999</v>
      </c>
    </row>
    <row r="2014" spans="1:9" x14ac:dyDescent="0.3">
      <c r="A2014" t="s">
        <v>9</v>
      </c>
      <c r="B2014" t="s">
        <v>2022</v>
      </c>
      <c r="C2014">
        <v>7</v>
      </c>
      <c r="D2014">
        <v>1.1900000000000001E-2</v>
      </c>
      <c r="E2014">
        <v>6.8570393165316634</v>
      </c>
      <c r="F2014">
        <v>790.73303113885481</v>
      </c>
      <c r="G2014">
        <v>0.42399999999999999</v>
      </c>
      <c r="H2014">
        <v>1.34E-2</v>
      </c>
      <c r="I2014">
        <v>578.8184</v>
      </c>
    </row>
    <row r="2015" spans="1:9" x14ac:dyDescent="0.3">
      <c r="A2015" t="s">
        <v>9</v>
      </c>
      <c r="B2015" t="s">
        <v>2023</v>
      </c>
      <c r="C2015">
        <v>7</v>
      </c>
      <c r="D2015">
        <v>1.32E-2</v>
      </c>
      <c r="E2015">
        <v>6.9372349433423199</v>
      </c>
      <c r="F2015">
        <v>798.34359612318622</v>
      </c>
      <c r="G2015">
        <v>0.42399999999999999</v>
      </c>
      <c r="H2015">
        <v>1.46E-2</v>
      </c>
      <c r="I2015">
        <v>579.01869999999997</v>
      </c>
    </row>
    <row r="2016" spans="1:9" x14ac:dyDescent="0.3">
      <c r="A2016" t="s">
        <v>9</v>
      </c>
      <c r="B2016" t="s">
        <v>2024</v>
      </c>
      <c r="C2016">
        <v>7</v>
      </c>
      <c r="D2016">
        <v>1.4800000000000001E-2</v>
      </c>
      <c r="E2016">
        <v>7.0188545834268483</v>
      </c>
      <c r="F2016">
        <v>806.08929996720792</v>
      </c>
      <c r="G2016">
        <v>0.42399999999999999</v>
      </c>
      <c r="H2016">
        <v>1.5900000000000001E-2</v>
      </c>
      <c r="I2016">
        <v>579.21860000000004</v>
      </c>
    </row>
    <row r="2017" spans="1:9" x14ac:dyDescent="0.3">
      <c r="A2017" t="s">
        <v>9</v>
      </c>
      <c r="B2017" t="s">
        <v>2025</v>
      </c>
      <c r="C2017">
        <v>7</v>
      </c>
      <c r="D2017">
        <v>1.6E-2</v>
      </c>
      <c r="E2017">
        <v>7.1015454772327811</v>
      </c>
      <c r="F2017">
        <v>813.93666578939099</v>
      </c>
      <c r="G2017">
        <v>0.42399999999999999</v>
      </c>
      <c r="H2017">
        <v>1.72E-2</v>
      </c>
      <c r="I2017">
        <v>579.41800000000001</v>
      </c>
    </row>
    <row r="2018" spans="1:9" x14ac:dyDescent="0.3">
      <c r="A2018" t="s">
        <v>9</v>
      </c>
      <c r="B2018" t="s">
        <v>2026</v>
      </c>
      <c r="C2018">
        <v>7</v>
      </c>
      <c r="D2018">
        <v>1.72E-2</v>
      </c>
      <c r="E2018">
        <v>7.1853842587318564</v>
      </c>
      <c r="F2018">
        <v>821.89296615365322</v>
      </c>
      <c r="G2018">
        <v>0.42399999999999999</v>
      </c>
      <c r="H2018">
        <v>1.8499999999999999E-2</v>
      </c>
      <c r="I2018">
        <v>579.61770000000001</v>
      </c>
    </row>
    <row r="2019" spans="1:9" x14ac:dyDescent="0.3">
      <c r="A2019" t="s">
        <v>9</v>
      </c>
      <c r="B2019" t="s">
        <v>2027</v>
      </c>
      <c r="C2019">
        <v>7</v>
      </c>
      <c r="D2019">
        <v>1.83E-2</v>
      </c>
      <c r="E2019">
        <v>7.2704370196563204</v>
      </c>
      <c r="F2019">
        <v>829.9644731653849</v>
      </c>
      <c r="G2019">
        <v>0.42399999999999999</v>
      </c>
      <c r="H2019">
        <v>1.9800000000000002E-2</v>
      </c>
      <c r="I2019">
        <v>579.81880000000001</v>
      </c>
    </row>
    <row r="2020" spans="1:9" x14ac:dyDescent="0.3">
      <c r="A2020" t="s">
        <v>9</v>
      </c>
      <c r="B2020" t="s">
        <v>2028</v>
      </c>
      <c r="C2020">
        <v>7</v>
      </c>
      <c r="D2020">
        <v>1.9699999999999999E-2</v>
      </c>
      <c r="E2020">
        <v>7.3547242518048543</v>
      </c>
      <c r="F2020">
        <v>837.96333149628072</v>
      </c>
      <c r="G2020">
        <v>0.42399999999999999</v>
      </c>
      <c r="H2020">
        <v>2.1100000000000001E-2</v>
      </c>
      <c r="I2020">
        <v>580.01750000000004</v>
      </c>
    </row>
    <row r="2021" spans="1:9" x14ac:dyDescent="0.3">
      <c r="A2021" t="s">
        <v>9</v>
      </c>
      <c r="B2021" t="s">
        <v>2029</v>
      </c>
      <c r="C2021">
        <v>7</v>
      </c>
      <c r="D2021">
        <v>2.07E-2</v>
      </c>
      <c r="E2021">
        <v>7.4401966749555308</v>
      </c>
      <c r="F2021">
        <v>846.07466445327987</v>
      </c>
      <c r="G2021">
        <v>0.42399999999999999</v>
      </c>
      <c r="H2021">
        <v>2.24E-2</v>
      </c>
      <c r="I2021">
        <v>580.21889999999996</v>
      </c>
    </row>
    <row r="2022" spans="1:9" x14ac:dyDescent="0.3">
      <c r="A2022" t="s">
        <v>9</v>
      </c>
      <c r="B2022" t="s">
        <v>2030</v>
      </c>
      <c r="C2022">
        <v>7</v>
      </c>
      <c r="D2022">
        <v>2.2200000000000001E-2</v>
      </c>
      <c r="E2022">
        <v>7.5245605410758074</v>
      </c>
      <c r="F2022">
        <v>854.08079534809417</v>
      </c>
      <c r="G2022">
        <v>0.42399999999999999</v>
      </c>
      <c r="H2022">
        <v>2.3800000000000002E-2</v>
      </c>
      <c r="I2022">
        <v>580.41859999999997</v>
      </c>
    </row>
    <row r="2023" spans="1:9" x14ac:dyDescent="0.3">
      <c r="A2023" t="s">
        <v>9</v>
      </c>
      <c r="B2023" t="s">
        <v>2031</v>
      </c>
      <c r="C2023">
        <v>7</v>
      </c>
      <c r="D2023">
        <v>2.3300000000000001E-2</v>
      </c>
      <c r="E2023">
        <v>7.6086320627853627</v>
      </c>
      <c r="F2023">
        <v>862.05918275833096</v>
      </c>
      <c r="G2023">
        <v>0.42399999999999999</v>
      </c>
      <c r="H2023">
        <v>2.5100000000000001E-2</v>
      </c>
      <c r="I2023">
        <v>580.61929999999995</v>
      </c>
    </row>
    <row r="2024" spans="1:9" x14ac:dyDescent="0.3">
      <c r="A2024" t="s">
        <v>9</v>
      </c>
      <c r="B2024" t="s">
        <v>2032</v>
      </c>
      <c r="C2024">
        <v>7</v>
      </c>
      <c r="D2024">
        <v>2.4299999999999999E-2</v>
      </c>
      <c r="E2024">
        <v>7.6913456629532906</v>
      </c>
      <c r="F2024">
        <v>869.90870341426739</v>
      </c>
      <c r="G2024">
        <v>0.42399999999999999</v>
      </c>
      <c r="H2024">
        <v>2.63E-2</v>
      </c>
      <c r="I2024">
        <v>580.8193</v>
      </c>
    </row>
    <row r="2025" spans="1:9" x14ac:dyDescent="0.3">
      <c r="A2025" t="s">
        <v>9</v>
      </c>
      <c r="B2025" t="s">
        <v>2033</v>
      </c>
      <c r="C2025">
        <v>7</v>
      </c>
      <c r="D2025">
        <v>2.5999999999999999E-2</v>
      </c>
      <c r="E2025">
        <v>7.7721154363458984</v>
      </c>
      <c r="F2025">
        <v>877.57375490922573</v>
      </c>
      <c r="G2025">
        <v>0.42399999999999999</v>
      </c>
      <c r="H2025">
        <v>2.76E-2</v>
      </c>
      <c r="I2025">
        <v>581.01769999999999</v>
      </c>
    </row>
    <row r="2026" spans="1:9" x14ac:dyDescent="0.3">
      <c r="A2026" t="s">
        <v>9</v>
      </c>
      <c r="B2026" t="s">
        <v>2034</v>
      </c>
      <c r="C2026">
        <v>7</v>
      </c>
      <c r="D2026">
        <v>2.7E-2</v>
      </c>
      <c r="E2026">
        <v>7.8523443117580527</v>
      </c>
      <c r="F2026">
        <v>885.18747518583928</v>
      </c>
      <c r="G2026">
        <v>0.42399999999999999</v>
      </c>
      <c r="H2026">
        <v>2.8799999999999999E-2</v>
      </c>
      <c r="I2026">
        <v>581.21900000000005</v>
      </c>
    </row>
    <row r="2027" spans="1:9" x14ac:dyDescent="0.3">
      <c r="A2027" t="s">
        <v>9</v>
      </c>
      <c r="B2027" t="s">
        <v>2035</v>
      </c>
      <c r="C2027">
        <v>7</v>
      </c>
      <c r="D2027">
        <v>2.8400000000000002E-2</v>
      </c>
      <c r="E2027">
        <v>7.9301261711941837</v>
      </c>
      <c r="F2027">
        <v>892.56897364632812</v>
      </c>
      <c r="G2027">
        <v>0.42399999999999999</v>
      </c>
      <c r="H2027">
        <v>3.0099999999999998E-2</v>
      </c>
      <c r="I2027">
        <v>581.41909999999996</v>
      </c>
    </row>
    <row r="2028" spans="1:9" x14ac:dyDescent="0.3">
      <c r="A2028" t="s">
        <v>9</v>
      </c>
      <c r="B2028" t="s">
        <v>2036</v>
      </c>
      <c r="C2028">
        <v>7</v>
      </c>
      <c r="D2028">
        <v>2.9499999999999998E-2</v>
      </c>
      <c r="E2028">
        <v>8.0057484934160108</v>
      </c>
      <c r="F2028">
        <v>899.7455320251795</v>
      </c>
      <c r="G2028">
        <v>0.42399999999999999</v>
      </c>
      <c r="H2028">
        <v>3.1199999999999999E-2</v>
      </c>
      <c r="I2028">
        <v>581.61969999999997</v>
      </c>
    </row>
    <row r="2029" spans="1:9" x14ac:dyDescent="0.3">
      <c r="A2029" t="s">
        <v>9</v>
      </c>
      <c r="B2029" t="s">
        <v>2037</v>
      </c>
      <c r="C2029">
        <v>7</v>
      </c>
      <c r="D2029">
        <v>3.1099999999999999E-2</v>
      </c>
      <c r="E2029">
        <v>8.0785329258588501</v>
      </c>
      <c r="F2029">
        <v>906.65277466400494</v>
      </c>
      <c r="G2029">
        <v>0.42399999999999999</v>
      </c>
      <c r="H2029">
        <v>3.2399999999999998E-2</v>
      </c>
      <c r="I2029">
        <v>581.81960000000004</v>
      </c>
    </row>
    <row r="2030" spans="1:9" x14ac:dyDescent="0.3">
      <c r="A2030" t="s">
        <v>9</v>
      </c>
      <c r="B2030" t="s">
        <v>2038</v>
      </c>
      <c r="C2030">
        <v>7</v>
      </c>
      <c r="D2030">
        <v>3.15E-2</v>
      </c>
      <c r="E2030">
        <v>8.1481680669867238</v>
      </c>
      <c r="F2030">
        <v>913.26114955704008</v>
      </c>
      <c r="G2030">
        <v>0.42399999999999999</v>
      </c>
      <c r="H2030">
        <v>3.3399999999999999E-2</v>
      </c>
      <c r="I2030">
        <v>582.01869999999997</v>
      </c>
    </row>
    <row r="2031" spans="1:9" x14ac:dyDescent="0.3">
      <c r="A2031" t="s">
        <v>9</v>
      </c>
      <c r="B2031" t="s">
        <v>2039</v>
      </c>
      <c r="C2031">
        <v>7</v>
      </c>
      <c r="D2031">
        <v>3.27E-2</v>
      </c>
      <c r="E2031">
        <v>8.2148748983583673</v>
      </c>
      <c r="F2031">
        <v>919.59162785420915</v>
      </c>
      <c r="G2031">
        <v>0.42399999999999999</v>
      </c>
      <c r="H2031">
        <v>3.4500000000000003E-2</v>
      </c>
      <c r="I2031">
        <v>582.21849999999995</v>
      </c>
    </row>
    <row r="2032" spans="1:9" x14ac:dyDescent="0.3">
      <c r="A2032" t="s">
        <v>9</v>
      </c>
      <c r="B2032" t="s">
        <v>2040</v>
      </c>
      <c r="C2032">
        <v>7</v>
      </c>
      <c r="D2032">
        <v>3.4099999999999998E-2</v>
      </c>
      <c r="E2032">
        <v>8.2784052718748011</v>
      </c>
      <c r="F2032">
        <v>925.62066030091864</v>
      </c>
      <c r="G2032">
        <v>0.42399999999999999</v>
      </c>
      <c r="H2032">
        <v>3.5499999999999997E-2</v>
      </c>
      <c r="I2032">
        <v>582.41909999999996</v>
      </c>
    </row>
    <row r="2033" spans="1:9" x14ac:dyDescent="0.3">
      <c r="A2033" t="s">
        <v>9</v>
      </c>
      <c r="B2033" t="s">
        <v>2041</v>
      </c>
      <c r="C2033">
        <v>7</v>
      </c>
      <c r="D2033">
        <v>3.49E-2</v>
      </c>
      <c r="E2033">
        <v>8.3377357793631219</v>
      </c>
      <c r="F2033">
        <v>931.25112546156026</v>
      </c>
      <c r="G2033">
        <v>0.42399999999999999</v>
      </c>
      <c r="H2033">
        <v>3.6400000000000002E-2</v>
      </c>
      <c r="I2033">
        <v>582.61789999999996</v>
      </c>
    </row>
    <row r="2034" spans="1:9" x14ac:dyDescent="0.3">
      <c r="A2034" t="s">
        <v>9</v>
      </c>
      <c r="B2034" t="s">
        <v>2042</v>
      </c>
      <c r="C2034">
        <v>7</v>
      </c>
      <c r="D2034">
        <v>3.5700000000000003E-2</v>
      </c>
      <c r="E2034">
        <v>8.393896316528231</v>
      </c>
      <c r="F2034">
        <v>936.58076043852918</v>
      </c>
      <c r="G2034">
        <v>0.42399999999999999</v>
      </c>
      <c r="H2034">
        <v>3.73E-2</v>
      </c>
      <c r="I2034">
        <v>582.81920000000002</v>
      </c>
    </row>
    <row r="2035" spans="1:9" x14ac:dyDescent="0.3">
      <c r="A2035" t="s">
        <v>9</v>
      </c>
      <c r="B2035" t="s">
        <v>2043</v>
      </c>
      <c r="C2035">
        <v>7</v>
      </c>
      <c r="D2035">
        <v>3.6999999999999998E-2</v>
      </c>
      <c r="E2035">
        <v>8.4454247558457656</v>
      </c>
      <c r="F2035">
        <v>941.47080932976326</v>
      </c>
      <c r="G2035">
        <v>0.42399999999999999</v>
      </c>
      <c r="H2035">
        <v>3.8100000000000002E-2</v>
      </c>
      <c r="I2035">
        <v>583.01880000000006</v>
      </c>
    </row>
    <row r="2036" spans="1:9" x14ac:dyDescent="0.3">
      <c r="A2036" t="s">
        <v>9</v>
      </c>
      <c r="B2036" t="s">
        <v>2044</v>
      </c>
      <c r="C2036">
        <v>7</v>
      </c>
      <c r="D2036">
        <v>3.8100000000000002E-2</v>
      </c>
      <c r="E2036">
        <v>8.4931632600633957</v>
      </c>
      <c r="F2036">
        <v>946.00119338001628</v>
      </c>
      <c r="G2036">
        <v>0.42399999999999999</v>
      </c>
      <c r="H2036">
        <v>3.8800000000000001E-2</v>
      </c>
      <c r="I2036">
        <v>583.22069999999997</v>
      </c>
    </row>
    <row r="2037" spans="1:9" x14ac:dyDescent="0.3">
      <c r="A2037" t="s">
        <v>9</v>
      </c>
      <c r="B2037" t="s">
        <v>2045</v>
      </c>
      <c r="C2037">
        <v>7</v>
      </c>
      <c r="D2037">
        <v>3.85E-2</v>
      </c>
      <c r="E2037">
        <v>8.535389389435279</v>
      </c>
      <c r="F2037">
        <v>950.00845305740802</v>
      </c>
      <c r="G2037">
        <v>0.42399999999999999</v>
      </c>
      <c r="H2037">
        <v>3.95E-2</v>
      </c>
      <c r="I2037">
        <v>583.41819999999996</v>
      </c>
    </row>
    <row r="2038" spans="1:9" x14ac:dyDescent="0.3">
      <c r="A2038" t="s">
        <v>9</v>
      </c>
      <c r="B2038" t="s">
        <v>2046</v>
      </c>
      <c r="C2038">
        <v>7</v>
      </c>
      <c r="D2038">
        <v>3.8800000000000001E-2</v>
      </c>
      <c r="E2038">
        <v>8.5734456576145472</v>
      </c>
      <c r="F2038">
        <v>953.6199929076206</v>
      </c>
      <c r="G2038">
        <v>0.42399999999999999</v>
      </c>
      <c r="H2038">
        <v>4.0099999999999997E-2</v>
      </c>
      <c r="I2038">
        <v>583.61779999999999</v>
      </c>
    </row>
    <row r="2039" spans="1:9" x14ac:dyDescent="0.3">
      <c r="A2039" t="s">
        <v>9</v>
      </c>
      <c r="B2039" t="s">
        <v>2047</v>
      </c>
      <c r="C2039">
        <v>7</v>
      </c>
      <c r="D2039">
        <v>3.9399999999999998E-2</v>
      </c>
      <c r="E2039">
        <v>8.6068661787094864</v>
      </c>
      <c r="F2039">
        <v>956.79160035953032</v>
      </c>
      <c r="G2039">
        <v>0.42399999999999999</v>
      </c>
      <c r="H2039">
        <v>4.0599999999999997E-2</v>
      </c>
      <c r="I2039">
        <v>583.81870000000004</v>
      </c>
    </row>
    <row r="2040" spans="1:9" x14ac:dyDescent="0.3">
      <c r="A2040" t="s">
        <v>9</v>
      </c>
      <c r="B2040" t="s">
        <v>2048</v>
      </c>
      <c r="C2040">
        <v>7</v>
      </c>
      <c r="D2040">
        <v>4.0399999999999998E-2</v>
      </c>
      <c r="E2040">
        <v>8.6350143636426591</v>
      </c>
      <c r="F2040">
        <v>959.46286310968844</v>
      </c>
      <c r="G2040">
        <v>0.42399999999999999</v>
      </c>
      <c r="H2040">
        <v>4.1000000000000002E-2</v>
      </c>
      <c r="I2040">
        <v>584.01760000000002</v>
      </c>
    </row>
    <row r="2041" spans="1:9" x14ac:dyDescent="0.3">
      <c r="A2041" t="s">
        <v>9</v>
      </c>
      <c r="B2041" t="s">
        <v>2049</v>
      </c>
      <c r="C2041">
        <v>7</v>
      </c>
      <c r="D2041">
        <v>4.19E-2</v>
      </c>
      <c r="E2041">
        <v>8.6583573147180228</v>
      </c>
      <c r="F2041">
        <v>961.67810916674046</v>
      </c>
      <c r="G2041">
        <v>0.42399999999999999</v>
      </c>
      <c r="H2041">
        <v>4.1399999999999999E-2</v>
      </c>
      <c r="I2041">
        <v>584.21860000000004</v>
      </c>
    </row>
    <row r="2042" spans="1:9" x14ac:dyDescent="0.3">
      <c r="A2042" t="s">
        <v>9</v>
      </c>
      <c r="B2042" t="s">
        <v>2050</v>
      </c>
      <c r="C2042">
        <v>7</v>
      </c>
      <c r="D2042">
        <v>4.24E-2</v>
      </c>
      <c r="E2042">
        <v>8.6765292973191102</v>
      </c>
      <c r="F2042">
        <v>963.40263031558356</v>
      </c>
      <c r="G2042">
        <v>0.42399999999999999</v>
      </c>
      <c r="H2042">
        <v>4.1700000000000001E-2</v>
      </c>
      <c r="I2042">
        <v>584.42039999999997</v>
      </c>
    </row>
    <row r="2043" spans="1:9" x14ac:dyDescent="0.3">
      <c r="A2043" t="s">
        <v>9</v>
      </c>
      <c r="B2043" t="s">
        <v>2051</v>
      </c>
      <c r="C2043">
        <v>7</v>
      </c>
      <c r="D2043">
        <v>4.2700000000000002E-2</v>
      </c>
      <c r="E2043">
        <v>8.689153629119204</v>
      </c>
      <c r="F2043">
        <v>964.60067940341253</v>
      </c>
      <c r="G2043">
        <v>0.42399999999999999</v>
      </c>
      <c r="H2043">
        <v>4.1799999999999997E-2</v>
      </c>
      <c r="I2043">
        <v>584.61800000000005</v>
      </c>
    </row>
    <row r="2044" spans="1:9" x14ac:dyDescent="0.3">
      <c r="A2044" t="s">
        <v>9</v>
      </c>
      <c r="B2044" t="s">
        <v>2052</v>
      </c>
      <c r="C2044">
        <v>7</v>
      </c>
      <c r="D2044">
        <v>4.2900000000000001E-2</v>
      </c>
      <c r="E2044">
        <v>8.6966564598765181</v>
      </c>
      <c r="F2044">
        <v>965.31269804228157</v>
      </c>
      <c r="G2044">
        <v>0.42399999999999999</v>
      </c>
      <c r="H2044">
        <v>4.2000000000000003E-2</v>
      </c>
      <c r="I2044">
        <v>584.81769999999995</v>
      </c>
    </row>
    <row r="2045" spans="1:9" x14ac:dyDescent="0.3">
      <c r="A2045" t="s">
        <v>9</v>
      </c>
      <c r="B2045" t="s">
        <v>2053</v>
      </c>
      <c r="C2045">
        <v>7</v>
      </c>
      <c r="D2045">
        <v>4.2900000000000001E-2</v>
      </c>
      <c r="E2045">
        <v>8.698847623809316</v>
      </c>
      <c r="F2045">
        <v>965.52063949950411</v>
      </c>
      <c r="G2045">
        <v>0.42399999999999999</v>
      </c>
      <c r="H2045">
        <v>4.2000000000000003E-2</v>
      </c>
      <c r="I2045">
        <v>585.01919999999996</v>
      </c>
    </row>
    <row r="2046" spans="1:9" x14ac:dyDescent="0.3">
      <c r="A2046" t="s">
        <v>9</v>
      </c>
      <c r="B2046" t="s">
        <v>2054</v>
      </c>
      <c r="C2046">
        <v>7</v>
      </c>
      <c r="D2046">
        <v>4.2900000000000001E-2</v>
      </c>
      <c r="E2046">
        <v>8.6956626510683588</v>
      </c>
      <c r="F2046">
        <v>858.43575907957108</v>
      </c>
      <c r="G2046">
        <v>0.42399999999999999</v>
      </c>
      <c r="H2046">
        <v>4.2000000000000003E-2</v>
      </c>
      <c r="I2046">
        <v>585.21939999999995</v>
      </c>
    </row>
    <row r="2047" spans="1:9" x14ac:dyDescent="0.3">
      <c r="A2047" t="s">
        <v>9</v>
      </c>
      <c r="B2047" t="s">
        <v>2055</v>
      </c>
      <c r="C2047">
        <v>7</v>
      </c>
      <c r="D2047">
        <v>4.2099999999999999E-2</v>
      </c>
      <c r="E2047">
        <v>8.68711857142514</v>
      </c>
      <c r="F2047">
        <v>857.63945085682303</v>
      </c>
      <c r="G2047">
        <v>0.42399999999999999</v>
      </c>
      <c r="H2047">
        <v>4.1799999999999997E-2</v>
      </c>
      <c r="I2047">
        <v>585.41999999999996</v>
      </c>
    </row>
    <row r="2048" spans="1:9" x14ac:dyDescent="0.3">
      <c r="A2048" t="s">
        <v>9</v>
      </c>
      <c r="B2048" t="s">
        <v>2056</v>
      </c>
      <c r="C2048">
        <v>7</v>
      </c>
      <c r="D2048">
        <v>4.1500000000000002E-2</v>
      </c>
      <c r="E2048">
        <v>8.6734615056248909</v>
      </c>
      <c r="F2048">
        <v>856.3666123242399</v>
      </c>
      <c r="G2048">
        <v>0.42399999999999999</v>
      </c>
      <c r="H2048">
        <v>4.1599999999999998E-2</v>
      </c>
      <c r="I2048">
        <v>585.6182</v>
      </c>
    </row>
    <row r="2049" spans="1:9" x14ac:dyDescent="0.3">
      <c r="A2049" t="s">
        <v>9</v>
      </c>
      <c r="B2049" t="s">
        <v>2057</v>
      </c>
      <c r="C2049">
        <v>7</v>
      </c>
      <c r="D2049">
        <v>4.1500000000000002E-2</v>
      </c>
      <c r="E2049">
        <v>8.654448576688381</v>
      </c>
      <c r="F2049">
        <v>854.59460734735717</v>
      </c>
      <c r="G2049">
        <v>0.42399999999999999</v>
      </c>
      <c r="H2049">
        <v>4.1300000000000003E-2</v>
      </c>
      <c r="I2049">
        <v>585.8184</v>
      </c>
    </row>
    <row r="2050" spans="1:9" x14ac:dyDescent="0.3">
      <c r="A2050" t="s">
        <v>9</v>
      </c>
      <c r="B2050" t="s">
        <v>2058</v>
      </c>
      <c r="C2050">
        <v>7</v>
      </c>
      <c r="D2050">
        <v>4.1000000000000002E-2</v>
      </c>
      <c r="E2050">
        <v>8.6303984846250827</v>
      </c>
      <c r="F2050">
        <v>852.35313876705777</v>
      </c>
      <c r="G2050">
        <v>0.42399999999999999</v>
      </c>
      <c r="H2050">
        <v>4.0899999999999999E-2</v>
      </c>
      <c r="I2050">
        <v>586.01750000000004</v>
      </c>
    </row>
    <row r="2051" spans="1:9" x14ac:dyDescent="0.3">
      <c r="A2051" t="s">
        <v>9</v>
      </c>
      <c r="B2051" t="s">
        <v>2059</v>
      </c>
      <c r="C2051">
        <v>7</v>
      </c>
      <c r="D2051">
        <v>4.1000000000000002E-2</v>
      </c>
      <c r="E2051">
        <v>8.6010026661942725</v>
      </c>
      <c r="F2051">
        <v>849.61344848930617</v>
      </c>
      <c r="G2051">
        <v>0.42399999999999999</v>
      </c>
      <c r="H2051">
        <v>4.0500000000000001E-2</v>
      </c>
      <c r="I2051">
        <v>586.21879999999999</v>
      </c>
    </row>
    <row r="2052" spans="1:9" x14ac:dyDescent="0.3">
      <c r="A2052" t="s">
        <v>9</v>
      </c>
      <c r="B2052" t="s">
        <v>2060</v>
      </c>
      <c r="C2052">
        <v>7</v>
      </c>
      <c r="D2052">
        <v>4.0899999999999999E-2</v>
      </c>
      <c r="E2052">
        <v>8.5669982672193861</v>
      </c>
      <c r="F2052">
        <v>846.44423850484679</v>
      </c>
      <c r="G2052">
        <v>0.42399999999999999</v>
      </c>
      <c r="H2052">
        <v>0.04</v>
      </c>
      <c r="I2052">
        <v>586.41780000000006</v>
      </c>
    </row>
    <row r="2053" spans="1:9" x14ac:dyDescent="0.3">
      <c r="A2053" t="s">
        <v>9</v>
      </c>
      <c r="B2053" t="s">
        <v>2061</v>
      </c>
      <c r="C2053">
        <v>7</v>
      </c>
      <c r="D2053">
        <v>4.0399999999999998E-2</v>
      </c>
      <c r="E2053">
        <v>8.5276538184674884</v>
      </c>
      <c r="F2053">
        <v>842.77733588116996</v>
      </c>
      <c r="G2053">
        <v>0.42399999999999999</v>
      </c>
      <c r="H2053">
        <v>3.9300000000000002E-2</v>
      </c>
      <c r="I2053">
        <v>586.61959999999999</v>
      </c>
    </row>
    <row r="2054" spans="1:9" x14ac:dyDescent="0.3">
      <c r="A2054" t="s">
        <v>9</v>
      </c>
      <c r="B2054" t="s">
        <v>2062</v>
      </c>
      <c r="C2054">
        <v>7</v>
      </c>
      <c r="D2054">
        <v>4.0300000000000002E-2</v>
      </c>
      <c r="E2054">
        <v>8.4842250628512144</v>
      </c>
      <c r="F2054">
        <v>838.72977585773322</v>
      </c>
      <c r="G2054">
        <v>0.42399999999999999</v>
      </c>
      <c r="H2054">
        <v>3.8699999999999998E-2</v>
      </c>
      <c r="I2054">
        <v>586.81849999999997</v>
      </c>
    </row>
    <row r="2055" spans="1:9" x14ac:dyDescent="0.3">
      <c r="A2055" t="s">
        <v>9</v>
      </c>
      <c r="B2055" t="s">
        <v>2063</v>
      </c>
      <c r="C2055">
        <v>7</v>
      </c>
      <c r="D2055">
        <v>4.0300000000000002E-2</v>
      </c>
      <c r="E2055">
        <v>8.4358921385141361</v>
      </c>
      <c r="F2055">
        <v>834.22514730951752</v>
      </c>
      <c r="G2055">
        <v>0.42399999999999999</v>
      </c>
      <c r="H2055">
        <v>3.7900000000000003E-2</v>
      </c>
      <c r="I2055">
        <v>587.01930000000004</v>
      </c>
    </row>
    <row r="2056" spans="1:9" x14ac:dyDescent="0.3">
      <c r="A2056" t="s">
        <v>9</v>
      </c>
      <c r="B2056" t="s">
        <v>2064</v>
      </c>
      <c r="C2056">
        <v>7</v>
      </c>
      <c r="D2056">
        <v>4.0300000000000002E-2</v>
      </c>
      <c r="E2056">
        <v>8.3831497197712164</v>
      </c>
      <c r="F2056">
        <v>829.30955388267739</v>
      </c>
      <c r="G2056">
        <v>0.42399999999999999</v>
      </c>
      <c r="H2056">
        <v>3.7100000000000001E-2</v>
      </c>
      <c r="I2056">
        <v>587.22040000000004</v>
      </c>
    </row>
    <row r="2057" spans="1:9" x14ac:dyDescent="0.3">
      <c r="A2057" t="s">
        <v>9</v>
      </c>
      <c r="B2057" t="s">
        <v>2065</v>
      </c>
      <c r="C2057">
        <v>7</v>
      </c>
      <c r="D2057">
        <v>3.9399999999999998E-2</v>
      </c>
      <c r="E2057">
        <v>8.3269859388401049</v>
      </c>
      <c r="F2057">
        <v>824.07508949989779</v>
      </c>
      <c r="G2057">
        <v>0.42399999999999999</v>
      </c>
      <c r="H2057">
        <v>3.6200000000000003E-2</v>
      </c>
      <c r="I2057">
        <v>587.41909999999996</v>
      </c>
    </row>
    <row r="2058" spans="1:9" x14ac:dyDescent="0.3">
      <c r="A2058" t="s">
        <v>9</v>
      </c>
      <c r="B2058" t="s">
        <v>2066</v>
      </c>
      <c r="C2058">
        <v>7</v>
      </c>
      <c r="D2058">
        <v>3.8899999999999997E-2</v>
      </c>
      <c r="E2058">
        <v>8.266584177630385</v>
      </c>
      <c r="F2058">
        <v>818.4456453551519</v>
      </c>
      <c r="G2058">
        <v>0.42399999999999999</v>
      </c>
      <c r="H2058">
        <v>3.5299999999999998E-2</v>
      </c>
      <c r="I2058">
        <v>587.6191</v>
      </c>
    </row>
    <row r="2059" spans="1:9" x14ac:dyDescent="0.3">
      <c r="A2059" t="s">
        <v>9</v>
      </c>
      <c r="B2059" t="s">
        <v>2067</v>
      </c>
      <c r="C2059">
        <v>7</v>
      </c>
      <c r="D2059">
        <v>3.8699999999999998E-2</v>
      </c>
      <c r="E2059">
        <v>8.2029690607272077</v>
      </c>
      <c r="F2059">
        <v>812.51671645977581</v>
      </c>
      <c r="G2059">
        <v>0.42399999999999999</v>
      </c>
      <c r="H2059">
        <v>3.4299999999999997E-2</v>
      </c>
      <c r="I2059">
        <v>587.81780000000003</v>
      </c>
    </row>
    <row r="2060" spans="1:9" x14ac:dyDescent="0.3">
      <c r="A2060" t="s">
        <v>9</v>
      </c>
      <c r="B2060" t="s">
        <v>2068</v>
      </c>
      <c r="C2060">
        <v>7</v>
      </c>
      <c r="D2060">
        <v>3.73E-2</v>
      </c>
      <c r="E2060">
        <v>8.1350810930609221</v>
      </c>
      <c r="F2060">
        <v>806.18955787327798</v>
      </c>
      <c r="G2060">
        <v>0.42399999999999999</v>
      </c>
      <c r="H2060">
        <v>3.32E-2</v>
      </c>
      <c r="I2060">
        <v>588.01930000000004</v>
      </c>
    </row>
    <row r="2061" spans="1:9" x14ac:dyDescent="0.3">
      <c r="A2061" t="s">
        <v>9</v>
      </c>
      <c r="B2061" t="s">
        <v>2069</v>
      </c>
      <c r="C2061">
        <v>7</v>
      </c>
      <c r="D2061">
        <v>3.5799999999999998E-2</v>
      </c>
      <c r="E2061">
        <v>8.0646504183216194</v>
      </c>
      <c r="F2061">
        <v>799.6254189875749</v>
      </c>
      <c r="G2061">
        <v>0.42399999999999999</v>
      </c>
      <c r="H2061">
        <v>3.2099999999999997E-2</v>
      </c>
      <c r="I2061">
        <v>588.21910000000003</v>
      </c>
    </row>
    <row r="2062" spans="1:9" x14ac:dyDescent="0.3">
      <c r="A2062" t="s">
        <v>9</v>
      </c>
      <c r="B2062" t="s">
        <v>2070</v>
      </c>
      <c r="C2062">
        <v>7</v>
      </c>
      <c r="D2062">
        <v>3.5299999999999998E-2</v>
      </c>
      <c r="E2062">
        <v>7.9915217412120638</v>
      </c>
      <c r="F2062">
        <v>792.80982628096433</v>
      </c>
      <c r="G2062">
        <v>0.42399999999999999</v>
      </c>
      <c r="H2062">
        <v>3.1E-2</v>
      </c>
      <c r="I2062">
        <v>588.41849999999999</v>
      </c>
    </row>
    <row r="2063" spans="1:9" x14ac:dyDescent="0.3">
      <c r="A2063" t="s">
        <v>9</v>
      </c>
      <c r="B2063" t="s">
        <v>2071</v>
      </c>
      <c r="C2063">
        <v>7</v>
      </c>
      <c r="D2063">
        <v>3.3700000000000001E-2</v>
      </c>
      <c r="E2063">
        <v>7.9150978033175594</v>
      </c>
      <c r="F2063">
        <v>785.68711526919651</v>
      </c>
      <c r="G2063">
        <v>0.42399999999999999</v>
      </c>
      <c r="H2063">
        <v>2.98E-2</v>
      </c>
      <c r="I2063">
        <v>588.61990000000003</v>
      </c>
    </row>
    <row r="2064" spans="1:9" x14ac:dyDescent="0.3">
      <c r="A2064" t="s">
        <v>9</v>
      </c>
      <c r="B2064" t="s">
        <v>2072</v>
      </c>
      <c r="C2064">
        <v>7</v>
      </c>
      <c r="D2064">
        <v>3.2599999999999997E-2</v>
      </c>
      <c r="E2064">
        <v>7.8376318055956498</v>
      </c>
      <c r="F2064">
        <v>778.46728428151459</v>
      </c>
      <c r="G2064">
        <v>0.42399999999999999</v>
      </c>
      <c r="H2064">
        <v>2.86E-2</v>
      </c>
      <c r="I2064">
        <v>588.81820000000005</v>
      </c>
    </row>
    <row r="2065" spans="1:9" x14ac:dyDescent="0.3">
      <c r="A2065" t="s">
        <v>9</v>
      </c>
      <c r="B2065" t="s">
        <v>2073</v>
      </c>
      <c r="C2065">
        <v>7</v>
      </c>
      <c r="D2065">
        <v>3.0700000000000002E-2</v>
      </c>
      <c r="E2065">
        <v>7.7569662381857842</v>
      </c>
      <c r="F2065">
        <v>770.94925339891506</v>
      </c>
      <c r="G2065">
        <v>0.42399999999999999</v>
      </c>
      <c r="H2065">
        <v>2.7400000000000001E-2</v>
      </c>
      <c r="I2065">
        <v>589.01980000000003</v>
      </c>
    </row>
    <row r="2066" spans="1:9" x14ac:dyDescent="0.3">
      <c r="A2066" t="s">
        <v>9</v>
      </c>
      <c r="B2066" t="s">
        <v>2074</v>
      </c>
      <c r="C2066">
        <v>7</v>
      </c>
      <c r="D2066">
        <v>2.9600000000000001E-2</v>
      </c>
      <c r="E2066">
        <v>7.6760391421421916</v>
      </c>
      <c r="F2066">
        <v>763.40684804765226</v>
      </c>
      <c r="G2066">
        <v>0.42399999999999999</v>
      </c>
      <c r="H2066">
        <v>2.6100000000000002E-2</v>
      </c>
      <c r="I2066">
        <v>589.21789999999999</v>
      </c>
    </row>
    <row r="2067" spans="1:9" x14ac:dyDescent="0.3">
      <c r="A2067" t="s">
        <v>9</v>
      </c>
      <c r="B2067" t="s">
        <v>2075</v>
      </c>
      <c r="C2067">
        <v>7</v>
      </c>
      <c r="D2067">
        <v>2.7900000000000001E-2</v>
      </c>
      <c r="E2067">
        <v>7.5929058797480531</v>
      </c>
      <c r="F2067">
        <v>755.65882799251858</v>
      </c>
      <c r="G2067">
        <v>0.42399999999999999</v>
      </c>
      <c r="H2067">
        <v>2.4799999999999999E-2</v>
      </c>
      <c r="I2067">
        <v>589.41830000000004</v>
      </c>
    </row>
    <row r="2068" spans="1:9" x14ac:dyDescent="0.3">
      <c r="A2068" t="s">
        <v>9</v>
      </c>
      <c r="B2068" t="s">
        <v>2076</v>
      </c>
      <c r="C2068">
        <v>7</v>
      </c>
      <c r="D2068">
        <v>2.63E-2</v>
      </c>
      <c r="E2068">
        <v>7.5082265573843037</v>
      </c>
      <c r="F2068">
        <v>747.76671514821714</v>
      </c>
      <c r="G2068">
        <v>0.42399999999999999</v>
      </c>
      <c r="H2068">
        <v>2.35E-2</v>
      </c>
      <c r="I2068">
        <v>589.62009999999998</v>
      </c>
    </row>
    <row r="2069" spans="1:9" x14ac:dyDescent="0.3">
      <c r="A2069" t="s">
        <v>9</v>
      </c>
      <c r="B2069" t="s">
        <v>2077</v>
      </c>
      <c r="C2069">
        <v>7</v>
      </c>
      <c r="D2069">
        <v>2.5100000000000001E-2</v>
      </c>
      <c r="E2069">
        <v>7.4243212786822337</v>
      </c>
      <c r="F2069">
        <v>739.94674317318425</v>
      </c>
      <c r="G2069">
        <v>0.42399999999999999</v>
      </c>
      <c r="H2069">
        <v>2.2200000000000001E-2</v>
      </c>
      <c r="I2069">
        <v>589.81849999999997</v>
      </c>
    </row>
    <row r="2070" spans="1:9" x14ac:dyDescent="0.3">
      <c r="A2070" t="s">
        <v>9</v>
      </c>
      <c r="B2070" t="s">
        <v>2078</v>
      </c>
      <c r="C2070">
        <v>7</v>
      </c>
      <c r="D2070">
        <v>2.41E-2</v>
      </c>
      <c r="E2070">
        <v>7.339044292433039</v>
      </c>
      <c r="F2070">
        <v>731.99892805475929</v>
      </c>
      <c r="G2070">
        <v>0.42399999999999999</v>
      </c>
      <c r="H2070">
        <v>2.0899999999999998E-2</v>
      </c>
      <c r="I2070">
        <v>590.01940000000002</v>
      </c>
    </row>
    <row r="2071" spans="1:9" x14ac:dyDescent="0.3">
      <c r="A2071" t="s">
        <v>9</v>
      </c>
      <c r="B2071" t="s">
        <v>2079</v>
      </c>
      <c r="C2071">
        <v>7</v>
      </c>
      <c r="D2071">
        <v>2.23E-2</v>
      </c>
      <c r="E2071">
        <v>7.2539647704390768</v>
      </c>
      <c r="F2071">
        <v>724.069516604922</v>
      </c>
      <c r="G2071">
        <v>0.42399999999999999</v>
      </c>
      <c r="H2071">
        <v>1.95E-2</v>
      </c>
      <c r="I2071">
        <v>590.22</v>
      </c>
    </row>
    <row r="2072" spans="1:9" x14ac:dyDescent="0.3">
      <c r="A2072" t="s">
        <v>9</v>
      </c>
      <c r="B2072" t="s">
        <v>2080</v>
      </c>
      <c r="C2072">
        <v>7</v>
      </c>
      <c r="D2072">
        <v>2.1000000000000001E-2</v>
      </c>
      <c r="E2072">
        <v>7.1704418506542247</v>
      </c>
      <c r="F2072">
        <v>716.28518048097374</v>
      </c>
      <c r="G2072">
        <v>0.42399999999999999</v>
      </c>
      <c r="H2072">
        <v>1.83E-2</v>
      </c>
      <c r="I2072">
        <v>590.41769999999997</v>
      </c>
    </row>
    <row r="2073" spans="1:9" x14ac:dyDescent="0.3">
      <c r="A2073" t="s">
        <v>9</v>
      </c>
      <c r="B2073" t="s">
        <v>2081</v>
      </c>
      <c r="C2073">
        <v>7</v>
      </c>
      <c r="D2073">
        <v>1.9E-2</v>
      </c>
      <c r="E2073">
        <v>7.0864672364539114</v>
      </c>
      <c r="F2073">
        <v>708.45874643750449</v>
      </c>
      <c r="G2073">
        <v>0.42399999999999999</v>
      </c>
      <c r="H2073">
        <v>1.6899999999999998E-2</v>
      </c>
      <c r="I2073">
        <v>590.6182</v>
      </c>
    </row>
    <row r="2074" spans="1:9" x14ac:dyDescent="0.3">
      <c r="A2074" t="s">
        <v>9</v>
      </c>
      <c r="B2074" t="s">
        <v>2082</v>
      </c>
      <c r="C2074">
        <v>7</v>
      </c>
      <c r="D2074">
        <v>1.7500000000000002E-2</v>
      </c>
      <c r="E2074">
        <v>7.0036271294119938</v>
      </c>
      <c r="F2074">
        <v>700.73804846119788</v>
      </c>
      <c r="G2074">
        <v>0.42399999999999999</v>
      </c>
      <c r="H2074">
        <v>1.5699999999999999E-2</v>
      </c>
      <c r="I2074">
        <v>590.8184</v>
      </c>
    </row>
    <row r="2075" spans="1:9" x14ac:dyDescent="0.3">
      <c r="A2075" t="s">
        <v>9</v>
      </c>
      <c r="B2075" t="s">
        <v>2083</v>
      </c>
      <c r="C2075">
        <v>7</v>
      </c>
      <c r="D2075">
        <v>1.5800000000000002E-2</v>
      </c>
      <c r="E2075">
        <v>6.9213822534310223</v>
      </c>
      <c r="F2075">
        <v>693.07282601977136</v>
      </c>
      <c r="G2075">
        <v>0.42399999999999999</v>
      </c>
      <c r="H2075">
        <v>1.44E-2</v>
      </c>
      <c r="I2075">
        <v>591.0204</v>
      </c>
    </row>
    <row r="2076" spans="1:9" x14ac:dyDescent="0.3">
      <c r="A2076" t="s">
        <v>9</v>
      </c>
      <c r="B2076" t="s">
        <v>2084</v>
      </c>
      <c r="C2076">
        <v>7</v>
      </c>
      <c r="D2076">
        <v>1.4500000000000001E-2</v>
      </c>
      <c r="E2076">
        <v>6.8426901121612236</v>
      </c>
      <c r="F2076">
        <v>685.73871845342615</v>
      </c>
      <c r="G2076">
        <v>0.42399999999999999</v>
      </c>
      <c r="H2076">
        <v>1.32E-2</v>
      </c>
      <c r="I2076">
        <v>591.21789999999999</v>
      </c>
    </row>
    <row r="2077" spans="1:9" x14ac:dyDescent="0.3">
      <c r="A2077" t="s">
        <v>9</v>
      </c>
      <c r="B2077" t="s">
        <v>2085</v>
      </c>
      <c r="C2077">
        <v>7</v>
      </c>
      <c r="D2077">
        <v>1.26E-2</v>
      </c>
      <c r="E2077">
        <v>6.7649520435660913</v>
      </c>
      <c r="F2077">
        <v>678.49353046035969</v>
      </c>
      <c r="G2077">
        <v>0.42399999999999999</v>
      </c>
      <c r="H2077">
        <v>1.2E-2</v>
      </c>
      <c r="I2077">
        <v>591.41790000000003</v>
      </c>
    </row>
    <row r="2078" spans="1:9" x14ac:dyDescent="0.3">
      <c r="A2078" t="s">
        <v>9</v>
      </c>
      <c r="B2078" t="s">
        <v>2086</v>
      </c>
      <c r="C2078">
        <v>7</v>
      </c>
      <c r="D2078">
        <v>1.15E-2</v>
      </c>
      <c r="E2078">
        <v>6.6888820816363053</v>
      </c>
      <c r="F2078">
        <v>671.40381000850368</v>
      </c>
      <c r="G2078">
        <v>0.42399999999999999</v>
      </c>
      <c r="H2078">
        <v>1.0800000000000001E-2</v>
      </c>
      <c r="I2078">
        <v>591.61959999999999</v>
      </c>
    </row>
    <row r="2079" spans="1:9" x14ac:dyDescent="0.3">
      <c r="A2079" t="s">
        <v>9</v>
      </c>
      <c r="B2079" t="s">
        <v>2087</v>
      </c>
      <c r="C2079">
        <v>7</v>
      </c>
      <c r="D2079">
        <v>1.03E-2</v>
      </c>
      <c r="E2079">
        <v>6.6163052502174473</v>
      </c>
      <c r="F2079">
        <v>664.63964932026613</v>
      </c>
      <c r="G2079">
        <v>0.42399999999999999</v>
      </c>
      <c r="H2079">
        <v>9.5999999999999992E-3</v>
      </c>
      <c r="I2079">
        <v>591.81899999999996</v>
      </c>
    </row>
    <row r="2080" spans="1:9" x14ac:dyDescent="0.3">
      <c r="A2080" t="s">
        <v>9</v>
      </c>
      <c r="B2080" t="s">
        <v>2088</v>
      </c>
      <c r="C2080">
        <v>7</v>
      </c>
      <c r="D2080">
        <v>9.1999999999999998E-3</v>
      </c>
      <c r="E2080">
        <v>6.5465440076863324</v>
      </c>
      <c r="F2080">
        <v>658.13790151636624</v>
      </c>
      <c r="G2080">
        <v>0.42399999999999999</v>
      </c>
      <c r="H2080">
        <v>8.6E-3</v>
      </c>
      <c r="I2080">
        <v>592.01840000000004</v>
      </c>
    </row>
    <row r="2081" spans="1:9" x14ac:dyDescent="0.3">
      <c r="A2081" t="s">
        <v>9</v>
      </c>
      <c r="B2081" t="s">
        <v>2089</v>
      </c>
      <c r="C2081">
        <v>7</v>
      </c>
      <c r="D2081">
        <v>8.6E-3</v>
      </c>
      <c r="E2081">
        <v>6.4791361173880038</v>
      </c>
      <c r="F2081">
        <v>651.85548614056199</v>
      </c>
      <c r="G2081">
        <v>0.42399999999999999</v>
      </c>
      <c r="H2081">
        <v>7.4999999999999997E-3</v>
      </c>
      <c r="I2081">
        <v>592.22029999999995</v>
      </c>
    </row>
    <row r="2082" spans="1:9" x14ac:dyDescent="0.3">
      <c r="A2082" t="s">
        <v>9</v>
      </c>
      <c r="B2082" t="s">
        <v>2090</v>
      </c>
      <c r="C2082">
        <v>7</v>
      </c>
      <c r="D2082">
        <v>7.7999999999999996E-3</v>
      </c>
      <c r="E2082">
        <v>6.4159670183097859</v>
      </c>
      <c r="F2082">
        <v>645.96812610647203</v>
      </c>
      <c r="G2082">
        <v>0.42399999999999999</v>
      </c>
      <c r="H2082">
        <v>6.4999999999999997E-3</v>
      </c>
      <c r="I2082">
        <v>592.41980000000001</v>
      </c>
    </row>
    <row r="2083" spans="1:9" x14ac:dyDescent="0.3">
      <c r="A2083" t="s">
        <v>9</v>
      </c>
      <c r="B2083" t="s">
        <v>2091</v>
      </c>
      <c r="C2083">
        <v>7</v>
      </c>
      <c r="D2083">
        <v>6.1000000000000004E-3</v>
      </c>
      <c r="E2083">
        <v>6.3556133053839359</v>
      </c>
      <c r="F2083">
        <v>640.3431600617829</v>
      </c>
      <c r="G2083">
        <v>0.42399999999999999</v>
      </c>
      <c r="H2083">
        <v>5.5999999999999999E-3</v>
      </c>
      <c r="I2083">
        <v>592.62220000000002</v>
      </c>
    </row>
    <row r="2084" spans="1:9" x14ac:dyDescent="0.3">
      <c r="A2084" t="s">
        <v>9</v>
      </c>
      <c r="B2084" t="s">
        <v>2092</v>
      </c>
      <c r="C2084">
        <v>7</v>
      </c>
      <c r="D2084">
        <v>5.3E-3</v>
      </c>
      <c r="E2084">
        <v>6.3005447820426257</v>
      </c>
      <c r="F2084">
        <v>635.2107736863727</v>
      </c>
      <c r="G2084">
        <v>0.42399999999999999</v>
      </c>
      <c r="H2084">
        <v>4.7000000000000002E-3</v>
      </c>
      <c r="I2084">
        <v>592.81979999999999</v>
      </c>
    </row>
    <row r="2085" spans="1:9" x14ac:dyDescent="0.3">
      <c r="A2085" t="s">
        <v>9</v>
      </c>
      <c r="B2085" t="s">
        <v>2093</v>
      </c>
      <c r="C2085">
        <v>7</v>
      </c>
      <c r="D2085">
        <v>3.8E-3</v>
      </c>
      <c r="E2085">
        <v>6.2487407442563443</v>
      </c>
      <c r="F2085">
        <v>630.38263736469128</v>
      </c>
      <c r="G2085">
        <v>0.42399999999999999</v>
      </c>
      <c r="H2085">
        <v>3.8999999999999998E-3</v>
      </c>
      <c r="I2085">
        <v>593.02059999999994</v>
      </c>
    </row>
    <row r="2086" spans="1:9" x14ac:dyDescent="0.3">
      <c r="A2086" t="s">
        <v>9</v>
      </c>
      <c r="B2086" t="s">
        <v>2094</v>
      </c>
      <c r="C2086">
        <v>7</v>
      </c>
      <c r="D2086">
        <v>3.0000000000000001E-3</v>
      </c>
      <c r="E2086">
        <v>6.2018513768832859</v>
      </c>
      <c r="F2086">
        <v>626.01254832552229</v>
      </c>
      <c r="G2086">
        <v>0.42399999999999999</v>
      </c>
      <c r="H2086">
        <v>3.2000000000000002E-3</v>
      </c>
      <c r="I2086">
        <v>593.21889999999996</v>
      </c>
    </row>
    <row r="2087" spans="1:9" x14ac:dyDescent="0.3">
      <c r="A2087" t="s">
        <v>9</v>
      </c>
      <c r="B2087" t="s">
        <v>2095</v>
      </c>
      <c r="C2087">
        <v>7</v>
      </c>
      <c r="D2087">
        <v>2.3999999999999998E-3</v>
      </c>
      <c r="E2087">
        <v>6.1588659629850211</v>
      </c>
      <c r="F2087">
        <v>622.00630775020397</v>
      </c>
      <c r="G2087">
        <v>0.42399999999999999</v>
      </c>
      <c r="H2087">
        <v>2.5000000000000001E-3</v>
      </c>
      <c r="I2087">
        <v>593.41989999999998</v>
      </c>
    </row>
    <row r="2088" spans="1:9" x14ac:dyDescent="0.3">
      <c r="A2088" t="s">
        <v>9</v>
      </c>
      <c r="B2088" t="s">
        <v>2096</v>
      </c>
      <c r="C2088">
        <v>7</v>
      </c>
      <c r="D2088">
        <v>2.3999999999999998E-3</v>
      </c>
      <c r="E2088">
        <v>6.1205737108292766</v>
      </c>
      <c r="F2088">
        <v>618.43746984928862</v>
      </c>
      <c r="G2088">
        <v>0.42399999999999999</v>
      </c>
      <c r="H2088">
        <v>1.9E-3</v>
      </c>
      <c r="I2088">
        <v>593.62109999999996</v>
      </c>
    </row>
    <row r="2089" spans="1:9" x14ac:dyDescent="0.3">
      <c r="A2089" t="s">
        <v>9</v>
      </c>
      <c r="B2089" t="s">
        <v>2097</v>
      </c>
      <c r="C2089">
        <v>7</v>
      </c>
      <c r="D2089">
        <v>1E-3</v>
      </c>
      <c r="E2089">
        <v>6.0874510485472566</v>
      </c>
      <c r="F2089">
        <v>615.35043772460438</v>
      </c>
      <c r="G2089">
        <v>0.42399999999999999</v>
      </c>
      <c r="H2089">
        <v>1.4E-3</v>
      </c>
      <c r="I2089">
        <v>593.82060000000001</v>
      </c>
    </row>
    <row r="2090" spans="1:9" x14ac:dyDescent="0.3">
      <c r="A2090" t="s">
        <v>9</v>
      </c>
      <c r="B2090" t="s">
        <v>2098</v>
      </c>
      <c r="C2090">
        <v>7</v>
      </c>
      <c r="D2090">
        <v>8.0000000000000004E-4</v>
      </c>
      <c r="E2090">
        <v>6.0593057424564094</v>
      </c>
      <c r="F2090">
        <v>612.72729519693723</v>
      </c>
      <c r="G2090">
        <v>0.42399999999999999</v>
      </c>
      <c r="H2090">
        <v>1E-3</v>
      </c>
      <c r="I2090">
        <v>594.01980000000003</v>
      </c>
    </row>
    <row r="2091" spans="1:9" x14ac:dyDescent="0.3">
      <c r="A2091" t="s">
        <v>9</v>
      </c>
      <c r="B2091" t="s">
        <v>2099</v>
      </c>
      <c r="C2091">
        <v>7</v>
      </c>
      <c r="D2091">
        <v>1E-4</v>
      </c>
      <c r="E2091">
        <v>6.036089675342831</v>
      </c>
      <c r="F2091">
        <v>610.56355774195185</v>
      </c>
      <c r="G2091">
        <v>0.42399999999999999</v>
      </c>
      <c r="H2091">
        <v>5.9999999999999995E-4</v>
      </c>
      <c r="I2091">
        <v>594.22019999999998</v>
      </c>
    </row>
    <row r="2092" spans="1:9" x14ac:dyDescent="0.3">
      <c r="A2092" t="s">
        <v>9</v>
      </c>
      <c r="B2092" t="s">
        <v>2100</v>
      </c>
      <c r="C2092">
        <v>7</v>
      </c>
      <c r="D2092">
        <v>-5.0000000000000001E-4</v>
      </c>
      <c r="E2092">
        <v>6.0182198982011066</v>
      </c>
      <c r="F2092">
        <v>608.89809451234316</v>
      </c>
      <c r="G2092">
        <v>0.42399999999999999</v>
      </c>
      <c r="H2092">
        <v>2.9999999999999997E-4</v>
      </c>
      <c r="I2092">
        <v>594.41849999999999</v>
      </c>
    </row>
    <row r="2093" spans="1:9" x14ac:dyDescent="0.3">
      <c r="A2093" t="s">
        <v>9</v>
      </c>
      <c r="B2093" t="s">
        <v>2101</v>
      </c>
      <c r="C2093">
        <v>7</v>
      </c>
      <c r="D2093">
        <v>-5.9999999999999995E-4</v>
      </c>
      <c r="E2093">
        <v>6.0054282934978236</v>
      </c>
      <c r="F2093">
        <v>607.7059169539973</v>
      </c>
      <c r="G2093">
        <v>0.42399999999999999</v>
      </c>
      <c r="H2093">
        <v>2.0000000000000001E-4</v>
      </c>
      <c r="I2093">
        <v>594.61850000000004</v>
      </c>
    </row>
    <row r="2094" spans="1:9" x14ac:dyDescent="0.3">
      <c r="A2094" t="s">
        <v>9</v>
      </c>
      <c r="B2094" t="s">
        <v>2102</v>
      </c>
      <c r="C2094">
        <v>7</v>
      </c>
      <c r="D2094">
        <v>-5.9999999999999995E-4</v>
      </c>
      <c r="E2094">
        <v>5.9978020179816252</v>
      </c>
      <c r="F2094">
        <v>606.99514807588753</v>
      </c>
      <c r="G2094">
        <v>0.42399999999999999</v>
      </c>
      <c r="H2094">
        <v>0</v>
      </c>
      <c r="I2094">
        <v>594.82389999999998</v>
      </c>
    </row>
    <row r="2095" spans="1:9" x14ac:dyDescent="0.3">
      <c r="A2095" t="s">
        <v>9</v>
      </c>
      <c r="B2095" t="s">
        <v>2103</v>
      </c>
      <c r="C2095">
        <v>7</v>
      </c>
      <c r="D2095">
        <v>-5.9999999999999995E-4</v>
      </c>
      <c r="E2095">
        <v>5.995755798878009</v>
      </c>
      <c r="F2095">
        <v>606.80444045543049</v>
      </c>
      <c r="G2095">
        <v>0.42399999999999999</v>
      </c>
      <c r="H2095">
        <v>0</v>
      </c>
      <c r="I2095">
        <v>595.01819999999998</v>
      </c>
    </row>
    <row r="2096" spans="1:9" x14ac:dyDescent="0.3">
      <c r="A2096" t="s">
        <v>9</v>
      </c>
      <c r="B2096" t="s">
        <v>2104</v>
      </c>
      <c r="C2096">
        <v>7</v>
      </c>
      <c r="D2096">
        <v>-5.9999999999999995E-4</v>
      </c>
      <c r="E2096">
        <v>5.998928002144857</v>
      </c>
      <c r="F2096">
        <v>709.29826740354702</v>
      </c>
      <c r="G2096">
        <v>0.42399999999999999</v>
      </c>
      <c r="H2096">
        <v>0</v>
      </c>
      <c r="I2096">
        <v>595.21889999999996</v>
      </c>
    </row>
    <row r="2097" spans="1:9" x14ac:dyDescent="0.3">
      <c r="A2097" t="s">
        <v>9</v>
      </c>
      <c r="B2097" t="s">
        <v>2105</v>
      </c>
      <c r="C2097">
        <v>7</v>
      </c>
      <c r="D2097">
        <v>-2.9999999999999997E-4</v>
      </c>
      <c r="E2097">
        <v>6.0074885268707527</v>
      </c>
      <c r="F2097">
        <v>710.11066120003443</v>
      </c>
      <c r="G2097">
        <v>0.42399999999999999</v>
      </c>
      <c r="H2097">
        <v>2.0000000000000001E-4</v>
      </c>
      <c r="I2097">
        <v>595.42010000000005</v>
      </c>
    </row>
    <row r="2098" spans="1:9" x14ac:dyDescent="0.3">
      <c r="A2098" t="s">
        <v>9</v>
      </c>
      <c r="B2098" t="s">
        <v>2106</v>
      </c>
      <c r="C2098">
        <v>7</v>
      </c>
      <c r="D2098">
        <v>-1E-4</v>
      </c>
      <c r="E2098">
        <v>6.0213497309747783</v>
      </c>
      <c r="F2098">
        <v>711.42608946950645</v>
      </c>
      <c r="G2098">
        <v>0.42399999999999999</v>
      </c>
      <c r="H2098">
        <v>4.0000000000000002E-4</v>
      </c>
      <c r="I2098">
        <v>595.62070000000006</v>
      </c>
    </row>
    <row r="2099" spans="1:9" x14ac:dyDescent="0.3">
      <c r="A2099" t="s">
        <v>9</v>
      </c>
      <c r="B2099" t="s">
        <v>2107</v>
      </c>
      <c r="C2099">
        <v>7</v>
      </c>
      <c r="D2099">
        <v>2.0000000000000001E-4</v>
      </c>
      <c r="E2099">
        <v>6.0403961680140652</v>
      </c>
      <c r="F2099">
        <v>713.23359634453482</v>
      </c>
      <c r="G2099">
        <v>0.42399999999999999</v>
      </c>
      <c r="H2099">
        <v>6.9999999999999999E-4</v>
      </c>
      <c r="I2099">
        <v>595.82060000000001</v>
      </c>
    </row>
    <row r="2100" spans="1:9" x14ac:dyDescent="0.3">
      <c r="A2100" t="s">
        <v>9</v>
      </c>
      <c r="B2100" t="s">
        <v>2108</v>
      </c>
      <c r="C2100">
        <v>7</v>
      </c>
      <c r="D2100">
        <v>2.9999999999999997E-4</v>
      </c>
      <c r="E2100">
        <v>6.0642624196393298</v>
      </c>
      <c r="F2100">
        <v>715.49850362377242</v>
      </c>
      <c r="G2100">
        <v>0.42399999999999999</v>
      </c>
      <c r="H2100">
        <v>1.1000000000000001E-3</v>
      </c>
      <c r="I2100">
        <v>596.01790000000005</v>
      </c>
    </row>
    <row r="2101" spans="1:9" x14ac:dyDescent="0.3">
      <c r="A2101" t="s">
        <v>9</v>
      </c>
      <c r="B2101" t="s">
        <v>2109</v>
      </c>
      <c r="C2101">
        <v>7</v>
      </c>
      <c r="D2101">
        <v>8.0000000000000004E-4</v>
      </c>
      <c r="E2101">
        <v>6.0939157525434409</v>
      </c>
      <c r="F2101">
        <v>718.31260491637261</v>
      </c>
      <c r="G2101">
        <v>0.42399999999999999</v>
      </c>
      <c r="H2101">
        <v>1.5E-3</v>
      </c>
      <c r="I2101">
        <v>596.22069999999997</v>
      </c>
    </row>
    <row r="2102" spans="1:9" x14ac:dyDescent="0.3">
      <c r="A2102" t="s">
        <v>9</v>
      </c>
      <c r="B2102" t="s">
        <v>2110</v>
      </c>
      <c r="C2102">
        <v>7</v>
      </c>
      <c r="D2102">
        <v>1.1000000000000001E-3</v>
      </c>
      <c r="E2102">
        <v>6.1281551218179322</v>
      </c>
      <c r="F2102">
        <v>721.56192106052185</v>
      </c>
      <c r="G2102">
        <v>0.42399999999999999</v>
      </c>
      <c r="H2102">
        <v>2.0999999999999999E-3</v>
      </c>
      <c r="I2102">
        <v>596.42079999999999</v>
      </c>
    </row>
    <row r="2103" spans="1:9" x14ac:dyDescent="0.3">
      <c r="A2103" t="s">
        <v>9</v>
      </c>
      <c r="B2103" t="s">
        <v>2111</v>
      </c>
      <c r="C2103">
        <v>7</v>
      </c>
      <c r="D2103">
        <v>1.5E-3</v>
      </c>
      <c r="E2103">
        <v>6.1668972032236864</v>
      </c>
      <c r="F2103">
        <v>725.2385445859278</v>
      </c>
      <c r="G2103">
        <v>0.42399999999999999</v>
      </c>
      <c r="H2103">
        <v>2.7000000000000001E-3</v>
      </c>
      <c r="I2103">
        <v>596.61929999999995</v>
      </c>
    </row>
    <row r="2104" spans="1:9" x14ac:dyDescent="0.3">
      <c r="A2104" t="s">
        <v>9</v>
      </c>
      <c r="B2104" t="s">
        <v>2112</v>
      </c>
      <c r="C2104">
        <v>7</v>
      </c>
      <c r="D2104">
        <v>1.9E-3</v>
      </c>
      <c r="E2104">
        <v>6.2104203524305506</v>
      </c>
      <c r="F2104">
        <v>729.36889144565941</v>
      </c>
      <c r="G2104">
        <v>0.42399999999999999</v>
      </c>
      <c r="H2104">
        <v>3.3E-3</v>
      </c>
      <c r="I2104">
        <v>596.81870000000004</v>
      </c>
    </row>
    <row r="2105" spans="1:9" x14ac:dyDescent="0.3">
      <c r="A2105" t="s">
        <v>9</v>
      </c>
      <c r="B2105" t="s">
        <v>2113</v>
      </c>
      <c r="C2105">
        <v>7</v>
      </c>
      <c r="D2105">
        <v>2.5000000000000001E-3</v>
      </c>
      <c r="E2105">
        <v>6.2584514848884298</v>
      </c>
      <c r="F2105">
        <v>733.927045915912</v>
      </c>
      <c r="G2105">
        <v>0.42399999999999999</v>
      </c>
      <c r="H2105">
        <v>4.1000000000000003E-3</v>
      </c>
      <c r="I2105">
        <v>597.01829999999995</v>
      </c>
    </row>
    <row r="2106" spans="1:9" x14ac:dyDescent="0.3">
      <c r="A2106" t="s">
        <v>9</v>
      </c>
      <c r="B2106" t="s">
        <v>2114</v>
      </c>
      <c r="C2106">
        <v>7</v>
      </c>
      <c r="D2106">
        <v>3.3999999999999998E-3</v>
      </c>
      <c r="E2106">
        <v>6.3117017557456796</v>
      </c>
      <c r="F2106">
        <v>738.98049662026506</v>
      </c>
      <c r="G2106">
        <v>0.42399999999999999</v>
      </c>
      <c r="H2106">
        <v>4.8999999999999998E-3</v>
      </c>
      <c r="I2106">
        <v>597.22130000000004</v>
      </c>
    </row>
    <row r="2107" spans="1:9" x14ac:dyDescent="0.3">
      <c r="A2107" t="s">
        <v>9</v>
      </c>
      <c r="B2107" t="s">
        <v>2115</v>
      </c>
      <c r="C2107">
        <v>7</v>
      </c>
      <c r="D2107">
        <v>4.7000000000000002E-3</v>
      </c>
      <c r="E2107">
        <v>6.3675284282952704</v>
      </c>
      <c r="F2107">
        <v>744.27844784522108</v>
      </c>
      <c r="G2107">
        <v>0.42399999999999999</v>
      </c>
      <c r="H2107">
        <v>5.7999999999999996E-3</v>
      </c>
      <c r="I2107">
        <v>597.41880000000003</v>
      </c>
    </row>
    <row r="2108" spans="1:9" x14ac:dyDescent="0.3">
      <c r="A2108" t="s">
        <v>9</v>
      </c>
      <c r="B2108" t="s">
        <v>2116</v>
      </c>
      <c r="C2108">
        <v>7</v>
      </c>
      <c r="D2108">
        <v>5.4999999999999997E-3</v>
      </c>
      <c r="E2108">
        <v>6.4277581077187076</v>
      </c>
      <c r="F2108">
        <v>749.9942444225054</v>
      </c>
      <c r="G2108">
        <v>0.42399999999999999</v>
      </c>
      <c r="H2108">
        <v>6.7000000000000002E-3</v>
      </c>
      <c r="I2108">
        <v>597.6182</v>
      </c>
    </row>
    <row r="2109" spans="1:9" x14ac:dyDescent="0.3">
      <c r="A2109" t="s">
        <v>9</v>
      </c>
      <c r="B2109" t="s">
        <v>2117</v>
      </c>
      <c r="C2109">
        <v>7</v>
      </c>
      <c r="D2109">
        <v>5.7999999999999996E-3</v>
      </c>
      <c r="E2109">
        <v>6.4919968386353268</v>
      </c>
      <c r="F2109">
        <v>756.09049998649255</v>
      </c>
      <c r="G2109">
        <v>0.42399999999999999</v>
      </c>
      <c r="H2109">
        <v>7.7000000000000002E-3</v>
      </c>
      <c r="I2109">
        <v>597.81889999999999</v>
      </c>
    </row>
    <row r="2110" spans="1:9" x14ac:dyDescent="0.3">
      <c r="A2110" t="s">
        <v>9</v>
      </c>
      <c r="B2110" t="s">
        <v>2118</v>
      </c>
      <c r="C2110">
        <v>7</v>
      </c>
      <c r="D2110">
        <v>7.4000000000000003E-3</v>
      </c>
      <c r="E2110">
        <v>6.5594335173569034</v>
      </c>
      <c r="F2110">
        <v>762.49024079717015</v>
      </c>
      <c r="G2110">
        <v>0.42399999999999999</v>
      </c>
      <c r="H2110">
        <v>8.8000000000000005E-3</v>
      </c>
      <c r="I2110">
        <v>598.01900000000001</v>
      </c>
    </row>
    <row r="2111" spans="1:9" x14ac:dyDescent="0.3">
      <c r="A2111" t="s">
        <v>9</v>
      </c>
      <c r="B2111" t="s">
        <v>2119</v>
      </c>
      <c r="C2111">
        <v>7</v>
      </c>
      <c r="D2111">
        <v>8.0999999999999996E-3</v>
      </c>
      <c r="E2111">
        <v>6.629668349723973</v>
      </c>
      <c r="F2111">
        <v>769.15552638880513</v>
      </c>
      <c r="G2111">
        <v>0.42399999999999999</v>
      </c>
      <c r="H2111">
        <v>9.7999999999999997E-3</v>
      </c>
      <c r="I2111">
        <v>598.2183</v>
      </c>
    </row>
    <row r="2112" spans="1:9" x14ac:dyDescent="0.3">
      <c r="A2112" t="s">
        <v>9</v>
      </c>
      <c r="B2112" t="s">
        <v>2120</v>
      </c>
      <c r="C2112">
        <v>7</v>
      </c>
      <c r="D2112">
        <v>9.1999999999999998E-3</v>
      </c>
      <c r="E2112">
        <v>6.7041460280186573</v>
      </c>
      <c r="F2112">
        <v>776.22345805897066</v>
      </c>
      <c r="G2112">
        <v>0.42399999999999999</v>
      </c>
      <c r="H2112">
        <v>1.0999999999999999E-2</v>
      </c>
      <c r="I2112">
        <v>598.42129999999997</v>
      </c>
    </row>
    <row r="2113" spans="1:9" x14ac:dyDescent="0.3">
      <c r="A2113" t="s">
        <v>9</v>
      </c>
      <c r="B2113" t="s">
        <v>2121</v>
      </c>
      <c r="C2113">
        <v>7</v>
      </c>
      <c r="D2113">
        <v>1.0200000000000001E-2</v>
      </c>
      <c r="E2113">
        <v>6.7789006428355636</v>
      </c>
      <c r="F2113">
        <v>783.31767100509501</v>
      </c>
      <c r="G2113">
        <v>0.42399999999999999</v>
      </c>
      <c r="H2113">
        <v>1.2200000000000001E-2</v>
      </c>
      <c r="I2113">
        <v>598.61829999999998</v>
      </c>
    </row>
    <row r="2114" spans="1:9" x14ac:dyDescent="0.3">
      <c r="A2114" t="s">
        <v>9</v>
      </c>
      <c r="B2114" t="s">
        <v>2122</v>
      </c>
      <c r="C2114">
        <v>7</v>
      </c>
      <c r="D2114">
        <v>1.18E-2</v>
      </c>
      <c r="E2114">
        <v>6.857849852560836</v>
      </c>
      <c r="F2114">
        <v>790.8099510080234</v>
      </c>
      <c r="G2114">
        <v>0.42399999999999999</v>
      </c>
      <c r="H2114">
        <v>1.34E-2</v>
      </c>
      <c r="I2114">
        <v>598.82039999999995</v>
      </c>
    </row>
    <row r="2115" spans="1:9" x14ac:dyDescent="0.3">
      <c r="A2115" t="s">
        <v>9</v>
      </c>
      <c r="B2115" t="s">
        <v>2123</v>
      </c>
      <c r="C2115">
        <v>7</v>
      </c>
      <c r="D2115">
        <v>1.2800000000000001E-2</v>
      </c>
      <c r="E2115">
        <v>6.9373561790965583</v>
      </c>
      <c r="F2115">
        <v>798.35510139626342</v>
      </c>
      <c r="G2115">
        <v>0.42399999999999999</v>
      </c>
      <c r="H2115">
        <v>1.46E-2</v>
      </c>
      <c r="I2115">
        <v>599.01900000000001</v>
      </c>
    </row>
    <row r="2116" spans="1:9" x14ac:dyDescent="0.3">
      <c r="A2116" t="s">
        <v>9</v>
      </c>
      <c r="B2116" t="s">
        <v>2124</v>
      </c>
      <c r="C2116">
        <v>7</v>
      </c>
      <c r="D2116">
        <v>1.4500000000000001E-2</v>
      </c>
      <c r="E2116">
        <v>7.019998416412494</v>
      </c>
      <c r="F2116">
        <v>806.19784971754575</v>
      </c>
      <c r="G2116">
        <v>0.42399999999999999</v>
      </c>
      <c r="H2116">
        <v>1.5900000000000001E-2</v>
      </c>
      <c r="I2116">
        <v>599.22140000000002</v>
      </c>
    </row>
    <row r="2117" spans="1:9" x14ac:dyDescent="0.3">
      <c r="A2117" t="s">
        <v>9</v>
      </c>
      <c r="B2117" t="s">
        <v>2125</v>
      </c>
      <c r="C2117">
        <v>7</v>
      </c>
      <c r="D2117">
        <v>1.5599999999999999E-2</v>
      </c>
      <c r="E2117">
        <v>7.1018329559945048</v>
      </c>
      <c r="F2117">
        <v>813.96394752387857</v>
      </c>
      <c r="G2117">
        <v>0.42399999999999999</v>
      </c>
      <c r="H2117">
        <v>1.72E-2</v>
      </c>
      <c r="I2117">
        <v>599.41859999999997</v>
      </c>
    </row>
    <row r="2118" spans="1:9" x14ac:dyDescent="0.3">
      <c r="A2118" t="s">
        <v>9</v>
      </c>
      <c r="B2118" t="s">
        <v>2126</v>
      </c>
      <c r="C2118">
        <v>7</v>
      </c>
      <c r="D2118">
        <v>1.7000000000000001E-2</v>
      </c>
      <c r="E2118">
        <v>7.1866777104242372</v>
      </c>
      <c r="F2118">
        <v>822.01571471926013</v>
      </c>
      <c r="G2118">
        <v>0.42399999999999999</v>
      </c>
      <c r="H2118">
        <v>1.8499999999999999E-2</v>
      </c>
      <c r="I2118">
        <v>599.62080000000003</v>
      </c>
    </row>
    <row r="2119" spans="1:9" x14ac:dyDescent="0.3">
      <c r="A2119" t="s">
        <v>9</v>
      </c>
      <c r="B2119" t="s">
        <v>2127</v>
      </c>
      <c r="C2119">
        <v>7</v>
      </c>
      <c r="D2119">
        <v>1.8499999999999999E-2</v>
      </c>
      <c r="E2119">
        <v>7.2711405114075047</v>
      </c>
      <c r="F2119">
        <v>830.03123453257228</v>
      </c>
      <c r="G2119">
        <v>0.42399999999999999</v>
      </c>
      <c r="H2119">
        <v>1.9800000000000002E-2</v>
      </c>
      <c r="I2119">
        <v>599.82050000000004</v>
      </c>
    </row>
    <row r="2120" spans="1:9" x14ac:dyDescent="0.3">
      <c r="A2120" t="s">
        <v>9</v>
      </c>
      <c r="B2120" t="s">
        <v>2128</v>
      </c>
      <c r="C2120">
        <v>7</v>
      </c>
      <c r="D2120">
        <v>1.9400000000000001E-2</v>
      </c>
      <c r="E2120">
        <v>7.3552023018190607</v>
      </c>
      <c r="F2120">
        <v>838.00869844262888</v>
      </c>
      <c r="G2120">
        <v>0.42399999999999999</v>
      </c>
      <c r="H2120">
        <v>2.1100000000000001E-2</v>
      </c>
      <c r="I2120">
        <v>600.01859999999999</v>
      </c>
    </row>
    <row r="2121" spans="1:9" x14ac:dyDescent="0.3">
      <c r="A2121" t="s">
        <v>9</v>
      </c>
      <c r="B2121" t="s">
        <v>2129</v>
      </c>
      <c r="C2121">
        <v>7</v>
      </c>
      <c r="D2121">
        <v>2.06E-2</v>
      </c>
      <c r="E2121">
        <v>7.4408170452029729</v>
      </c>
      <c r="F2121">
        <v>846.13353758976223</v>
      </c>
      <c r="G2121">
        <v>0.42399999999999999</v>
      </c>
      <c r="H2121">
        <v>2.2499999999999999E-2</v>
      </c>
      <c r="I2121">
        <v>600.22040000000004</v>
      </c>
    </row>
    <row r="2122" spans="1:9" x14ac:dyDescent="0.3">
      <c r="A2122" t="s">
        <v>9</v>
      </c>
      <c r="B2122" t="s">
        <v>2130</v>
      </c>
      <c r="C2122">
        <v>7</v>
      </c>
      <c r="D2122">
        <v>2.2100000000000002E-2</v>
      </c>
      <c r="E2122">
        <v>7.5247478685622902</v>
      </c>
      <c r="F2122">
        <v>854.09857272656143</v>
      </c>
      <c r="G2122">
        <v>0.42399999999999999</v>
      </c>
      <c r="H2122">
        <v>2.3800000000000002E-2</v>
      </c>
      <c r="I2122">
        <v>600.41909999999996</v>
      </c>
    </row>
    <row r="2123" spans="1:9" x14ac:dyDescent="0.3">
      <c r="A2123" t="s">
        <v>9</v>
      </c>
      <c r="B2123" t="s">
        <v>2131</v>
      </c>
      <c r="C2123">
        <v>7</v>
      </c>
      <c r="D2123">
        <v>2.3099999999999999E-2</v>
      </c>
      <c r="E2123">
        <v>7.6084735237221279</v>
      </c>
      <c r="F2123">
        <v>862.04413740122993</v>
      </c>
      <c r="G2123">
        <v>0.42399999999999999</v>
      </c>
      <c r="H2123">
        <v>2.5100000000000001E-2</v>
      </c>
      <c r="I2123">
        <v>600.61900000000003</v>
      </c>
    </row>
    <row r="2124" spans="1:9" x14ac:dyDescent="0.3">
      <c r="A2124" t="s">
        <v>9</v>
      </c>
      <c r="B2124" t="s">
        <v>2132</v>
      </c>
      <c r="C2124">
        <v>7</v>
      </c>
      <c r="D2124">
        <v>2.46E-2</v>
      </c>
      <c r="E2124">
        <v>7.6919275134794871</v>
      </c>
      <c r="F2124">
        <v>869.96392102920333</v>
      </c>
      <c r="G2124">
        <v>0.42399999999999999</v>
      </c>
      <c r="H2124">
        <v>2.64E-2</v>
      </c>
      <c r="I2124">
        <v>600.82069999999999</v>
      </c>
    </row>
    <row r="2125" spans="1:9" x14ac:dyDescent="0.3">
      <c r="A2125" t="s">
        <v>9</v>
      </c>
      <c r="B2125" t="s">
        <v>2133</v>
      </c>
      <c r="C2125">
        <v>7</v>
      </c>
      <c r="D2125">
        <v>2.5700000000000001E-2</v>
      </c>
      <c r="E2125">
        <v>7.7729798999848176</v>
      </c>
      <c r="F2125">
        <v>877.65579250855922</v>
      </c>
      <c r="G2125">
        <v>0.42399999999999999</v>
      </c>
      <c r="H2125">
        <v>2.76E-2</v>
      </c>
      <c r="I2125">
        <v>601.01980000000003</v>
      </c>
    </row>
    <row r="2126" spans="1:9" x14ac:dyDescent="0.3">
      <c r="A2126" t="s">
        <v>9</v>
      </c>
      <c r="B2126" t="s">
        <v>2134</v>
      </c>
      <c r="C2126">
        <v>7</v>
      </c>
      <c r="D2126">
        <v>2.7E-2</v>
      </c>
      <c r="E2126">
        <v>7.8525575893725339</v>
      </c>
      <c r="F2126">
        <v>885.20771523145356</v>
      </c>
      <c r="G2126">
        <v>0.42399999999999999</v>
      </c>
      <c r="H2126">
        <v>2.8899999999999999E-2</v>
      </c>
      <c r="I2126">
        <v>601.21950000000004</v>
      </c>
    </row>
    <row r="2127" spans="1:9" x14ac:dyDescent="0.3">
      <c r="A2127" t="s">
        <v>9</v>
      </c>
      <c r="B2127" t="s">
        <v>2135</v>
      </c>
      <c r="C2127">
        <v>7</v>
      </c>
      <c r="D2127">
        <v>2.8199999999999999E-2</v>
      </c>
      <c r="E2127">
        <v>7.9305202887631481</v>
      </c>
      <c r="F2127">
        <v>892.60637540362279</v>
      </c>
      <c r="G2127">
        <v>0.42399999999999999</v>
      </c>
      <c r="H2127">
        <v>3.0099999999999998E-2</v>
      </c>
      <c r="I2127">
        <v>601.42020000000002</v>
      </c>
    </row>
    <row r="2128" spans="1:9" x14ac:dyDescent="0.3">
      <c r="A2128" t="s">
        <v>9</v>
      </c>
      <c r="B2128" t="s">
        <v>2136</v>
      </c>
      <c r="C2128">
        <v>7</v>
      </c>
      <c r="D2128">
        <v>2.9700000000000001E-2</v>
      </c>
      <c r="E2128">
        <v>8.0090810575099578</v>
      </c>
      <c r="F2128">
        <v>900.06179235769503</v>
      </c>
      <c r="G2128">
        <v>0.42399999999999999</v>
      </c>
      <c r="H2128">
        <v>3.1300000000000001E-2</v>
      </c>
      <c r="I2128">
        <v>601.62869999999998</v>
      </c>
    </row>
    <row r="2129" spans="1:9" x14ac:dyDescent="0.3">
      <c r="A2129" t="s">
        <v>9</v>
      </c>
      <c r="B2129" t="s">
        <v>2137</v>
      </c>
      <c r="C2129">
        <v>7</v>
      </c>
      <c r="D2129">
        <v>3.0700000000000002E-2</v>
      </c>
      <c r="E2129">
        <v>8.0783451929016152</v>
      </c>
      <c r="F2129">
        <v>906.63495880636333</v>
      </c>
      <c r="G2129">
        <v>0.42399999999999999</v>
      </c>
      <c r="H2129">
        <v>3.2399999999999998E-2</v>
      </c>
      <c r="I2129">
        <v>601.81910000000005</v>
      </c>
    </row>
    <row r="2130" spans="1:9" x14ac:dyDescent="0.3">
      <c r="A2130" t="s">
        <v>9</v>
      </c>
      <c r="B2130" t="s">
        <v>2138</v>
      </c>
      <c r="C2130">
        <v>7</v>
      </c>
      <c r="D2130">
        <v>3.1199999999999999E-2</v>
      </c>
      <c r="E2130">
        <v>8.1481871241119723</v>
      </c>
      <c r="F2130">
        <v>913.26295807822623</v>
      </c>
      <c r="G2130">
        <v>0.42399999999999999</v>
      </c>
      <c r="H2130">
        <v>3.3399999999999999E-2</v>
      </c>
      <c r="I2130">
        <v>602.01880000000006</v>
      </c>
    </row>
    <row r="2131" spans="1:9" x14ac:dyDescent="0.3">
      <c r="A2131" t="s">
        <v>9</v>
      </c>
      <c r="B2131" t="s">
        <v>2139</v>
      </c>
      <c r="C2131">
        <v>7</v>
      </c>
      <c r="D2131">
        <v>3.3000000000000002E-2</v>
      </c>
      <c r="E2131">
        <v>8.2151149370423475</v>
      </c>
      <c r="F2131">
        <v>919.61440752531882</v>
      </c>
      <c r="G2131">
        <v>0.42399999999999999</v>
      </c>
      <c r="H2131">
        <v>3.4500000000000003E-2</v>
      </c>
      <c r="I2131">
        <v>602.2192</v>
      </c>
    </row>
    <row r="2132" spans="1:9" x14ac:dyDescent="0.3">
      <c r="A2132" t="s">
        <v>9</v>
      </c>
      <c r="B2132" t="s">
        <v>2140</v>
      </c>
      <c r="C2132">
        <v>7</v>
      </c>
      <c r="D2132">
        <v>3.39E-2</v>
      </c>
      <c r="E2132">
        <v>8.2789161650197567</v>
      </c>
      <c r="F2132">
        <v>925.66914406037495</v>
      </c>
      <c r="G2132">
        <v>0.42399999999999999</v>
      </c>
      <c r="H2132">
        <v>3.5499999999999997E-2</v>
      </c>
      <c r="I2132">
        <v>602.42070000000001</v>
      </c>
    </row>
    <row r="2133" spans="1:9" x14ac:dyDescent="0.3">
      <c r="A2133" t="s">
        <v>9</v>
      </c>
      <c r="B2133" t="s">
        <v>2141</v>
      </c>
      <c r="C2133">
        <v>7</v>
      </c>
      <c r="D2133">
        <v>3.4700000000000002E-2</v>
      </c>
      <c r="E2133">
        <v>8.3378785050671098</v>
      </c>
      <c r="F2133">
        <v>931.26467013086881</v>
      </c>
      <c r="G2133">
        <v>0.42399999999999999</v>
      </c>
      <c r="H2133">
        <v>3.6400000000000002E-2</v>
      </c>
      <c r="I2133">
        <v>602.61829999999998</v>
      </c>
    </row>
    <row r="2134" spans="1:9" x14ac:dyDescent="0.3">
      <c r="A2134" t="s">
        <v>9</v>
      </c>
      <c r="B2134" t="s">
        <v>2142</v>
      </c>
      <c r="C2134">
        <v>7</v>
      </c>
      <c r="D2134">
        <v>3.5799999999999998E-2</v>
      </c>
      <c r="E2134">
        <v>8.3937941378992402</v>
      </c>
      <c r="F2134">
        <v>936.5710636866379</v>
      </c>
      <c r="G2134">
        <v>0.42399999999999999</v>
      </c>
      <c r="H2134">
        <v>3.73E-2</v>
      </c>
      <c r="I2134">
        <v>602.81880000000001</v>
      </c>
    </row>
    <row r="2135" spans="1:9" x14ac:dyDescent="0.3">
      <c r="A2135" t="s">
        <v>9</v>
      </c>
      <c r="B2135" t="s">
        <v>2143</v>
      </c>
      <c r="C2135">
        <v>7</v>
      </c>
      <c r="D2135">
        <v>3.6600000000000001E-2</v>
      </c>
      <c r="E2135">
        <v>8.4467482123736435</v>
      </c>
      <c r="F2135">
        <v>941.59640535425876</v>
      </c>
      <c r="G2135">
        <v>0.42399999999999999</v>
      </c>
      <c r="H2135">
        <v>3.8100000000000002E-2</v>
      </c>
      <c r="I2135">
        <v>603.02419999999995</v>
      </c>
    </row>
    <row r="2136" spans="1:9" x14ac:dyDescent="0.3">
      <c r="A2136" t="s">
        <v>9</v>
      </c>
      <c r="B2136" t="s">
        <v>2144</v>
      </c>
      <c r="C2136">
        <v>7</v>
      </c>
      <c r="D2136">
        <v>3.7699999999999997E-2</v>
      </c>
      <c r="E2136">
        <v>8.4927496798984325</v>
      </c>
      <c r="F2136">
        <v>945.96194462236133</v>
      </c>
      <c r="G2136">
        <v>0.42399999999999999</v>
      </c>
      <c r="H2136">
        <v>3.8800000000000001E-2</v>
      </c>
      <c r="I2136">
        <v>603.21889999999996</v>
      </c>
    </row>
    <row r="2137" spans="1:9" x14ac:dyDescent="0.3">
      <c r="A2137" t="s">
        <v>9</v>
      </c>
      <c r="B2137" t="s">
        <v>2145</v>
      </c>
      <c r="C2137">
        <v>7</v>
      </c>
      <c r="D2137">
        <v>3.8199999999999998E-2</v>
      </c>
      <c r="E2137">
        <v>8.5357157933890004</v>
      </c>
      <c r="F2137">
        <v>950.03942879261615</v>
      </c>
      <c r="G2137">
        <v>0.42399999999999999</v>
      </c>
      <c r="H2137">
        <v>3.95E-2</v>
      </c>
      <c r="I2137">
        <v>603.41970000000003</v>
      </c>
    </row>
    <row r="2138" spans="1:9" x14ac:dyDescent="0.3">
      <c r="A2138" t="s">
        <v>9</v>
      </c>
      <c r="B2138" t="s">
        <v>2146</v>
      </c>
      <c r="C2138">
        <v>7</v>
      </c>
      <c r="D2138">
        <v>3.9100000000000003E-2</v>
      </c>
      <c r="E2138">
        <v>8.573793956988764</v>
      </c>
      <c r="F2138">
        <v>953.65304651823374</v>
      </c>
      <c r="G2138">
        <v>0.42399999999999999</v>
      </c>
      <c r="H2138">
        <v>4.0099999999999997E-2</v>
      </c>
      <c r="I2138">
        <v>603.61980000000005</v>
      </c>
    </row>
    <row r="2139" spans="1:9" x14ac:dyDescent="0.3">
      <c r="A2139" t="s">
        <v>9</v>
      </c>
      <c r="B2139" t="s">
        <v>2147</v>
      </c>
      <c r="C2139">
        <v>7</v>
      </c>
      <c r="D2139">
        <v>4.0099999999999997E-2</v>
      </c>
      <c r="E2139">
        <v>8.6071216252819642</v>
      </c>
      <c r="F2139">
        <v>956.81584223925847</v>
      </c>
      <c r="G2139">
        <v>0.42399999999999999</v>
      </c>
      <c r="H2139">
        <v>4.0599999999999997E-2</v>
      </c>
      <c r="I2139">
        <v>603.82039999999995</v>
      </c>
    </row>
    <row r="2140" spans="1:9" x14ac:dyDescent="0.3">
      <c r="A2140" t="s">
        <v>9</v>
      </c>
      <c r="B2140" t="s">
        <v>2148</v>
      </c>
      <c r="C2140">
        <v>7</v>
      </c>
      <c r="D2140">
        <v>4.1000000000000002E-2</v>
      </c>
      <c r="E2140">
        <v>8.6354283492783708</v>
      </c>
      <c r="F2140">
        <v>959.5021503465174</v>
      </c>
      <c r="G2140">
        <v>0.42399999999999999</v>
      </c>
      <c r="H2140">
        <v>4.1000000000000002E-2</v>
      </c>
      <c r="I2140">
        <v>604.02080000000001</v>
      </c>
    </row>
    <row r="2141" spans="1:9" x14ac:dyDescent="0.3">
      <c r="A2141" t="s">
        <v>9</v>
      </c>
      <c r="B2141" t="s">
        <v>2149</v>
      </c>
      <c r="C2141">
        <v>7</v>
      </c>
      <c r="D2141">
        <v>4.1300000000000003E-2</v>
      </c>
      <c r="E2141">
        <v>8.6583483943615249</v>
      </c>
      <c r="F2141">
        <v>961.67726262490874</v>
      </c>
      <c r="G2141">
        <v>0.42399999999999999</v>
      </c>
      <c r="H2141">
        <v>4.1399999999999999E-2</v>
      </c>
      <c r="I2141">
        <v>604.21860000000004</v>
      </c>
    </row>
    <row r="2142" spans="1:9" x14ac:dyDescent="0.3">
      <c r="A2142" t="s">
        <v>9</v>
      </c>
      <c r="B2142" t="s">
        <v>2150</v>
      </c>
      <c r="C2142">
        <v>7</v>
      </c>
      <c r="D2142">
        <v>4.2299999999999997E-2</v>
      </c>
      <c r="E2142">
        <v>8.6765820085166041</v>
      </c>
      <c r="F2142">
        <v>963.40763260822575</v>
      </c>
      <c r="G2142">
        <v>0.42399999999999999</v>
      </c>
      <c r="H2142">
        <v>4.1700000000000001E-2</v>
      </c>
      <c r="I2142">
        <v>604.42110000000002</v>
      </c>
    </row>
    <row r="2143" spans="1:9" x14ac:dyDescent="0.3">
      <c r="A2143" t="s">
        <v>9</v>
      </c>
      <c r="B2143" t="s">
        <v>2151</v>
      </c>
      <c r="C2143">
        <v>7</v>
      </c>
      <c r="D2143">
        <v>4.2900000000000001E-2</v>
      </c>
      <c r="E2143">
        <v>8.6892598624556943</v>
      </c>
      <c r="F2143">
        <v>964.61076094704538</v>
      </c>
      <c r="G2143">
        <v>0.42399999999999999</v>
      </c>
      <c r="H2143">
        <v>4.19E-2</v>
      </c>
      <c r="I2143">
        <v>604.62009999999998</v>
      </c>
    </row>
    <row r="2144" spans="1:9" x14ac:dyDescent="0.3">
      <c r="A2144" t="s">
        <v>9</v>
      </c>
      <c r="B2144" t="s">
        <v>2152</v>
      </c>
      <c r="C2144">
        <v>7</v>
      </c>
      <c r="D2144">
        <v>4.2999999999999997E-2</v>
      </c>
      <c r="E2144">
        <v>8.6966884920657659</v>
      </c>
      <c r="F2144">
        <v>965.31573789704123</v>
      </c>
      <c r="G2144">
        <v>0.42399999999999999</v>
      </c>
      <c r="H2144">
        <v>4.2000000000000003E-2</v>
      </c>
      <c r="I2144">
        <v>604.81899999999996</v>
      </c>
    </row>
    <row r="2145" spans="1:9" x14ac:dyDescent="0.3">
      <c r="A2145" t="s">
        <v>9</v>
      </c>
      <c r="B2145" t="s">
        <v>2153</v>
      </c>
      <c r="C2145">
        <v>7</v>
      </c>
      <c r="D2145">
        <v>4.3099999999999999E-2</v>
      </c>
      <c r="E2145">
        <v>8.698847623809316</v>
      </c>
      <c r="F2145">
        <v>965.52063949950411</v>
      </c>
      <c r="G2145">
        <v>0.42399999999999999</v>
      </c>
      <c r="H2145">
        <v>4.2000000000000003E-2</v>
      </c>
      <c r="I2145">
        <v>605.01919999999996</v>
      </c>
    </row>
    <row r="2146" spans="1:9" x14ac:dyDescent="0.3">
      <c r="A2146" t="s">
        <v>9</v>
      </c>
      <c r="B2146" t="s">
        <v>2154</v>
      </c>
      <c r="C2146">
        <v>7</v>
      </c>
      <c r="D2146">
        <v>4.3099999999999999E-2</v>
      </c>
      <c r="E2146">
        <v>8.6955852061551155</v>
      </c>
      <c r="F2146">
        <v>858.42854121365679</v>
      </c>
      <c r="G2146">
        <v>0.42399999999999999</v>
      </c>
      <c r="H2146">
        <v>4.19E-2</v>
      </c>
      <c r="I2146">
        <v>605.22199999999998</v>
      </c>
    </row>
    <row r="2147" spans="1:9" x14ac:dyDescent="0.3">
      <c r="A2147" t="s">
        <v>9</v>
      </c>
      <c r="B2147" t="s">
        <v>2155</v>
      </c>
      <c r="C2147">
        <v>7</v>
      </c>
      <c r="D2147">
        <v>4.24E-2</v>
      </c>
      <c r="E2147">
        <v>8.6870009849076499</v>
      </c>
      <c r="F2147">
        <v>857.62849179339298</v>
      </c>
      <c r="G2147">
        <v>0.42399999999999999</v>
      </c>
      <c r="H2147">
        <v>4.1799999999999997E-2</v>
      </c>
      <c r="I2147">
        <v>605.42219999999998</v>
      </c>
    </row>
    <row r="2148" spans="1:9" x14ac:dyDescent="0.3">
      <c r="A2148" t="s">
        <v>9</v>
      </c>
      <c r="B2148" t="s">
        <v>2156</v>
      </c>
      <c r="C2148">
        <v>7</v>
      </c>
      <c r="D2148">
        <v>4.2200000000000001E-2</v>
      </c>
      <c r="E2148">
        <v>8.6734327172016439</v>
      </c>
      <c r="F2148">
        <v>856.36392924319318</v>
      </c>
      <c r="G2148">
        <v>0.42399999999999999</v>
      </c>
      <c r="H2148">
        <v>4.1599999999999998E-2</v>
      </c>
      <c r="I2148">
        <v>605.61850000000004</v>
      </c>
    </row>
    <row r="2149" spans="1:9" x14ac:dyDescent="0.3">
      <c r="A2149" t="s">
        <v>9</v>
      </c>
      <c r="B2149" t="s">
        <v>2157</v>
      </c>
      <c r="C2149">
        <v>7</v>
      </c>
      <c r="D2149">
        <v>4.2000000000000003E-2</v>
      </c>
      <c r="E2149">
        <v>8.6544161390283847</v>
      </c>
      <c r="F2149">
        <v>854.59158415744548</v>
      </c>
      <c r="G2149">
        <v>0.42399999999999999</v>
      </c>
      <c r="H2149">
        <v>4.1300000000000003E-2</v>
      </c>
      <c r="I2149">
        <v>605.81870000000004</v>
      </c>
    </row>
    <row r="2150" spans="1:9" x14ac:dyDescent="0.3">
      <c r="A2150" t="s">
        <v>9</v>
      </c>
      <c r="B2150" t="s">
        <v>2158</v>
      </c>
      <c r="C2150">
        <v>7</v>
      </c>
      <c r="D2150">
        <v>4.19E-2</v>
      </c>
      <c r="E2150">
        <v>8.6302350799128451</v>
      </c>
      <c r="F2150">
        <v>852.33790944787722</v>
      </c>
      <c r="G2150">
        <v>0.42399999999999999</v>
      </c>
      <c r="H2150">
        <v>4.0899999999999999E-2</v>
      </c>
      <c r="I2150">
        <v>606.01869999999997</v>
      </c>
    </row>
    <row r="2151" spans="1:9" x14ac:dyDescent="0.3">
      <c r="A2151" t="s">
        <v>9</v>
      </c>
      <c r="B2151" t="s">
        <v>2159</v>
      </c>
      <c r="C2151">
        <v>7</v>
      </c>
      <c r="D2151">
        <v>4.1300000000000003E-2</v>
      </c>
      <c r="E2151">
        <v>8.6007159983740511</v>
      </c>
      <c r="F2151">
        <v>849.58673104846162</v>
      </c>
      <c r="G2151">
        <v>0.42399999999999999</v>
      </c>
      <c r="H2151">
        <v>4.0500000000000001E-2</v>
      </c>
      <c r="I2151">
        <v>606.22059999999999</v>
      </c>
    </row>
    <row r="2152" spans="1:9" x14ac:dyDescent="0.3">
      <c r="A2152" t="s">
        <v>9</v>
      </c>
      <c r="B2152" t="s">
        <v>2160</v>
      </c>
      <c r="C2152">
        <v>7</v>
      </c>
      <c r="D2152">
        <v>4.1200000000000001E-2</v>
      </c>
      <c r="E2152">
        <v>8.5666499678451693</v>
      </c>
      <c r="F2152">
        <v>846.41177700316985</v>
      </c>
      <c r="G2152">
        <v>0.42399999999999999</v>
      </c>
      <c r="H2152">
        <v>3.9899999999999998E-2</v>
      </c>
      <c r="I2152">
        <v>606.41970000000003</v>
      </c>
    </row>
    <row r="2153" spans="1:9" x14ac:dyDescent="0.3">
      <c r="A2153" t="s">
        <v>9</v>
      </c>
      <c r="B2153" t="s">
        <v>2161</v>
      </c>
      <c r="C2153">
        <v>7</v>
      </c>
      <c r="D2153">
        <v>4.1099999999999998E-2</v>
      </c>
      <c r="E2153">
        <v>8.5275820501447441</v>
      </c>
      <c r="F2153">
        <v>842.77064707349018</v>
      </c>
      <c r="G2153">
        <v>0.42399999999999999</v>
      </c>
      <c r="H2153">
        <v>3.9300000000000002E-2</v>
      </c>
      <c r="I2153">
        <v>606.61990000000003</v>
      </c>
    </row>
    <row r="2154" spans="1:9" x14ac:dyDescent="0.3">
      <c r="A2154" t="s">
        <v>9</v>
      </c>
      <c r="B2154" t="s">
        <v>2162</v>
      </c>
      <c r="C2154">
        <v>7</v>
      </c>
      <c r="D2154">
        <v>4.1099999999999998E-2</v>
      </c>
      <c r="E2154">
        <v>8.4837097095280107</v>
      </c>
      <c r="F2154">
        <v>838.68174492801063</v>
      </c>
      <c r="G2154">
        <v>0.42399999999999999</v>
      </c>
      <c r="H2154">
        <v>3.8699999999999998E-2</v>
      </c>
      <c r="I2154">
        <v>606.82079999999996</v>
      </c>
    </row>
    <row r="2155" spans="1:9" x14ac:dyDescent="0.3">
      <c r="A2155" t="s">
        <v>9</v>
      </c>
      <c r="B2155" t="s">
        <v>2163</v>
      </c>
      <c r="C2155">
        <v>7</v>
      </c>
      <c r="D2155">
        <v>4.0899999999999999E-2</v>
      </c>
      <c r="E2155">
        <v>8.4360243219786248</v>
      </c>
      <c r="F2155">
        <v>834.23746680840782</v>
      </c>
      <c r="G2155">
        <v>0.42399999999999999</v>
      </c>
      <c r="H2155">
        <v>3.7900000000000003E-2</v>
      </c>
      <c r="I2155">
        <v>607.01880000000006</v>
      </c>
    </row>
    <row r="2156" spans="1:9" x14ac:dyDescent="0.3">
      <c r="A2156" t="s">
        <v>9</v>
      </c>
      <c r="B2156" t="s">
        <v>2164</v>
      </c>
      <c r="C2156">
        <v>7</v>
      </c>
      <c r="D2156">
        <v>3.9800000000000002E-2</v>
      </c>
      <c r="E2156">
        <v>8.3833329925501996</v>
      </c>
      <c r="F2156">
        <v>829.32663490567859</v>
      </c>
      <c r="G2156">
        <v>0.42399999999999999</v>
      </c>
      <c r="H2156">
        <v>3.7100000000000001E-2</v>
      </c>
      <c r="I2156">
        <v>607.21969999999999</v>
      </c>
    </row>
    <row r="2157" spans="1:9" x14ac:dyDescent="0.3">
      <c r="A2157" t="s">
        <v>9</v>
      </c>
      <c r="B2157" t="s">
        <v>2165</v>
      </c>
      <c r="C2157">
        <v>7</v>
      </c>
      <c r="D2157">
        <v>3.9199999999999999E-2</v>
      </c>
      <c r="E2157">
        <v>8.3269976974918549</v>
      </c>
      <c r="F2157">
        <v>824.07618540624094</v>
      </c>
      <c r="G2157">
        <v>0.42399999999999999</v>
      </c>
      <c r="H2157">
        <v>3.6200000000000003E-2</v>
      </c>
      <c r="I2157">
        <v>607.41899999999998</v>
      </c>
    </row>
    <row r="2158" spans="1:9" x14ac:dyDescent="0.3">
      <c r="A2158" t="s">
        <v>9</v>
      </c>
      <c r="B2158" t="s">
        <v>2166</v>
      </c>
      <c r="C2158">
        <v>7</v>
      </c>
      <c r="D2158">
        <v>3.9E-2</v>
      </c>
      <c r="E2158">
        <v>8.2666875726716267</v>
      </c>
      <c r="F2158">
        <v>818.45528177299559</v>
      </c>
      <c r="G2158">
        <v>0.42399999999999999</v>
      </c>
      <c r="H2158">
        <v>3.5299999999999998E-2</v>
      </c>
      <c r="I2158">
        <v>607.61879999999996</v>
      </c>
    </row>
    <row r="2159" spans="1:9" x14ac:dyDescent="0.3">
      <c r="A2159" t="s">
        <v>9</v>
      </c>
      <c r="B2159" t="s">
        <v>2167</v>
      </c>
      <c r="C2159">
        <v>7</v>
      </c>
      <c r="D2159">
        <v>3.8100000000000002E-2</v>
      </c>
      <c r="E2159">
        <v>8.2025514258547449</v>
      </c>
      <c r="F2159">
        <v>812.47779288966228</v>
      </c>
      <c r="G2159">
        <v>0.42399999999999999</v>
      </c>
      <c r="H2159">
        <v>3.4299999999999997E-2</v>
      </c>
      <c r="I2159">
        <v>607.81910000000005</v>
      </c>
    </row>
    <row r="2160" spans="1:9" x14ac:dyDescent="0.3">
      <c r="A2160" t="s">
        <v>9</v>
      </c>
      <c r="B2160" t="s">
        <v>2168</v>
      </c>
      <c r="C2160">
        <v>7</v>
      </c>
      <c r="D2160">
        <v>3.6600000000000001E-2</v>
      </c>
      <c r="E2160">
        <v>8.1347096818539573</v>
      </c>
      <c r="F2160">
        <v>806.15494234878884</v>
      </c>
      <c r="G2160">
        <v>0.42399999999999999</v>
      </c>
      <c r="H2160">
        <v>3.32E-2</v>
      </c>
      <c r="I2160">
        <v>608.0204</v>
      </c>
    </row>
    <row r="2161" spans="1:9" x14ac:dyDescent="0.3">
      <c r="A2161" t="s">
        <v>9</v>
      </c>
      <c r="B2161" t="s">
        <v>2169</v>
      </c>
      <c r="C2161">
        <v>7</v>
      </c>
      <c r="D2161">
        <v>3.56E-2</v>
      </c>
      <c r="E2161">
        <v>8.063493204801226</v>
      </c>
      <c r="F2161">
        <v>799.5175666874743</v>
      </c>
      <c r="G2161">
        <v>0.42399999999999999</v>
      </c>
      <c r="H2161">
        <v>3.2099999999999997E-2</v>
      </c>
      <c r="I2161">
        <v>608.22230000000002</v>
      </c>
    </row>
    <row r="2162" spans="1:9" x14ac:dyDescent="0.3">
      <c r="A2162" t="s">
        <v>9</v>
      </c>
      <c r="B2162" t="s">
        <v>2170</v>
      </c>
      <c r="C2162">
        <v>7</v>
      </c>
      <c r="D2162">
        <v>3.49E-2</v>
      </c>
      <c r="E2162">
        <v>7.9908478488256263</v>
      </c>
      <c r="F2162">
        <v>792.7470195105484</v>
      </c>
      <c r="G2162">
        <v>0.42399999999999999</v>
      </c>
      <c r="H2162">
        <v>3.1E-2</v>
      </c>
      <c r="I2162">
        <v>608.4203</v>
      </c>
    </row>
    <row r="2163" spans="1:9" x14ac:dyDescent="0.3">
      <c r="A2163" t="s">
        <v>9</v>
      </c>
      <c r="B2163" t="s">
        <v>2171</v>
      </c>
      <c r="C2163">
        <v>7</v>
      </c>
      <c r="D2163">
        <v>3.3500000000000002E-2</v>
      </c>
      <c r="E2163">
        <v>7.9155438211425171</v>
      </c>
      <c r="F2163">
        <v>785.72868413048263</v>
      </c>
      <c r="G2163">
        <v>0.42399999999999999</v>
      </c>
      <c r="H2163">
        <v>2.98E-2</v>
      </c>
      <c r="I2163">
        <v>608.61879999999996</v>
      </c>
    </row>
    <row r="2164" spans="1:9" x14ac:dyDescent="0.3">
      <c r="A2164" t="s">
        <v>9</v>
      </c>
      <c r="B2164" t="s">
        <v>2172</v>
      </c>
      <c r="C2164">
        <v>7</v>
      </c>
      <c r="D2164">
        <v>3.2300000000000002E-2</v>
      </c>
      <c r="E2164">
        <v>7.8366481335562401</v>
      </c>
      <c r="F2164">
        <v>778.37560604744158</v>
      </c>
      <c r="G2164">
        <v>0.42399999999999999</v>
      </c>
      <c r="H2164">
        <v>2.86E-2</v>
      </c>
      <c r="I2164">
        <v>608.82069999999999</v>
      </c>
    </row>
    <row r="2165" spans="1:9" x14ac:dyDescent="0.3">
      <c r="A2165" t="s">
        <v>9</v>
      </c>
      <c r="B2165" t="s">
        <v>2173</v>
      </c>
      <c r="C2165">
        <v>7</v>
      </c>
      <c r="D2165">
        <v>3.0599999999999999E-2</v>
      </c>
      <c r="E2165">
        <v>7.7563337038158418</v>
      </c>
      <c r="F2165">
        <v>770.89030119563643</v>
      </c>
      <c r="G2165">
        <v>0.42399999999999999</v>
      </c>
      <c r="H2165">
        <v>2.7400000000000001E-2</v>
      </c>
      <c r="I2165">
        <v>609.0213</v>
      </c>
    </row>
    <row r="2166" spans="1:9" x14ac:dyDescent="0.3">
      <c r="A2166" t="s">
        <v>9</v>
      </c>
      <c r="B2166" t="s">
        <v>2174</v>
      </c>
      <c r="C2166">
        <v>7</v>
      </c>
      <c r="D2166">
        <v>2.9600000000000001E-2</v>
      </c>
      <c r="E2166">
        <v>7.6750757436402797</v>
      </c>
      <c r="F2166">
        <v>763.31705930727412</v>
      </c>
      <c r="G2166">
        <v>0.42399999999999999</v>
      </c>
      <c r="H2166">
        <v>2.6100000000000002E-2</v>
      </c>
      <c r="I2166">
        <v>609.22029999999995</v>
      </c>
    </row>
    <row r="2167" spans="1:9" x14ac:dyDescent="0.3">
      <c r="A2167" t="s">
        <v>9</v>
      </c>
      <c r="B2167" t="s">
        <v>2175</v>
      </c>
      <c r="C2167">
        <v>7</v>
      </c>
      <c r="D2167">
        <v>2.86E-2</v>
      </c>
      <c r="E2167">
        <v>7.5918885536363954</v>
      </c>
      <c r="F2167">
        <v>755.56401319891211</v>
      </c>
      <c r="G2167">
        <v>0.42399999999999999</v>
      </c>
      <c r="H2167">
        <v>2.4799999999999999E-2</v>
      </c>
      <c r="I2167">
        <v>609.42079999999999</v>
      </c>
    </row>
    <row r="2168" spans="1:9" x14ac:dyDescent="0.3">
      <c r="A2168" t="s">
        <v>9</v>
      </c>
      <c r="B2168" t="s">
        <v>2176</v>
      </c>
      <c r="C2168">
        <v>7</v>
      </c>
      <c r="D2168">
        <v>2.6800000000000001E-2</v>
      </c>
      <c r="E2168">
        <v>7.5083457657847932</v>
      </c>
      <c r="F2168">
        <v>747.77782537114274</v>
      </c>
      <c r="G2168">
        <v>0.42399999999999999</v>
      </c>
      <c r="H2168">
        <v>2.35E-2</v>
      </c>
      <c r="I2168">
        <v>609.61980000000005</v>
      </c>
    </row>
    <row r="2169" spans="1:9" x14ac:dyDescent="0.3">
      <c r="A2169" t="s">
        <v>9</v>
      </c>
      <c r="B2169" t="s">
        <v>2177</v>
      </c>
      <c r="C2169">
        <v>7</v>
      </c>
      <c r="D2169">
        <v>2.5100000000000001E-2</v>
      </c>
      <c r="E2169">
        <v>7.4239879817257641</v>
      </c>
      <c r="F2169">
        <v>739.9156798968412</v>
      </c>
      <c r="G2169">
        <v>0.42399999999999999</v>
      </c>
      <c r="H2169">
        <v>2.2200000000000001E-2</v>
      </c>
      <c r="I2169">
        <v>609.8193</v>
      </c>
    </row>
    <row r="2170" spans="1:9" x14ac:dyDescent="0.3">
      <c r="A2170" t="s">
        <v>9</v>
      </c>
      <c r="B2170" t="s">
        <v>2178</v>
      </c>
      <c r="C2170">
        <v>7</v>
      </c>
      <c r="D2170">
        <v>2.3400000000000001E-2</v>
      </c>
      <c r="E2170">
        <v>7.3377828729299051</v>
      </c>
      <c r="F2170">
        <v>731.88136375706722</v>
      </c>
      <c r="G2170">
        <v>0.42399999999999999</v>
      </c>
      <c r="H2170">
        <v>2.0899999999999998E-2</v>
      </c>
      <c r="I2170">
        <v>610.02239999999995</v>
      </c>
    </row>
    <row r="2171" spans="1:9" x14ac:dyDescent="0.3">
      <c r="A2171" t="s">
        <v>9</v>
      </c>
      <c r="B2171" t="s">
        <v>2179</v>
      </c>
      <c r="C2171">
        <v>7</v>
      </c>
      <c r="D2171">
        <v>2.23E-2</v>
      </c>
      <c r="E2171">
        <v>7.2542700899138008</v>
      </c>
      <c r="F2171">
        <v>724.09797237996622</v>
      </c>
      <c r="G2171">
        <v>0.42399999999999999</v>
      </c>
      <c r="H2171">
        <v>1.9599999999999999E-2</v>
      </c>
      <c r="I2171">
        <v>610.2192</v>
      </c>
    </row>
    <row r="2172" spans="1:9" x14ac:dyDescent="0.3">
      <c r="A2172" t="s">
        <v>9</v>
      </c>
      <c r="B2172" t="s">
        <v>2180</v>
      </c>
      <c r="C2172">
        <v>7</v>
      </c>
      <c r="D2172">
        <v>2.06E-2</v>
      </c>
      <c r="E2172">
        <v>7.1695388672940572</v>
      </c>
      <c r="F2172">
        <v>716.20102243180611</v>
      </c>
      <c r="G2172">
        <v>0.42399999999999999</v>
      </c>
      <c r="H2172">
        <v>1.8200000000000001E-2</v>
      </c>
      <c r="I2172">
        <v>610.41989999999998</v>
      </c>
    </row>
    <row r="2173" spans="1:9" x14ac:dyDescent="0.3">
      <c r="A2173" t="s">
        <v>9</v>
      </c>
      <c r="B2173" t="s">
        <v>2181</v>
      </c>
      <c r="C2173">
        <v>7</v>
      </c>
      <c r="D2173">
        <v>1.9400000000000001E-2</v>
      </c>
      <c r="E2173">
        <v>7.0853712490167604</v>
      </c>
      <c r="F2173">
        <v>708.35660040836206</v>
      </c>
      <c r="G2173">
        <v>0.42399999999999999</v>
      </c>
      <c r="H2173">
        <v>1.6899999999999998E-2</v>
      </c>
      <c r="I2173">
        <v>610.62080000000003</v>
      </c>
    </row>
    <row r="2174" spans="1:9" x14ac:dyDescent="0.3">
      <c r="A2174" t="s">
        <v>9</v>
      </c>
      <c r="B2174" t="s">
        <v>2182</v>
      </c>
      <c r="C2174">
        <v>7</v>
      </c>
      <c r="D2174">
        <v>1.7600000000000001E-2</v>
      </c>
      <c r="E2174">
        <v>7.0030254108190482</v>
      </c>
      <c r="F2174">
        <v>700.68196828833527</v>
      </c>
      <c r="G2174">
        <v>0.42399999999999999</v>
      </c>
      <c r="H2174">
        <v>1.5699999999999999E-2</v>
      </c>
      <c r="I2174">
        <v>610.81979999999999</v>
      </c>
    </row>
    <row r="2175" spans="1:9" x14ac:dyDescent="0.3">
      <c r="A2175" t="s">
        <v>9</v>
      </c>
      <c r="B2175" t="s">
        <v>2183</v>
      </c>
      <c r="C2175">
        <v>7</v>
      </c>
      <c r="D2175">
        <v>1.6E-2</v>
      </c>
      <c r="E2175">
        <v>6.9210854488420477</v>
      </c>
      <c r="F2175">
        <v>693.04516383207886</v>
      </c>
      <c r="G2175">
        <v>0.42399999999999999</v>
      </c>
      <c r="H2175">
        <v>1.44E-2</v>
      </c>
      <c r="I2175">
        <v>611.02120000000002</v>
      </c>
    </row>
    <row r="2176" spans="1:9" x14ac:dyDescent="0.3">
      <c r="A2176" t="s">
        <v>9</v>
      </c>
      <c r="B2176" t="s">
        <v>2184</v>
      </c>
      <c r="C2176">
        <v>7</v>
      </c>
      <c r="D2176">
        <v>1.4500000000000001E-2</v>
      </c>
      <c r="E2176">
        <v>6.841462752201088</v>
      </c>
      <c r="F2176">
        <v>685.62432850514142</v>
      </c>
      <c r="G2176">
        <v>0.42399999999999999</v>
      </c>
      <c r="H2176">
        <v>1.3100000000000001E-2</v>
      </c>
      <c r="I2176">
        <v>611.221</v>
      </c>
    </row>
    <row r="2177" spans="1:9" x14ac:dyDescent="0.3">
      <c r="A2177" t="s">
        <v>9</v>
      </c>
      <c r="B2177" t="s">
        <v>2185</v>
      </c>
      <c r="C2177">
        <v>7</v>
      </c>
      <c r="D2177">
        <v>1.2800000000000001E-2</v>
      </c>
      <c r="E2177">
        <v>6.7645583314678754</v>
      </c>
      <c r="F2177">
        <v>678.45683649280602</v>
      </c>
      <c r="G2177">
        <v>0.42399999999999999</v>
      </c>
      <c r="H2177">
        <v>1.1900000000000001E-2</v>
      </c>
      <c r="I2177">
        <v>611.41890000000001</v>
      </c>
    </row>
    <row r="2178" spans="1:9" x14ac:dyDescent="0.3">
      <c r="A2178" t="s">
        <v>9</v>
      </c>
      <c r="B2178" t="s">
        <v>2186</v>
      </c>
      <c r="C2178">
        <v>7</v>
      </c>
      <c r="D2178">
        <v>1.14E-2</v>
      </c>
      <c r="E2178">
        <v>6.6886992143280697</v>
      </c>
      <c r="F2178">
        <v>671.38676677537615</v>
      </c>
      <c r="G2178">
        <v>0.42399999999999999</v>
      </c>
      <c r="H2178">
        <v>1.0800000000000001E-2</v>
      </c>
      <c r="I2178">
        <v>611.62009999999998</v>
      </c>
    </row>
    <row r="2179" spans="1:9" x14ac:dyDescent="0.3">
      <c r="A2179" t="s">
        <v>9</v>
      </c>
      <c r="B2179" t="s">
        <v>2187</v>
      </c>
      <c r="C2179">
        <v>7</v>
      </c>
      <c r="D2179">
        <v>9.9000000000000008E-3</v>
      </c>
      <c r="E2179">
        <v>6.6153313094760371</v>
      </c>
      <c r="F2179">
        <v>664.54887804316672</v>
      </c>
      <c r="G2179">
        <v>0.42399999999999999</v>
      </c>
      <c r="H2179">
        <v>9.5999999999999992E-3</v>
      </c>
      <c r="I2179">
        <v>611.82169999999996</v>
      </c>
    </row>
    <row r="2180" spans="1:9" x14ac:dyDescent="0.3">
      <c r="A2180" t="s">
        <v>9</v>
      </c>
      <c r="B2180" t="s">
        <v>2188</v>
      </c>
      <c r="C2180">
        <v>7</v>
      </c>
      <c r="D2180">
        <v>8.9999999999999993E-3</v>
      </c>
      <c r="E2180">
        <v>5.9957334838115024</v>
      </c>
      <c r="F2180">
        <v>606.80236069123202</v>
      </c>
      <c r="G2180">
        <v>0.42399999999999999</v>
      </c>
      <c r="H2180">
        <v>0</v>
      </c>
      <c r="I2180">
        <v>612.0204</v>
      </c>
    </row>
    <row r="2181" spans="1:9" x14ac:dyDescent="0.3">
      <c r="A2181" t="s">
        <v>9</v>
      </c>
      <c r="B2181" t="s">
        <v>2189</v>
      </c>
      <c r="C2181">
        <v>7</v>
      </c>
      <c r="D2181">
        <v>3.3E-3</v>
      </c>
      <c r="E2181">
        <v>5.9957334838115024</v>
      </c>
      <c r="F2181">
        <v>606.80236069123202</v>
      </c>
      <c r="G2181">
        <v>0.42399999999999999</v>
      </c>
      <c r="H2181">
        <v>0</v>
      </c>
      <c r="I2181">
        <v>612.21969999999999</v>
      </c>
    </row>
    <row r="2182" spans="1:9" x14ac:dyDescent="0.3">
      <c r="A2182" t="s">
        <v>9</v>
      </c>
      <c r="B2182" t="s">
        <v>2190</v>
      </c>
      <c r="C2182">
        <v>7</v>
      </c>
      <c r="D2182">
        <v>1E-3</v>
      </c>
      <c r="E2182">
        <v>5.9957334838115024</v>
      </c>
      <c r="F2182">
        <v>606.80236069123202</v>
      </c>
      <c r="G2182">
        <v>0.42399999999999999</v>
      </c>
      <c r="H2182">
        <v>0</v>
      </c>
      <c r="I2182">
        <v>612.41959999999995</v>
      </c>
    </row>
    <row r="2183" spans="1:9" x14ac:dyDescent="0.3">
      <c r="A2183" t="s">
        <v>9</v>
      </c>
      <c r="B2183" t="s">
        <v>2191</v>
      </c>
      <c r="C2183">
        <v>7</v>
      </c>
      <c r="D2183">
        <v>0</v>
      </c>
      <c r="E2183">
        <v>5.9957334838115024</v>
      </c>
      <c r="F2183">
        <v>606.80236069123202</v>
      </c>
      <c r="G2183">
        <v>0.42399999999999999</v>
      </c>
      <c r="H2183">
        <v>0</v>
      </c>
      <c r="I2183">
        <v>612.62120000000004</v>
      </c>
    </row>
    <row r="2184" spans="1:9" x14ac:dyDescent="0.3">
      <c r="A2184" t="s">
        <v>9</v>
      </c>
      <c r="B2184" t="s">
        <v>2192</v>
      </c>
      <c r="C2184">
        <v>7</v>
      </c>
      <c r="D2184">
        <v>0</v>
      </c>
      <c r="E2184">
        <v>5.9957334838115024</v>
      </c>
      <c r="F2184">
        <v>606.80236069123202</v>
      </c>
      <c r="G2184">
        <v>0.42399999999999999</v>
      </c>
      <c r="H2184">
        <v>0</v>
      </c>
      <c r="I2184">
        <v>612.82069999999999</v>
      </c>
    </row>
    <row r="2185" spans="1:9" x14ac:dyDescent="0.3">
      <c r="A2185" t="s">
        <v>9</v>
      </c>
      <c r="B2185" t="s">
        <v>2193</v>
      </c>
      <c r="C2185">
        <v>7</v>
      </c>
      <c r="D2185">
        <v>0</v>
      </c>
      <c r="E2185">
        <v>5.9957334838115024</v>
      </c>
      <c r="F2185">
        <v>606.80236069123202</v>
      </c>
      <c r="G2185">
        <v>0.42399999999999999</v>
      </c>
      <c r="H2185">
        <v>0</v>
      </c>
      <c r="I2185">
        <v>613.0204</v>
      </c>
    </row>
    <row r="2186" spans="1:9" x14ac:dyDescent="0.3">
      <c r="A2186" t="s">
        <v>9</v>
      </c>
      <c r="B2186" t="s">
        <v>2194</v>
      </c>
      <c r="C2186">
        <v>7</v>
      </c>
      <c r="D2186">
        <v>0</v>
      </c>
      <c r="E2186">
        <v>5.9957334838115024</v>
      </c>
      <c r="F2186">
        <v>606.80236069123202</v>
      </c>
      <c r="G2186">
        <v>0.42399999999999999</v>
      </c>
      <c r="H2186">
        <v>0</v>
      </c>
      <c r="I2186">
        <v>613.21990000000005</v>
      </c>
    </row>
    <row r="2187" spans="1:9" x14ac:dyDescent="0.3">
      <c r="A2187" t="s">
        <v>9</v>
      </c>
      <c r="B2187" t="s">
        <v>2195</v>
      </c>
      <c r="C2187">
        <v>7</v>
      </c>
      <c r="D2187">
        <v>-1E-4</v>
      </c>
      <c r="E2187">
        <v>5.9957334838115024</v>
      </c>
      <c r="F2187">
        <v>606.80236069123202</v>
      </c>
      <c r="G2187">
        <v>0.42399999999999999</v>
      </c>
      <c r="H2187">
        <v>0</v>
      </c>
      <c r="I2187">
        <v>613.42160000000001</v>
      </c>
    </row>
    <row r="2188" spans="1:9" x14ac:dyDescent="0.3">
      <c r="A2188" t="s">
        <v>9</v>
      </c>
      <c r="B2188" t="s">
        <v>2196</v>
      </c>
      <c r="C2188">
        <v>7</v>
      </c>
      <c r="D2188">
        <v>0</v>
      </c>
      <c r="E2188">
        <v>5.9957334838115024</v>
      </c>
      <c r="F2188">
        <v>606.80236069123202</v>
      </c>
      <c r="G2188">
        <v>0.42399999999999999</v>
      </c>
      <c r="H2188">
        <v>0</v>
      </c>
      <c r="I2188">
        <v>613.62049999999999</v>
      </c>
    </row>
    <row r="2189" spans="1:9" x14ac:dyDescent="0.3">
      <c r="A2189" t="s">
        <v>9</v>
      </c>
      <c r="B2189" t="s">
        <v>2197</v>
      </c>
      <c r="C2189">
        <v>7</v>
      </c>
      <c r="D2189">
        <v>0</v>
      </c>
      <c r="E2189">
        <v>5.9957334838115024</v>
      </c>
      <c r="F2189">
        <v>606.80236069123202</v>
      </c>
      <c r="G2189">
        <v>0.42399999999999999</v>
      </c>
      <c r="H2189">
        <v>0</v>
      </c>
      <c r="I2189">
        <v>613.81979999999999</v>
      </c>
    </row>
    <row r="2190" spans="1:9" x14ac:dyDescent="0.3">
      <c r="A2190" t="s">
        <v>9</v>
      </c>
      <c r="B2190" t="s">
        <v>2198</v>
      </c>
      <c r="C2190">
        <v>7</v>
      </c>
      <c r="D2190">
        <v>0</v>
      </c>
      <c r="E2190">
        <v>5.9957334838115024</v>
      </c>
      <c r="F2190">
        <v>606.80236069123202</v>
      </c>
      <c r="G2190">
        <v>0.42399999999999999</v>
      </c>
      <c r="H2190">
        <v>0</v>
      </c>
      <c r="I2190">
        <v>614.02080000000001</v>
      </c>
    </row>
    <row r="2191" spans="1:9" x14ac:dyDescent="0.3">
      <c r="A2191" t="s">
        <v>9</v>
      </c>
      <c r="B2191" t="s">
        <v>2199</v>
      </c>
      <c r="C2191">
        <v>7</v>
      </c>
      <c r="D2191">
        <v>0</v>
      </c>
      <c r="E2191">
        <v>5.9957334838115024</v>
      </c>
      <c r="F2191">
        <v>606.80236069123202</v>
      </c>
      <c r="G2191">
        <v>0.42399999999999999</v>
      </c>
      <c r="H2191">
        <v>0</v>
      </c>
      <c r="I2191">
        <v>614.21950000000004</v>
      </c>
    </row>
    <row r="2192" spans="1:9" x14ac:dyDescent="0.3">
      <c r="A2192" t="s">
        <v>9</v>
      </c>
      <c r="B2192" t="s">
        <v>2200</v>
      </c>
      <c r="C2192">
        <v>7</v>
      </c>
      <c r="D2192">
        <v>0</v>
      </c>
      <c r="E2192">
        <v>5.9957334838115024</v>
      </c>
      <c r="F2192">
        <v>606.80236069123202</v>
      </c>
      <c r="G2192">
        <v>0.42399999999999999</v>
      </c>
      <c r="H2192">
        <v>0</v>
      </c>
      <c r="I2192">
        <v>614.41920000000005</v>
      </c>
    </row>
    <row r="2193" spans="1:9" x14ac:dyDescent="0.3">
      <c r="A2193" t="s">
        <v>9</v>
      </c>
      <c r="B2193" t="s">
        <v>2201</v>
      </c>
      <c r="C2193">
        <v>7</v>
      </c>
      <c r="D2193">
        <v>-1E-4</v>
      </c>
      <c r="E2193">
        <v>5.9957334838115024</v>
      </c>
      <c r="F2193">
        <v>606.80236069123202</v>
      </c>
      <c r="G2193">
        <v>0.42399999999999999</v>
      </c>
      <c r="H2193">
        <v>0</v>
      </c>
      <c r="I2193">
        <v>614.62070000000006</v>
      </c>
    </row>
    <row r="2194" spans="1:9" x14ac:dyDescent="0.3">
      <c r="A2194" t="s">
        <v>9</v>
      </c>
      <c r="B2194" t="s">
        <v>2202</v>
      </c>
      <c r="C2194">
        <v>7</v>
      </c>
      <c r="D2194">
        <v>-5.9999999999999995E-4</v>
      </c>
      <c r="E2194">
        <v>5.9957334838115024</v>
      </c>
      <c r="F2194">
        <v>606.80236069123202</v>
      </c>
      <c r="G2194">
        <v>0.42399999999999999</v>
      </c>
      <c r="H2194">
        <v>0</v>
      </c>
      <c r="I2194">
        <v>614.82069999999999</v>
      </c>
    </row>
    <row r="2195" spans="1:9" x14ac:dyDescent="0.3">
      <c r="A2195" t="s">
        <v>9</v>
      </c>
      <c r="B2195" t="s">
        <v>2203</v>
      </c>
      <c r="C2195">
        <v>7</v>
      </c>
      <c r="D2195">
        <v>-6.9999999999999999E-4</v>
      </c>
      <c r="E2195">
        <v>5.9957334838115024</v>
      </c>
      <c r="F2195">
        <v>606.80236069123202</v>
      </c>
      <c r="G2195">
        <v>0.42399999999999999</v>
      </c>
      <c r="H2195">
        <v>0</v>
      </c>
      <c r="I2195">
        <v>615.01969999999994</v>
      </c>
    </row>
    <row r="2196" spans="1:9" x14ac:dyDescent="0.3">
      <c r="A2196" t="s">
        <v>9</v>
      </c>
      <c r="B2196" t="s">
        <v>2204</v>
      </c>
      <c r="C2196">
        <v>7</v>
      </c>
      <c r="D2196">
        <v>-6.9999999999999999E-4</v>
      </c>
      <c r="E2196">
        <v>5.9957334838115024</v>
      </c>
      <c r="F2196">
        <v>606.80236069123202</v>
      </c>
      <c r="G2196">
        <v>0.42399999999999999</v>
      </c>
      <c r="H2196">
        <v>0</v>
      </c>
      <c r="I2196">
        <v>615.22029999999995</v>
      </c>
    </row>
    <row r="2197" spans="1:9" x14ac:dyDescent="0.3">
      <c r="A2197" t="s">
        <v>9</v>
      </c>
      <c r="B2197" t="s">
        <v>2205</v>
      </c>
      <c r="C2197">
        <v>7</v>
      </c>
      <c r="D2197">
        <v>-6.9999999999999999E-4</v>
      </c>
      <c r="E2197">
        <v>5.9957334838115024</v>
      </c>
      <c r="F2197">
        <v>606.80236069123202</v>
      </c>
      <c r="G2197">
        <v>0.42399999999999999</v>
      </c>
      <c r="H2197">
        <v>0</v>
      </c>
      <c r="I2197">
        <v>615.48490000000004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L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25" bestFit="1" customWidth="1"/>
    <col min="92" max="92" width="23.21875" bestFit="1" customWidth="1"/>
    <col min="93" max="93" width="12.44140625" bestFit="1" customWidth="1"/>
    <col min="94" max="94" width="18.77734375" customWidth="1"/>
    <col min="95" max="95" width="13.88671875" bestFit="1" customWidth="1"/>
    <col min="96" max="96" width="13.33203125" bestFit="1" customWidth="1"/>
    <col min="97" max="97" width="11" bestFit="1" customWidth="1"/>
    <col min="98" max="98" width="12" bestFit="1" customWidth="1"/>
    <col min="99" max="99" width="10.21875" bestFit="1" customWidth="1"/>
    <col min="100" max="100" width="10.44140625" bestFit="1" customWidth="1"/>
    <col min="101" max="101" width="12" bestFit="1" customWidth="1"/>
    <col min="102" max="102" width="10.21875" bestFit="1" customWidth="1"/>
    <col min="103" max="103" width="10.44140625" bestFit="1" customWidth="1"/>
    <col min="104" max="104" width="12" bestFit="1" customWidth="1"/>
    <col min="105" max="105" width="12" customWidth="1"/>
    <col min="106" max="106" width="10.21875" bestFit="1" customWidth="1"/>
    <col min="107" max="107" width="10.44140625" bestFit="1" customWidth="1"/>
  </cols>
  <sheetData>
    <row r="1" spans="1:90" x14ac:dyDescent="0.3">
      <c r="A1" t="s">
        <v>2206</v>
      </c>
      <c r="B1" t="s">
        <v>2216</v>
      </c>
      <c r="C1" t="s">
        <v>2226</v>
      </c>
      <c r="D1" t="s">
        <v>2236</v>
      </c>
      <c r="E1" t="s">
        <v>2246</v>
      </c>
      <c r="F1" t="s">
        <v>2256</v>
      </c>
      <c r="G1" t="s">
        <v>2266</v>
      </c>
      <c r="H1" t="s">
        <v>2276</v>
      </c>
      <c r="I1" t="s">
        <v>2286</v>
      </c>
      <c r="J1" t="s">
        <v>2207</v>
      </c>
      <c r="K1" t="s">
        <v>2217</v>
      </c>
      <c r="L1" t="s">
        <v>2227</v>
      </c>
      <c r="M1" t="s">
        <v>2237</v>
      </c>
      <c r="N1" t="s">
        <v>2247</v>
      </c>
      <c r="O1" t="s">
        <v>2257</v>
      </c>
      <c r="P1" t="s">
        <v>2267</v>
      </c>
      <c r="Q1" t="s">
        <v>2277</v>
      </c>
      <c r="R1" t="s">
        <v>2287</v>
      </c>
      <c r="S1" t="s">
        <v>2208</v>
      </c>
      <c r="T1" t="s">
        <v>2218</v>
      </c>
      <c r="U1" t="s">
        <v>2228</v>
      </c>
      <c r="V1" t="s">
        <v>2238</v>
      </c>
      <c r="W1" t="s">
        <v>2248</v>
      </c>
      <c r="X1" t="s">
        <v>2258</v>
      </c>
      <c r="Y1" t="s">
        <v>2268</v>
      </c>
      <c r="Z1" t="s">
        <v>2278</v>
      </c>
      <c r="AA1" t="s">
        <v>2288</v>
      </c>
      <c r="AB1" t="s">
        <v>2209</v>
      </c>
      <c r="AC1" t="s">
        <v>2219</v>
      </c>
      <c r="AD1" t="s">
        <v>2229</v>
      </c>
      <c r="AE1" t="s">
        <v>2239</v>
      </c>
      <c r="AF1" t="s">
        <v>2249</v>
      </c>
      <c r="AG1" t="s">
        <v>2259</v>
      </c>
      <c r="AH1" t="s">
        <v>2269</v>
      </c>
      <c r="AI1" t="s">
        <v>2279</v>
      </c>
      <c r="AJ1" t="s">
        <v>2289</v>
      </c>
      <c r="AK1" t="s">
        <v>2210</v>
      </c>
      <c r="AL1" t="s">
        <v>2220</v>
      </c>
      <c r="AM1" t="s">
        <v>2230</v>
      </c>
      <c r="AN1" t="s">
        <v>2240</v>
      </c>
      <c r="AO1" t="s">
        <v>2250</v>
      </c>
      <c r="AP1" t="s">
        <v>2260</v>
      </c>
      <c r="AQ1" t="s">
        <v>2270</v>
      </c>
      <c r="AR1" t="s">
        <v>2280</v>
      </c>
      <c r="AS1" t="s">
        <v>2290</v>
      </c>
      <c r="AT1" t="s">
        <v>2211</v>
      </c>
      <c r="AU1" t="s">
        <v>2221</v>
      </c>
      <c r="AV1" t="s">
        <v>2231</v>
      </c>
      <c r="AW1" t="s">
        <v>2241</v>
      </c>
      <c r="AX1" t="s">
        <v>2251</v>
      </c>
      <c r="AY1" t="s">
        <v>2261</v>
      </c>
      <c r="AZ1" t="s">
        <v>2271</v>
      </c>
      <c r="BA1" t="s">
        <v>2281</v>
      </c>
      <c r="BB1" t="s">
        <v>2291</v>
      </c>
      <c r="BC1" t="s">
        <v>2212</v>
      </c>
      <c r="BD1" t="s">
        <v>2222</v>
      </c>
      <c r="BE1" t="s">
        <v>2232</v>
      </c>
      <c r="BF1" t="s">
        <v>2242</v>
      </c>
      <c r="BG1" t="s">
        <v>2252</v>
      </c>
      <c r="BH1" t="s">
        <v>2262</v>
      </c>
      <c r="BI1" t="s">
        <v>2272</v>
      </c>
      <c r="BJ1" t="s">
        <v>2282</v>
      </c>
      <c r="BK1" t="s">
        <v>2292</v>
      </c>
      <c r="BL1" t="s">
        <v>2213</v>
      </c>
      <c r="BM1" t="s">
        <v>2223</v>
      </c>
      <c r="BN1" t="s">
        <v>2233</v>
      </c>
      <c r="BO1" t="s">
        <v>2243</v>
      </c>
      <c r="BP1" t="s">
        <v>2253</v>
      </c>
      <c r="BQ1" t="s">
        <v>2263</v>
      </c>
      <c r="BR1" t="s">
        <v>2273</v>
      </c>
      <c r="BS1" t="s">
        <v>2283</v>
      </c>
      <c r="BT1" t="s">
        <v>2293</v>
      </c>
      <c r="BU1" t="s">
        <v>2214</v>
      </c>
      <c r="BV1" t="s">
        <v>2224</v>
      </c>
      <c r="BW1" t="s">
        <v>2234</v>
      </c>
      <c r="BX1" t="s">
        <v>2244</v>
      </c>
      <c r="BY1" t="s">
        <v>2254</v>
      </c>
      <c r="BZ1" t="s">
        <v>2264</v>
      </c>
      <c r="CA1" t="s">
        <v>2274</v>
      </c>
      <c r="CB1" t="s">
        <v>2284</v>
      </c>
      <c r="CC1" t="s">
        <v>2294</v>
      </c>
      <c r="CD1" t="s">
        <v>2215</v>
      </c>
      <c r="CE1" t="s">
        <v>2225</v>
      </c>
      <c r="CF1" t="s">
        <v>2235</v>
      </c>
      <c r="CG1" t="s">
        <v>2245</v>
      </c>
      <c r="CH1" t="s">
        <v>2255</v>
      </c>
      <c r="CI1" t="s">
        <v>2265</v>
      </c>
      <c r="CJ1" t="s">
        <v>2275</v>
      </c>
      <c r="CK1" t="s">
        <v>2285</v>
      </c>
      <c r="CL1" t="s">
        <v>2295</v>
      </c>
    </row>
    <row r="2" spans="1:90" x14ac:dyDescent="0.3">
      <c r="A2" s="2">
        <v>45681</v>
      </c>
      <c r="B2" t="s">
        <v>214</v>
      </c>
      <c r="C2">
        <v>0</v>
      </c>
      <c r="D2">
        <v>-1.1000000000000001E-3</v>
      </c>
      <c r="E2">
        <v>5.998398965805726</v>
      </c>
      <c r="F2">
        <v>709.24806185496345</v>
      </c>
      <c r="G2">
        <v>0.42399999999999999</v>
      </c>
      <c r="H2">
        <v>0</v>
      </c>
      <c r="I2">
        <v>0</v>
      </c>
      <c r="J2" s="2">
        <v>45681</v>
      </c>
      <c r="K2" t="s">
        <v>414</v>
      </c>
      <c r="L2">
        <v>1</v>
      </c>
      <c r="M2">
        <v>-1.6000000000000001E-3</v>
      </c>
      <c r="N2">
        <v>5.9983606999091696</v>
      </c>
      <c r="O2">
        <v>709.24443042138023</v>
      </c>
      <c r="P2">
        <v>0.42399999999999999</v>
      </c>
      <c r="Q2">
        <v>0</v>
      </c>
      <c r="R2">
        <v>0</v>
      </c>
      <c r="S2" s="2">
        <v>45681</v>
      </c>
      <c r="T2" t="s">
        <v>810</v>
      </c>
      <c r="U2">
        <v>2</v>
      </c>
      <c r="V2">
        <v>-1.8E-3</v>
      </c>
      <c r="W2">
        <v>5.9985299559697971</v>
      </c>
      <c r="X2">
        <v>709.26049282153383</v>
      </c>
      <c r="Y2">
        <v>0.42399999999999999</v>
      </c>
      <c r="Z2">
        <v>0</v>
      </c>
      <c r="AA2">
        <v>0</v>
      </c>
      <c r="AB2" s="2">
        <v>45681</v>
      </c>
      <c r="AC2" t="s">
        <v>1010</v>
      </c>
      <c r="AD2">
        <v>3</v>
      </c>
      <c r="AE2">
        <v>-2.0999999999999999E-3</v>
      </c>
      <c r="AF2">
        <v>5.9985637105987886</v>
      </c>
      <c r="AG2">
        <v>709.26369613582517</v>
      </c>
      <c r="AH2">
        <v>0.42399999999999999</v>
      </c>
      <c r="AI2">
        <v>0</v>
      </c>
      <c r="AJ2">
        <v>0</v>
      </c>
      <c r="AK2" s="2">
        <v>45681</v>
      </c>
      <c r="AL2" t="s">
        <v>1310</v>
      </c>
      <c r="AM2">
        <v>4</v>
      </c>
      <c r="AN2">
        <v>-2.5000000000000001E-3</v>
      </c>
      <c r="AO2">
        <v>5.9986829392728156</v>
      </c>
      <c r="AP2">
        <v>709.27501093699027</v>
      </c>
      <c r="AQ2">
        <v>0.42399999999999999</v>
      </c>
      <c r="AR2">
        <v>0</v>
      </c>
      <c r="AS2">
        <v>0</v>
      </c>
      <c r="AT2" s="2">
        <v>45681</v>
      </c>
      <c r="AU2" t="s">
        <v>1510</v>
      </c>
      <c r="AV2">
        <v>5</v>
      </c>
      <c r="AW2">
        <v>-2.3999999999999998E-3</v>
      </c>
      <c r="AX2">
        <v>5.9987079933104566</v>
      </c>
      <c r="AY2">
        <v>709.27738856516237</v>
      </c>
      <c r="AZ2">
        <v>0.42399999999999999</v>
      </c>
      <c r="BA2">
        <v>0</v>
      </c>
      <c r="BB2">
        <v>0</v>
      </c>
      <c r="BC2" s="2">
        <v>45681</v>
      </c>
      <c r="BD2" t="s">
        <v>1708</v>
      </c>
      <c r="BE2">
        <v>5</v>
      </c>
      <c r="BF2">
        <v>-1.6000000000000001E-3</v>
      </c>
      <c r="BG2">
        <v>5.9987675269587903</v>
      </c>
      <c r="BH2">
        <v>709.28303830838922</v>
      </c>
      <c r="BI2">
        <v>0.42399999999999999</v>
      </c>
      <c r="BJ2">
        <v>0</v>
      </c>
      <c r="BK2">
        <v>0</v>
      </c>
      <c r="BL2" s="2">
        <v>45681</v>
      </c>
      <c r="BM2" t="s">
        <v>1908</v>
      </c>
      <c r="BN2">
        <v>6</v>
      </c>
      <c r="BO2">
        <v>-2E-3</v>
      </c>
      <c r="BP2">
        <v>5.9988710464795512</v>
      </c>
      <c r="BQ2">
        <v>709.29286231090941</v>
      </c>
      <c r="BR2">
        <v>0.42399999999999999</v>
      </c>
      <c r="BS2">
        <v>0</v>
      </c>
      <c r="BT2">
        <v>0</v>
      </c>
      <c r="BU2" s="2">
        <v>45681</v>
      </c>
      <c r="BV2" t="s">
        <v>1990</v>
      </c>
      <c r="BW2">
        <v>6</v>
      </c>
      <c r="BX2">
        <v>-1.5E-3</v>
      </c>
      <c r="BY2">
        <v>5.9957334838115024</v>
      </c>
      <c r="BZ2">
        <v>606.80236069123202</v>
      </c>
      <c r="CA2">
        <v>0.42399999999999999</v>
      </c>
      <c r="CB2">
        <v>0</v>
      </c>
      <c r="CC2">
        <v>0</v>
      </c>
      <c r="CD2" s="2">
        <v>45681</v>
      </c>
      <c r="CE2" t="s">
        <v>2104</v>
      </c>
      <c r="CF2">
        <v>7</v>
      </c>
      <c r="CG2">
        <v>-5.9999999999999995E-4</v>
      </c>
      <c r="CH2">
        <v>5.998928002144857</v>
      </c>
      <c r="CI2">
        <v>709.29826740354702</v>
      </c>
      <c r="CJ2">
        <v>0.42399999999999999</v>
      </c>
      <c r="CK2">
        <v>0</v>
      </c>
      <c r="CL2">
        <v>0</v>
      </c>
    </row>
    <row r="3" spans="1:90" x14ac:dyDescent="0.3">
      <c r="A3" s="2">
        <v>45681</v>
      </c>
      <c r="B3" t="s">
        <v>215</v>
      </c>
      <c r="C3">
        <v>0</v>
      </c>
      <c r="D3">
        <v>-8.0000000000000004E-4</v>
      </c>
      <c r="E3">
        <v>6.0063459508444312</v>
      </c>
      <c r="F3">
        <v>710.00223073513655</v>
      </c>
      <c r="G3">
        <v>0.42399999999999999</v>
      </c>
      <c r="H3">
        <v>2.0000000000000001E-4</v>
      </c>
      <c r="I3">
        <v>0.1991999999999905</v>
      </c>
      <c r="J3" s="2">
        <v>45681</v>
      </c>
      <c r="K3" t="s">
        <v>415</v>
      </c>
      <c r="L3">
        <v>1</v>
      </c>
      <c r="M3">
        <v>-1E-3</v>
      </c>
      <c r="N3">
        <v>6.0063764827919046</v>
      </c>
      <c r="O3">
        <v>710.00512821695179</v>
      </c>
      <c r="P3">
        <v>0.42399999999999999</v>
      </c>
      <c r="Q3">
        <v>2.0000000000000001E-4</v>
      </c>
      <c r="R3">
        <v>0.20120000000000005</v>
      </c>
      <c r="S3" s="2">
        <v>45681</v>
      </c>
      <c r="T3" t="s">
        <v>811</v>
      </c>
      <c r="U3">
        <v>2</v>
      </c>
      <c r="V3">
        <v>-1.2999999999999999E-3</v>
      </c>
      <c r="W3">
        <v>6.0065181867095996</v>
      </c>
      <c r="X3">
        <v>710.01857591874113</v>
      </c>
      <c r="Y3">
        <v>0.42399999999999999</v>
      </c>
      <c r="Z3">
        <v>2.0000000000000001E-4</v>
      </c>
      <c r="AA3">
        <v>0.19760000000002265</v>
      </c>
      <c r="AB3" s="2">
        <v>45681</v>
      </c>
      <c r="AC3" t="s">
        <v>1011</v>
      </c>
      <c r="AD3">
        <v>3</v>
      </c>
      <c r="AE3">
        <v>-1.5E-3</v>
      </c>
      <c r="AF3">
        <v>6.0067333619271919</v>
      </c>
      <c r="AG3">
        <v>710.03899604689059</v>
      </c>
      <c r="AH3">
        <v>0.42399999999999999</v>
      </c>
      <c r="AI3">
        <v>2.0000000000000001E-4</v>
      </c>
      <c r="AJ3">
        <v>0.20040000000000191</v>
      </c>
      <c r="AK3" s="2">
        <v>45681</v>
      </c>
      <c r="AL3" t="s">
        <v>1311</v>
      </c>
      <c r="AM3">
        <v>4</v>
      </c>
      <c r="AN3">
        <v>-1.6999999999999999E-3</v>
      </c>
      <c r="AO3">
        <v>6.0069006834868706</v>
      </c>
      <c r="AP3">
        <v>710.05487486290406</v>
      </c>
      <c r="AQ3">
        <v>0.42399999999999999</v>
      </c>
      <c r="AR3">
        <v>2.0000000000000001E-4</v>
      </c>
      <c r="AS3">
        <v>0.19919999999996207</v>
      </c>
      <c r="AT3" s="2">
        <v>45681</v>
      </c>
      <c r="AU3" t="s">
        <v>1511</v>
      </c>
      <c r="AV3">
        <v>5</v>
      </c>
      <c r="AW3">
        <v>-1.4E-3</v>
      </c>
      <c r="AX3">
        <v>6.0070236181635526</v>
      </c>
      <c r="AY3">
        <v>710.06654136372117</v>
      </c>
      <c r="AZ3">
        <v>0.42399999999999999</v>
      </c>
      <c r="BA3">
        <v>2.0000000000000001E-4</v>
      </c>
      <c r="BB3">
        <v>0.20049999999997681</v>
      </c>
      <c r="BC3" s="2">
        <v>45681</v>
      </c>
      <c r="BD3" t="s">
        <v>1709</v>
      </c>
      <c r="BE3">
        <v>5</v>
      </c>
      <c r="BF3">
        <v>-1E-3</v>
      </c>
      <c r="BG3">
        <v>6.0070991005983636</v>
      </c>
      <c r="BH3">
        <v>710.07370464678479</v>
      </c>
      <c r="BI3">
        <v>0.42399999999999999</v>
      </c>
      <c r="BJ3">
        <v>2.0000000000000001E-4</v>
      </c>
      <c r="BK3">
        <v>0.19979999999998199</v>
      </c>
      <c r="BL3" s="2">
        <v>45681</v>
      </c>
      <c r="BM3" t="s">
        <v>1909</v>
      </c>
      <c r="BN3">
        <v>6</v>
      </c>
      <c r="BO3">
        <v>-1.6999999999999999E-3</v>
      </c>
      <c r="BP3">
        <v>6.00726070502047</v>
      </c>
      <c r="BQ3">
        <v>710.08904090644262</v>
      </c>
      <c r="BR3">
        <v>0.42399999999999999</v>
      </c>
      <c r="BS3">
        <v>2.0000000000000001E-4</v>
      </c>
      <c r="BT3">
        <v>0.19910000000004402</v>
      </c>
      <c r="BU3" s="2">
        <v>45681</v>
      </c>
      <c r="BV3" t="s">
        <v>1991</v>
      </c>
      <c r="BW3">
        <v>6</v>
      </c>
      <c r="BX3">
        <v>-2.0999999999999999E-3</v>
      </c>
      <c r="BY3">
        <v>6.3568356375067738</v>
      </c>
      <c r="BZ3">
        <v>743.26370199939288</v>
      </c>
      <c r="CA3">
        <v>0.42399999999999999</v>
      </c>
      <c r="CB3">
        <v>5.5999999999999999E-3</v>
      </c>
      <c r="CC3">
        <v>0.60090000000002419</v>
      </c>
      <c r="CD3" s="2">
        <v>45681</v>
      </c>
      <c r="CE3" t="s">
        <v>2105</v>
      </c>
      <c r="CF3">
        <v>7</v>
      </c>
      <c r="CG3">
        <v>-2.9999999999999997E-4</v>
      </c>
      <c r="CH3">
        <v>6.0074885268707527</v>
      </c>
      <c r="CI3">
        <v>710.11066120003443</v>
      </c>
      <c r="CJ3">
        <v>0.42399999999999999</v>
      </c>
      <c r="CK3">
        <v>2.0000000000000001E-4</v>
      </c>
      <c r="CL3">
        <v>0.20120000000008531</v>
      </c>
    </row>
    <row r="4" spans="1:90" x14ac:dyDescent="0.3">
      <c r="A4" s="2">
        <v>45681</v>
      </c>
      <c r="B4" t="s">
        <v>216</v>
      </c>
      <c r="C4">
        <v>0</v>
      </c>
      <c r="D4">
        <v>-5.0000000000000001E-4</v>
      </c>
      <c r="E4">
        <v>6.0196534603111376</v>
      </c>
      <c r="F4">
        <v>711.26511338352702</v>
      </c>
      <c r="G4">
        <v>0.42399999999999999</v>
      </c>
      <c r="H4">
        <v>4.0000000000000002E-4</v>
      </c>
      <c r="I4">
        <v>0.39979999999999905</v>
      </c>
      <c r="J4" s="2">
        <v>45681</v>
      </c>
      <c r="K4" t="s">
        <v>416</v>
      </c>
      <c r="L4">
        <v>1</v>
      </c>
      <c r="M4">
        <v>-5.0000000000000001E-4</v>
      </c>
      <c r="N4">
        <v>6.0195890958842888</v>
      </c>
      <c r="O4">
        <v>711.25900519941899</v>
      </c>
      <c r="P4">
        <v>0.42399999999999999</v>
      </c>
      <c r="Q4">
        <v>4.0000000000000002E-4</v>
      </c>
      <c r="R4">
        <v>0.40039999999999054</v>
      </c>
      <c r="S4" s="2">
        <v>45681</v>
      </c>
      <c r="T4" t="s">
        <v>812</v>
      </c>
      <c r="U4">
        <v>2</v>
      </c>
      <c r="V4">
        <v>-5.9999999999999995E-4</v>
      </c>
      <c r="W4">
        <v>6.0198741134385596</v>
      </c>
      <c r="X4">
        <v>711.28605336531939</v>
      </c>
      <c r="Y4">
        <v>0.42399999999999999</v>
      </c>
      <c r="Z4">
        <v>4.0000000000000002E-4</v>
      </c>
      <c r="AA4">
        <v>0.39770000000004302</v>
      </c>
      <c r="AB4" s="2">
        <v>45681</v>
      </c>
      <c r="AC4" t="s">
        <v>1012</v>
      </c>
      <c r="AD4">
        <v>3</v>
      </c>
      <c r="AE4">
        <v>-6.9999999999999999E-4</v>
      </c>
      <c r="AF4">
        <v>6.0202102892373546</v>
      </c>
      <c r="AG4">
        <v>711.31795644862507</v>
      </c>
      <c r="AH4">
        <v>0.42399999999999999</v>
      </c>
      <c r="AI4">
        <v>4.0000000000000002E-4</v>
      </c>
      <c r="AJ4">
        <v>0.40069999999997208</v>
      </c>
      <c r="AK4" s="2">
        <v>45681</v>
      </c>
      <c r="AL4" t="s">
        <v>1312</v>
      </c>
      <c r="AM4">
        <v>4</v>
      </c>
      <c r="AN4">
        <v>-5.0000000000000001E-4</v>
      </c>
      <c r="AO4">
        <v>6.0204767037936184</v>
      </c>
      <c r="AP4">
        <v>711.3432391900144</v>
      </c>
      <c r="AQ4">
        <v>0.42399999999999999</v>
      </c>
      <c r="AR4">
        <v>4.0000000000000002E-4</v>
      </c>
      <c r="AS4">
        <v>0.39969999999999573</v>
      </c>
      <c r="AT4" s="2">
        <v>45681</v>
      </c>
      <c r="AU4" t="s">
        <v>1512</v>
      </c>
      <c r="AV4">
        <v>5</v>
      </c>
      <c r="AW4">
        <v>-5.9999999999999995E-4</v>
      </c>
      <c r="AX4">
        <v>6.0206039080772964</v>
      </c>
      <c r="AY4">
        <v>711.35531087653544</v>
      </c>
      <c r="AZ4">
        <v>0.42399999999999999</v>
      </c>
      <c r="BA4">
        <v>4.0000000000000002E-4</v>
      </c>
      <c r="BB4">
        <v>0.4002999999999588</v>
      </c>
      <c r="BC4" s="2">
        <v>45681</v>
      </c>
      <c r="BD4" t="s">
        <v>1710</v>
      </c>
      <c r="BE4">
        <v>5</v>
      </c>
      <c r="BF4">
        <v>-5.0000000000000001E-4</v>
      </c>
      <c r="BG4">
        <v>6.0207748545454809</v>
      </c>
      <c r="BH4">
        <v>711.37153369636621</v>
      </c>
      <c r="BI4">
        <v>0.42399999999999999</v>
      </c>
      <c r="BJ4">
        <v>4.0000000000000002E-4</v>
      </c>
      <c r="BK4">
        <v>0.40030000000001564</v>
      </c>
      <c r="BL4" s="2">
        <v>45681</v>
      </c>
      <c r="BM4" t="s">
        <v>1910</v>
      </c>
      <c r="BN4">
        <v>6</v>
      </c>
      <c r="BO4">
        <v>-8.9999999999999998E-4</v>
      </c>
      <c r="BP4">
        <v>6.021073406713386</v>
      </c>
      <c r="BQ4">
        <v>711.3998662971004</v>
      </c>
      <c r="BR4">
        <v>0.42399999999999999</v>
      </c>
      <c r="BS4">
        <v>4.0000000000000002E-4</v>
      </c>
      <c r="BT4">
        <v>0.40039999999999054</v>
      </c>
      <c r="BU4" s="2">
        <v>45681</v>
      </c>
      <c r="BV4" t="s">
        <v>1992</v>
      </c>
      <c r="BW4">
        <v>6</v>
      </c>
      <c r="BX4">
        <v>1E-3</v>
      </c>
      <c r="BY4">
        <v>6.3011212803549226</v>
      </c>
      <c r="BZ4">
        <v>635.26450332907893</v>
      </c>
      <c r="CA4">
        <v>0.42399999999999999</v>
      </c>
      <c r="CB4">
        <v>4.7000000000000002E-3</v>
      </c>
      <c r="CC4">
        <v>0.8005999999999176</v>
      </c>
      <c r="CD4" s="2">
        <v>45681</v>
      </c>
      <c r="CE4" t="s">
        <v>2106</v>
      </c>
      <c r="CF4">
        <v>7</v>
      </c>
      <c r="CG4">
        <v>-1E-4</v>
      </c>
      <c r="CH4">
        <v>6.0213497309747783</v>
      </c>
      <c r="CI4">
        <v>711.42608946950645</v>
      </c>
      <c r="CJ4">
        <v>0.42399999999999999</v>
      </c>
      <c r="CK4">
        <v>4.0000000000000002E-4</v>
      </c>
      <c r="CL4">
        <v>0.40180000000009386</v>
      </c>
    </row>
    <row r="5" spans="1:90" x14ac:dyDescent="0.3">
      <c r="A5" s="2">
        <v>45681</v>
      </c>
      <c r="B5" t="s">
        <v>217</v>
      </c>
      <c r="C5">
        <v>0</v>
      </c>
      <c r="D5">
        <v>-1E-4</v>
      </c>
      <c r="E5">
        <v>6.0382138027965393</v>
      </c>
      <c r="F5">
        <v>713.02648988539158</v>
      </c>
      <c r="G5">
        <v>0.42399999999999999</v>
      </c>
      <c r="H5">
        <v>6.9999999999999999E-4</v>
      </c>
      <c r="I5">
        <v>0.60029999999997585</v>
      </c>
      <c r="J5" s="2">
        <v>45681</v>
      </c>
      <c r="K5" t="s">
        <v>417</v>
      </c>
      <c r="L5">
        <v>1</v>
      </c>
      <c r="M5">
        <v>-2.0000000000000001E-4</v>
      </c>
      <c r="N5">
        <v>6.0382052473637158</v>
      </c>
      <c r="O5">
        <v>713.02567797481663</v>
      </c>
      <c r="P5">
        <v>0.42399999999999999</v>
      </c>
      <c r="Q5">
        <v>6.9999999999999999E-4</v>
      </c>
      <c r="R5">
        <v>0.60159999999999059</v>
      </c>
      <c r="S5" s="2">
        <v>45681</v>
      </c>
      <c r="T5" t="s">
        <v>813</v>
      </c>
      <c r="U5">
        <v>2</v>
      </c>
      <c r="V5">
        <v>-2.0000000000000001E-4</v>
      </c>
      <c r="W5">
        <v>6.038640601307951</v>
      </c>
      <c r="X5">
        <v>713.06699306412463</v>
      </c>
      <c r="Y5">
        <v>0.42399999999999999</v>
      </c>
      <c r="Z5">
        <v>6.9999999999999999E-4</v>
      </c>
      <c r="AA5">
        <v>0.59940000000000282</v>
      </c>
      <c r="AB5" s="2">
        <v>45681</v>
      </c>
      <c r="AC5" t="s">
        <v>1013</v>
      </c>
      <c r="AD5">
        <v>3</v>
      </c>
      <c r="AE5">
        <v>-4.0000000000000002E-4</v>
      </c>
      <c r="AF5">
        <v>6.0389004675116018</v>
      </c>
      <c r="AG5">
        <v>713.091654366851</v>
      </c>
      <c r="AH5">
        <v>0.42399999999999999</v>
      </c>
      <c r="AI5">
        <v>6.9999999999999999E-4</v>
      </c>
      <c r="AJ5">
        <v>0.60059999999998581</v>
      </c>
      <c r="AK5" s="2">
        <v>45681</v>
      </c>
      <c r="AL5" t="s">
        <v>1313</v>
      </c>
      <c r="AM5">
        <v>4</v>
      </c>
      <c r="AN5">
        <v>-1E-4</v>
      </c>
      <c r="AO5">
        <v>6.0393073168621143</v>
      </c>
      <c r="AP5">
        <v>713.13026437021472</v>
      </c>
      <c r="AQ5">
        <v>0.42399999999999999</v>
      </c>
      <c r="AR5">
        <v>6.9999999999999999E-4</v>
      </c>
      <c r="AS5">
        <v>0.60019999999997253</v>
      </c>
      <c r="AT5" s="2">
        <v>45681</v>
      </c>
      <c r="AU5" t="s">
        <v>1513</v>
      </c>
      <c r="AV5">
        <v>5</v>
      </c>
      <c r="AW5">
        <v>-2.0000000000000001E-4</v>
      </c>
      <c r="AX5">
        <v>6.0403330767653696</v>
      </c>
      <c r="AY5">
        <v>713.22760898503373</v>
      </c>
      <c r="AZ5">
        <v>0.42399999999999999</v>
      </c>
      <c r="BA5">
        <v>6.9999999999999999E-4</v>
      </c>
      <c r="BB5">
        <v>0.60879999999997381</v>
      </c>
      <c r="BC5" s="2">
        <v>45681</v>
      </c>
      <c r="BD5" t="s">
        <v>1711</v>
      </c>
      <c r="BE5">
        <v>5</v>
      </c>
      <c r="BF5">
        <v>-2.0000000000000001E-4</v>
      </c>
      <c r="BG5">
        <v>6.039763917473647</v>
      </c>
      <c r="BH5">
        <v>713.17359576824913</v>
      </c>
      <c r="BI5">
        <v>0.42399999999999999</v>
      </c>
      <c r="BJ5">
        <v>6.9999999999999999E-4</v>
      </c>
      <c r="BK5">
        <v>0.60140000000001237</v>
      </c>
      <c r="BL5" s="2">
        <v>45681</v>
      </c>
      <c r="BM5" t="s">
        <v>1911</v>
      </c>
      <c r="BN5">
        <v>6</v>
      </c>
      <c r="BO5">
        <v>-2.0000000000000001E-4</v>
      </c>
      <c r="BP5">
        <v>6.0399433382805059</v>
      </c>
      <c r="BQ5">
        <v>713.19062280282003</v>
      </c>
      <c r="BR5">
        <v>0.42399999999999999</v>
      </c>
      <c r="BS5">
        <v>6.9999999999999999E-4</v>
      </c>
      <c r="BT5">
        <v>0.59939999999994598</v>
      </c>
      <c r="BU5" s="2">
        <v>45681</v>
      </c>
      <c r="BV5" t="s">
        <v>1993</v>
      </c>
      <c r="BW5">
        <v>6</v>
      </c>
      <c r="BX5">
        <v>1.6000000000000001E-3</v>
      </c>
      <c r="BY5">
        <v>6.2491152370410106</v>
      </c>
      <c r="BZ5">
        <v>630.41754009222223</v>
      </c>
      <c r="CA5">
        <v>0.42399999999999999</v>
      </c>
      <c r="CB5">
        <v>3.8999999999999998E-3</v>
      </c>
      <c r="CC5">
        <v>1.0018999999999778</v>
      </c>
      <c r="CD5" s="2">
        <v>45681</v>
      </c>
      <c r="CE5" t="s">
        <v>2107</v>
      </c>
      <c r="CF5">
        <v>7</v>
      </c>
      <c r="CG5">
        <v>2.0000000000000001E-4</v>
      </c>
      <c r="CH5">
        <v>6.0403961680140652</v>
      </c>
      <c r="CI5">
        <v>713.23359634453482</v>
      </c>
      <c r="CJ5">
        <v>0.42399999999999999</v>
      </c>
      <c r="CK5">
        <v>6.9999999999999999E-4</v>
      </c>
      <c r="CL5">
        <v>0.60170000000005075</v>
      </c>
    </row>
    <row r="6" spans="1:90" x14ac:dyDescent="0.3">
      <c r="A6" s="2">
        <v>45681</v>
      </c>
      <c r="B6" t="s">
        <v>218</v>
      </c>
      <c r="C6">
        <v>0</v>
      </c>
      <c r="D6">
        <v>2.0000000000000001E-4</v>
      </c>
      <c r="E6">
        <v>6.0616599056306946</v>
      </c>
      <c r="F6">
        <v>715.251525044353</v>
      </c>
      <c r="G6">
        <v>0.42399999999999999</v>
      </c>
      <c r="H6">
        <v>1E-3</v>
      </c>
      <c r="I6">
        <v>0.79839999999998668</v>
      </c>
      <c r="J6" s="2">
        <v>45681</v>
      </c>
      <c r="K6" t="s">
        <v>418</v>
      </c>
      <c r="L6">
        <v>1</v>
      </c>
      <c r="M6">
        <v>2.0000000000000001E-4</v>
      </c>
      <c r="N6">
        <v>6.0617607056591343</v>
      </c>
      <c r="O6">
        <v>715.26109096705193</v>
      </c>
      <c r="P6">
        <v>0.42399999999999999</v>
      </c>
      <c r="Q6">
        <v>1E-3</v>
      </c>
      <c r="R6">
        <v>0.80060000000000286</v>
      </c>
      <c r="S6" s="2">
        <v>45681</v>
      </c>
      <c r="T6" t="s">
        <v>814</v>
      </c>
      <c r="U6">
        <v>2</v>
      </c>
      <c r="V6">
        <v>0</v>
      </c>
      <c r="W6">
        <v>6.0624991895360409</v>
      </c>
      <c r="X6">
        <v>715.33117308697035</v>
      </c>
      <c r="Y6">
        <v>0.42399999999999999</v>
      </c>
      <c r="Z6">
        <v>1E-3</v>
      </c>
      <c r="AA6">
        <v>0.79990000000003647</v>
      </c>
      <c r="AB6" s="2">
        <v>45681</v>
      </c>
      <c r="AC6" t="s">
        <v>1014</v>
      </c>
      <c r="AD6">
        <v>3</v>
      </c>
      <c r="AE6">
        <v>0</v>
      </c>
      <c r="AF6">
        <v>6.0625109481877901</v>
      </c>
      <c r="AG6">
        <v>715.33228898302127</v>
      </c>
      <c r="AH6">
        <v>0.42399999999999999</v>
      </c>
      <c r="AI6">
        <v>1E-3</v>
      </c>
      <c r="AJ6">
        <v>0.79879999999997153</v>
      </c>
      <c r="AK6" s="2">
        <v>45681</v>
      </c>
      <c r="AL6" t="s">
        <v>1314</v>
      </c>
      <c r="AM6">
        <v>4</v>
      </c>
      <c r="AN6">
        <v>1E-4</v>
      </c>
      <c r="AO6">
        <v>6.0632846674728702</v>
      </c>
      <c r="AP6">
        <v>715.40571494317544</v>
      </c>
      <c r="AQ6">
        <v>0.42399999999999999</v>
      </c>
      <c r="AR6">
        <v>1E-3</v>
      </c>
      <c r="AS6">
        <v>0.80029999999999291</v>
      </c>
      <c r="AT6" s="2">
        <v>45681</v>
      </c>
      <c r="AU6" t="s">
        <v>1514</v>
      </c>
      <c r="AV6">
        <v>5</v>
      </c>
      <c r="AW6">
        <v>0</v>
      </c>
      <c r="AX6">
        <v>6.0634865513592757</v>
      </c>
      <c r="AY6">
        <v>715.42487372399535</v>
      </c>
      <c r="AZ6">
        <v>0.42399999999999999</v>
      </c>
      <c r="BA6">
        <v>1.1000000000000001E-3</v>
      </c>
      <c r="BB6">
        <v>0.80089999999995598</v>
      </c>
      <c r="BC6" s="2">
        <v>45681</v>
      </c>
      <c r="BD6" t="s">
        <v>1712</v>
      </c>
      <c r="BE6">
        <v>5</v>
      </c>
      <c r="BF6">
        <v>-1E-4</v>
      </c>
      <c r="BG6">
        <v>6.0637145070149048</v>
      </c>
      <c r="BH6">
        <v>715.44650671571446</v>
      </c>
      <c r="BI6">
        <v>0.42399999999999999</v>
      </c>
      <c r="BJ6">
        <v>1.1000000000000001E-3</v>
      </c>
      <c r="BK6">
        <v>0.80060000000003129</v>
      </c>
      <c r="BL6" s="2">
        <v>45681</v>
      </c>
      <c r="BM6" t="s">
        <v>1912</v>
      </c>
      <c r="BN6">
        <v>6</v>
      </c>
      <c r="BO6">
        <v>-2.0000000000000001E-4</v>
      </c>
      <c r="BP6">
        <v>6.0639882808652814</v>
      </c>
      <c r="BQ6">
        <v>715.47248785411512</v>
      </c>
      <c r="BR6">
        <v>0.42399999999999999</v>
      </c>
      <c r="BS6">
        <v>1.1000000000000001E-3</v>
      </c>
      <c r="BT6">
        <v>0.79899999999997817</v>
      </c>
      <c r="BU6" s="2">
        <v>45681</v>
      </c>
      <c r="BV6" t="s">
        <v>1994</v>
      </c>
      <c r="BW6">
        <v>6</v>
      </c>
      <c r="BX6">
        <v>1.1999999999999999E-3</v>
      </c>
      <c r="BY6">
        <v>6.202225504744276</v>
      </c>
      <c r="BZ6">
        <v>626.04741704216656</v>
      </c>
      <c r="CA6">
        <v>0.42399999999999999</v>
      </c>
      <c r="CB6">
        <v>3.2000000000000002E-3</v>
      </c>
      <c r="CC6">
        <v>1.2001000000000204</v>
      </c>
      <c r="CD6" s="2">
        <v>45681</v>
      </c>
      <c r="CE6" t="s">
        <v>2108</v>
      </c>
      <c r="CF6">
        <v>7</v>
      </c>
      <c r="CG6">
        <v>2.9999999999999997E-4</v>
      </c>
      <c r="CH6">
        <v>6.0642624196393298</v>
      </c>
      <c r="CI6">
        <v>715.49850362377242</v>
      </c>
      <c r="CJ6">
        <v>0.42399999999999999</v>
      </c>
      <c r="CK6">
        <v>1.1000000000000001E-3</v>
      </c>
      <c r="CL6">
        <v>0.79900000000009186</v>
      </c>
    </row>
    <row r="7" spans="1:90" x14ac:dyDescent="0.3">
      <c r="A7" s="2">
        <v>45681</v>
      </c>
      <c r="B7" t="s">
        <v>219</v>
      </c>
      <c r="C7">
        <v>0</v>
      </c>
      <c r="D7">
        <v>5.9999999999999995E-4</v>
      </c>
      <c r="E7">
        <v>6.0904752115887808</v>
      </c>
      <c r="F7">
        <v>717.98609757977533</v>
      </c>
      <c r="G7">
        <v>0.42399999999999999</v>
      </c>
      <c r="H7">
        <v>1.5E-3</v>
      </c>
      <c r="I7">
        <v>0.99899999999999523</v>
      </c>
      <c r="J7" s="2">
        <v>45681</v>
      </c>
      <c r="K7" t="s">
        <v>419</v>
      </c>
      <c r="L7">
        <v>1</v>
      </c>
      <c r="M7">
        <v>5.9999999999999995E-4</v>
      </c>
      <c r="N7">
        <v>6.0904473152011827</v>
      </c>
      <c r="O7">
        <v>717.98345021259229</v>
      </c>
      <c r="P7">
        <v>0.42399999999999999</v>
      </c>
      <c r="Q7">
        <v>1.5E-3</v>
      </c>
      <c r="R7">
        <v>1.0001999999999782</v>
      </c>
      <c r="S7" s="2">
        <v>45681</v>
      </c>
      <c r="T7" t="s">
        <v>815</v>
      </c>
      <c r="U7">
        <v>2</v>
      </c>
      <c r="V7">
        <v>6.9999999999999999E-4</v>
      </c>
      <c r="W7">
        <v>6.0913037505192547</v>
      </c>
      <c r="X7">
        <v>718.06472592427735</v>
      </c>
      <c r="Y7">
        <v>0.42399999999999999</v>
      </c>
      <c r="Z7">
        <v>1.5E-3</v>
      </c>
      <c r="AA7">
        <v>0.99940000000003693</v>
      </c>
      <c r="AB7" s="2">
        <v>45681</v>
      </c>
      <c r="AC7" t="s">
        <v>1015</v>
      </c>
      <c r="AD7">
        <v>3</v>
      </c>
      <c r="AE7">
        <v>2.0000000000000001E-4</v>
      </c>
      <c r="AF7">
        <v>6.0913748700887993</v>
      </c>
      <c r="AG7">
        <v>718.0714751714271</v>
      </c>
      <c r="AH7">
        <v>0.42399999999999999</v>
      </c>
      <c r="AI7">
        <v>1.5E-3</v>
      </c>
      <c r="AJ7">
        <v>0.99869999999998527</v>
      </c>
      <c r="AK7" s="2">
        <v>45681</v>
      </c>
      <c r="AL7" t="s">
        <v>1315</v>
      </c>
      <c r="AM7">
        <v>4</v>
      </c>
      <c r="AN7">
        <v>5.9999999999999995E-4</v>
      </c>
      <c r="AO7">
        <v>6.09222254723867</v>
      </c>
      <c r="AP7">
        <v>718.15191973294986</v>
      </c>
      <c r="AQ7">
        <v>0.42399999999999999</v>
      </c>
      <c r="AR7">
        <v>1.5E-3</v>
      </c>
      <c r="AS7">
        <v>0.99969999999996162</v>
      </c>
      <c r="AT7" s="2">
        <v>45681</v>
      </c>
      <c r="AU7" t="s">
        <v>1515</v>
      </c>
      <c r="AV7">
        <v>5</v>
      </c>
      <c r="AW7">
        <v>4.0000000000000002E-4</v>
      </c>
      <c r="AX7">
        <v>6.092646426360683</v>
      </c>
      <c r="AY7">
        <v>718.19214586162889</v>
      </c>
      <c r="AZ7">
        <v>0.42399999999999999</v>
      </c>
      <c r="BA7">
        <v>1.5E-3</v>
      </c>
      <c r="BB7">
        <v>1.0014999999999645</v>
      </c>
      <c r="BC7" s="2">
        <v>45681</v>
      </c>
      <c r="BD7" t="s">
        <v>1713</v>
      </c>
      <c r="BE7">
        <v>5</v>
      </c>
      <c r="BF7">
        <v>5.9999999999999995E-4</v>
      </c>
      <c r="BG7">
        <v>6.0929789934698011</v>
      </c>
      <c r="BH7">
        <v>718.22370648028414</v>
      </c>
      <c r="BI7">
        <v>0.42399999999999999</v>
      </c>
      <c r="BJ7">
        <v>1.5E-3</v>
      </c>
      <c r="BK7">
        <v>1.0014999999999645</v>
      </c>
      <c r="BL7" s="2">
        <v>45681</v>
      </c>
      <c r="BM7" t="s">
        <v>1913</v>
      </c>
      <c r="BN7">
        <v>6</v>
      </c>
      <c r="BO7">
        <v>5.9999999999999995E-4</v>
      </c>
      <c r="BP7">
        <v>6.0932121391510297</v>
      </c>
      <c r="BQ7">
        <v>718.2458320054327</v>
      </c>
      <c r="BR7">
        <v>0.42399999999999999</v>
      </c>
      <c r="BS7">
        <v>1.5E-3</v>
      </c>
      <c r="BT7">
        <v>0.99940000000003693</v>
      </c>
      <c r="BU7" s="2">
        <v>45681</v>
      </c>
      <c r="BV7" t="s">
        <v>1995</v>
      </c>
      <c r="BW7">
        <v>6</v>
      </c>
      <c r="BX7">
        <v>1.1999999999999999E-3</v>
      </c>
      <c r="BY7">
        <v>6.1590641570876006</v>
      </c>
      <c r="BZ7">
        <v>622.02477944056443</v>
      </c>
      <c r="CA7">
        <v>0.42399999999999999</v>
      </c>
      <c r="CB7">
        <v>2.5000000000000001E-3</v>
      </c>
      <c r="CC7">
        <v>1.4017999999999802</v>
      </c>
      <c r="CD7" s="2">
        <v>45681</v>
      </c>
      <c r="CE7" t="s">
        <v>2109</v>
      </c>
      <c r="CF7">
        <v>7</v>
      </c>
      <c r="CG7">
        <v>8.0000000000000004E-4</v>
      </c>
      <c r="CH7">
        <v>6.0939157525434409</v>
      </c>
      <c r="CI7">
        <v>718.31260491637261</v>
      </c>
      <c r="CJ7">
        <v>0.42399999999999999</v>
      </c>
      <c r="CK7">
        <v>1.5E-3</v>
      </c>
      <c r="CL7">
        <v>1.0018000000000029</v>
      </c>
    </row>
    <row r="8" spans="1:90" x14ac:dyDescent="0.3">
      <c r="A8" s="2">
        <v>45681</v>
      </c>
      <c r="B8" t="s">
        <v>220</v>
      </c>
      <c r="C8">
        <v>0</v>
      </c>
      <c r="D8">
        <v>1.1999999999999999E-3</v>
      </c>
      <c r="E8">
        <v>6.1239873690732134</v>
      </c>
      <c r="F8">
        <v>721.16640132504801</v>
      </c>
      <c r="G8">
        <v>0.42399999999999999</v>
      </c>
      <c r="H8">
        <v>2E-3</v>
      </c>
      <c r="I8">
        <v>1.1979999999999791</v>
      </c>
      <c r="J8" s="2">
        <v>45681</v>
      </c>
      <c r="K8" t="s">
        <v>420</v>
      </c>
      <c r="L8">
        <v>1</v>
      </c>
      <c r="M8">
        <v>1.4E-3</v>
      </c>
      <c r="N8">
        <v>6.124060515996506</v>
      </c>
      <c r="O8">
        <v>721.17334296806848</v>
      </c>
      <c r="P8">
        <v>0.42399999999999999</v>
      </c>
      <c r="Q8">
        <v>2E-3</v>
      </c>
      <c r="R8">
        <v>1.1998000000000104</v>
      </c>
      <c r="S8" s="2">
        <v>45681</v>
      </c>
      <c r="T8" t="s">
        <v>816</v>
      </c>
      <c r="U8">
        <v>2</v>
      </c>
      <c r="V8">
        <v>8.9999999999999998E-4</v>
      </c>
      <c r="W8">
        <v>6.1254733788247524</v>
      </c>
      <c r="X8">
        <v>721.30742365046899</v>
      </c>
      <c r="Y8">
        <v>0.42399999999999999</v>
      </c>
      <c r="Z8">
        <v>2E-3</v>
      </c>
      <c r="AA8">
        <v>1.2013000000000034</v>
      </c>
      <c r="AB8" s="2">
        <v>45681</v>
      </c>
      <c r="AC8" t="s">
        <v>1016</v>
      </c>
      <c r="AD8">
        <v>3</v>
      </c>
      <c r="AE8">
        <v>8.0000000000000004E-4</v>
      </c>
      <c r="AF8">
        <v>6.125635121106912</v>
      </c>
      <c r="AG8">
        <v>721.32277299304599</v>
      </c>
      <c r="AH8">
        <v>0.42399999999999999</v>
      </c>
      <c r="AI8">
        <v>2E-3</v>
      </c>
      <c r="AJ8">
        <v>1.200999999999965</v>
      </c>
      <c r="AK8" s="2">
        <v>45681</v>
      </c>
      <c r="AL8" t="s">
        <v>1316</v>
      </c>
      <c r="AM8">
        <v>4</v>
      </c>
      <c r="AN8">
        <v>8.0000000000000004E-4</v>
      </c>
      <c r="AO8">
        <v>6.1259529290807331</v>
      </c>
      <c r="AP8">
        <v>721.35293296976158</v>
      </c>
      <c r="AQ8">
        <v>0.42399999999999999</v>
      </c>
      <c r="AR8">
        <v>2E-3</v>
      </c>
      <c r="AS8">
        <v>1.1983999999999924</v>
      </c>
      <c r="AT8" s="2">
        <v>45681</v>
      </c>
      <c r="AU8" t="s">
        <v>1516</v>
      </c>
      <c r="AV8">
        <v>5</v>
      </c>
      <c r="AW8">
        <v>8.9999999999999998E-4</v>
      </c>
      <c r="AX8">
        <v>6.1263536152758462</v>
      </c>
      <c r="AY8">
        <v>721.39095808967784</v>
      </c>
      <c r="AZ8">
        <v>0.42399999999999999</v>
      </c>
      <c r="BA8">
        <v>2E-3</v>
      </c>
      <c r="BB8">
        <v>1.1997000000000071</v>
      </c>
      <c r="BC8" s="2">
        <v>45681</v>
      </c>
      <c r="BD8" t="s">
        <v>1714</v>
      </c>
      <c r="BE8">
        <v>5</v>
      </c>
      <c r="BF8">
        <v>8.9999999999999998E-4</v>
      </c>
      <c r="BG8">
        <v>6.1269587398230909</v>
      </c>
      <c r="BH8">
        <v>721.44838440921137</v>
      </c>
      <c r="BI8">
        <v>0.42399999999999999</v>
      </c>
      <c r="BJ8">
        <v>2E-3</v>
      </c>
      <c r="BK8">
        <v>1.2009000000000469</v>
      </c>
      <c r="BL8" s="2">
        <v>45681</v>
      </c>
      <c r="BM8" t="s">
        <v>1914</v>
      </c>
      <c r="BN8">
        <v>6</v>
      </c>
      <c r="BO8">
        <v>1.1000000000000001E-3</v>
      </c>
      <c r="BP8">
        <v>6.1275030032107667</v>
      </c>
      <c r="BQ8">
        <v>721.50003500470177</v>
      </c>
      <c r="BR8">
        <v>0.42399999999999999</v>
      </c>
      <c r="BS8">
        <v>2E-3</v>
      </c>
      <c r="BT8">
        <v>1.2002999999999702</v>
      </c>
      <c r="BU8" s="2">
        <v>45681</v>
      </c>
      <c r="BV8" t="s">
        <v>1996</v>
      </c>
      <c r="BW8">
        <v>6</v>
      </c>
      <c r="BX8">
        <v>5.9999999999999995E-4</v>
      </c>
      <c r="BY8">
        <v>6.1209911024192873</v>
      </c>
      <c r="BZ8">
        <v>618.47637074547765</v>
      </c>
      <c r="CA8">
        <v>0.42399999999999999</v>
      </c>
      <c r="CB8">
        <v>1.9E-3</v>
      </c>
      <c r="CC8">
        <v>1.6016999999999371</v>
      </c>
      <c r="CD8" s="2">
        <v>45681</v>
      </c>
      <c r="CE8" t="s">
        <v>2110</v>
      </c>
      <c r="CF8">
        <v>7</v>
      </c>
      <c r="CG8">
        <v>1.1000000000000001E-3</v>
      </c>
      <c r="CH8">
        <v>6.1281551218179322</v>
      </c>
      <c r="CI8">
        <v>721.56192106052185</v>
      </c>
      <c r="CJ8">
        <v>0.42399999999999999</v>
      </c>
      <c r="CK8">
        <v>2.0999999999999999E-3</v>
      </c>
      <c r="CL8">
        <v>1.2019000000000233</v>
      </c>
    </row>
    <row r="9" spans="1:90" x14ac:dyDescent="0.3">
      <c r="A9" s="2">
        <v>45681</v>
      </c>
      <c r="B9" t="s">
        <v>221</v>
      </c>
      <c r="C9">
        <v>0</v>
      </c>
      <c r="D9">
        <v>1.5E-3</v>
      </c>
      <c r="E9">
        <v>6.0792866111672286</v>
      </c>
      <c r="F9">
        <v>614.58951216078583</v>
      </c>
      <c r="G9">
        <v>0.42399999999999999</v>
      </c>
      <c r="H9">
        <v>1.2999999999999999E-3</v>
      </c>
      <c r="I9">
        <v>1.3996999999999957</v>
      </c>
      <c r="J9" s="2">
        <v>45681</v>
      </c>
      <c r="K9" t="s">
        <v>421</v>
      </c>
      <c r="L9">
        <v>1</v>
      </c>
      <c r="M9">
        <v>1.9E-3</v>
      </c>
      <c r="N9">
        <v>6.1626990807197952</v>
      </c>
      <c r="O9">
        <v>724.84014276030859</v>
      </c>
      <c r="P9">
        <v>0.42399999999999999</v>
      </c>
      <c r="Q9">
        <v>2.5999999999999999E-3</v>
      </c>
      <c r="R9">
        <v>1.400400000000019</v>
      </c>
      <c r="S9" s="2">
        <v>45681</v>
      </c>
      <c r="T9" t="s">
        <v>817</v>
      </c>
      <c r="U9">
        <v>2</v>
      </c>
      <c r="V9">
        <v>1.1999999999999999E-3</v>
      </c>
      <c r="W9">
        <v>6.163988923722501</v>
      </c>
      <c r="X9">
        <v>724.96254886126542</v>
      </c>
      <c r="Y9">
        <v>0.42399999999999999</v>
      </c>
      <c r="Z9">
        <v>2.5999999999999999E-3</v>
      </c>
      <c r="AA9">
        <v>1.4004000000000474</v>
      </c>
      <c r="AB9" s="2">
        <v>45681</v>
      </c>
      <c r="AC9" t="s">
        <v>1017</v>
      </c>
      <c r="AD9">
        <v>3</v>
      </c>
      <c r="AE9">
        <v>1.5E-3</v>
      </c>
      <c r="AF9">
        <v>6.1640619895516453</v>
      </c>
      <c r="AG9">
        <v>724.96948280845118</v>
      </c>
      <c r="AH9">
        <v>0.42399999999999999</v>
      </c>
      <c r="AI9">
        <v>2.5999999999999999E-3</v>
      </c>
      <c r="AJ9">
        <v>1.399599999999964</v>
      </c>
      <c r="AK9" s="2">
        <v>45681</v>
      </c>
      <c r="AL9" t="s">
        <v>1317</v>
      </c>
      <c r="AM9">
        <v>4</v>
      </c>
      <c r="AN9">
        <v>2E-3</v>
      </c>
      <c r="AO9">
        <v>6.1646406368589171</v>
      </c>
      <c r="AP9">
        <v>725.02439643791126</v>
      </c>
      <c r="AQ9">
        <v>0.42399999999999999</v>
      </c>
      <c r="AR9">
        <v>2.5999999999999999E-3</v>
      </c>
      <c r="AS9">
        <v>1.3980999999999995</v>
      </c>
      <c r="AT9" s="2">
        <v>45681</v>
      </c>
      <c r="AU9" t="s">
        <v>1517</v>
      </c>
      <c r="AV9">
        <v>5</v>
      </c>
      <c r="AW9">
        <v>1.6999999999999999E-3</v>
      </c>
      <c r="AX9">
        <v>6.1653634290178001</v>
      </c>
      <c r="AY9">
        <v>725.09298941378927</v>
      </c>
      <c r="AZ9">
        <v>0.42399999999999999</v>
      </c>
      <c r="BA9">
        <v>2.5999999999999999E-3</v>
      </c>
      <c r="BB9">
        <v>1.4006999999999721</v>
      </c>
      <c r="BC9" s="2">
        <v>45681</v>
      </c>
      <c r="BD9" t="s">
        <v>1715</v>
      </c>
      <c r="BE9">
        <v>5</v>
      </c>
      <c r="BF9">
        <v>1.4E-3</v>
      </c>
      <c r="BG9">
        <v>6.1656069547502277</v>
      </c>
      <c r="BH9">
        <v>725.11610000579662</v>
      </c>
      <c r="BI9">
        <v>0.42399999999999999</v>
      </c>
      <c r="BJ9">
        <v>2.5999999999999999E-3</v>
      </c>
      <c r="BK9">
        <v>1.3998000000000275</v>
      </c>
      <c r="BL9" s="2">
        <v>45681</v>
      </c>
      <c r="BM9" t="s">
        <v>1915</v>
      </c>
      <c r="BN9">
        <v>6</v>
      </c>
      <c r="BO9">
        <v>1.6000000000000001E-3</v>
      </c>
      <c r="BP9">
        <v>6.1665825984687892</v>
      </c>
      <c r="BQ9">
        <v>725.20868859468817</v>
      </c>
      <c r="BR9">
        <v>0.42399999999999999</v>
      </c>
      <c r="BS9">
        <v>2.7000000000000001E-3</v>
      </c>
      <c r="BT9">
        <v>1.4008999999999787</v>
      </c>
      <c r="BU9" s="2">
        <v>45681</v>
      </c>
      <c r="BV9" t="s">
        <v>1997</v>
      </c>
      <c r="BW9">
        <v>6</v>
      </c>
      <c r="BX9">
        <v>5.9999999999999995E-4</v>
      </c>
      <c r="BY9">
        <v>6.0877288365580577</v>
      </c>
      <c r="BZ9">
        <v>615.37632756721098</v>
      </c>
      <c r="CA9">
        <v>0.42399999999999999</v>
      </c>
      <c r="CB9">
        <v>1.4E-3</v>
      </c>
      <c r="CC9">
        <v>1.8016999999999825</v>
      </c>
      <c r="CD9" s="2">
        <v>45681</v>
      </c>
      <c r="CE9" t="s">
        <v>2111</v>
      </c>
      <c r="CF9">
        <v>7</v>
      </c>
      <c r="CG9">
        <v>1.5E-3</v>
      </c>
      <c r="CH9">
        <v>6.1668972032236864</v>
      </c>
      <c r="CI9">
        <v>725.2385445859278</v>
      </c>
      <c r="CJ9">
        <v>0.42399999999999999</v>
      </c>
      <c r="CK9">
        <v>2.7000000000000001E-3</v>
      </c>
      <c r="CL9">
        <v>1.4003999999999905</v>
      </c>
    </row>
    <row r="10" spans="1:90" x14ac:dyDescent="0.3">
      <c r="A10" s="2">
        <v>45681</v>
      </c>
      <c r="B10" t="s">
        <v>222</v>
      </c>
      <c r="C10">
        <v>0</v>
      </c>
      <c r="D10">
        <v>8.0000000000000004E-4</v>
      </c>
      <c r="E10">
        <v>6.1008034436259848</v>
      </c>
      <c r="F10">
        <v>718.96624680010598</v>
      </c>
      <c r="G10">
        <v>0.42399999999999999</v>
      </c>
      <c r="H10">
        <v>1.6000000000000001E-3</v>
      </c>
      <c r="I10">
        <v>1.5988999999999862</v>
      </c>
      <c r="J10" s="2">
        <v>45681</v>
      </c>
      <c r="K10" t="s">
        <v>422</v>
      </c>
      <c r="L10">
        <v>1</v>
      </c>
      <c r="M10">
        <v>2.3E-3</v>
      </c>
      <c r="N10">
        <v>6.2056397711943383</v>
      </c>
      <c r="O10">
        <v>728.91521428634269</v>
      </c>
      <c r="P10">
        <v>0.42399999999999999</v>
      </c>
      <c r="Q10">
        <v>3.3E-3</v>
      </c>
      <c r="R10">
        <v>1.5992999999999995</v>
      </c>
      <c r="S10" s="2">
        <v>45681</v>
      </c>
      <c r="T10" t="s">
        <v>818</v>
      </c>
      <c r="U10">
        <v>2</v>
      </c>
      <c r="V10">
        <v>2.5999999999999999E-3</v>
      </c>
      <c r="W10">
        <v>6.2073336252523088</v>
      </c>
      <c r="X10">
        <v>729.07596103644414</v>
      </c>
      <c r="Y10">
        <v>0.42399999999999999</v>
      </c>
      <c r="Z10">
        <v>3.3E-3</v>
      </c>
      <c r="AA10">
        <v>1.600400000000036</v>
      </c>
      <c r="AB10" s="2">
        <v>45681</v>
      </c>
      <c r="AC10" t="s">
        <v>1018</v>
      </c>
      <c r="AD10">
        <v>3</v>
      </c>
      <c r="AE10">
        <v>2.5000000000000001E-3</v>
      </c>
      <c r="AF10">
        <v>6.2077419748445974</v>
      </c>
      <c r="AG10">
        <v>729.11471341275228</v>
      </c>
      <c r="AH10">
        <v>0.42399999999999999</v>
      </c>
      <c r="AI10">
        <v>3.3E-3</v>
      </c>
      <c r="AJ10">
        <v>1.6009999999999991</v>
      </c>
      <c r="AK10" s="2">
        <v>45681</v>
      </c>
      <c r="AL10" t="s">
        <v>1318</v>
      </c>
      <c r="AM10">
        <v>4</v>
      </c>
      <c r="AN10">
        <v>2.3999999999999998E-3</v>
      </c>
      <c r="AO10">
        <v>6.2082578958268497</v>
      </c>
      <c r="AP10">
        <v>729.16367431396804</v>
      </c>
      <c r="AQ10">
        <v>0.42399999999999999</v>
      </c>
      <c r="AR10">
        <v>3.3E-3</v>
      </c>
      <c r="AS10">
        <v>1.5989999999999895</v>
      </c>
      <c r="AT10" s="2">
        <v>45681</v>
      </c>
      <c r="AU10" t="s">
        <v>1518</v>
      </c>
      <c r="AV10">
        <v>5</v>
      </c>
      <c r="AW10">
        <v>2.5000000000000001E-3</v>
      </c>
      <c r="AX10">
        <v>6.208906000273589</v>
      </c>
      <c r="AY10">
        <v>729.22517942596357</v>
      </c>
      <c r="AZ10">
        <v>0.42399999999999999</v>
      </c>
      <c r="BA10">
        <v>3.3E-3</v>
      </c>
      <c r="BB10">
        <v>1.6008999999999673</v>
      </c>
      <c r="BC10" s="2">
        <v>45681</v>
      </c>
      <c r="BD10" t="s">
        <v>1716</v>
      </c>
      <c r="BE10">
        <v>5</v>
      </c>
      <c r="BF10">
        <v>1.8E-3</v>
      </c>
      <c r="BG10">
        <v>6.209343422118649</v>
      </c>
      <c r="BH10">
        <v>729.26669075905977</v>
      </c>
      <c r="BI10">
        <v>0.42399999999999999</v>
      </c>
      <c r="BJ10">
        <v>3.3E-3</v>
      </c>
      <c r="BK10">
        <v>1.6006999999999607</v>
      </c>
      <c r="BL10" s="2">
        <v>45681</v>
      </c>
      <c r="BM10" t="s">
        <v>1916</v>
      </c>
      <c r="BN10">
        <v>6</v>
      </c>
      <c r="BO10">
        <v>2E-3</v>
      </c>
      <c r="BP10">
        <v>6.2100821898250826</v>
      </c>
      <c r="BQ10">
        <v>729.33679981440036</v>
      </c>
      <c r="BR10">
        <v>0.42399999999999999</v>
      </c>
      <c r="BS10">
        <v>3.3E-3</v>
      </c>
      <c r="BT10">
        <v>1.600400000000036</v>
      </c>
      <c r="BU10" s="2">
        <v>45681</v>
      </c>
      <c r="BV10" t="s">
        <v>1998</v>
      </c>
      <c r="BW10">
        <v>6</v>
      </c>
      <c r="BX10">
        <v>1E-4</v>
      </c>
      <c r="BY10">
        <v>6.0594318844067221</v>
      </c>
      <c r="BZ10">
        <v>612.73905162670655</v>
      </c>
      <c r="CA10">
        <v>0.42399999999999999</v>
      </c>
      <c r="CB10">
        <v>1E-3</v>
      </c>
      <c r="CC10">
        <v>2.0018000000000029</v>
      </c>
      <c r="CD10" s="2">
        <v>45681</v>
      </c>
      <c r="CE10" t="s">
        <v>2112</v>
      </c>
      <c r="CF10">
        <v>7</v>
      </c>
      <c r="CG10">
        <v>1.9E-3</v>
      </c>
      <c r="CH10">
        <v>6.2104203524305506</v>
      </c>
      <c r="CI10">
        <v>729.36889144565941</v>
      </c>
      <c r="CJ10">
        <v>0.42399999999999999</v>
      </c>
      <c r="CK10">
        <v>3.3E-3</v>
      </c>
      <c r="CL10">
        <v>1.5998000000000729</v>
      </c>
    </row>
    <row r="11" spans="1:90" x14ac:dyDescent="0.3">
      <c r="A11" s="2">
        <v>45681</v>
      </c>
      <c r="B11" t="s">
        <v>223</v>
      </c>
      <c r="C11">
        <v>0</v>
      </c>
      <c r="D11">
        <v>1E-3</v>
      </c>
      <c r="E11">
        <v>6.1246215658732304</v>
      </c>
      <c r="F11">
        <v>721.2265866013696</v>
      </c>
      <c r="G11">
        <v>0.42399999999999999</v>
      </c>
      <c r="H11">
        <v>2E-3</v>
      </c>
      <c r="I11">
        <v>1.7986999999999966</v>
      </c>
      <c r="J11" s="2">
        <v>45681</v>
      </c>
      <c r="K11" t="s">
        <v>423</v>
      </c>
      <c r="L11">
        <v>1</v>
      </c>
      <c r="M11">
        <v>3.3999999999999998E-3</v>
      </c>
      <c r="N11">
        <v>6.2535440318545534</v>
      </c>
      <c r="O11">
        <v>733.46132862299714</v>
      </c>
      <c r="P11">
        <v>0.42399999999999999</v>
      </c>
      <c r="Q11">
        <v>4.0000000000000001E-3</v>
      </c>
      <c r="R11">
        <v>1.8001999999999896</v>
      </c>
      <c r="S11" s="2">
        <v>45681</v>
      </c>
      <c r="T11" t="s">
        <v>819</v>
      </c>
      <c r="U11">
        <v>2</v>
      </c>
      <c r="V11">
        <v>3.3E-3</v>
      </c>
      <c r="W11">
        <v>6.2556458300340623</v>
      </c>
      <c r="X11">
        <v>733.6607892702325</v>
      </c>
      <c r="Y11">
        <v>0.42399999999999999</v>
      </c>
      <c r="Z11">
        <v>4.0000000000000001E-3</v>
      </c>
      <c r="AA11">
        <v>1.8023000000000025</v>
      </c>
      <c r="AB11" s="2">
        <v>45681</v>
      </c>
      <c r="AC11" t="s">
        <v>1019</v>
      </c>
      <c r="AD11">
        <v>3</v>
      </c>
      <c r="AE11">
        <v>3.0000000000000001E-3</v>
      </c>
      <c r="AF11">
        <v>6.2553339013861153</v>
      </c>
      <c r="AG11">
        <v>733.63118724154242</v>
      </c>
      <c r="AH11">
        <v>0.42399999999999999</v>
      </c>
      <c r="AI11">
        <v>4.0000000000000001E-3</v>
      </c>
      <c r="AJ11">
        <v>1.7998999999999796</v>
      </c>
      <c r="AK11" s="2">
        <v>45681</v>
      </c>
      <c r="AL11" t="s">
        <v>1319</v>
      </c>
      <c r="AM11">
        <v>4</v>
      </c>
      <c r="AN11">
        <v>3.0000000000000001E-3</v>
      </c>
      <c r="AO11">
        <v>6.2564104262272666</v>
      </c>
      <c r="AP11">
        <v>733.7333494489676</v>
      </c>
      <c r="AQ11">
        <v>0.42399999999999999</v>
      </c>
      <c r="AR11">
        <v>4.1000000000000003E-3</v>
      </c>
      <c r="AS11">
        <v>1.7998999999999796</v>
      </c>
      <c r="AT11" s="2">
        <v>45681</v>
      </c>
      <c r="AU11" t="s">
        <v>1519</v>
      </c>
      <c r="AV11">
        <v>5</v>
      </c>
      <c r="AW11">
        <v>2.5999999999999999E-3</v>
      </c>
      <c r="AX11">
        <v>6.2567555629296354</v>
      </c>
      <c r="AY11">
        <v>733.76610292202236</v>
      </c>
      <c r="AZ11">
        <v>0.42399999999999999</v>
      </c>
      <c r="BA11">
        <v>4.1000000000000003E-3</v>
      </c>
      <c r="BB11">
        <v>1.8002999999999929</v>
      </c>
      <c r="BC11" s="2">
        <v>45681</v>
      </c>
      <c r="BD11" t="s">
        <v>1717</v>
      </c>
      <c r="BE11">
        <v>5</v>
      </c>
      <c r="BF11">
        <v>3.0000000000000001E-3</v>
      </c>
      <c r="BG11">
        <v>6.2575032104454902</v>
      </c>
      <c r="BH11">
        <v>733.83705467127709</v>
      </c>
      <c r="BI11">
        <v>0.42399999999999999</v>
      </c>
      <c r="BJ11">
        <v>4.1000000000000003E-3</v>
      </c>
      <c r="BK11">
        <v>1.8011999999999944</v>
      </c>
      <c r="BL11" s="2">
        <v>45681</v>
      </c>
      <c r="BM11" t="s">
        <v>1917</v>
      </c>
      <c r="BN11">
        <v>6</v>
      </c>
      <c r="BO11">
        <v>2.8999999999999998E-3</v>
      </c>
      <c r="BP11">
        <v>6.2582030529599271</v>
      </c>
      <c r="BQ11">
        <v>733.90346972589714</v>
      </c>
      <c r="BR11">
        <v>0.42399999999999999</v>
      </c>
      <c r="BS11">
        <v>4.1000000000000003E-3</v>
      </c>
      <c r="BT11">
        <v>1.8003999999999678</v>
      </c>
      <c r="BU11" s="2">
        <v>45681</v>
      </c>
      <c r="BV11" t="s">
        <v>1999</v>
      </c>
      <c r="BW11">
        <v>6</v>
      </c>
      <c r="BX11">
        <v>0</v>
      </c>
      <c r="BY11">
        <v>6.0361956126856748</v>
      </c>
      <c r="BZ11">
        <v>610.57343110230488</v>
      </c>
      <c r="CA11">
        <v>0.42399999999999999</v>
      </c>
      <c r="CB11">
        <v>5.9999999999999995E-4</v>
      </c>
      <c r="CC11">
        <v>2.2019999999999982</v>
      </c>
      <c r="CD11" s="2">
        <v>45681</v>
      </c>
      <c r="CE11" t="s">
        <v>2113</v>
      </c>
      <c r="CF11">
        <v>7</v>
      </c>
      <c r="CG11">
        <v>2.5000000000000001E-3</v>
      </c>
      <c r="CH11">
        <v>6.2584514848884298</v>
      </c>
      <c r="CI11">
        <v>733.927045915912</v>
      </c>
      <c r="CJ11">
        <v>0.42399999999999999</v>
      </c>
      <c r="CK11">
        <v>4.1000000000000003E-3</v>
      </c>
      <c r="CL11">
        <v>1.7993999999999915</v>
      </c>
    </row>
    <row r="12" spans="1:90" x14ac:dyDescent="0.3">
      <c r="A12" s="2">
        <v>45681</v>
      </c>
      <c r="B12" t="s">
        <v>224</v>
      </c>
      <c r="C12">
        <v>1</v>
      </c>
      <c r="D12">
        <v>1.2999999999999999E-3</v>
      </c>
      <c r="E12">
        <v>6.1507271919034654</v>
      </c>
      <c r="F12">
        <v>723.7040105116389</v>
      </c>
      <c r="G12">
        <v>0.42399999999999999</v>
      </c>
      <c r="H12">
        <v>2.3999999999999998E-3</v>
      </c>
      <c r="I12">
        <v>1.9993999999999801</v>
      </c>
      <c r="J12" s="2">
        <v>45681</v>
      </c>
      <c r="K12" t="s">
        <v>424</v>
      </c>
      <c r="L12">
        <v>1</v>
      </c>
      <c r="M12">
        <v>3.8E-3</v>
      </c>
      <c r="N12">
        <v>6.3056858673226301</v>
      </c>
      <c r="O12">
        <v>738.40958880891765</v>
      </c>
      <c r="P12">
        <v>0.42399999999999999</v>
      </c>
      <c r="Q12">
        <v>4.7999999999999996E-3</v>
      </c>
      <c r="R12">
        <v>2.0007000000000232</v>
      </c>
      <c r="S12" s="2">
        <v>45681</v>
      </c>
      <c r="T12" t="s">
        <v>820</v>
      </c>
      <c r="U12">
        <v>3</v>
      </c>
      <c r="V12">
        <v>3.7000000000000002E-3</v>
      </c>
      <c r="W12">
        <v>6.3072142487675409</v>
      </c>
      <c r="X12">
        <v>738.55463220803972</v>
      </c>
      <c r="Y12">
        <v>0.42399999999999999</v>
      </c>
      <c r="Z12">
        <v>4.7999999999999996E-3</v>
      </c>
      <c r="AA12">
        <v>2</v>
      </c>
      <c r="AB12" s="2">
        <v>45681</v>
      </c>
      <c r="AC12" t="s">
        <v>1020</v>
      </c>
      <c r="AD12">
        <v>3</v>
      </c>
      <c r="AE12">
        <v>4.1000000000000003E-3</v>
      </c>
      <c r="AF12">
        <v>6.3080290422395917</v>
      </c>
      <c r="AG12">
        <v>738.63195610853734</v>
      </c>
      <c r="AH12">
        <v>0.42399999999999999</v>
      </c>
      <c r="AI12">
        <v>4.8999999999999998E-3</v>
      </c>
      <c r="AJ12">
        <v>2.0018000000000029</v>
      </c>
      <c r="AK12" s="2">
        <v>45681</v>
      </c>
      <c r="AL12" t="s">
        <v>1320</v>
      </c>
      <c r="AM12">
        <v>4</v>
      </c>
      <c r="AN12">
        <v>3.5000000000000001E-3</v>
      </c>
      <c r="AO12">
        <v>6.3081807288471516</v>
      </c>
      <c r="AP12">
        <v>738.64635116759473</v>
      </c>
      <c r="AQ12">
        <v>0.42399999999999999</v>
      </c>
      <c r="AR12">
        <v>4.8999999999999998E-3</v>
      </c>
      <c r="AS12">
        <v>1.9980999999999653</v>
      </c>
      <c r="AT12" s="2">
        <v>45681</v>
      </c>
      <c r="AU12" t="s">
        <v>1520</v>
      </c>
      <c r="AV12">
        <v>5</v>
      </c>
      <c r="AW12">
        <v>3.7000000000000002E-3</v>
      </c>
      <c r="AX12">
        <v>6.3095712907841506</v>
      </c>
      <c r="AY12">
        <v>738.77831549541588</v>
      </c>
      <c r="AZ12">
        <v>0.42399999999999999</v>
      </c>
      <c r="BA12">
        <v>4.8999999999999998E-3</v>
      </c>
      <c r="BB12">
        <v>2.0022999999999911</v>
      </c>
      <c r="BC12" s="2">
        <v>45681</v>
      </c>
      <c r="BD12" t="s">
        <v>1718</v>
      </c>
      <c r="BE12">
        <v>6</v>
      </c>
      <c r="BF12">
        <v>3.8999999999999998E-3</v>
      </c>
      <c r="BG12">
        <v>6.3102895416706346</v>
      </c>
      <c r="BH12">
        <v>738.84647750454326</v>
      </c>
      <c r="BI12">
        <v>0.42399999999999999</v>
      </c>
      <c r="BJ12">
        <v>4.8999999999999998E-3</v>
      </c>
      <c r="BK12">
        <v>2.0027999999999793</v>
      </c>
      <c r="BL12" s="2">
        <v>45681</v>
      </c>
      <c r="BM12" t="s">
        <v>1918</v>
      </c>
      <c r="BN12">
        <v>6</v>
      </c>
      <c r="BO12">
        <v>3.8E-3</v>
      </c>
      <c r="BP12">
        <v>6.3103203979947056</v>
      </c>
      <c r="BQ12">
        <v>738.84940576969768</v>
      </c>
      <c r="BR12">
        <v>0.42399999999999999</v>
      </c>
      <c r="BS12">
        <v>4.8999999999999998E-3</v>
      </c>
      <c r="BT12">
        <v>1.9992999999999483</v>
      </c>
      <c r="BU12" s="2">
        <v>45681</v>
      </c>
      <c r="BV12" t="s">
        <v>2000</v>
      </c>
      <c r="BW12">
        <v>6</v>
      </c>
      <c r="BX12">
        <v>0</v>
      </c>
      <c r="BY12">
        <v>6.0181718864096041</v>
      </c>
      <c r="BZ12">
        <v>608.89361981337515</v>
      </c>
      <c r="CA12">
        <v>0.42399999999999999</v>
      </c>
      <c r="CB12">
        <v>2.9999999999999997E-4</v>
      </c>
      <c r="CC12">
        <v>2.40199999999993</v>
      </c>
      <c r="CD12" s="2">
        <v>45681</v>
      </c>
      <c r="CE12" t="s">
        <v>2114</v>
      </c>
      <c r="CF12">
        <v>7</v>
      </c>
      <c r="CG12">
        <v>3.3999999999999998E-3</v>
      </c>
      <c r="CH12">
        <v>6.3117017557456796</v>
      </c>
      <c r="CI12">
        <v>738.98049662026506</v>
      </c>
      <c r="CJ12">
        <v>0.42399999999999999</v>
      </c>
      <c r="CK12">
        <v>4.8999999999999998E-3</v>
      </c>
      <c r="CL12">
        <v>2.0024000000000797</v>
      </c>
    </row>
    <row r="13" spans="1:90" x14ac:dyDescent="0.3">
      <c r="A13" s="2">
        <v>45681</v>
      </c>
      <c r="B13" t="s">
        <v>225</v>
      </c>
      <c r="C13">
        <v>1</v>
      </c>
      <c r="D13">
        <v>1.8E-3</v>
      </c>
      <c r="E13">
        <v>6.1789281285812088</v>
      </c>
      <c r="F13">
        <v>726.38027940235679</v>
      </c>
      <c r="G13">
        <v>0.42399999999999999</v>
      </c>
      <c r="H13">
        <v>2.8E-3</v>
      </c>
      <c r="I13">
        <v>2.2002999999999986</v>
      </c>
      <c r="J13" s="2">
        <v>45681</v>
      </c>
      <c r="K13" t="s">
        <v>425</v>
      </c>
      <c r="L13">
        <v>1</v>
      </c>
      <c r="M13">
        <v>4.4999999999999997E-3</v>
      </c>
      <c r="N13">
        <v>6.3620780499271934</v>
      </c>
      <c r="O13">
        <v>743.76120693809071</v>
      </c>
      <c r="P13">
        <v>0.42399999999999999</v>
      </c>
      <c r="Q13">
        <v>5.7000000000000002E-3</v>
      </c>
      <c r="R13">
        <v>2.2016000000000133</v>
      </c>
      <c r="S13" s="2">
        <v>45681</v>
      </c>
      <c r="T13" t="s">
        <v>821</v>
      </c>
      <c r="U13">
        <v>3</v>
      </c>
      <c r="V13">
        <v>4.5999999999999999E-3</v>
      </c>
      <c r="W13">
        <v>6.3630976061279751</v>
      </c>
      <c r="X13">
        <v>743.8579628215449</v>
      </c>
      <c r="Y13">
        <v>0.42399999999999999</v>
      </c>
      <c r="Z13">
        <v>5.7000000000000002E-3</v>
      </c>
      <c r="AA13">
        <v>2.1988000000000056</v>
      </c>
      <c r="AB13" s="2">
        <v>45681</v>
      </c>
      <c r="AC13" t="s">
        <v>1021</v>
      </c>
      <c r="AD13">
        <v>3</v>
      </c>
      <c r="AE13">
        <v>4.7000000000000002E-3</v>
      </c>
      <c r="AF13">
        <v>6.3636820922140469</v>
      </c>
      <c r="AG13">
        <v>743.91343055111304</v>
      </c>
      <c r="AH13">
        <v>0.42399999999999999</v>
      </c>
      <c r="AI13">
        <v>5.7000000000000002E-3</v>
      </c>
      <c r="AJ13">
        <v>2.1995999999999754</v>
      </c>
      <c r="AK13" s="2">
        <v>45681</v>
      </c>
      <c r="AL13" t="s">
        <v>1321</v>
      </c>
      <c r="AM13">
        <v>4</v>
      </c>
      <c r="AN13">
        <v>4.8999999999999998E-3</v>
      </c>
      <c r="AO13">
        <v>6.3648568220708386</v>
      </c>
      <c r="AP13">
        <v>744.02491241452265</v>
      </c>
      <c r="AQ13">
        <v>0.42399999999999999</v>
      </c>
      <c r="AR13">
        <v>5.7000000000000002E-3</v>
      </c>
      <c r="AS13">
        <v>2.1992999999999938</v>
      </c>
      <c r="AT13" s="2">
        <v>45681</v>
      </c>
      <c r="AU13" t="s">
        <v>1521</v>
      </c>
      <c r="AV13">
        <v>5</v>
      </c>
      <c r="AW13">
        <v>4.3E-3</v>
      </c>
      <c r="AX13">
        <v>6.3656692232654652</v>
      </c>
      <c r="AY13">
        <v>744.10200928789266</v>
      </c>
      <c r="AZ13">
        <v>0.42399999999999999</v>
      </c>
      <c r="BA13">
        <v>5.7000000000000002E-3</v>
      </c>
      <c r="BB13">
        <v>2.2011999999999716</v>
      </c>
      <c r="BC13" s="2">
        <v>45681</v>
      </c>
      <c r="BD13" t="s">
        <v>1719</v>
      </c>
      <c r="BE13">
        <v>6</v>
      </c>
      <c r="BF13">
        <v>4.3E-3</v>
      </c>
      <c r="BG13">
        <v>6.3666668840457481</v>
      </c>
      <c r="BH13">
        <v>744.1966872959415</v>
      </c>
      <c r="BI13">
        <v>0.42399999999999999</v>
      </c>
      <c r="BJ13">
        <v>5.7999999999999996E-3</v>
      </c>
      <c r="BK13">
        <v>2.2024999999999864</v>
      </c>
      <c r="BL13" s="2">
        <v>45681</v>
      </c>
      <c r="BM13" t="s">
        <v>1919</v>
      </c>
      <c r="BN13">
        <v>6</v>
      </c>
      <c r="BO13">
        <v>4.3E-3</v>
      </c>
      <c r="BP13">
        <v>6.3670264960538896</v>
      </c>
      <c r="BQ13">
        <v>744.23081447551419</v>
      </c>
      <c r="BR13">
        <v>0.42399999999999999</v>
      </c>
      <c r="BS13">
        <v>5.7999999999999996E-3</v>
      </c>
      <c r="BT13">
        <v>2.2001999999999953</v>
      </c>
      <c r="BU13" s="2">
        <v>45681</v>
      </c>
      <c r="BV13" t="s">
        <v>2001</v>
      </c>
      <c r="BW13">
        <v>6</v>
      </c>
      <c r="BX13">
        <v>-6.9999999999999999E-4</v>
      </c>
      <c r="BY13">
        <v>6.0054286949138653</v>
      </c>
      <c r="BZ13">
        <v>607.70595436597227</v>
      </c>
      <c r="CA13">
        <v>0.42399999999999999</v>
      </c>
      <c r="CB13">
        <v>2.0000000000000001E-4</v>
      </c>
      <c r="CC13">
        <v>2.6014000000000124</v>
      </c>
      <c r="CD13" s="2">
        <v>45681</v>
      </c>
      <c r="CE13" t="s">
        <v>2115</v>
      </c>
      <c r="CF13">
        <v>7</v>
      </c>
      <c r="CG13">
        <v>4.7000000000000002E-3</v>
      </c>
      <c r="CH13">
        <v>6.3675284282952704</v>
      </c>
      <c r="CI13">
        <v>744.27844784522108</v>
      </c>
      <c r="CJ13">
        <v>0.42399999999999999</v>
      </c>
      <c r="CK13">
        <v>5.7999999999999996E-3</v>
      </c>
      <c r="CL13">
        <v>2.1999000000000706</v>
      </c>
    </row>
    <row r="14" spans="1:90" x14ac:dyDescent="0.3">
      <c r="A14" s="2">
        <v>45681</v>
      </c>
      <c r="B14" t="s">
        <v>226</v>
      </c>
      <c r="C14">
        <v>1</v>
      </c>
      <c r="D14">
        <v>2.5000000000000001E-3</v>
      </c>
      <c r="E14">
        <v>6.2089630094610344</v>
      </c>
      <c r="F14">
        <v>729.23058959785214</v>
      </c>
      <c r="G14">
        <v>0.42399999999999999</v>
      </c>
      <c r="H14">
        <v>3.3E-3</v>
      </c>
      <c r="I14">
        <v>2.4003999999999905</v>
      </c>
      <c r="J14" s="2">
        <v>45681</v>
      </c>
      <c r="K14" t="s">
        <v>426</v>
      </c>
      <c r="L14">
        <v>1</v>
      </c>
      <c r="M14">
        <v>5.7999999999999996E-3</v>
      </c>
      <c r="N14">
        <v>6.4219043265014921</v>
      </c>
      <c r="O14">
        <v>749.43872058499164</v>
      </c>
      <c r="P14">
        <v>0.42399999999999999</v>
      </c>
      <c r="Q14">
        <v>6.6E-3</v>
      </c>
      <c r="R14">
        <v>2.4009000000000071</v>
      </c>
      <c r="S14" s="2">
        <v>45681</v>
      </c>
      <c r="T14" t="s">
        <v>822</v>
      </c>
      <c r="U14">
        <v>3</v>
      </c>
      <c r="V14">
        <v>5.4999999999999997E-3</v>
      </c>
      <c r="W14">
        <v>6.4232983349398651</v>
      </c>
      <c r="X14">
        <v>749.57101198579323</v>
      </c>
      <c r="Y14">
        <v>0.42399999999999999</v>
      </c>
      <c r="Z14">
        <v>6.6E-3</v>
      </c>
      <c r="AA14">
        <v>2.3991000000000327</v>
      </c>
      <c r="AB14" s="2">
        <v>45681</v>
      </c>
      <c r="AC14" t="s">
        <v>1022</v>
      </c>
      <c r="AD14">
        <v>3</v>
      </c>
      <c r="AE14">
        <v>5.7999999999999996E-3</v>
      </c>
      <c r="AF14">
        <v>6.4237698974220718</v>
      </c>
      <c r="AG14">
        <v>749.61576326535464</v>
      </c>
      <c r="AH14">
        <v>0.42399999999999999</v>
      </c>
      <c r="AI14">
        <v>6.7000000000000002E-3</v>
      </c>
      <c r="AJ14">
        <v>2.3993999999999573</v>
      </c>
      <c r="AK14" s="2">
        <v>45681</v>
      </c>
      <c r="AL14" t="s">
        <v>1322</v>
      </c>
      <c r="AM14">
        <v>4</v>
      </c>
      <c r="AN14">
        <v>5.7999999999999996E-3</v>
      </c>
      <c r="AO14">
        <v>6.4258499623693819</v>
      </c>
      <c r="AP14">
        <v>749.81316142885441</v>
      </c>
      <c r="AQ14">
        <v>0.42399999999999999</v>
      </c>
      <c r="AR14">
        <v>6.7000000000000002E-3</v>
      </c>
      <c r="AS14">
        <v>2.4017999999999802</v>
      </c>
      <c r="AT14" s="2">
        <v>45681</v>
      </c>
      <c r="AU14" t="s">
        <v>1522</v>
      </c>
      <c r="AV14">
        <v>5</v>
      </c>
      <c r="AW14">
        <v>5.1000000000000004E-3</v>
      </c>
      <c r="AX14">
        <v>6.4258702359068796</v>
      </c>
      <c r="AY14">
        <v>749.81508538756304</v>
      </c>
      <c r="AZ14">
        <v>0.42399999999999999</v>
      </c>
      <c r="BA14">
        <v>6.7000000000000002E-3</v>
      </c>
      <c r="BB14">
        <v>2.4009999999999536</v>
      </c>
      <c r="BC14" s="2">
        <v>45681</v>
      </c>
      <c r="BD14" t="s">
        <v>1720</v>
      </c>
      <c r="BE14">
        <v>6</v>
      </c>
      <c r="BF14">
        <v>5.4000000000000003E-3</v>
      </c>
      <c r="BG14">
        <v>6.4266300880923097</v>
      </c>
      <c r="BH14">
        <v>749.88719535996017</v>
      </c>
      <c r="BI14">
        <v>0.42399999999999999</v>
      </c>
      <c r="BJ14">
        <v>6.7000000000000002E-3</v>
      </c>
      <c r="BK14">
        <v>2.401299999999992</v>
      </c>
      <c r="BL14" s="2">
        <v>45681</v>
      </c>
      <c r="BM14" t="s">
        <v>1920</v>
      </c>
      <c r="BN14">
        <v>6</v>
      </c>
      <c r="BO14">
        <v>5.4999999999999997E-3</v>
      </c>
      <c r="BP14">
        <v>6.4300676691104961</v>
      </c>
      <c r="BQ14">
        <v>750.21342179858607</v>
      </c>
      <c r="BR14">
        <v>0.42399999999999999</v>
      </c>
      <c r="BS14">
        <v>6.7000000000000002E-3</v>
      </c>
      <c r="BT14">
        <v>2.408800000000042</v>
      </c>
      <c r="BU14" s="2">
        <v>45681</v>
      </c>
      <c r="BV14" t="s">
        <v>2002</v>
      </c>
      <c r="BW14">
        <v>6</v>
      </c>
      <c r="BX14">
        <v>-6.9999999999999999E-4</v>
      </c>
      <c r="BY14">
        <v>5.9979213269388607</v>
      </c>
      <c r="BZ14">
        <v>607.00626767070185</v>
      </c>
      <c r="CA14">
        <v>0.42399999999999999</v>
      </c>
      <c r="CB14">
        <v>0</v>
      </c>
      <c r="CC14">
        <v>2.8016999999999825</v>
      </c>
      <c r="CD14" s="2">
        <v>45681</v>
      </c>
      <c r="CE14" t="s">
        <v>2116</v>
      </c>
      <c r="CF14">
        <v>7</v>
      </c>
      <c r="CG14">
        <v>5.4999999999999997E-3</v>
      </c>
      <c r="CH14">
        <v>6.4277581077187076</v>
      </c>
      <c r="CI14">
        <v>749.9942444225054</v>
      </c>
      <c r="CJ14">
        <v>0.42399999999999999</v>
      </c>
      <c r="CK14">
        <v>6.7000000000000002E-3</v>
      </c>
      <c r="CL14">
        <v>2.3993000000000393</v>
      </c>
    </row>
    <row r="15" spans="1:90" x14ac:dyDescent="0.3">
      <c r="A15" s="2">
        <v>45681</v>
      </c>
      <c r="B15" t="s">
        <v>227</v>
      </c>
      <c r="C15">
        <v>1</v>
      </c>
      <c r="D15">
        <v>2.8999999999999998E-3</v>
      </c>
      <c r="E15">
        <v>6.2406580903265816</v>
      </c>
      <c r="F15">
        <v>732.23845277199268</v>
      </c>
      <c r="G15">
        <v>0.42399999999999999</v>
      </c>
      <c r="H15">
        <v>3.8E-3</v>
      </c>
      <c r="I15">
        <v>2.5994999999999777</v>
      </c>
      <c r="J15" s="2">
        <v>45681</v>
      </c>
      <c r="K15" t="s">
        <v>427</v>
      </c>
      <c r="L15">
        <v>1</v>
      </c>
      <c r="M15">
        <v>6.4999999999999997E-3</v>
      </c>
      <c r="N15">
        <v>6.4849607047112201</v>
      </c>
      <c r="O15">
        <v>755.42277087709488</v>
      </c>
      <c r="P15">
        <v>0.42399999999999999</v>
      </c>
      <c r="Q15">
        <v>7.6E-3</v>
      </c>
      <c r="R15">
        <v>2.599000000000018</v>
      </c>
      <c r="S15" s="2">
        <v>45681</v>
      </c>
      <c r="T15" t="s">
        <v>823</v>
      </c>
      <c r="U15">
        <v>3</v>
      </c>
      <c r="V15">
        <v>6.6E-3</v>
      </c>
      <c r="W15">
        <v>6.4872601293342598</v>
      </c>
      <c r="X15">
        <v>755.64098627382134</v>
      </c>
      <c r="Y15">
        <v>0.42399999999999999</v>
      </c>
      <c r="Z15">
        <v>7.6E-3</v>
      </c>
      <c r="AA15">
        <v>2.5997000000000412</v>
      </c>
      <c r="AB15" s="2">
        <v>45681</v>
      </c>
      <c r="AC15" t="s">
        <v>1023</v>
      </c>
      <c r="AD15">
        <v>3</v>
      </c>
      <c r="AE15">
        <v>6.6E-3</v>
      </c>
      <c r="AF15">
        <v>6.4879575390241957</v>
      </c>
      <c r="AG15">
        <v>755.7071704533962</v>
      </c>
      <c r="AH15">
        <v>0.42399999999999999</v>
      </c>
      <c r="AI15">
        <v>7.6E-3</v>
      </c>
      <c r="AJ15">
        <v>2.6005999999999858</v>
      </c>
      <c r="AK15" s="2">
        <v>45681</v>
      </c>
      <c r="AL15" t="s">
        <v>1323</v>
      </c>
      <c r="AM15">
        <v>4</v>
      </c>
      <c r="AN15">
        <v>6.1000000000000004E-3</v>
      </c>
      <c r="AO15">
        <v>6.4886581924801314</v>
      </c>
      <c r="AP15">
        <v>755.7736624663645</v>
      </c>
      <c r="AQ15">
        <v>0.42399999999999999</v>
      </c>
      <c r="AR15">
        <v>7.7000000000000002E-3</v>
      </c>
      <c r="AS15">
        <v>2.5985000000000014</v>
      </c>
      <c r="AT15" s="2">
        <v>45681</v>
      </c>
      <c r="AU15" t="s">
        <v>1523</v>
      </c>
      <c r="AV15">
        <v>5</v>
      </c>
      <c r="AW15">
        <v>6.3E-3</v>
      </c>
      <c r="AX15">
        <v>6.4901458646617458</v>
      </c>
      <c r="AY15">
        <v>755.91484255639966</v>
      </c>
      <c r="AZ15">
        <v>0.42399999999999999</v>
      </c>
      <c r="BA15">
        <v>7.7000000000000002E-3</v>
      </c>
      <c r="BB15">
        <v>2.6021000000000072</v>
      </c>
      <c r="BC15" s="2">
        <v>45681</v>
      </c>
      <c r="BD15" t="s">
        <v>1721</v>
      </c>
      <c r="BE15">
        <v>6</v>
      </c>
      <c r="BF15">
        <v>6.1999999999999998E-3</v>
      </c>
      <c r="BG15">
        <v>6.4909803234651688</v>
      </c>
      <c r="BH15">
        <v>755.99403269684456</v>
      </c>
      <c r="BI15">
        <v>0.42399999999999999</v>
      </c>
      <c r="BJ15">
        <v>7.7000000000000002E-3</v>
      </c>
      <c r="BK15">
        <v>2.6026000000000522</v>
      </c>
      <c r="BL15" s="2">
        <v>45681</v>
      </c>
      <c r="BM15" t="s">
        <v>1921</v>
      </c>
      <c r="BN15">
        <v>6</v>
      </c>
      <c r="BO15">
        <v>6.4000000000000003E-3</v>
      </c>
      <c r="BP15">
        <v>6.4915123010891218</v>
      </c>
      <c r="BQ15">
        <v>756.04451737335773</v>
      </c>
      <c r="BR15">
        <v>0.42399999999999999</v>
      </c>
      <c r="BS15">
        <v>7.7000000000000002E-3</v>
      </c>
      <c r="BT15">
        <v>2.6005000000000109</v>
      </c>
      <c r="BU15" s="2">
        <v>45681</v>
      </c>
      <c r="BV15" t="s">
        <v>2003</v>
      </c>
      <c r="BW15">
        <v>6</v>
      </c>
      <c r="BX15">
        <v>-6.9999999999999999E-4</v>
      </c>
      <c r="BY15">
        <v>5.99575902126759</v>
      </c>
      <c r="BZ15">
        <v>606.80474078213945</v>
      </c>
      <c r="CA15">
        <v>0.42399999999999999</v>
      </c>
      <c r="CB15">
        <v>0</v>
      </c>
      <c r="CC15">
        <v>3.002399999999966</v>
      </c>
      <c r="CD15" s="2">
        <v>45681</v>
      </c>
      <c r="CE15" t="s">
        <v>2117</v>
      </c>
      <c r="CF15">
        <v>7</v>
      </c>
      <c r="CG15">
        <v>5.7999999999999996E-3</v>
      </c>
      <c r="CH15">
        <v>6.4919968386353268</v>
      </c>
      <c r="CI15">
        <v>756.09049998649255</v>
      </c>
      <c r="CJ15">
        <v>0.42399999999999999</v>
      </c>
      <c r="CK15">
        <v>7.7000000000000002E-3</v>
      </c>
      <c r="CL15">
        <v>2.6000000000000227</v>
      </c>
    </row>
    <row r="16" spans="1:90" x14ac:dyDescent="0.3">
      <c r="A16" s="2">
        <v>45681</v>
      </c>
      <c r="B16" t="s">
        <v>228</v>
      </c>
      <c r="C16">
        <v>1</v>
      </c>
      <c r="D16">
        <v>4.1000000000000003E-3</v>
      </c>
      <c r="E16">
        <v>6.2742212154842854</v>
      </c>
      <c r="F16">
        <v>735.42359334945877</v>
      </c>
      <c r="G16">
        <v>0.42399999999999999</v>
      </c>
      <c r="H16">
        <v>4.3E-3</v>
      </c>
      <c r="I16">
        <v>2.7995999999999981</v>
      </c>
      <c r="J16" s="2">
        <v>45681</v>
      </c>
      <c r="K16" t="s">
        <v>428</v>
      </c>
      <c r="L16">
        <v>1</v>
      </c>
      <c r="M16">
        <v>7.9000000000000008E-3</v>
      </c>
      <c r="N16">
        <v>6.5537577377989233</v>
      </c>
      <c r="O16">
        <v>761.95160931711791</v>
      </c>
      <c r="P16">
        <v>0.42399999999999999</v>
      </c>
      <c r="Q16">
        <v>8.6999999999999994E-3</v>
      </c>
      <c r="R16">
        <v>2.8040999999999769</v>
      </c>
      <c r="S16" s="2">
        <v>45681</v>
      </c>
      <c r="T16" t="s">
        <v>824</v>
      </c>
      <c r="U16">
        <v>3</v>
      </c>
      <c r="V16">
        <v>7.7999999999999996E-3</v>
      </c>
      <c r="W16">
        <v>6.554628688969844</v>
      </c>
      <c r="X16">
        <v>762.03426258323827</v>
      </c>
      <c r="Y16">
        <v>0.42399999999999999</v>
      </c>
      <c r="Z16">
        <v>8.6999999999999994E-3</v>
      </c>
      <c r="AA16">
        <v>2.8003000000000497</v>
      </c>
      <c r="AB16" s="2">
        <v>45681</v>
      </c>
      <c r="AC16" t="s">
        <v>1024</v>
      </c>
      <c r="AD16">
        <v>3</v>
      </c>
      <c r="AE16">
        <v>8.0000000000000002E-3</v>
      </c>
      <c r="AF16">
        <v>6.5553694840300247</v>
      </c>
      <c r="AG16">
        <v>762.10456403444937</v>
      </c>
      <c r="AH16">
        <v>0.42399999999999999</v>
      </c>
      <c r="AI16">
        <v>8.6999999999999994E-3</v>
      </c>
      <c r="AJ16">
        <v>2.8012999999999693</v>
      </c>
      <c r="AK16" s="2">
        <v>45681</v>
      </c>
      <c r="AL16" t="s">
        <v>1324</v>
      </c>
      <c r="AM16">
        <v>4</v>
      </c>
      <c r="AN16">
        <v>7.6E-3</v>
      </c>
      <c r="AO16">
        <v>6.5571004386616174</v>
      </c>
      <c r="AP16">
        <v>762.26883162898741</v>
      </c>
      <c r="AQ16">
        <v>0.42399999999999999</v>
      </c>
      <c r="AR16">
        <v>8.6999999999999994E-3</v>
      </c>
      <c r="AS16">
        <v>2.8019999999999641</v>
      </c>
      <c r="AT16" s="2">
        <v>45681</v>
      </c>
      <c r="AU16" t="s">
        <v>1524</v>
      </c>
      <c r="AV16">
        <v>5</v>
      </c>
      <c r="AW16">
        <v>7.4000000000000003E-3</v>
      </c>
      <c r="AX16">
        <v>6.5566041424636632</v>
      </c>
      <c r="AY16">
        <v>762.22173311980168</v>
      </c>
      <c r="AZ16">
        <v>0.42399999999999999</v>
      </c>
      <c r="BA16">
        <v>8.6999999999999994E-3</v>
      </c>
      <c r="BB16">
        <v>2.7995999999999981</v>
      </c>
      <c r="BC16" s="2">
        <v>45681</v>
      </c>
      <c r="BD16" t="s">
        <v>1722</v>
      </c>
      <c r="BE16">
        <v>6</v>
      </c>
      <c r="BF16">
        <v>7.1999999999999998E-3</v>
      </c>
      <c r="BG16">
        <v>6.5579649023005384</v>
      </c>
      <c r="BH16">
        <v>762.35086922832113</v>
      </c>
      <c r="BI16">
        <v>0.42399999999999999</v>
      </c>
      <c r="BJ16">
        <v>8.6999999999999994E-3</v>
      </c>
      <c r="BK16">
        <v>2.8015000000000327</v>
      </c>
      <c r="BL16" s="2">
        <v>45681</v>
      </c>
      <c r="BM16" t="s">
        <v>1922</v>
      </c>
      <c r="BN16">
        <v>6</v>
      </c>
      <c r="BO16">
        <v>6.7999999999999996E-3</v>
      </c>
      <c r="BP16">
        <v>6.5587239435444689</v>
      </c>
      <c r="BQ16">
        <v>762.42290224237013</v>
      </c>
      <c r="BR16">
        <v>0.42399999999999999</v>
      </c>
      <c r="BS16">
        <v>8.6999999999999994E-3</v>
      </c>
      <c r="BT16">
        <v>2.8001000000000431</v>
      </c>
      <c r="BU16" s="2">
        <v>45681</v>
      </c>
      <c r="BV16" t="s">
        <v>2004</v>
      </c>
      <c r="BW16">
        <v>6</v>
      </c>
      <c r="BX16">
        <v>-6.9999999999999999E-4</v>
      </c>
      <c r="BY16">
        <v>5.9988712881401183</v>
      </c>
      <c r="BZ16">
        <v>709.29288524449726</v>
      </c>
      <c r="CA16">
        <v>0.42399999999999999</v>
      </c>
      <c r="CB16">
        <v>0</v>
      </c>
      <c r="CC16">
        <v>3.199799999999982</v>
      </c>
      <c r="CD16" s="2">
        <v>45681</v>
      </c>
      <c r="CE16" t="s">
        <v>2118</v>
      </c>
      <c r="CF16">
        <v>7</v>
      </c>
      <c r="CG16">
        <v>7.4000000000000003E-3</v>
      </c>
      <c r="CH16">
        <v>6.5594335173569034</v>
      </c>
      <c r="CI16">
        <v>762.49024079717015</v>
      </c>
      <c r="CJ16">
        <v>0.42399999999999999</v>
      </c>
      <c r="CK16">
        <v>8.8000000000000005E-3</v>
      </c>
      <c r="CL16">
        <v>2.8001000000000431</v>
      </c>
    </row>
    <row r="17" spans="1:90" x14ac:dyDescent="0.3">
      <c r="A17" s="2">
        <v>45681</v>
      </c>
      <c r="B17" t="s">
        <v>229</v>
      </c>
      <c r="C17">
        <v>1</v>
      </c>
      <c r="D17">
        <v>4.4999999999999997E-3</v>
      </c>
      <c r="E17">
        <v>6.309419644723663</v>
      </c>
      <c r="F17">
        <v>738.76392428427562</v>
      </c>
      <c r="G17">
        <v>0.42399999999999999</v>
      </c>
      <c r="H17">
        <v>4.8999999999999998E-3</v>
      </c>
      <c r="I17">
        <v>3.0000999999999749</v>
      </c>
      <c r="J17" s="2">
        <v>45681</v>
      </c>
      <c r="K17" t="s">
        <v>429</v>
      </c>
      <c r="L17">
        <v>1</v>
      </c>
      <c r="M17">
        <v>8.6E-3</v>
      </c>
      <c r="N17">
        <v>6.6225718006581236</v>
      </c>
      <c r="O17">
        <v>768.48206388245592</v>
      </c>
      <c r="P17">
        <v>0.42399999999999999</v>
      </c>
      <c r="Q17">
        <v>9.7000000000000003E-3</v>
      </c>
      <c r="R17">
        <v>3.0000000000000284</v>
      </c>
      <c r="S17" s="2">
        <v>45681</v>
      </c>
      <c r="T17" t="s">
        <v>825</v>
      </c>
      <c r="U17">
        <v>3</v>
      </c>
      <c r="V17">
        <v>8.9999999999999993E-3</v>
      </c>
      <c r="W17">
        <v>6.6248566283341637</v>
      </c>
      <c r="X17">
        <v>768.69889402891215</v>
      </c>
      <c r="Y17">
        <v>0.42399999999999999</v>
      </c>
      <c r="Z17">
        <v>9.7999999999999997E-3</v>
      </c>
      <c r="AA17">
        <v>3.0001000000000317</v>
      </c>
      <c r="AB17" s="2">
        <v>45681</v>
      </c>
      <c r="AC17" t="s">
        <v>1025</v>
      </c>
      <c r="AD17">
        <v>3</v>
      </c>
      <c r="AE17">
        <v>8.6999999999999994E-3</v>
      </c>
      <c r="AF17">
        <v>6.6251501891571394</v>
      </c>
      <c r="AG17">
        <v>768.7267529510126</v>
      </c>
      <c r="AH17">
        <v>0.42399999999999999</v>
      </c>
      <c r="AI17">
        <v>9.7999999999999997E-3</v>
      </c>
      <c r="AJ17">
        <v>2.9996999999999616</v>
      </c>
      <c r="AK17" s="2">
        <v>45681</v>
      </c>
      <c r="AL17" t="s">
        <v>1325</v>
      </c>
      <c r="AM17">
        <v>4</v>
      </c>
      <c r="AN17">
        <v>8.3999999999999995E-3</v>
      </c>
      <c r="AO17">
        <v>6.6261180478373003</v>
      </c>
      <c r="AP17">
        <v>768.81860273975985</v>
      </c>
      <c r="AQ17">
        <v>0.42399999999999999</v>
      </c>
      <c r="AR17">
        <v>9.7999999999999997E-3</v>
      </c>
      <c r="AS17">
        <v>2.9980999999999653</v>
      </c>
      <c r="AT17" s="2">
        <v>45681</v>
      </c>
      <c r="AU17" t="s">
        <v>1525</v>
      </c>
      <c r="AV17">
        <v>5</v>
      </c>
      <c r="AW17">
        <v>8.2000000000000007E-3</v>
      </c>
      <c r="AX17">
        <v>6.6277293885976496</v>
      </c>
      <c r="AY17">
        <v>768.97151897791707</v>
      </c>
      <c r="AZ17">
        <v>0.42399999999999999</v>
      </c>
      <c r="BA17">
        <v>9.7999999999999997E-3</v>
      </c>
      <c r="BB17">
        <v>3.0016999999999712</v>
      </c>
      <c r="BC17" s="2">
        <v>45681</v>
      </c>
      <c r="BD17" t="s">
        <v>1723</v>
      </c>
      <c r="BE17">
        <v>6</v>
      </c>
      <c r="BF17">
        <v>8.2000000000000007E-3</v>
      </c>
      <c r="BG17">
        <v>6.628538302743828</v>
      </c>
      <c r="BH17">
        <v>769.04828493038929</v>
      </c>
      <c r="BI17">
        <v>0.42399999999999999</v>
      </c>
      <c r="BJ17">
        <v>9.7999999999999997E-3</v>
      </c>
      <c r="BK17">
        <v>3.0018000000000029</v>
      </c>
      <c r="BL17" s="2">
        <v>45681</v>
      </c>
      <c r="BM17" t="s">
        <v>1923</v>
      </c>
      <c r="BN17">
        <v>6</v>
      </c>
      <c r="BO17">
        <v>8.5000000000000006E-3</v>
      </c>
      <c r="BP17">
        <v>6.629417768800498</v>
      </c>
      <c r="BQ17">
        <v>769.13174625916736</v>
      </c>
      <c r="BR17">
        <v>0.42399999999999999</v>
      </c>
      <c r="BS17">
        <v>9.7999999999999997E-3</v>
      </c>
      <c r="BT17">
        <v>3.000699999999938</v>
      </c>
      <c r="BU17" s="2">
        <v>45681</v>
      </c>
      <c r="BV17" t="s">
        <v>2005</v>
      </c>
      <c r="BW17">
        <v>6</v>
      </c>
      <c r="BX17">
        <v>-5.9999999999999995E-4</v>
      </c>
      <c r="BY17">
        <v>6.0073932250256812</v>
      </c>
      <c r="BZ17">
        <v>710.10161705493715</v>
      </c>
      <c r="CA17">
        <v>0.42399999999999999</v>
      </c>
      <c r="CB17">
        <v>2.0000000000000001E-4</v>
      </c>
      <c r="CC17">
        <v>3.401299999999992</v>
      </c>
      <c r="CD17" s="2">
        <v>45681</v>
      </c>
      <c r="CE17" t="s">
        <v>2119</v>
      </c>
      <c r="CF17">
        <v>7</v>
      </c>
      <c r="CG17">
        <v>8.0999999999999996E-3</v>
      </c>
      <c r="CH17">
        <v>6.629668349723973</v>
      </c>
      <c r="CI17">
        <v>769.15552638880513</v>
      </c>
      <c r="CJ17">
        <v>0.42399999999999999</v>
      </c>
      <c r="CK17">
        <v>9.7999999999999997E-3</v>
      </c>
      <c r="CL17">
        <v>2.9994000000000369</v>
      </c>
    </row>
    <row r="18" spans="1:90" x14ac:dyDescent="0.3">
      <c r="A18" s="2">
        <v>45681</v>
      </c>
      <c r="B18" t="s">
        <v>230</v>
      </c>
      <c r="C18">
        <v>1</v>
      </c>
      <c r="D18">
        <v>5.1999999999999998E-3</v>
      </c>
      <c r="E18">
        <v>6.3458735330461522</v>
      </c>
      <c r="F18">
        <v>742.22339828607983</v>
      </c>
      <c r="G18">
        <v>0.42399999999999999</v>
      </c>
      <c r="H18">
        <v>5.4000000000000003E-3</v>
      </c>
      <c r="I18">
        <v>3.1995999999999754</v>
      </c>
      <c r="J18" s="2">
        <v>45681</v>
      </c>
      <c r="K18" t="s">
        <v>430</v>
      </c>
      <c r="L18">
        <v>1</v>
      </c>
      <c r="M18">
        <v>0.01</v>
      </c>
      <c r="N18">
        <v>6.6964080242263657</v>
      </c>
      <c r="O18">
        <v>775.4891214990821</v>
      </c>
      <c r="P18">
        <v>0.42399999999999999</v>
      </c>
      <c r="Q18">
        <v>1.09E-2</v>
      </c>
      <c r="R18">
        <v>3.2021000000000015</v>
      </c>
      <c r="S18" s="2">
        <v>45681</v>
      </c>
      <c r="T18" t="s">
        <v>826</v>
      </c>
      <c r="U18">
        <v>3</v>
      </c>
      <c r="V18">
        <v>9.7999999999999997E-3</v>
      </c>
      <c r="W18">
        <v>6.6972068016037927</v>
      </c>
      <c r="X18">
        <v>775.5649254722</v>
      </c>
      <c r="Y18">
        <v>0.42399999999999999</v>
      </c>
      <c r="Z18">
        <v>1.09E-2</v>
      </c>
      <c r="AA18">
        <v>3.1979000000000042</v>
      </c>
      <c r="AB18" s="2">
        <v>45681</v>
      </c>
      <c r="AC18" t="s">
        <v>1026</v>
      </c>
      <c r="AD18">
        <v>3</v>
      </c>
      <c r="AE18">
        <v>9.9000000000000008E-3</v>
      </c>
      <c r="AF18">
        <v>6.6980988372537107</v>
      </c>
      <c r="AG18">
        <v>775.64957965537724</v>
      </c>
      <c r="AH18">
        <v>0.42399999999999999</v>
      </c>
      <c r="AI18">
        <v>1.09E-2</v>
      </c>
      <c r="AJ18">
        <v>3.1991999999999621</v>
      </c>
      <c r="AK18" s="2">
        <v>45681</v>
      </c>
      <c r="AL18" t="s">
        <v>1326</v>
      </c>
      <c r="AM18">
        <v>4</v>
      </c>
      <c r="AN18">
        <v>9.5999999999999992E-3</v>
      </c>
      <c r="AO18">
        <v>6.7000442859120328</v>
      </c>
      <c r="AP18">
        <v>775.83420273305194</v>
      </c>
      <c r="AQ18">
        <v>0.42399999999999999</v>
      </c>
      <c r="AR18">
        <v>1.09E-2</v>
      </c>
      <c r="AS18">
        <v>3.2000999999999635</v>
      </c>
      <c r="AT18" s="2">
        <v>45681</v>
      </c>
      <c r="AU18" t="s">
        <v>1526</v>
      </c>
      <c r="AV18">
        <v>5</v>
      </c>
      <c r="AW18">
        <v>9.4999999999999998E-3</v>
      </c>
      <c r="AX18">
        <v>6.7008832048937048</v>
      </c>
      <c r="AY18">
        <v>775.91381614441264</v>
      </c>
      <c r="AZ18">
        <v>0.42399999999999999</v>
      </c>
      <c r="BA18">
        <v>1.0999999999999999E-2</v>
      </c>
      <c r="BB18">
        <v>3.2013999999999783</v>
      </c>
      <c r="BC18" s="2">
        <v>45681</v>
      </c>
      <c r="BD18" t="s">
        <v>1724</v>
      </c>
      <c r="BE18">
        <v>6</v>
      </c>
      <c r="BF18">
        <v>9.2999999999999992E-3</v>
      </c>
      <c r="BG18">
        <v>6.7021032663803428</v>
      </c>
      <c r="BH18">
        <v>776.02959997949461</v>
      </c>
      <c r="BI18">
        <v>0.42399999999999999</v>
      </c>
      <c r="BJ18">
        <v>1.0999999999999999E-2</v>
      </c>
      <c r="BK18">
        <v>3.2025999999999613</v>
      </c>
      <c r="BL18" s="2">
        <v>45681</v>
      </c>
      <c r="BM18" t="s">
        <v>1924</v>
      </c>
      <c r="BN18">
        <v>6</v>
      </c>
      <c r="BO18">
        <v>9.4000000000000004E-3</v>
      </c>
      <c r="BP18">
        <v>6.702616997820547</v>
      </c>
      <c r="BQ18">
        <v>776.07835309316999</v>
      </c>
      <c r="BR18">
        <v>0.42399999999999999</v>
      </c>
      <c r="BS18">
        <v>1.0999999999999999E-2</v>
      </c>
      <c r="BT18">
        <v>3.2002999999999702</v>
      </c>
      <c r="BU18" s="2">
        <v>45681</v>
      </c>
      <c r="BV18" t="s">
        <v>2006</v>
      </c>
      <c r="BW18">
        <v>6</v>
      </c>
      <c r="BX18">
        <v>-5.0000000000000001E-4</v>
      </c>
      <c r="BY18">
        <v>6.0212292899432089</v>
      </c>
      <c r="BZ18">
        <v>711.41465961561062</v>
      </c>
      <c r="CA18">
        <v>0.42399999999999999</v>
      </c>
      <c r="CB18">
        <v>4.0000000000000002E-4</v>
      </c>
      <c r="CC18">
        <v>3.6020999999999503</v>
      </c>
      <c r="CD18" s="2">
        <v>45681</v>
      </c>
      <c r="CE18" t="s">
        <v>2120</v>
      </c>
      <c r="CF18">
        <v>7</v>
      </c>
      <c r="CG18">
        <v>9.1999999999999998E-3</v>
      </c>
      <c r="CH18">
        <v>6.7041460280186573</v>
      </c>
      <c r="CI18">
        <v>776.22345805897066</v>
      </c>
      <c r="CJ18">
        <v>0.42399999999999999</v>
      </c>
      <c r="CK18">
        <v>1.0999999999999999E-2</v>
      </c>
      <c r="CL18">
        <v>3.2024000000000115</v>
      </c>
    </row>
    <row r="19" spans="1:90" x14ac:dyDescent="0.3">
      <c r="A19" s="2">
        <v>45681</v>
      </c>
      <c r="B19" t="s">
        <v>231</v>
      </c>
      <c r="C19">
        <v>1</v>
      </c>
      <c r="D19">
        <v>5.4999999999999997E-3</v>
      </c>
      <c r="E19">
        <v>6.3834945283753344</v>
      </c>
      <c r="F19">
        <v>745.79363074281923</v>
      </c>
      <c r="G19">
        <v>0.42399999999999999</v>
      </c>
      <c r="H19">
        <v>6.0000000000000001E-3</v>
      </c>
      <c r="I19">
        <v>3.3985999999999876</v>
      </c>
      <c r="J19" s="2">
        <v>45681</v>
      </c>
      <c r="K19" t="s">
        <v>431</v>
      </c>
      <c r="L19">
        <v>1</v>
      </c>
      <c r="M19">
        <v>1.1599999999999999E-2</v>
      </c>
      <c r="N19">
        <v>6.77096355290504</v>
      </c>
      <c r="O19">
        <v>782.56444117068838</v>
      </c>
      <c r="P19">
        <v>0.42399999999999999</v>
      </c>
      <c r="Q19">
        <v>1.2E-2</v>
      </c>
      <c r="R19">
        <v>3.3991999999999791</v>
      </c>
      <c r="S19" s="2">
        <v>45681</v>
      </c>
      <c r="T19" t="s">
        <v>827</v>
      </c>
      <c r="U19">
        <v>3</v>
      </c>
      <c r="V19">
        <v>1.14E-2</v>
      </c>
      <c r="W19">
        <v>6.773187559968588</v>
      </c>
      <c r="X19">
        <v>782.77549944101906</v>
      </c>
      <c r="Y19">
        <v>0.42399999999999999</v>
      </c>
      <c r="Z19">
        <v>1.21E-2</v>
      </c>
      <c r="AA19">
        <v>3.3987000000000194</v>
      </c>
      <c r="AB19" s="2">
        <v>45681</v>
      </c>
      <c r="AC19" t="s">
        <v>1027</v>
      </c>
      <c r="AD19">
        <v>3</v>
      </c>
      <c r="AE19">
        <v>1.1299999999999999E-2</v>
      </c>
      <c r="AF19">
        <v>6.7743609923189796</v>
      </c>
      <c r="AG19">
        <v>782.88685817107125</v>
      </c>
      <c r="AH19">
        <v>0.42399999999999999</v>
      </c>
      <c r="AI19">
        <v>1.21E-2</v>
      </c>
      <c r="AJ19">
        <v>3.4005999999999972</v>
      </c>
      <c r="AK19" s="2">
        <v>45681</v>
      </c>
      <c r="AL19" t="s">
        <v>1327</v>
      </c>
      <c r="AM19">
        <v>4</v>
      </c>
      <c r="AN19">
        <v>1.0800000000000001E-2</v>
      </c>
      <c r="AO19">
        <v>6.775995850382829</v>
      </c>
      <c r="AP19">
        <v>783.04200620133054</v>
      </c>
      <c r="AQ19">
        <v>0.42399999999999999</v>
      </c>
      <c r="AR19">
        <v>1.21E-2</v>
      </c>
      <c r="AS19">
        <v>3.4004999999999654</v>
      </c>
      <c r="AT19" s="2">
        <v>45681</v>
      </c>
      <c r="AU19" t="s">
        <v>1527</v>
      </c>
      <c r="AV19">
        <v>5</v>
      </c>
      <c r="AW19">
        <v>1.0500000000000001E-2</v>
      </c>
      <c r="AX19">
        <v>6.7769742513024891</v>
      </c>
      <c r="AY19">
        <v>783.13485644860623</v>
      </c>
      <c r="AZ19">
        <v>0.42399999999999999</v>
      </c>
      <c r="BA19">
        <v>1.21E-2</v>
      </c>
      <c r="BB19">
        <v>3.4021999999999935</v>
      </c>
      <c r="BC19" s="2">
        <v>45681</v>
      </c>
      <c r="BD19" t="s">
        <v>1725</v>
      </c>
      <c r="BE19">
        <v>6</v>
      </c>
      <c r="BF19">
        <v>1.0500000000000001E-2</v>
      </c>
      <c r="BG19">
        <v>6.7773541773952068</v>
      </c>
      <c r="BH19">
        <v>783.17091143480513</v>
      </c>
      <c r="BI19">
        <v>0.42399999999999999</v>
      </c>
      <c r="BJ19">
        <v>1.21E-2</v>
      </c>
      <c r="BK19">
        <v>3.4009999999999536</v>
      </c>
      <c r="BL19" s="2">
        <v>45681</v>
      </c>
      <c r="BM19" t="s">
        <v>1925</v>
      </c>
      <c r="BN19">
        <v>6</v>
      </c>
      <c r="BO19">
        <v>1.0800000000000001E-2</v>
      </c>
      <c r="BP19">
        <v>6.7782210738586253</v>
      </c>
      <c r="BQ19">
        <v>783.25317990918359</v>
      </c>
      <c r="BR19">
        <v>0.42399999999999999</v>
      </c>
      <c r="BS19">
        <v>1.2200000000000001E-2</v>
      </c>
      <c r="BT19">
        <v>3.3996999999999389</v>
      </c>
      <c r="BU19" s="2">
        <v>45681</v>
      </c>
      <c r="BV19" t="s">
        <v>2007</v>
      </c>
      <c r="BW19">
        <v>6</v>
      </c>
      <c r="BX19">
        <v>-2.0000000000000001E-4</v>
      </c>
      <c r="BY19">
        <v>6.0401013096846921</v>
      </c>
      <c r="BZ19">
        <v>713.20561428907729</v>
      </c>
      <c r="CA19">
        <v>0.42399999999999999</v>
      </c>
      <c r="CB19">
        <v>6.9999999999999999E-4</v>
      </c>
      <c r="CC19">
        <v>3.8007000000000062</v>
      </c>
      <c r="CD19" s="2">
        <v>45681</v>
      </c>
      <c r="CE19" t="s">
        <v>2121</v>
      </c>
      <c r="CF19">
        <v>7</v>
      </c>
      <c r="CG19">
        <v>1.0200000000000001E-2</v>
      </c>
      <c r="CH19">
        <v>6.7789006428355636</v>
      </c>
      <c r="CI19">
        <v>783.31767100509501</v>
      </c>
      <c r="CJ19">
        <v>0.42399999999999999</v>
      </c>
      <c r="CK19">
        <v>1.2200000000000001E-2</v>
      </c>
      <c r="CL19">
        <v>3.3994000000000142</v>
      </c>
    </row>
    <row r="20" spans="1:90" x14ac:dyDescent="0.3">
      <c r="A20" s="2">
        <v>45681</v>
      </c>
      <c r="B20" t="s">
        <v>232</v>
      </c>
      <c r="C20">
        <v>1</v>
      </c>
      <c r="D20">
        <v>6.4000000000000003E-3</v>
      </c>
      <c r="E20">
        <v>6.4224606323704423</v>
      </c>
      <c r="F20">
        <v>749.49151401195502</v>
      </c>
      <c r="G20">
        <v>0.42399999999999999</v>
      </c>
      <c r="H20">
        <v>6.6E-3</v>
      </c>
      <c r="I20">
        <v>3.5985999999999763</v>
      </c>
      <c r="J20" s="2">
        <v>45681</v>
      </c>
      <c r="K20" t="s">
        <v>432</v>
      </c>
      <c r="L20">
        <v>1</v>
      </c>
      <c r="M20">
        <v>1.2200000000000001E-2</v>
      </c>
      <c r="N20">
        <v>6.8490892515371398</v>
      </c>
      <c r="O20">
        <v>789.97856997087456</v>
      </c>
      <c r="P20">
        <v>0.42399999999999999</v>
      </c>
      <c r="Q20">
        <v>1.3299999999999999E-2</v>
      </c>
      <c r="R20">
        <v>3.5997999999999877</v>
      </c>
      <c r="S20" s="2">
        <v>45681</v>
      </c>
      <c r="T20" t="s">
        <v>828</v>
      </c>
      <c r="U20">
        <v>3</v>
      </c>
      <c r="V20">
        <v>1.2500000000000001E-2</v>
      </c>
      <c r="W20">
        <v>6.8506936992947427</v>
      </c>
      <c r="X20">
        <v>790.13083206307113</v>
      </c>
      <c r="Y20">
        <v>0.42399999999999999</v>
      </c>
      <c r="Z20">
        <v>1.3299999999999999E-2</v>
      </c>
      <c r="AA20">
        <v>3.5975999999999999</v>
      </c>
      <c r="AB20" s="2">
        <v>45681</v>
      </c>
      <c r="AC20" t="s">
        <v>1028</v>
      </c>
      <c r="AD20">
        <v>3</v>
      </c>
      <c r="AE20">
        <v>1.2200000000000001E-2</v>
      </c>
      <c r="AF20">
        <v>6.8521773167688584</v>
      </c>
      <c r="AG20">
        <v>790.27162736136461</v>
      </c>
      <c r="AH20">
        <v>0.42399999999999999</v>
      </c>
      <c r="AI20">
        <v>1.3299999999999999E-2</v>
      </c>
      <c r="AJ20">
        <v>3.6000999999999976</v>
      </c>
      <c r="AK20" s="2">
        <v>45681</v>
      </c>
      <c r="AL20" t="s">
        <v>1328</v>
      </c>
      <c r="AM20">
        <v>4</v>
      </c>
      <c r="AN20">
        <v>1.18E-2</v>
      </c>
      <c r="AO20">
        <v>6.8539431418849439</v>
      </c>
      <c r="AP20">
        <v>790.43920416488118</v>
      </c>
      <c r="AQ20">
        <v>0.42399999999999999</v>
      </c>
      <c r="AR20">
        <v>1.3299999999999999E-2</v>
      </c>
      <c r="AS20">
        <v>3.6003000000000043</v>
      </c>
      <c r="AT20" s="2">
        <v>45681</v>
      </c>
      <c r="AU20" t="s">
        <v>1528</v>
      </c>
      <c r="AV20">
        <v>5</v>
      </c>
      <c r="AW20">
        <v>1.18E-2</v>
      </c>
      <c r="AX20">
        <v>6.854583380199136</v>
      </c>
      <c r="AY20">
        <v>790.49996278089804</v>
      </c>
      <c r="AZ20">
        <v>0.42399999999999999</v>
      </c>
      <c r="BA20">
        <v>1.3299999999999999E-2</v>
      </c>
      <c r="BB20">
        <v>3.6009999999999991</v>
      </c>
      <c r="BC20" s="2">
        <v>45681</v>
      </c>
      <c r="BD20" t="s">
        <v>1726</v>
      </c>
      <c r="BE20">
        <v>6</v>
      </c>
      <c r="BF20">
        <v>1.1900000000000001E-2</v>
      </c>
      <c r="BG20">
        <v>6.8552426756385767</v>
      </c>
      <c r="BH20">
        <v>790.56252991810095</v>
      </c>
      <c r="BI20">
        <v>0.42399999999999999</v>
      </c>
      <c r="BJ20">
        <v>1.34E-2</v>
      </c>
      <c r="BK20">
        <v>3.6005000000000109</v>
      </c>
      <c r="BL20" s="2">
        <v>45681</v>
      </c>
      <c r="BM20" t="s">
        <v>1926</v>
      </c>
      <c r="BN20">
        <v>6</v>
      </c>
      <c r="BO20">
        <v>1.1599999999999999E-2</v>
      </c>
      <c r="BP20">
        <v>6.8562291859732349</v>
      </c>
      <c r="BQ20">
        <v>790.65614974886</v>
      </c>
      <c r="BR20">
        <v>0.42399999999999999</v>
      </c>
      <c r="BS20">
        <v>1.34E-2</v>
      </c>
      <c r="BT20">
        <v>3.599399999999946</v>
      </c>
      <c r="BU20" s="2">
        <v>45681</v>
      </c>
      <c r="BV20" t="s">
        <v>2008</v>
      </c>
      <c r="BW20">
        <v>6</v>
      </c>
      <c r="BX20">
        <v>-2.0000000000000001E-4</v>
      </c>
      <c r="BY20">
        <v>6.0643586783953713</v>
      </c>
      <c r="BZ20">
        <v>715.50763857972072</v>
      </c>
      <c r="CA20">
        <v>0.42399999999999999</v>
      </c>
      <c r="CB20">
        <v>1.1000000000000001E-3</v>
      </c>
      <c r="CC20">
        <v>4.0015999999999394</v>
      </c>
      <c r="CD20" s="2">
        <v>45681</v>
      </c>
      <c r="CE20" t="s">
        <v>2122</v>
      </c>
      <c r="CF20">
        <v>7</v>
      </c>
      <c r="CG20">
        <v>1.18E-2</v>
      </c>
      <c r="CH20">
        <v>6.857849852560836</v>
      </c>
      <c r="CI20">
        <v>790.8099510080234</v>
      </c>
      <c r="CJ20">
        <v>0.42399999999999999</v>
      </c>
      <c r="CK20">
        <v>1.34E-2</v>
      </c>
      <c r="CL20">
        <v>3.6014999999999873</v>
      </c>
    </row>
    <row r="21" spans="1:90" x14ac:dyDescent="0.3">
      <c r="A21" s="2">
        <v>45681</v>
      </c>
      <c r="B21" t="s">
        <v>233</v>
      </c>
      <c r="C21">
        <v>1</v>
      </c>
      <c r="D21">
        <v>6.7999999999999996E-3</v>
      </c>
      <c r="E21">
        <v>6.4622583974207997</v>
      </c>
      <c r="F21">
        <v>753.26832191523397</v>
      </c>
      <c r="G21">
        <v>0.42399999999999999</v>
      </c>
      <c r="H21">
        <v>7.1999999999999998E-3</v>
      </c>
      <c r="I21">
        <v>3.7978999999999985</v>
      </c>
      <c r="J21" s="2">
        <v>45681</v>
      </c>
      <c r="K21" t="s">
        <v>433</v>
      </c>
      <c r="L21">
        <v>1</v>
      </c>
      <c r="M21">
        <v>1.3299999999999999E-2</v>
      </c>
      <c r="N21">
        <v>6.9299668801492356</v>
      </c>
      <c r="O21">
        <v>797.65385692616258</v>
      </c>
      <c r="P21">
        <v>0.42399999999999999</v>
      </c>
      <c r="Q21">
        <v>1.4500000000000001E-2</v>
      </c>
      <c r="R21">
        <v>3.8023000000000309</v>
      </c>
      <c r="S21" s="2">
        <v>45681</v>
      </c>
      <c r="T21" t="s">
        <v>829</v>
      </c>
      <c r="U21">
        <v>3</v>
      </c>
      <c r="V21">
        <v>1.38E-2</v>
      </c>
      <c r="W21">
        <v>6.9314910446983449</v>
      </c>
      <c r="X21">
        <v>797.79850014187298</v>
      </c>
      <c r="Y21">
        <v>0.42399999999999999</v>
      </c>
      <c r="Z21">
        <v>1.4500000000000001E-2</v>
      </c>
      <c r="AA21">
        <v>3.7997000000000298</v>
      </c>
      <c r="AB21" s="2">
        <v>45681</v>
      </c>
      <c r="AC21" t="s">
        <v>1029</v>
      </c>
      <c r="AD21">
        <v>3</v>
      </c>
      <c r="AE21">
        <v>1.34E-2</v>
      </c>
      <c r="AF21">
        <v>6.9317623046300723</v>
      </c>
      <c r="AG21">
        <v>797.82424270939384</v>
      </c>
      <c r="AH21">
        <v>0.42399999999999999</v>
      </c>
      <c r="AI21">
        <v>1.4500000000000001E-2</v>
      </c>
      <c r="AJ21">
        <v>3.7991999999999848</v>
      </c>
      <c r="AK21" s="2">
        <v>45681</v>
      </c>
      <c r="AL21" t="s">
        <v>1329</v>
      </c>
      <c r="AM21">
        <v>4</v>
      </c>
      <c r="AN21">
        <v>1.26E-2</v>
      </c>
      <c r="AO21">
        <v>6.9343439368950843</v>
      </c>
      <c r="AP21">
        <v>798.06923961134351</v>
      </c>
      <c r="AQ21">
        <v>0.42399999999999999</v>
      </c>
      <c r="AR21">
        <v>1.46E-2</v>
      </c>
      <c r="AS21">
        <v>3.8012999999999693</v>
      </c>
      <c r="AT21" s="2">
        <v>45681</v>
      </c>
      <c r="AU21" t="s">
        <v>1529</v>
      </c>
      <c r="AV21">
        <v>5</v>
      </c>
      <c r="AW21">
        <v>1.29E-2</v>
      </c>
      <c r="AX21">
        <v>6.9347627881797971</v>
      </c>
      <c r="AY21">
        <v>798.10898859826273</v>
      </c>
      <c r="AZ21">
        <v>0.42399999999999999</v>
      </c>
      <c r="BA21">
        <v>1.46E-2</v>
      </c>
      <c r="BB21">
        <v>3.8014999999999759</v>
      </c>
      <c r="BC21" s="2">
        <v>45681</v>
      </c>
      <c r="BD21" t="s">
        <v>1727</v>
      </c>
      <c r="BE21">
        <v>6</v>
      </c>
      <c r="BF21">
        <v>1.2699999999999999E-2</v>
      </c>
      <c r="BG21">
        <v>6.9350640529470198</v>
      </c>
      <c r="BH21">
        <v>798.13757862467219</v>
      </c>
      <c r="BI21">
        <v>0.42399999999999999</v>
      </c>
      <c r="BJ21">
        <v>1.46E-2</v>
      </c>
      <c r="BK21">
        <v>3.8001000000000431</v>
      </c>
      <c r="BL21" s="2">
        <v>45681</v>
      </c>
      <c r="BM21" t="s">
        <v>1927</v>
      </c>
      <c r="BN21">
        <v>6</v>
      </c>
      <c r="BO21">
        <v>1.29E-2</v>
      </c>
      <c r="BP21">
        <v>6.9374279474193026</v>
      </c>
      <c r="BQ21">
        <v>798.36191221009199</v>
      </c>
      <c r="BR21">
        <v>0.42399999999999999</v>
      </c>
      <c r="BS21">
        <v>1.46E-2</v>
      </c>
      <c r="BT21">
        <v>3.8022999999999456</v>
      </c>
      <c r="BU21" s="2">
        <v>45681</v>
      </c>
      <c r="BV21" t="s">
        <v>2009</v>
      </c>
      <c r="BW21">
        <v>6</v>
      </c>
      <c r="BX21">
        <v>1E-4</v>
      </c>
      <c r="BY21">
        <v>6.0934981987651291</v>
      </c>
      <c r="BZ21">
        <v>718.2729790628108</v>
      </c>
      <c r="CA21">
        <v>0.42399999999999999</v>
      </c>
      <c r="CB21">
        <v>1.5E-3</v>
      </c>
      <c r="CC21">
        <v>4.2010000000000218</v>
      </c>
      <c r="CD21" s="2">
        <v>45681</v>
      </c>
      <c r="CE21" t="s">
        <v>2123</v>
      </c>
      <c r="CF21">
        <v>7</v>
      </c>
      <c r="CG21">
        <v>1.2800000000000001E-2</v>
      </c>
      <c r="CH21">
        <v>6.9373561790965583</v>
      </c>
      <c r="CI21">
        <v>798.35510139626342</v>
      </c>
      <c r="CJ21">
        <v>0.42399999999999999</v>
      </c>
      <c r="CK21">
        <v>1.46E-2</v>
      </c>
      <c r="CL21">
        <v>3.8001000000000431</v>
      </c>
    </row>
    <row r="22" spans="1:90" x14ac:dyDescent="0.3">
      <c r="A22" s="2">
        <v>45681</v>
      </c>
      <c r="B22" t="s">
        <v>234</v>
      </c>
      <c r="C22">
        <v>1</v>
      </c>
      <c r="D22">
        <v>7.4999999999999997E-3</v>
      </c>
      <c r="E22">
        <v>6.503380835411285</v>
      </c>
      <c r="F22">
        <v>757.17084128053102</v>
      </c>
      <c r="G22">
        <v>0.42399999999999999</v>
      </c>
      <c r="H22">
        <v>7.9000000000000008E-3</v>
      </c>
      <c r="I22">
        <v>3.99969999999999</v>
      </c>
      <c r="J22" s="2">
        <v>45681</v>
      </c>
      <c r="K22" t="s">
        <v>434</v>
      </c>
      <c r="L22">
        <v>1</v>
      </c>
      <c r="M22">
        <v>1.49E-2</v>
      </c>
      <c r="N22">
        <v>7.0107548997255904</v>
      </c>
      <c r="O22">
        <v>805.32063998395859</v>
      </c>
      <c r="P22">
        <v>0.42399999999999999</v>
      </c>
      <c r="Q22">
        <v>1.5800000000000002E-2</v>
      </c>
      <c r="R22">
        <v>4.0003999999999849</v>
      </c>
      <c r="S22" s="2">
        <v>45681</v>
      </c>
      <c r="T22" t="s">
        <v>830</v>
      </c>
      <c r="U22">
        <v>3</v>
      </c>
      <c r="V22">
        <v>1.49E-2</v>
      </c>
      <c r="W22">
        <v>7.0124566604631857</v>
      </c>
      <c r="X22">
        <v>805.48213707795639</v>
      </c>
      <c r="Y22">
        <v>0.42399999999999999</v>
      </c>
      <c r="Z22">
        <v>1.5800000000000002E-2</v>
      </c>
      <c r="AA22">
        <v>3.9983000000000288</v>
      </c>
      <c r="AB22" s="2">
        <v>45681</v>
      </c>
      <c r="AC22" t="s">
        <v>1030</v>
      </c>
      <c r="AD22">
        <v>3</v>
      </c>
      <c r="AE22">
        <v>1.46E-2</v>
      </c>
      <c r="AF22">
        <v>7.0142520849440224</v>
      </c>
      <c r="AG22">
        <v>805.65252286118766</v>
      </c>
      <c r="AH22">
        <v>0.42399999999999999</v>
      </c>
      <c r="AI22">
        <v>1.5800000000000002E-2</v>
      </c>
      <c r="AJ22">
        <v>4.0014999999999645</v>
      </c>
      <c r="AK22" s="2">
        <v>45681</v>
      </c>
      <c r="AL22" t="s">
        <v>1330</v>
      </c>
      <c r="AM22">
        <v>4</v>
      </c>
      <c r="AN22">
        <v>1.3899999999999999E-2</v>
      </c>
      <c r="AO22">
        <v>7.0147917665122206</v>
      </c>
      <c r="AP22">
        <v>805.70373864200985</v>
      </c>
      <c r="AQ22">
        <v>0.42399999999999999</v>
      </c>
      <c r="AR22">
        <v>1.5800000000000002E-2</v>
      </c>
      <c r="AS22">
        <v>3.9984000000000037</v>
      </c>
      <c r="AT22" s="2">
        <v>45681</v>
      </c>
      <c r="AU22" t="s">
        <v>1530</v>
      </c>
      <c r="AV22">
        <v>5</v>
      </c>
      <c r="AW22">
        <v>1.4500000000000001E-2</v>
      </c>
      <c r="AX22">
        <v>7.0167376206412921</v>
      </c>
      <c r="AY22">
        <v>805.88840019885868</v>
      </c>
      <c r="AZ22">
        <v>0.42399999999999999</v>
      </c>
      <c r="BA22">
        <v>1.5900000000000001E-2</v>
      </c>
      <c r="BB22">
        <v>4.0022999999999911</v>
      </c>
      <c r="BC22" s="2">
        <v>45681</v>
      </c>
      <c r="BD22" t="s">
        <v>1728</v>
      </c>
      <c r="BE22">
        <v>6</v>
      </c>
      <c r="BF22">
        <v>1.38E-2</v>
      </c>
      <c r="BG22">
        <v>7.0172241855412496</v>
      </c>
      <c r="BH22">
        <v>805.93457520786467</v>
      </c>
      <c r="BI22">
        <v>0.42399999999999999</v>
      </c>
      <c r="BJ22">
        <v>1.5900000000000001E-2</v>
      </c>
      <c r="BK22">
        <v>4.0013999999999896</v>
      </c>
      <c r="BL22" s="2">
        <v>45681</v>
      </c>
      <c r="BM22" t="s">
        <v>1928</v>
      </c>
      <c r="BN22">
        <v>6</v>
      </c>
      <c r="BO22">
        <v>1.3899999999999999E-2</v>
      </c>
      <c r="BP22">
        <v>7.0181709597424096</v>
      </c>
      <c r="BQ22">
        <v>806.02442407955482</v>
      </c>
      <c r="BR22">
        <v>0.42399999999999999</v>
      </c>
      <c r="BS22">
        <v>1.5900000000000001E-2</v>
      </c>
      <c r="BT22">
        <v>4.0000999999999749</v>
      </c>
      <c r="BU22" s="2">
        <v>45681</v>
      </c>
      <c r="BV22" t="s">
        <v>2010</v>
      </c>
      <c r="BW22">
        <v>6</v>
      </c>
      <c r="BX22">
        <v>5.0000000000000001E-4</v>
      </c>
      <c r="BY22">
        <v>6.1277532597576432</v>
      </c>
      <c r="BZ22">
        <v>721.52378435100036</v>
      </c>
      <c r="CA22">
        <v>0.42399999999999999</v>
      </c>
      <c r="CB22">
        <v>2.0999999999999999E-3</v>
      </c>
      <c r="CC22">
        <v>4.4014999999999418</v>
      </c>
      <c r="CD22" s="2">
        <v>45681</v>
      </c>
      <c r="CE22" t="s">
        <v>2124</v>
      </c>
      <c r="CF22">
        <v>7</v>
      </c>
      <c r="CG22">
        <v>1.4500000000000001E-2</v>
      </c>
      <c r="CH22">
        <v>7.019998416412494</v>
      </c>
      <c r="CI22">
        <v>806.19784971754575</v>
      </c>
      <c r="CJ22">
        <v>0.42399999999999999</v>
      </c>
      <c r="CK22">
        <v>1.5900000000000001E-2</v>
      </c>
      <c r="CL22">
        <v>4.0025000000000546</v>
      </c>
    </row>
    <row r="23" spans="1:90" x14ac:dyDescent="0.3">
      <c r="A23" s="2">
        <v>45681</v>
      </c>
      <c r="B23" t="s">
        <v>235</v>
      </c>
      <c r="C23">
        <v>1</v>
      </c>
      <c r="D23">
        <v>8.2000000000000007E-3</v>
      </c>
      <c r="E23">
        <v>6.544626131039009</v>
      </c>
      <c r="F23">
        <v>761.085019835602</v>
      </c>
      <c r="G23">
        <v>0.42399999999999999</v>
      </c>
      <c r="H23">
        <v>8.5000000000000006E-3</v>
      </c>
      <c r="I23">
        <v>4.1987999999999772</v>
      </c>
      <c r="J23" s="2">
        <v>45681</v>
      </c>
      <c r="K23" t="s">
        <v>435</v>
      </c>
      <c r="L23">
        <v>1</v>
      </c>
      <c r="M23">
        <v>1.5900000000000001E-2</v>
      </c>
      <c r="N23">
        <v>7.0934145722837751</v>
      </c>
      <c r="O23">
        <v>813.16504290973035</v>
      </c>
      <c r="P23">
        <v>0.42399999999999999</v>
      </c>
      <c r="Q23">
        <v>1.7100000000000001E-2</v>
      </c>
      <c r="R23">
        <v>4.2000000000000171</v>
      </c>
      <c r="S23" s="2">
        <v>45681</v>
      </c>
      <c r="T23" t="s">
        <v>831</v>
      </c>
      <c r="U23">
        <v>3</v>
      </c>
      <c r="V23">
        <v>1.6500000000000001E-2</v>
      </c>
      <c r="W23">
        <v>7.0955753259103256</v>
      </c>
      <c r="X23">
        <v>813.37009842888995</v>
      </c>
      <c r="Y23">
        <v>0.42399999999999999</v>
      </c>
      <c r="Z23">
        <v>1.7100000000000001E-2</v>
      </c>
      <c r="AA23">
        <v>4.1989000000000374</v>
      </c>
      <c r="AB23" s="2">
        <v>45681</v>
      </c>
      <c r="AC23" t="s">
        <v>1031</v>
      </c>
      <c r="AD23">
        <v>3</v>
      </c>
      <c r="AE23">
        <v>1.61E-2</v>
      </c>
      <c r="AF23">
        <v>7.0964130284797511</v>
      </c>
      <c r="AG23">
        <v>813.44959640272839</v>
      </c>
      <c r="AH23">
        <v>0.42399999999999999</v>
      </c>
      <c r="AI23">
        <v>1.7100000000000001E-2</v>
      </c>
      <c r="AJ23">
        <v>4.1997000000000071</v>
      </c>
      <c r="AK23" s="2">
        <v>45681</v>
      </c>
      <c r="AL23" t="s">
        <v>1331</v>
      </c>
      <c r="AM23">
        <v>4</v>
      </c>
      <c r="AN23">
        <v>1.55E-2</v>
      </c>
      <c r="AO23">
        <v>7.0980547795463496</v>
      </c>
      <c r="AP23">
        <v>813.60539857894867</v>
      </c>
      <c r="AQ23">
        <v>0.42399999999999999</v>
      </c>
      <c r="AR23">
        <v>1.7100000000000001E-2</v>
      </c>
      <c r="AS23">
        <v>4.1992999999999938</v>
      </c>
      <c r="AT23" s="2">
        <v>45681</v>
      </c>
      <c r="AU23" t="s">
        <v>1531</v>
      </c>
      <c r="AV23">
        <v>5</v>
      </c>
      <c r="AW23">
        <v>1.5699999999999999E-2</v>
      </c>
      <c r="AX23">
        <v>7.0988316615032776</v>
      </c>
      <c r="AY23">
        <v>813.6791246766611</v>
      </c>
      <c r="AZ23">
        <v>0.42399999999999999</v>
      </c>
      <c r="BA23">
        <v>1.7100000000000001E-2</v>
      </c>
      <c r="BB23">
        <v>4.2001999999999953</v>
      </c>
      <c r="BC23" s="2">
        <v>45681</v>
      </c>
      <c r="BD23" t="s">
        <v>1729</v>
      </c>
      <c r="BE23">
        <v>6</v>
      </c>
      <c r="BF23">
        <v>1.55E-2</v>
      </c>
      <c r="BG23">
        <v>7.100663578351611</v>
      </c>
      <c r="BH23">
        <v>813.85297358556795</v>
      </c>
      <c r="BI23">
        <v>0.42399999999999999</v>
      </c>
      <c r="BJ23">
        <v>1.72E-2</v>
      </c>
      <c r="BK23">
        <v>4.2024999999999864</v>
      </c>
      <c r="BL23" s="2">
        <v>45681</v>
      </c>
      <c r="BM23" t="s">
        <v>1929</v>
      </c>
      <c r="BN23">
        <v>6</v>
      </c>
      <c r="BO23">
        <v>1.5699999999999999E-2</v>
      </c>
      <c r="BP23">
        <v>7.1009741689460819</v>
      </c>
      <c r="BQ23">
        <v>813.88244863298326</v>
      </c>
      <c r="BR23">
        <v>0.42399999999999999</v>
      </c>
      <c r="BS23">
        <v>1.72E-2</v>
      </c>
      <c r="BT23">
        <v>4.1997000000000071</v>
      </c>
      <c r="BU23" s="2">
        <v>45681</v>
      </c>
      <c r="BV23" t="s">
        <v>2011</v>
      </c>
      <c r="BW23">
        <v>6</v>
      </c>
      <c r="BX23">
        <v>8.9999999999999998E-4</v>
      </c>
      <c r="BY23">
        <v>6.1668653737698129</v>
      </c>
      <c r="BZ23">
        <v>725.23552397075525</v>
      </c>
      <c r="CA23">
        <v>0.42399999999999999</v>
      </c>
      <c r="CB23">
        <v>2.7000000000000001E-3</v>
      </c>
      <c r="CC23">
        <v>4.6020999999999503</v>
      </c>
      <c r="CD23" s="2">
        <v>45681</v>
      </c>
      <c r="CE23" t="s">
        <v>2125</v>
      </c>
      <c r="CF23">
        <v>7</v>
      </c>
      <c r="CG23">
        <v>1.5599999999999999E-2</v>
      </c>
      <c r="CH23">
        <v>7.1018329559945048</v>
      </c>
      <c r="CI23">
        <v>813.96394752387857</v>
      </c>
      <c r="CJ23">
        <v>0.42399999999999999</v>
      </c>
      <c r="CK23">
        <v>1.72E-2</v>
      </c>
      <c r="CL23">
        <v>4.1997000000000071</v>
      </c>
    </row>
    <row r="24" spans="1:90" x14ac:dyDescent="0.3">
      <c r="A24" s="2">
        <v>45681</v>
      </c>
      <c r="B24" t="s">
        <v>236</v>
      </c>
      <c r="C24">
        <v>1</v>
      </c>
      <c r="D24">
        <v>8.6999999999999994E-3</v>
      </c>
      <c r="E24">
        <v>6.5866033013704168</v>
      </c>
      <c r="F24">
        <v>765.06865330005257</v>
      </c>
      <c r="G24">
        <v>0.42399999999999999</v>
      </c>
      <c r="H24">
        <v>9.1999999999999998E-3</v>
      </c>
      <c r="I24">
        <v>4.3990999999999758</v>
      </c>
      <c r="J24" s="2">
        <v>45681</v>
      </c>
      <c r="K24" t="s">
        <v>436</v>
      </c>
      <c r="L24">
        <v>1</v>
      </c>
      <c r="M24">
        <v>1.7500000000000002E-2</v>
      </c>
      <c r="N24">
        <v>7.1780630788705251</v>
      </c>
      <c r="O24">
        <v>821.19818618481293</v>
      </c>
      <c r="P24">
        <v>0.42399999999999999</v>
      </c>
      <c r="Q24">
        <v>1.84E-2</v>
      </c>
      <c r="R24">
        <v>4.4018999999999835</v>
      </c>
      <c r="S24" s="2">
        <v>45681</v>
      </c>
      <c r="T24" t="s">
        <v>832</v>
      </c>
      <c r="U24">
        <v>3</v>
      </c>
      <c r="V24">
        <v>1.77E-2</v>
      </c>
      <c r="W24">
        <v>7.1789465996346964</v>
      </c>
      <c r="X24">
        <v>821.28203230533268</v>
      </c>
      <c r="Y24">
        <v>0.42399999999999999</v>
      </c>
      <c r="Z24">
        <v>1.84E-2</v>
      </c>
      <c r="AA24">
        <v>4.3976000000000113</v>
      </c>
      <c r="AB24" s="2">
        <v>45681</v>
      </c>
      <c r="AC24" t="s">
        <v>1032</v>
      </c>
      <c r="AD24">
        <v>3</v>
      </c>
      <c r="AE24">
        <v>1.7299999999999999E-2</v>
      </c>
      <c r="AF24">
        <v>7.180212073845329</v>
      </c>
      <c r="AG24">
        <v>821.40212580792172</v>
      </c>
      <c r="AH24">
        <v>0.42399999999999999</v>
      </c>
      <c r="AI24">
        <v>1.84E-2</v>
      </c>
      <c r="AJ24">
        <v>4.3994999999999891</v>
      </c>
      <c r="AK24" s="2">
        <v>45681</v>
      </c>
      <c r="AL24" t="s">
        <v>1332</v>
      </c>
      <c r="AM24">
        <v>4</v>
      </c>
      <c r="AN24">
        <v>1.6299999999999999E-2</v>
      </c>
      <c r="AO24">
        <v>7.1823302530431352</v>
      </c>
      <c r="AP24">
        <v>821.60314101379356</v>
      </c>
      <c r="AQ24">
        <v>0.42399999999999999</v>
      </c>
      <c r="AR24">
        <v>1.84E-2</v>
      </c>
      <c r="AS24">
        <v>4.4001999999999839</v>
      </c>
      <c r="AT24" s="2">
        <v>45681</v>
      </c>
      <c r="AU24" t="s">
        <v>1532</v>
      </c>
      <c r="AV24">
        <v>5</v>
      </c>
      <c r="AW24">
        <v>1.7299999999999999E-2</v>
      </c>
      <c r="AX24">
        <v>7.1828488501323378</v>
      </c>
      <c r="AY24">
        <v>821.65235587755888</v>
      </c>
      <c r="AZ24">
        <v>0.42399999999999999</v>
      </c>
      <c r="BA24">
        <v>1.84E-2</v>
      </c>
      <c r="BB24">
        <v>4.4004999999999654</v>
      </c>
      <c r="BC24" s="2">
        <v>45681</v>
      </c>
      <c r="BD24" t="s">
        <v>1730</v>
      </c>
      <c r="BE24">
        <v>6</v>
      </c>
      <c r="BF24">
        <v>1.67E-2</v>
      </c>
      <c r="BG24">
        <v>7.1840226879534788</v>
      </c>
      <c r="BH24">
        <v>821.76375308678519</v>
      </c>
      <c r="BI24">
        <v>0.42399999999999999</v>
      </c>
      <c r="BJ24">
        <v>1.8499999999999999E-2</v>
      </c>
      <c r="BK24">
        <v>4.4012000000000171</v>
      </c>
      <c r="BL24" s="2">
        <v>45681</v>
      </c>
      <c r="BM24" t="s">
        <v>1930</v>
      </c>
      <c r="BN24">
        <v>6</v>
      </c>
      <c r="BO24">
        <v>1.66E-2</v>
      </c>
      <c r="BP24">
        <v>7.1856470037778308</v>
      </c>
      <c r="BQ24">
        <v>821.91790065851615</v>
      </c>
      <c r="BR24">
        <v>0.42399999999999999</v>
      </c>
      <c r="BS24">
        <v>1.8499999999999999E-2</v>
      </c>
      <c r="BT24">
        <v>4.4013999999999669</v>
      </c>
      <c r="BU24" s="2">
        <v>45681</v>
      </c>
      <c r="BV24" t="s">
        <v>2012</v>
      </c>
      <c r="BW24">
        <v>6</v>
      </c>
      <c r="BX24">
        <v>1.4E-3</v>
      </c>
      <c r="BY24">
        <v>6.2100283433094869</v>
      </c>
      <c r="BZ24">
        <v>729.33168978007029</v>
      </c>
      <c r="CA24">
        <v>0.42399999999999999</v>
      </c>
      <c r="CB24">
        <v>3.3E-3</v>
      </c>
      <c r="CC24">
        <v>4.7998999999999796</v>
      </c>
      <c r="CD24" s="2">
        <v>45681</v>
      </c>
      <c r="CE24" t="s">
        <v>2126</v>
      </c>
      <c r="CF24">
        <v>7</v>
      </c>
      <c r="CG24">
        <v>1.7000000000000001E-2</v>
      </c>
      <c r="CH24">
        <v>7.1866777104242372</v>
      </c>
      <c r="CI24">
        <v>822.01571471926013</v>
      </c>
      <c r="CJ24">
        <v>0.42399999999999999</v>
      </c>
      <c r="CK24">
        <v>1.8499999999999999E-2</v>
      </c>
      <c r="CL24">
        <v>4.4019000000000688</v>
      </c>
    </row>
    <row r="25" spans="1:90" x14ac:dyDescent="0.3">
      <c r="A25" s="2">
        <v>45681</v>
      </c>
      <c r="B25" t="s">
        <v>237</v>
      </c>
      <c r="C25">
        <v>1</v>
      </c>
      <c r="D25">
        <v>9.4999999999999998E-3</v>
      </c>
      <c r="E25">
        <v>6.6291067727352759</v>
      </c>
      <c r="F25">
        <v>769.1022327325777</v>
      </c>
      <c r="G25">
        <v>0.42399999999999999</v>
      </c>
      <c r="H25">
        <v>9.7999999999999997E-3</v>
      </c>
      <c r="I25">
        <v>4.6001999999999725</v>
      </c>
      <c r="J25" s="2">
        <v>45681</v>
      </c>
      <c r="K25" t="s">
        <v>437</v>
      </c>
      <c r="L25">
        <v>1</v>
      </c>
      <c r="M25">
        <v>1.8700000000000001E-2</v>
      </c>
      <c r="N25">
        <v>7.262579401992789</v>
      </c>
      <c r="O25">
        <v>829.21878524911574</v>
      </c>
      <c r="P25">
        <v>0.42399999999999999</v>
      </c>
      <c r="Q25">
        <v>1.9699999999999999E-2</v>
      </c>
      <c r="R25">
        <v>4.6017999999999972</v>
      </c>
      <c r="S25" s="2">
        <v>45681</v>
      </c>
      <c r="T25" t="s">
        <v>833</v>
      </c>
      <c r="U25">
        <v>3</v>
      </c>
      <c r="V25">
        <v>1.8800000000000001E-2</v>
      </c>
      <c r="W25">
        <v>7.2638590676796708</v>
      </c>
      <c r="X25">
        <v>829.34022552280078</v>
      </c>
      <c r="Y25">
        <v>0.42399999999999999</v>
      </c>
      <c r="Z25">
        <v>1.9699999999999999E-2</v>
      </c>
      <c r="AA25">
        <v>4.5985000000000014</v>
      </c>
      <c r="AB25" s="2">
        <v>45681</v>
      </c>
      <c r="AC25" t="s">
        <v>1033</v>
      </c>
      <c r="AD25">
        <v>3</v>
      </c>
      <c r="AE25">
        <v>1.8800000000000001E-2</v>
      </c>
      <c r="AF25">
        <v>7.2649777614788196</v>
      </c>
      <c r="AG25">
        <v>829.44638956434005</v>
      </c>
      <c r="AH25">
        <v>0.42399999999999999</v>
      </c>
      <c r="AI25">
        <v>1.9699999999999999E-2</v>
      </c>
      <c r="AJ25">
        <v>4.5999999999999659</v>
      </c>
      <c r="AK25" s="2">
        <v>45681</v>
      </c>
      <c r="AL25" t="s">
        <v>1333</v>
      </c>
      <c r="AM25">
        <v>4</v>
      </c>
      <c r="AN25">
        <v>1.7999999999999999E-2</v>
      </c>
      <c r="AO25">
        <v>7.2675508788580832</v>
      </c>
      <c r="AP25">
        <v>829.69057840363212</v>
      </c>
      <c r="AQ25">
        <v>0.42399999999999999</v>
      </c>
      <c r="AR25">
        <v>1.9800000000000002E-2</v>
      </c>
      <c r="AS25">
        <v>4.6016999999999939</v>
      </c>
      <c r="AT25" s="2">
        <v>45681</v>
      </c>
      <c r="AU25" t="s">
        <v>1533</v>
      </c>
      <c r="AV25">
        <v>5</v>
      </c>
      <c r="AW25">
        <v>1.83E-2</v>
      </c>
      <c r="AX25">
        <v>7.2673108401741056</v>
      </c>
      <c r="AY25">
        <v>829.66779873252278</v>
      </c>
      <c r="AZ25">
        <v>0.42399999999999999</v>
      </c>
      <c r="BA25">
        <v>1.9800000000000002E-2</v>
      </c>
      <c r="BB25">
        <v>4.6003000000000043</v>
      </c>
      <c r="BC25" s="2">
        <v>45681</v>
      </c>
      <c r="BD25" t="s">
        <v>1731</v>
      </c>
      <c r="BE25">
        <v>6</v>
      </c>
      <c r="BF25">
        <v>1.83E-2</v>
      </c>
      <c r="BG25">
        <v>7.2682649128487693</v>
      </c>
      <c r="BH25">
        <v>829.75834022934828</v>
      </c>
      <c r="BI25">
        <v>0.42399999999999999</v>
      </c>
      <c r="BJ25">
        <v>1.9800000000000002E-2</v>
      </c>
      <c r="BK25">
        <v>4.600400000000036</v>
      </c>
      <c r="BL25" s="2">
        <v>45681</v>
      </c>
      <c r="BM25" t="s">
        <v>1931</v>
      </c>
      <c r="BN25">
        <v>6</v>
      </c>
      <c r="BO25">
        <v>1.8100000000000002E-2</v>
      </c>
      <c r="BP25">
        <v>7.2691362694904376</v>
      </c>
      <c r="BQ25">
        <v>829.84103197464253</v>
      </c>
      <c r="BR25">
        <v>0.42399999999999999</v>
      </c>
      <c r="BS25">
        <v>1.9800000000000002E-2</v>
      </c>
      <c r="BT25">
        <v>4.5988999999999578</v>
      </c>
      <c r="BU25" s="2">
        <v>45681</v>
      </c>
      <c r="BV25" t="s">
        <v>2013</v>
      </c>
      <c r="BW25">
        <v>6</v>
      </c>
      <c r="BX25">
        <v>1.8E-3</v>
      </c>
      <c r="BY25">
        <v>6.2583639032064386</v>
      </c>
      <c r="BZ25">
        <v>733.91873441429107</v>
      </c>
      <c r="CA25">
        <v>0.42399999999999999</v>
      </c>
      <c r="CB25">
        <v>4.1000000000000003E-3</v>
      </c>
      <c r="CC25">
        <v>5.0008000000000266</v>
      </c>
      <c r="CD25" s="2">
        <v>45681</v>
      </c>
      <c r="CE25" t="s">
        <v>2127</v>
      </c>
      <c r="CF25">
        <v>7</v>
      </c>
      <c r="CG25">
        <v>1.8499999999999999E-2</v>
      </c>
      <c r="CH25">
        <v>7.2711405114075047</v>
      </c>
      <c r="CI25">
        <v>830.03123453257228</v>
      </c>
      <c r="CJ25">
        <v>0.42399999999999999</v>
      </c>
      <c r="CK25">
        <v>1.9800000000000002E-2</v>
      </c>
      <c r="CL25">
        <v>4.6016000000000759</v>
      </c>
    </row>
    <row r="26" spans="1:90" x14ac:dyDescent="0.3">
      <c r="A26" s="2">
        <v>45681</v>
      </c>
      <c r="B26" t="s">
        <v>238</v>
      </c>
      <c r="C26">
        <v>1</v>
      </c>
      <c r="D26">
        <v>9.7999999999999997E-3</v>
      </c>
      <c r="E26">
        <v>6.6715473961338896</v>
      </c>
      <c r="F26">
        <v>773.12984789310622</v>
      </c>
      <c r="G26">
        <v>0.42399999999999999</v>
      </c>
      <c r="H26">
        <v>1.0500000000000001E-2</v>
      </c>
      <c r="I26">
        <v>4.8001999999999896</v>
      </c>
      <c r="J26" s="2">
        <v>45681</v>
      </c>
      <c r="K26" t="s">
        <v>438</v>
      </c>
      <c r="L26">
        <v>1</v>
      </c>
      <c r="M26">
        <v>1.9900000000000001E-2</v>
      </c>
      <c r="N26">
        <v>7.3473167066737837</v>
      </c>
      <c r="O26">
        <v>837.26035546334208</v>
      </c>
      <c r="P26">
        <v>0.42399999999999999</v>
      </c>
      <c r="Q26">
        <v>2.1000000000000001E-2</v>
      </c>
      <c r="R26">
        <v>4.8015000000000043</v>
      </c>
      <c r="S26" s="2">
        <v>45681</v>
      </c>
      <c r="T26" t="s">
        <v>834</v>
      </c>
      <c r="U26">
        <v>3</v>
      </c>
      <c r="V26">
        <v>1.9699999999999999E-2</v>
      </c>
      <c r="W26">
        <v>7.3492382325578562</v>
      </c>
      <c r="X26">
        <v>837.44270826974059</v>
      </c>
      <c r="Y26">
        <v>0.42399999999999999</v>
      </c>
      <c r="Z26">
        <v>2.1000000000000001E-2</v>
      </c>
      <c r="AA26">
        <v>4.7997000000000298</v>
      </c>
      <c r="AB26" s="2">
        <v>45681</v>
      </c>
      <c r="AC26" t="s">
        <v>1034</v>
      </c>
      <c r="AD26">
        <v>3</v>
      </c>
      <c r="AE26">
        <v>1.9599999999999999E-2</v>
      </c>
      <c r="AF26">
        <v>7.3502040638842683</v>
      </c>
      <c r="AG26">
        <v>837.53436566261712</v>
      </c>
      <c r="AH26">
        <v>0.42399999999999999</v>
      </c>
      <c r="AI26">
        <v>2.1000000000000001E-2</v>
      </c>
      <c r="AJ26">
        <v>4.8007999999999811</v>
      </c>
      <c r="AK26" s="2">
        <v>45681</v>
      </c>
      <c r="AL26" t="s">
        <v>1334</v>
      </c>
      <c r="AM26">
        <v>4</v>
      </c>
      <c r="AN26">
        <v>1.9199999999999998E-2</v>
      </c>
      <c r="AO26">
        <v>7.3512144969931752</v>
      </c>
      <c r="AP26">
        <v>837.63025576465236</v>
      </c>
      <c r="AQ26">
        <v>0.42399999999999999</v>
      </c>
      <c r="AR26">
        <v>2.1100000000000001E-2</v>
      </c>
      <c r="AS26">
        <v>4.7989000000000033</v>
      </c>
      <c r="AT26" s="2">
        <v>45681</v>
      </c>
      <c r="AU26" t="s">
        <v>1534</v>
      </c>
      <c r="AV26">
        <v>5</v>
      </c>
      <c r="AW26">
        <v>1.9900000000000001E-2</v>
      </c>
      <c r="AX26">
        <v>7.352726902890538</v>
      </c>
      <c r="AY26">
        <v>837.77378308431207</v>
      </c>
      <c r="AZ26">
        <v>0.42399999999999999</v>
      </c>
      <c r="BA26">
        <v>2.1100000000000001E-2</v>
      </c>
      <c r="BB26">
        <v>4.8016000000000076</v>
      </c>
      <c r="BC26" s="2">
        <v>45681</v>
      </c>
      <c r="BD26" t="s">
        <v>1732</v>
      </c>
      <c r="BE26">
        <v>6</v>
      </c>
      <c r="BF26">
        <v>1.95E-2</v>
      </c>
      <c r="BG26">
        <v>7.3531465651167496</v>
      </c>
      <c r="BH26">
        <v>837.81360902957954</v>
      </c>
      <c r="BI26">
        <v>0.42399999999999999</v>
      </c>
      <c r="BJ26">
        <v>2.1100000000000001E-2</v>
      </c>
      <c r="BK26">
        <v>4.8003999999999678</v>
      </c>
      <c r="BL26" s="2">
        <v>45681</v>
      </c>
      <c r="BM26" t="s">
        <v>1932</v>
      </c>
      <c r="BN26">
        <v>6</v>
      </c>
      <c r="BO26">
        <v>1.9099999999999999E-2</v>
      </c>
      <c r="BP26">
        <v>7.3546796500223586</v>
      </c>
      <c r="BQ26">
        <v>837.95909878712189</v>
      </c>
      <c r="BR26">
        <v>0.42399999999999999</v>
      </c>
      <c r="BS26">
        <v>2.1100000000000001E-2</v>
      </c>
      <c r="BT26">
        <v>4.8003999999999678</v>
      </c>
      <c r="BU26" s="2">
        <v>45681</v>
      </c>
      <c r="BV26" t="s">
        <v>2014</v>
      </c>
      <c r="BW26">
        <v>7</v>
      </c>
      <c r="BX26">
        <v>3.2000000000000002E-3</v>
      </c>
      <c r="BY26">
        <v>6.3111299203470068</v>
      </c>
      <c r="BZ26">
        <v>738.92622944093102</v>
      </c>
      <c r="CA26">
        <v>0.42399999999999999</v>
      </c>
      <c r="CB26">
        <v>4.8999999999999998E-3</v>
      </c>
      <c r="CC26">
        <v>5.2020999999999731</v>
      </c>
      <c r="CD26" s="2">
        <v>45681</v>
      </c>
      <c r="CE26" t="s">
        <v>2128</v>
      </c>
      <c r="CF26">
        <v>7</v>
      </c>
      <c r="CG26">
        <v>1.9400000000000001E-2</v>
      </c>
      <c r="CH26">
        <v>7.3552023018190607</v>
      </c>
      <c r="CI26">
        <v>838.00869844262888</v>
      </c>
      <c r="CJ26">
        <v>0.42399999999999999</v>
      </c>
      <c r="CK26">
        <v>2.1100000000000001E-2</v>
      </c>
      <c r="CL26">
        <v>4.7997000000000298</v>
      </c>
    </row>
    <row r="27" spans="1:90" x14ac:dyDescent="0.3">
      <c r="A27" s="2">
        <v>45681</v>
      </c>
      <c r="B27" t="s">
        <v>239</v>
      </c>
      <c r="C27">
        <v>1</v>
      </c>
      <c r="D27">
        <v>1.1299999999999999E-2</v>
      </c>
      <c r="E27">
        <v>6.7135813323702944</v>
      </c>
      <c r="F27">
        <v>777.11886844194089</v>
      </c>
      <c r="G27">
        <v>0.42399999999999999</v>
      </c>
      <c r="H27">
        <v>1.12E-2</v>
      </c>
      <c r="I27">
        <v>4.9983000000000004</v>
      </c>
      <c r="J27" s="2">
        <v>45681</v>
      </c>
      <c r="K27" t="s">
        <v>439</v>
      </c>
      <c r="L27">
        <v>1</v>
      </c>
      <c r="M27">
        <v>2.1600000000000001E-2</v>
      </c>
      <c r="N27">
        <v>7.4316319163040632</v>
      </c>
      <c r="O27">
        <v>845.26186885725565</v>
      </c>
      <c r="P27">
        <v>0.42399999999999999</v>
      </c>
      <c r="Q27">
        <v>2.23E-2</v>
      </c>
      <c r="R27">
        <v>5.0001999999999782</v>
      </c>
      <c r="S27" s="2">
        <v>45681</v>
      </c>
      <c r="T27" t="s">
        <v>835</v>
      </c>
      <c r="U27">
        <v>3</v>
      </c>
      <c r="V27">
        <v>2.0899999999999998E-2</v>
      </c>
      <c r="W27">
        <v>7.4334776191578964</v>
      </c>
      <c r="X27">
        <v>845.43702605808437</v>
      </c>
      <c r="Y27">
        <v>0.42399999999999999</v>
      </c>
      <c r="Z27">
        <v>2.23E-2</v>
      </c>
      <c r="AA27">
        <v>4.9983000000000288</v>
      </c>
      <c r="AB27" s="2">
        <v>45681</v>
      </c>
      <c r="AC27" t="s">
        <v>1035</v>
      </c>
      <c r="AD27">
        <v>3</v>
      </c>
      <c r="AE27">
        <v>2.1299999999999999E-2</v>
      </c>
      <c r="AF27">
        <v>7.4346161810237916</v>
      </c>
      <c r="AG27">
        <v>845.54507557915792</v>
      </c>
      <c r="AH27">
        <v>0.42399999999999999</v>
      </c>
      <c r="AI27">
        <v>2.24E-2</v>
      </c>
      <c r="AJ27">
        <v>4.9996999999999616</v>
      </c>
      <c r="AK27" s="2">
        <v>45681</v>
      </c>
      <c r="AL27" t="s">
        <v>1335</v>
      </c>
      <c r="AM27">
        <v>4</v>
      </c>
      <c r="AN27">
        <v>2.1000000000000001E-2</v>
      </c>
      <c r="AO27">
        <v>7.4370242718078199</v>
      </c>
      <c r="AP27">
        <v>845.7736033945622</v>
      </c>
      <c r="AQ27">
        <v>0.42399999999999999</v>
      </c>
      <c r="AR27">
        <v>2.24E-2</v>
      </c>
      <c r="AS27">
        <v>5.001199999999983</v>
      </c>
      <c r="AT27" s="2">
        <v>45681</v>
      </c>
      <c r="AU27" t="s">
        <v>1535</v>
      </c>
      <c r="AV27">
        <v>5</v>
      </c>
      <c r="AW27">
        <v>2.1000000000000001E-2</v>
      </c>
      <c r="AX27">
        <v>7.4369074962318313</v>
      </c>
      <c r="AY27">
        <v>845.7625213924008</v>
      </c>
      <c r="AZ27">
        <v>0.42399999999999999</v>
      </c>
      <c r="BA27">
        <v>2.24E-2</v>
      </c>
      <c r="BB27">
        <v>5</v>
      </c>
      <c r="BC27" s="2">
        <v>45681</v>
      </c>
      <c r="BD27" t="s">
        <v>1733</v>
      </c>
      <c r="BE27">
        <v>6</v>
      </c>
      <c r="BF27">
        <v>2.07E-2</v>
      </c>
      <c r="BG27">
        <v>7.438684269058168</v>
      </c>
      <c r="BH27">
        <v>845.93113713362015</v>
      </c>
      <c r="BI27">
        <v>0.42399999999999999</v>
      </c>
      <c r="BJ27">
        <v>2.24E-2</v>
      </c>
      <c r="BK27">
        <v>5.0019999999999527</v>
      </c>
      <c r="BL27" s="2">
        <v>45681</v>
      </c>
      <c r="BM27" t="s">
        <v>1933</v>
      </c>
      <c r="BN27">
        <v>6</v>
      </c>
      <c r="BO27">
        <v>2.06E-2</v>
      </c>
      <c r="BP27">
        <v>7.4397405203618217</v>
      </c>
      <c r="BQ27">
        <v>846.03137538233693</v>
      </c>
      <c r="BR27">
        <v>0.42399999999999999</v>
      </c>
      <c r="BS27">
        <v>2.24E-2</v>
      </c>
      <c r="BT27">
        <v>5.0009000000000015</v>
      </c>
      <c r="BU27" s="2">
        <v>45681</v>
      </c>
      <c r="BV27" t="s">
        <v>2015</v>
      </c>
      <c r="BW27">
        <v>7</v>
      </c>
      <c r="BX27">
        <v>4.3E-3</v>
      </c>
      <c r="BY27">
        <v>6.3672845781862426</v>
      </c>
      <c r="BZ27">
        <v>744.25530646987454</v>
      </c>
      <c r="CA27">
        <v>0.42399999999999999</v>
      </c>
      <c r="CB27">
        <v>5.7999999999999996E-3</v>
      </c>
      <c r="CC27">
        <v>5.4008000000000038</v>
      </c>
      <c r="CD27" s="2">
        <v>45681</v>
      </c>
      <c r="CE27" t="s">
        <v>2129</v>
      </c>
      <c r="CF27">
        <v>7</v>
      </c>
      <c r="CG27">
        <v>2.06E-2</v>
      </c>
      <c r="CH27">
        <v>7.4408170452029729</v>
      </c>
      <c r="CI27">
        <v>846.13353758976223</v>
      </c>
      <c r="CJ27">
        <v>0.42399999999999999</v>
      </c>
      <c r="CK27">
        <v>2.2499999999999999E-2</v>
      </c>
      <c r="CL27">
        <v>5.0015000000000782</v>
      </c>
    </row>
    <row r="28" spans="1:90" x14ac:dyDescent="0.3">
      <c r="A28" s="2">
        <v>45681</v>
      </c>
      <c r="B28" t="s">
        <v>240</v>
      </c>
      <c r="C28">
        <v>1</v>
      </c>
      <c r="D28">
        <v>1.17E-2</v>
      </c>
      <c r="E28">
        <v>6.75633741201238</v>
      </c>
      <c r="F28">
        <v>781.17642039997486</v>
      </c>
      <c r="G28">
        <v>0.42399999999999999</v>
      </c>
      <c r="H28">
        <v>1.18E-2</v>
      </c>
      <c r="I28">
        <v>5.2006999999999834</v>
      </c>
      <c r="J28" s="2">
        <v>45681</v>
      </c>
      <c r="K28" t="s">
        <v>440</v>
      </c>
      <c r="L28">
        <v>1</v>
      </c>
      <c r="M28">
        <v>2.3E-2</v>
      </c>
      <c r="N28">
        <v>7.516324619202563</v>
      </c>
      <c r="O28">
        <v>853.29920636232328</v>
      </c>
      <c r="P28">
        <v>0.42399999999999999</v>
      </c>
      <c r="Q28">
        <v>2.3599999999999999E-2</v>
      </c>
      <c r="R28">
        <v>5.2005999999999801</v>
      </c>
      <c r="S28" s="2">
        <v>45681</v>
      </c>
      <c r="T28" t="s">
        <v>836</v>
      </c>
      <c r="U28">
        <v>3</v>
      </c>
      <c r="V28">
        <v>2.2499999999999999E-2</v>
      </c>
      <c r="W28">
        <v>7.518066927015151</v>
      </c>
      <c r="X28">
        <v>853.46455137373789</v>
      </c>
      <c r="Y28">
        <v>0.42399999999999999</v>
      </c>
      <c r="Z28">
        <v>2.3699999999999999E-2</v>
      </c>
      <c r="AA28">
        <v>5.1984000000000492</v>
      </c>
      <c r="AB28" s="2">
        <v>45681</v>
      </c>
      <c r="AC28" t="s">
        <v>1036</v>
      </c>
      <c r="AD28">
        <v>3</v>
      </c>
      <c r="AE28">
        <v>2.2200000000000001E-2</v>
      </c>
      <c r="AF28">
        <v>7.5197208422042507</v>
      </c>
      <c r="AG28">
        <v>853.62150792518344</v>
      </c>
      <c r="AH28">
        <v>0.42399999999999999</v>
      </c>
      <c r="AI28">
        <v>2.3699999999999999E-2</v>
      </c>
      <c r="AJ28">
        <v>5.2011999999999716</v>
      </c>
      <c r="AK28" s="2">
        <v>45681</v>
      </c>
      <c r="AL28" t="s">
        <v>1336</v>
      </c>
      <c r="AM28">
        <v>4</v>
      </c>
      <c r="AN28">
        <v>2.2200000000000001E-2</v>
      </c>
      <c r="AO28">
        <v>7.5204263613091884</v>
      </c>
      <c r="AP28">
        <v>853.68846168824189</v>
      </c>
      <c r="AQ28">
        <v>0.42399999999999999</v>
      </c>
      <c r="AR28">
        <v>2.3699999999999999E-2</v>
      </c>
      <c r="AS28">
        <v>5.1984999999999673</v>
      </c>
      <c r="AT28" s="2">
        <v>45681</v>
      </c>
      <c r="AU28" t="s">
        <v>1536</v>
      </c>
      <c r="AV28">
        <v>5</v>
      </c>
      <c r="AW28">
        <v>2.2700000000000001E-2</v>
      </c>
      <c r="AX28">
        <v>7.5217627929010664</v>
      </c>
      <c r="AY28">
        <v>853.81528904631114</v>
      </c>
      <c r="AZ28">
        <v>0.42399999999999999</v>
      </c>
      <c r="BA28">
        <v>2.3699999999999999E-2</v>
      </c>
      <c r="BB28">
        <v>5.2007999999999583</v>
      </c>
      <c r="BC28" s="2">
        <v>45681</v>
      </c>
      <c r="BD28" t="s">
        <v>1734</v>
      </c>
      <c r="BE28">
        <v>6</v>
      </c>
      <c r="BF28">
        <v>2.1999999999999999E-2</v>
      </c>
      <c r="BG28">
        <v>7.5231393660971886</v>
      </c>
      <c r="BH28">
        <v>853.94592584262318</v>
      </c>
      <c r="BI28">
        <v>0.42399999999999999</v>
      </c>
      <c r="BJ28">
        <v>2.3699999999999999E-2</v>
      </c>
      <c r="BK28">
        <v>5.2019999999999982</v>
      </c>
      <c r="BL28" s="2">
        <v>45681</v>
      </c>
      <c r="BM28" t="s">
        <v>1934</v>
      </c>
      <c r="BN28">
        <v>6</v>
      </c>
      <c r="BO28">
        <v>2.1899999999999999E-2</v>
      </c>
      <c r="BP28">
        <v>7.5239235465276151</v>
      </c>
      <c r="BQ28">
        <v>854.02034456547074</v>
      </c>
      <c r="BR28">
        <v>0.42399999999999999</v>
      </c>
      <c r="BS28">
        <v>2.3699999999999999E-2</v>
      </c>
      <c r="BT28">
        <v>5.2001999999999953</v>
      </c>
      <c r="BU28" s="2">
        <v>45681</v>
      </c>
      <c r="BV28" t="s">
        <v>2016</v>
      </c>
      <c r="BW28">
        <v>7</v>
      </c>
      <c r="BX28">
        <v>5.4000000000000003E-3</v>
      </c>
      <c r="BY28">
        <v>6.4280123378789336</v>
      </c>
      <c r="BZ28">
        <v>750.01837086471085</v>
      </c>
      <c r="CA28">
        <v>0.42399999999999999</v>
      </c>
      <c r="CB28">
        <v>6.7000000000000002E-3</v>
      </c>
      <c r="CC28">
        <v>5.6019999999999754</v>
      </c>
      <c r="CD28" s="2">
        <v>45681</v>
      </c>
      <c r="CE28" t="s">
        <v>2130</v>
      </c>
      <c r="CF28">
        <v>7</v>
      </c>
      <c r="CG28">
        <v>2.2100000000000002E-2</v>
      </c>
      <c r="CH28">
        <v>7.5247478685622902</v>
      </c>
      <c r="CI28">
        <v>854.09857272656143</v>
      </c>
      <c r="CJ28">
        <v>0.42399999999999999</v>
      </c>
      <c r="CK28">
        <v>2.3800000000000002E-2</v>
      </c>
      <c r="CL28">
        <v>5.2001999999999953</v>
      </c>
    </row>
    <row r="29" spans="1:90" x14ac:dyDescent="0.3">
      <c r="A29" s="2">
        <v>45681</v>
      </c>
      <c r="B29" t="s">
        <v>241</v>
      </c>
      <c r="C29">
        <v>1</v>
      </c>
      <c r="D29">
        <v>1.2200000000000001E-2</v>
      </c>
      <c r="E29">
        <v>6.7979966932758167</v>
      </c>
      <c r="F29">
        <v>785.12988619187502</v>
      </c>
      <c r="G29">
        <v>0.42399999999999999</v>
      </c>
      <c r="H29">
        <v>1.2500000000000001E-2</v>
      </c>
      <c r="I29">
        <v>5.3993999999999858</v>
      </c>
      <c r="J29" s="2">
        <v>45681</v>
      </c>
      <c r="K29" t="s">
        <v>441</v>
      </c>
      <c r="L29">
        <v>1</v>
      </c>
      <c r="M29">
        <v>2.47E-2</v>
      </c>
      <c r="N29">
        <v>7.6005599510951001</v>
      </c>
      <c r="O29">
        <v>861.29313935892503</v>
      </c>
      <c r="P29">
        <v>0.42399999999999999</v>
      </c>
      <c r="Q29">
        <v>2.4899999999999999E-2</v>
      </c>
      <c r="R29">
        <v>5.4015000000000271</v>
      </c>
      <c r="S29" s="2">
        <v>45681</v>
      </c>
      <c r="T29" t="s">
        <v>837</v>
      </c>
      <c r="U29">
        <v>3</v>
      </c>
      <c r="V29">
        <v>2.3400000000000001E-2</v>
      </c>
      <c r="W29">
        <v>7.6022548188299464</v>
      </c>
      <c r="X29">
        <v>861.45398230696196</v>
      </c>
      <c r="Y29">
        <v>0.42399999999999999</v>
      </c>
      <c r="Z29">
        <v>2.5000000000000001E-2</v>
      </c>
      <c r="AA29">
        <v>5.3992000000000075</v>
      </c>
      <c r="AB29" s="2">
        <v>45681</v>
      </c>
      <c r="AC29" t="s">
        <v>1037</v>
      </c>
      <c r="AD29">
        <v>3</v>
      </c>
      <c r="AE29">
        <v>2.3699999999999999E-2</v>
      </c>
      <c r="AF29">
        <v>7.6038312891058011</v>
      </c>
      <c r="AG29">
        <v>861.60358933614054</v>
      </c>
      <c r="AH29">
        <v>0.42399999999999999</v>
      </c>
      <c r="AI29">
        <v>2.5000000000000001E-2</v>
      </c>
      <c r="AJ29">
        <v>5.4017999999999802</v>
      </c>
      <c r="AK29" s="2">
        <v>45681</v>
      </c>
      <c r="AL29" t="s">
        <v>1337</v>
      </c>
      <c r="AM29">
        <v>4</v>
      </c>
      <c r="AN29">
        <v>2.3599999999999999E-2</v>
      </c>
      <c r="AO29">
        <v>7.6046008725892316</v>
      </c>
      <c r="AP29">
        <v>861.67662280871821</v>
      </c>
      <c r="AQ29">
        <v>0.42399999999999999</v>
      </c>
      <c r="AR29">
        <v>2.5000000000000001E-2</v>
      </c>
      <c r="AS29">
        <v>5.3992999999999824</v>
      </c>
      <c r="AT29" s="2">
        <v>45681</v>
      </c>
      <c r="AU29" t="s">
        <v>1537</v>
      </c>
      <c r="AV29">
        <v>5</v>
      </c>
      <c r="AW29">
        <v>2.3800000000000002E-2</v>
      </c>
      <c r="AX29">
        <v>7.6052755759171697</v>
      </c>
      <c r="AY29">
        <v>861.74065215453948</v>
      </c>
      <c r="AZ29">
        <v>0.42399999999999999</v>
      </c>
      <c r="BA29">
        <v>2.5000000000000001E-2</v>
      </c>
      <c r="BB29">
        <v>5.400100000000009</v>
      </c>
      <c r="BC29" s="2">
        <v>45681</v>
      </c>
      <c r="BD29" t="s">
        <v>1735</v>
      </c>
      <c r="BE29">
        <v>6</v>
      </c>
      <c r="BF29">
        <v>2.3699999999999999E-2</v>
      </c>
      <c r="BG29">
        <v>7.6064968538160578</v>
      </c>
      <c r="BH29">
        <v>861.85655142714393</v>
      </c>
      <c r="BI29">
        <v>0.42399999999999999</v>
      </c>
      <c r="BJ29">
        <v>2.5000000000000001E-2</v>
      </c>
      <c r="BK29">
        <v>5.4008999999999787</v>
      </c>
      <c r="BL29" s="2">
        <v>45681</v>
      </c>
      <c r="BM29" t="s">
        <v>1935</v>
      </c>
      <c r="BN29">
        <v>6</v>
      </c>
      <c r="BO29">
        <v>2.35E-2</v>
      </c>
      <c r="BP29">
        <v>7.6083048478901416</v>
      </c>
      <c r="BQ29">
        <v>862.02813006477459</v>
      </c>
      <c r="BR29">
        <v>0.42399999999999999</v>
      </c>
      <c r="BS29">
        <v>2.5100000000000001E-2</v>
      </c>
      <c r="BT29">
        <v>5.4016000000000304</v>
      </c>
      <c r="BU29" s="2">
        <v>45681</v>
      </c>
      <c r="BV29" t="s">
        <v>2017</v>
      </c>
      <c r="BW29">
        <v>7</v>
      </c>
      <c r="BX29">
        <v>6.4000000000000003E-3</v>
      </c>
      <c r="BY29">
        <v>6.4922336335533037</v>
      </c>
      <c r="BZ29">
        <v>756.11297182420856</v>
      </c>
      <c r="CA29">
        <v>0.42399999999999999</v>
      </c>
      <c r="CB29">
        <v>7.7000000000000002E-3</v>
      </c>
      <c r="CC29">
        <v>5.8025000000000091</v>
      </c>
      <c r="CD29" s="2">
        <v>45681</v>
      </c>
      <c r="CE29" t="s">
        <v>2131</v>
      </c>
      <c r="CF29">
        <v>7</v>
      </c>
      <c r="CG29">
        <v>2.3099999999999999E-2</v>
      </c>
      <c r="CH29">
        <v>7.6084735237221279</v>
      </c>
      <c r="CI29">
        <v>862.04413740122993</v>
      </c>
      <c r="CJ29">
        <v>0.42399999999999999</v>
      </c>
      <c r="CK29">
        <v>2.5100000000000001E-2</v>
      </c>
      <c r="CL29">
        <v>5.4001000000000658</v>
      </c>
    </row>
    <row r="30" spans="1:90" x14ac:dyDescent="0.3">
      <c r="A30" s="2">
        <v>45681</v>
      </c>
      <c r="B30" t="s">
        <v>242</v>
      </c>
      <c r="C30">
        <v>1</v>
      </c>
      <c r="D30">
        <v>1.2999999999999999E-2</v>
      </c>
      <c r="E30">
        <v>6.8394475625737714</v>
      </c>
      <c r="F30">
        <v>789.06357368825081</v>
      </c>
      <c r="G30">
        <v>0.42399999999999999</v>
      </c>
      <c r="H30">
        <v>1.3100000000000001E-2</v>
      </c>
      <c r="I30">
        <v>5.5994999999999777</v>
      </c>
      <c r="J30" s="2">
        <v>45681</v>
      </c>
      <c r="K30" t="s">
        <v>442</v>
      </c>
      <c r="L30">
        <v>1</v>
      </c>
      <c r="M30">
        <v>2.5899999999999999E-2</v>
      </c>
      <c r="N30">
        <v>7.683447903685515</v>
      </c>
      <c r="O30">
        <v>869.15920605975543</v>
      </c>
      <c r="P30">
        <v>0.42399999999999999</v>
      </c>
      <c r="Q30">
        <v>2.6200000000000001E-2</v>
      </c>
      <c r="R30">
        <v>5.6015000000000157</v>
      </c>
      <c r="S30" s="2">
        <v>45681</v>
      </c>
      <c r="T30" t="s">
        <v>838</v>
      </c>
      <c r="U30">
        <v>3</v>
      </c>
      <c r="V30">
        <v>2.4199999999999999E-2</v>
      </c>
      <c r="W30">
        <v>7.6851091173481132</v>
      </c>
      <c r="X30">
        <v>869.31685523633598</v>
      </c>
      <c r="Y30">
        <v>0.42399999999999999</v>
      </c>
      <c r="Z30">
        <v>2.6200000000000001E-2</v>
      </c>
      <c r="AA30">
        <v>5.5993000000000279</v>
      </c>
      <c r="AB30" s="2">
        <v>45681</v>
      </c>
      <c r="AC30" t="s">
        <v>1038</v>
      </c>
      <c r="AD30">
        <v>3</v>
      </c>
      <c r="AE30">
        <v>2.4799999999999999E-2</v>
      </c>
      <c r="AF30">
        <v>7.6856050080753171</v>
      </c>
      <c r="AG30">
        <v>869.36391526634759</v>
      </c>
      <c r="AH30">
        <v>0.42399999999999999</v>
      </c>
      <c r="AI30">
        <v>2.63E-2</v>
      </c>
      <c r="AJ30">
        <v>5.5992999999999711</v>
      </c>
      <c r="AK30" s="2">
        <v>45681</v>
      </c>
      <c r="AL30" t="s">
        <v>1338</v>
      </c>
      <c r="AM30">
        <v>4</v>
      </c>
      <c r="AN30">
        <v>2.5100000000000001E-2</v>
      </c>
      <c r="AO30">
        <v>7.6872718983284134</v>
      </c>
      <c r="AP30">
        <v>869.52210315136642</v>
      </c>
      <c r="AQ30">
        <v>0.42399999999999999</v>
      </c>
      <c r="AR30">
        <v>2.63E-2</v>
      </c>
      <c r="AS30">
        <v>5.5989999999999895</v>
      </c>
      <c r="AT30" s="2">
        <v>45681</v>
      </c>
      <c r="AU30" t="s">
        <v>1538</v>
      </c>
      <c r="AV30">
        <v>5</v>
      </c>
      <c r="AW30">
        <v>2.5000000000000001E-2</v>
      </c>
      <c r="AX30">
        <v>7.6881769090423324</v>
      </c>
      <c r="AY30">
        <v>869.6079886681174</v>
      </c>
      <c r="AZ30">
        <v>0.42399999999999999</v>
      </c>
      <c r="BA30">
        <v>2.63E-2</v>
      </c>
      <c r="BB30">
        <v>5.6003000000000043</v>
      </c>
      <c r="BC30" s="2">
        <v>45681</v>
      </c>
      <c r="BD30" t="s">
        <v>1736</v>
      </c>
      <c r="BE30">
        <v>6</v>
      </c>
      <c r="BF30">
        <v>2.4500000000000001E-2</v>
      </c>
      <c r="BG30">
        <v>7.6896005168454522</v>
      </c>
      <c r="BH30">
        <v>869.74308904863346</v>
      </c>
      <c r="BI30">
        <v>0.42399999999999999</v>
      </c>
      <c r="BJ30">
        <v>2.63E-2</v>
      </c>
      <c r="BK30">
        <v>5.6017000000000507</v>
      </c>
      <c r="BL30" s="2">
        <v>45681</v>
      </c>
      <c r="BM30" t="s">
        <v>1936</v>
      </c>
      <c r="BN30">
        <v>6</v>
      </c>
      <c r="BO30">
        <v>2.46E-2</v>
      </c>
      <c r="BP30">
        <v>7.6911230595115621</v>
      </c>
      <c r="BQ30">
        <v>869.88757834764726</v>
      </c>
      <c r="BR30">
        <v>0.42399999999999999</v>
      </c>
      <c r="BS30">
        <v>2.63E-2</v>
      </c>
      <c r="BT30">
        <v>5.6018000000000256</v>
      </c>
      <c r="BU30" s="2">
        <v>45681</v>
      </c>
      <c r="BV30" t="s">
        <v>2018</v>
      </c>
      <c r="BW30">
        <v>7</v>
      </c>
      <c r="BX30">
        <v>6.7999999999999996E-3</v>
      </c>
      <c r="BY30">
        <v>6.5607886006032796</v>
      </c>
      <c r="BZ30">
        <v>762.61883819725131</v>
      </c>
      <c r="CA30">
        <v>0.42399999999999999</v>
      </c>
      <c r="CB30">
        <v>8.8000000000000005E-3</v>
      </c>
      <c r="CC30">
        <v>6.005800000000022</v>
      </c>
      <c r="CD30" s="2">
        <v>45681</v>
      </c>
      <c r="CE30" t="s">
        <v>2132</v>
      </c>
      <c r="CF30">
        <v>7</v>
      </c>
      <c r="CG30">
        <v>2.46E-2</v>
      </c>
      <c r="CH30">
        <v>7.6919275134794871</v>
      </c>
      <c r="CI30">
        <v>869.96392102920333</v>
      </c>
      <c r="CJ30">
        <v>0.42399999999999999</v>
      </c>
      <c r="CK30">
        <v>2.64E-2</v>
      </c>
      <c r="CL30">
        <v>5.6018000000000256</v>
      </c>
    </row>
    <row r="31" spans="1:90" x14ac:dyDescent="0.3">
      <c r="A31" s="2">
        <v>45681</v>
      </c>
      <c r="B31" t="s">
        <v>243</v>
      </c>
      <c r="C31">
        <v>1</v>
      </c>
      <c r="D31">
        <v>1.4200000000000001E-2</v>
      </c>
      <c r="E31">
        <v>6.8799804460938114</v>
      </c>
      <c r="F31">
        <v>792.9101443343028</v>
      </c>
      <c r="G31">
        <v>0.42399999999999999</v>
      </c>
      <c r="H31">
        <v>1.37E-2</v>
      </c>
      <c r="I31">
        <v>5.7982999999999834</v>
      </c>
      <c r="J31" s="2">
        <v>45681</v>
      </c>
      <c r="K31" t="s">
        <v>443</v>
      </c>
      <c r="L31">
        <v>1</v>
      </c>
      <c r="M31">
        <v>2.7E-2</v>
      </c>
      <c r="N31">
        <v>7.7647634407075694</v>
      </c>
      <c r="O31">
        <v>876.87605052314836</v>
      </c>
      <c r="P31">
        <v>0.42399999999999999</v>
      </c>
      <c r="Q31">
        <v>2.75E-2</v>
      </c>
      <c r="R31">
        <v>5.8010000000000161</v>
      </c>
      <c r="S31" s="2">
        <v>45681</v>
      </c>
      <c r="T31" t="s">
        <v>839</v>
      </c>
      <c r="U31">
        <v>3</v>
      </c>
      <c r="V31">
        <v>2.5700000000000001E-2</v>
      </c>
      <c r="W31">
        <v>7.7661882649229392</v>
      </c>
      <c r="X31">
        <v>877.01126634118702</v>
      </c>
      <c r="Y31">
        <v>0.42399999999999999</v>
      </c>
      <c r="Z31">
        <v>2.75E-2</v>
      </c>
      <c r="AA31">
        <v>5.7982000000000085</v>
      </c>
      <c r="AB31" s="2">
        <v>45681</v>
      </c>
      <c r="AC31" t="s">
        <v>1039</v>
      </c>
      <c r="AD31">
        <v>3</v>
      </c>
      <c r="AE31">
        <v>2.6700000000000002E-2</v>
      </c>
      <c r="AF31">
        <v>7.7672437052850931</v>
      </c>
      <c r="AG31">
        <v>877.11142763155533</v>
      </c>
      <c r="AH31">
        <v>0.42399999999999999</v>
      </c>
      <c r="AI31">
        <v>2.75E-2</v>
      </c>
      <c r="AJ31">
        <v>5.7995999999999981</v>
      </c>
      <c r="AK31" s="2">
        <v>45681</v>
      </c>
      <c r="AL31" t="s">
        <v>1339</v>
      </c>
      <c r="AM31">
        <v>4</v>
      </c>
      <c r="AN31">
        <v>2.64E-2</v>
      </c>
      <c r="AO31">
        <v>7.7689000532986929</v>
      </c>
      <c r="AP31">
        <v>877.26861505804595</v>
      </c>
      <c r="AQ31">
        <v>0.42399999999999999</v>
      </c>
      <c r="AR31">
        <v>2.76E-2</v>
      </c>
      <c r="AS31">
        <v>5.7993999999999915</v>
      </c>
      <c r="AT31" s="2">
        <v>45681</v>
      </c>
      <c r="AU31" t="s">
        <v>1539</v>
      </c>
      <c r="AV31">
        <v>5</v>
      </c>
      <c r="AW31">
        <v>2.6100000000000002E-2</v>
      </c>
      <c r="AX31">
        <v>7.7695528612061331</v>
      </c>
      <c r="AY31">
        <v>877.3305665284621</v>
      </c>
      <c r="AZ31">
        <v>0.42399999999999999</v>
      </c>
      <c r="BA31">
        <v>2.76E-2</v>
      </c>
      <c r="BB31">
        <v>5.8001999999999612</v>
      </c>
      <c r="BC31" s="2">
        <v>45681</v>
      </c>
      <c r="BD31" t="s">
        <v>1737</v>
      </c>
      <c r="BE31">
        <v>6</v>
      </c>
      <c r="BF31">
        <v>2.6200000000000001E-2</v>
      </c>
      <c r="BG31">
        <v>7.7713028729629716</v>
      </c>
      <c r="BH31">
        <v>877.49664264418607</v>
      </c>
      <c r="BI31">
        <v>0.42399999999999999</v>
      </c>
      <c r="BJ31">
        <v>2.76E-2</v>
      </c>
      <c r="BK31">
        <v>5.8024000000000342</v>
      </c>
      <c r="BL31" s="2">
        <v>45681</v>
      </c>
      <c r="BM31" t="s">
        <v>1937</v>
      </c>
      <c r="BN31">
        <v>6</v>
      </c>
      <c r="BO31">
        <v>2.5899999999999999E-2</v>
      </c>
      <c r="BP31">
        <v>7.7717991691609267</v>
      </c>
      <c r="BQ31">
        <v>877.54374115337203</v>
      </c>
      <c r="BR31">
        <v>0.42399999999999999</v>
      </c>
      <c r="BS31">
        <v>2.76E-2</v>
      </c>
      <c r="BT31">
        <v>5.7999999999999545</v>
      </c>
      <c r="BU31" s="2">
        <v>45681</v>
      </c>
      <c r="BV31" t="s">
        <v>2019</v>
      </c>
      <c r="BW31">
        <v>7</v>
      </c>
      <c r="BX31">
        <v>8.3999999999999995E-3</v>
      </c>
      <c r="BY31">
        <v>6.6300847681841848</v>
      </c>
      <c r="BZ31">
        <v>769.19504450067916</v>
      </c>
      <c r="CA31">
        <v>0.42399999999999999</v>
      </c>
      <c r="CB31">
        <v>9.9000000000000008E-3</v>
      </c>
      <c r="CC31">
        <v>6.2022999999999229</v>
      </c>
      <c r="CD31" s="2">
        <v>45681</v>
      </c>
      <c r="CE31" t="s">
        <v>2133</v>
      </c>
      <c r="CF31">
        <v>7</v>
      </c>
      <c r="CG31">
        <v>2.5700000000000001E-2</v>
      </c>
      <c r="CH31">
        <v>7.7729798999848176</v>
      </c>
      <c r="CI31">
        <v>877.65579250855922</v>
      </c>
      <c r="CJ31">
        <v>0.42399999999999999</v>
      </c>
      <c r="CK31">
        <v>2.76E-2</v>
      </c>
      <c r="CL31">
        <v>5.8009000000000697</v>
      </c>
    </row>
    <row r="32" spans="1:90" x14ac:dyDescent="0.3">
      <c r="A32" s="2">
        <v>45681</v>
      </c>
      <c r="B32" t="s">
        <v>244</v>
      </c>
      <c r="C32">
        <v>1</v>
      </c>
      <c r="D32">
        <v>1.46E-2</v>
      </c>
      <c r="E32">
        <v>6.9202704526346226</v>
      </c>
      <c r="F32">
        <v>796.7336659550258</v>
      </c>
      <c r="G32">
        <v>0.42399999999999999</v>
      </c>
      <c r="H32">
        <v>1.44E-2</v>
      </c>
      <c r="I32">
        <v>6</v>
      </c>
      <c r="J32" s="2">
        <v>45681</v>
      </c>
      <c r="K32" t="s">
        <v>444</v>
      </c>
      <c r="L32">
        <v>1</v>
      </c>
      <c r="M32">
        <v>2.8299999999999999E-2</v>
      </c>
      <c r="N32">
        <v>7.8442385459955464</v>
      </c>
      <c r="O32">
        <v>884.41823801497742</v>
      </c>
      <c r="P32">
        <v>0.42399999999999999</v>
      </c>
      <c r="Q32">
        <v>2.87E-2</v>
      </c>
      <c r="R32">
        <v>6.0000000000000284</v>
      </c>
      <c r="S32" s="2">
        <v>45681</v>
      </c>
      <c r="T32" t="s">
        <v>840</v>
      </c>
      <c r="U32">
        <v>3</v>
      </c>
      <c r="V32">
        <v>2.7099999999999999E-2</v>
      </c>
      <c r="W32">
        <v>7.8460631643703778</v>
      </c>
      <c r="X32">
        <v>884.59139429874892</v>
      </c>
      <c r="Y32">
        <v>0.42399999999999999</v>
      </c>
      <c r="Z32">
        <v>2.87E-2</v>
      </c>
      <c r="AA32">
        <v>5.9983000000000288</v>
      </c>
      <c r="AB32" s="2">
        <v>45681</v>
      </c>
      <c r="AC32" t="s">
        <v>1040</v>
      </c>
      <c r="AD32">
        <v>3</v>
      </c>
      <c r="AE32">
        <v>2.7699999999999999E-2</v>
      </c>
      <c r="AF32">
        <v>7.8474875831149973</v>
      </c>
      <c r="AG32">
        <v>884.72657163761323</v>
      </c>
      <c r="AH32">
        <v>0.42399999999999999</v>
      </c>
      <c r="AI32">
        <v>2.8799999999999999E-2</v>
      </c>
      <c r="AJ32">
        <v>6.0006999999999948</v>
      </c>
      <c r="AK32" s="2">
        <v>45681</v>
      </c>
      <c r="AL32" t="s">
        <v>1340</v>
      </c>
      <c r="AM32">
        <v>4</v>
      </c>
      <c r="AN32">
        <v>2.76E-2</v>
      </c>
      <c r="AO32">
        <v>7.8492594902923347</v>
      </c>
      <c r="AP32">
        <v>884.89472562874266</v>
      </c>
      <c r="AQ32">
        <v>0.42399999999999999</v>
      </c>
      <c r="AR32">
        <v>2.8799999999999999E-2</v>
      </c>
      <c r="AS32">
        <v>6.0009000000000015</v>
      </c>
      <c r="AT32" s="2">
        <v>45681</v>
      </c>
      <c r="AU32" t="s">
        <v>1540</v>
      </c>
      <c r="AV32">
        <v>5</v>
      </c>
      <c r="AW32">
        <v>2.75E-2</v>
      </c>
      <c r="AX32">
        <v>7.8500124494750159</v>
      </c>
      <c r="AY32">
        <v>884.96618145517903</v>
      </c>
      <c r="AZ32">
        <v>0.42399999999999999</v>
      </c>
      <c r="BA32">
        <v>2.8799999999999999E-2</v>
      </c>
      <c r="BB32">
        <v>6.0018999999999778</v>
      </c>
      <c r="BC32" s="2">
        <v>45681</v>
      </c>
      <c r="BD32" t="s">
        <v>1738</v>
      </c>
      <c r="BE32">
        <v>6</v>
      </c>
      <c r="BF32">
        <v>2.7300000000000001E-2</v>
      </c>
      <c r="BG32">
        <v>7.8508039283789444</v>
      </c>
      <c r="BH32">
        <v>885.04129280316181</v>
      </c>
      <c r="BI32">
        <v>0.42399999999999999</v>
      </c>
      <c r="BJ32">
        <v>2.8799999999999999E-2</v>
      </c>
      <c r="BK32">
        <v>6.0018000000000029</v>
      </c>
      <c r="BL32" s="2">
        <v>45681</v>
      </c>
      <c r="BM32" t="s">
        <v>1938</v>
      </c>
      <c r="BN32">
        <v>6</v>
      </c>
      <c r="BO32">
        <v>2.7099999999999999E-2</v>
      </c>
      <c r="BP32">
        <v>7.8511931802989077</v>
      </c>
      <c r="BQ32">
        <v>885.07823281036633</v>
      </c>
      <c r="BR32">
        <v>0.42399999999999999</v>
      </c>
      <c r="BS32">
        <v>2.8799999999999999E-2</v>
      </c>
      <c r="BT32">
        <v>5.9991999999999734</v>
      </c>
      <c r="BU32" s="2">
        <v>45681</v>
      </c>
      <c r="BV32" t="s">
        <v>2020</v>
      </c>
      <c r="BW32">
        <v>7</v>
      </c>
      <c r="BX32">
        <v>9.2999999999999992E-3</v>
      </c>
      <c r="BY32">
        <v>6.7030005731500131</v>
      </c>
      <c r="BZ32">
        <v>776.11475439193623</v>
      </c>
      <c r="CA32">
        <v>0.42399999999999999</v>
      </c>
      <c r="CB32">
        <v>1.0999999999999999E-2</v>
      </c>
      <c r="CC32">
        <v>6.4012000000000171</v>
      </c>
      <c r="CD32" s="2">
        <v>45681</v>
      </c>
      <c r="CE32" t="s">
        <v>2134</v>
      </c>
      <c r="CF32">
        <v>7</v>
      </c>
      <c r="CG32">
        <v>2.7E-2</v>
      </c>
      <c r="CH32">
        <v>7.8525575893725339</v>
      </c>
      <c r="CI32">
        <v>885.20771523145356</v>
      </c>
      <c r="CJ32">
        <v>0.42399999999999999</v>
      </c>
      <c r="CK32">
        <v>2.8899999999999999E-2</v>
      </c>
      <c r="CL32">
        <v>6.0006000000000768</v>
      </c>
    </row>
    <row r="33" spans="1:90" x14ac:dyDescent="0.3">
      <c r="A33" s="2">
        <v>45681</v>
      </c>
      <c r="B33" t="s">
        <v>245</v>
      </c>
      <c r="C33">
        <v>1</v>
      </c>
      <c r="D33">
        <v>1.55E-2</v>
      </c>
      <c r="E33">
        <v>6.9589511457688316</v>
      </c>
      <c r="F33">
        <v>800.40446373346219</v>
      </c>
      <c r="G33">
        <v>0.42399999999999999</v>
      </c>
      <c r="H33">
        <v>1.4999999999999999E-2</v>
      </c>
      <c r="I33">
        <v>6.1984999999999957</v>
      </c>
      <c r="J33" s="2">
        <v>45681</v>
      </c>
      <c r="K33" t="s">
        <v>445</v>
      </c>
      <c r="L33">
        <v>1</v>
      </c>
      <c r="M33">
        <v>2.93E-2</v>
      </c>
      <c r="N33">
        <v>7.9229396076218421</v>
      </c>
      <c r="O33">
        <v>891.88696876331289</v>
      </c>
      <c r="P33">
        <v>0.42399999999999999</v>
      </c>
      <c r="Q33">
        <v>2.9899999999999999E-2</v>
      </c>
      <c r="R33">
        <v>6.2018999999999949</v>
      </c>
      <c r="S33" s="2">
        <v>45681</v>
      </c>
      <c r="T33" t="s">
        <v>841</v>
      </c>
      <c r="U33">
        <v>3</v>
      </c>
      <c r="V33">
        <v>2.8799999999999999E-2</v>
      </c>
      <c r="W33">
        <v>7.9242488726734708</v>
      </c>
      <c r="X33">
        <v>892.01121801671241</v>
      </c>
      <c r="Y33">
        <v>0.42399999999999999</v>
      </c>
      <c r="Z33">
        <v>0.03</v>
      </c>
      <c r="AA33">
        <v>6.1990000000000123</v>
      </c>
      <c r="AB33" s="2">
        <v>45681</v>
      </c>
      <c r="AC33" t="s">
        <v>1041</v>
      </c>
      <c r="AD33">
        <v>3</v>
      </c>
      <c r="AE33">
        <v>2.92E-2</v>
      </c>
      <c r="AF33">
        <v>7.9248611335059147</v>
      </c>
      <c r="AG33">
        <v>892.06932156971141</v>
      </c>
      <c r="AH33">
        <v>0.42399999999999999</v>
      </c>
      <c r="AI33">
        <v>0.03</v>
      </c>
      <c r="AJ33">
        <v>6.1993999999999687</v>
      </c>
      <c r="AK33" s="2">
        <v>45681</v>
      </c>
      <c r="AL33" t="s">
        <v>1341</v>
      </c>
      <c r="AM33">
        <v>4</v>
      </c>
      <c r="AN33">
        <v>2.9000000000000001E-2</v>
      </c>
      <c r="AO33">
        <v>7.9266038467892566</v>
      </c>
      <c r="AP33">
        <v>892.23470506030048</v>
      </c>
      <c r="AQ33">
        <v>0.42399999999999999</v>
      </c>
      <c r="AR33">
        <v>0.03</v>
      </c>
      <c r="AS33">
        <v>6.1997000000000071</v>
      </c>
      <c r="AT33" s="2">
        <v>45681</v>
      </c>
      <c r="AU33" t="s">
        <v>1541</v>
      </c>
      <c r="AV33">
        <v>5</v>
      </c>
      <c r="AW33">
        <v>2.8799999999999999E-2</v>
      </c>
      <c r="AX33">
        <v>7.9286960758590652</v>
      </c>
      <c r="AY33">
        <v>892.4332575990253</v>
      </c>
      <c r="AZ33">
        <v>0.42399999999999999</v>
      </c>
      <c r="BA33">
        <v>0.03</v>
      </c>
      <c r="BB33">
        <v>6.2041999999999575</v>
      </c>
      <c r="BC33" s="2">
        <v>45681</v>
      </c>
      <c r="BD33" t="s">
        <v>1739</v>
      </c>
      <c r="BE33">
        <v>6</v>
      </c>
      <c r="BF33">
        <v>2.87E-2</v>
      </c>
      <c r="BG33">
        <v>7.9280878697341199</v>
      </c>
      <c r="BH33">
        <v>892.37553883776798</v>
      </c>
      <c r="BI33">
        <v>0.42399999999999999</v>
      </c>
      <c r="BJ33">
        <v>0.03</v>
      </c>
      <c r="BK33">
        <v>6.2005000000000337</v>
      </c>
      <c r="BL33" s="2">
        <v>45681</v>
      </c>
      <c r="BM33" t="s">
        <v>1939</v>
      </c>
      <c r="BN33">
        <v>6</v>
      </c>
      <c r="BO33">
        <v>2.86E-2</v>
      </c>
      <c r="BP33">
        <v>7.9296951557869741</v>
      </c>
      <c r="BQ33">
        <v>892.52807028418385</v>
      </c>
      <c r="BR33">
        <v>0.42399999999999999</v>
      </c>
      <c r="BS33">
        <v>0.03</v>
      </c>
      <c r="BT33">
        <v>6.2010999999999967</v>
      </c>
      <c r="BU33" s="2">
        <v>45681</v>
      </c>
      <c r="BV33" t="s">
        <v>2021</v>
      </c>
      <c r="BW33">
        <v>7</v>
      </c>
      <c r="BX33">
        <v>1.0500000000000001E-2</v>
      </c>
      <c r="BY33">
        <v>6.7790097144673043</v>
      </c>
      <c r="BZ33">
        <v>783.32802190294717</v>
      </c>
      <c r="CA33">
        <v>0.42399999999999999</v>
      </c>
      <c r="CB33">
        <v>1.2200000000000001E-2</v>
      </c>
      <c r="CC33">
        <v>6.6015999999999622</v>
      </c>
      <c r="CD33" s="2">
        <v>45681</v>
      </c>
      <c r="CE33" t="s">
        <v>2135</v>
      </c>
      <c r="CF33">
        <v>7</v>
      </c>
      <c r="CG33">
        <v>2.8199999999999999E-2</v>
      </c>
      <c r="CH33">
        <v>7.9305202887631481</v>
      </c>
      <c r="CI33">
        <v>892.60637540362279</v>
      </c>
      <c r="CJ33">
        <v>0.42399999999999999</v>
      </c>
      <c r="CK33">
        <v>3.0099999999999998E-2</v>
      </c>
      <c r="CL33">
        <v>6.2013000000000602</v>
      </c>
    </row>
    <row r="34" spans="1:90" x14ac:dyDescent="0.3">
      <c r="A34" s="2">
        <v>45681</v>
      </c>
      <c r="B34" t="s">
        <v>246</v>
      </c>
      <c r="C34">
        <v>1</v>
      </c>
      <c r="D34">
        <v>1.5699999999999999E-2</v>
      </c>
      <c r="E34">
        <v>6.9970783713293434</v>
      </c>
      <c r="F34">
        <v>804.02273743915464</v>
      </c>
      <c r="G34">
        <v>0.42399999999999999</v>
      </c>
      <c r="H34">
        <v>1.5599999999999999E-2</v>
      </c>
      <c r="I34">
        <v>6.4000999999999806</v>
      </c>
      <c r="J34" s="2">
        <v>45681</v>
      </c>
      <c r="K34" t="s">
        <v>446</v>
      </c>
      <c r="L34">
        <v>1</v>
      </c>
      <c r="M34">
        <v>3.0800000000000001E-2</v>
      </c>
      <c r="N34">
        <v>7.9981223995507094</v>
      </c>
      <c r="O34">
        <v>899.02181571736241</v>
      </c>
      <c r="P34">
        <v>0.42399999999999999</v>
      </c>
      <c r="Q34">
        <v>3.1099999999999999E-2</v>
      </c>
      <c r="R34">
        <v>6.4007000000000005</v>
      </c>
      <c r="S34" s="2">
        <v>45681</v>
      </c>
      <c r="T34" t="s">
        <v>842</v>
      </c>
      <c r="U34">
        <v>3</v>
      </c>
      <c r="V34">
        <v>2.98E-2</v>
      </c>
      <c r="W34">
        <v>7.9999591820480411</v>
      </c>
      <c r="X34">
        <v>899.19612637635919</v>
      </c>
      <c r="Y34">
        <v>0.42399999999999999</v>
      </c>
      <c r="Z34">
        <v>3.1099999999999999E-2</v>
      </c>
      <c r="AA34">
        <v>6.3993000000000393</v>
      </c>
      <c r="AB34" s="2">
        <v>45681</v>
      </c>
      <c r="AC34" t="s">
        <v>1042</v>
      </c>
      <c r="AD34">
        <v>3</v>
      </c>
      <c r="AE34">
        <v>3.0099999999999998E-2</v>
      </c>
      <c r="AF34">
        <v>8.001301290230419</v>
      </c>
      <c r="AG34">
        <v>899.32349244286684</v>
      </c>
      <c r="AH34">
        <v>0.42399999999999999</v>
      </c>
      <c r="AI34">
        <v>3.1199999999999999E-2</v>
      </c>
      <c r="AJ34">
        <v>6.4017000000000053</v>
      </c>
      <c r="AK34" s="2">
        <v>45681</v>
      </c>
      <c r="AL34" t="s">
        <v>1342</v>
      </c>
      <c r="AM34">
        <v>4</v>
      </c>
      <c r="AN34">
        <v>3.0200000000000001E-2</v>
      </c>
      <c r="AO34">
        <v>8.0016171519446395</v>
      </c>
      <c r="AP34">
        <v>899.3534677195463</v>
      </c>
      <c r="AQ34">
        <v>0.42399999999999999</v>
      </c>
      <c r="AR34">
        <v>3.1199999999999999E-2</v>
      </c>
      <c r="AS34">
        <v>6.3983000000000061</v>
      </c>
      <c r="AT34" s="2">
        <v>45681</v>
      </c>
      <c r="AU34" t="s">
        <v>1542</v>
      </c>
      <c r="AV34">
        <v>5</v>
      </c>
      <c r="AW34">
        <v>2.9399999999999999E-2</v>
      </c>
      <c r="AX34">
        <v>8.0028319423115271</v>
      </c>
      <c r="AY34">
        <v>899.468751325364</v>
      </c>
      <c r="AZ34">
        <v>0.42399999999999999</v>
      </c>
      <c r="BA34">
        <v>3.1199999999999999E-2</v>
      </c>
      <c r="BB34">
        <v>6.4005999999999972</v>
      </c>
      <c r="BC34" s="2">
        <v>45681</v>
      </c>
      <c r="BD34" t="s">
        <v>1740</v>
      </c>
      <c r="BE34">
        <v>6</v>
      </c>
      <c r="BF34">
        <v>2.9399999999999999E-2</v>
      </c>
      <c r="BG34">
        <v>8.0040280810239182</v>
      </c>
      <c r="BH34">
        <v>899.58226488916989</v>
      </c>
      <c r="BI34">
        <v>0.42399999999999999</v>
      </c>
      <c r="BJ34">
        <v>3.1199999999999999E-2</v>
      </c>
      <c r="BK34">
        <v>6.4017999999999802</v>
      </c>
      <c r="BL34" s="2">
        <v>45681</v>
      </c>
      <c r="BM34" t="s">
        <v>1940</v>
      </c>
      <c r="BN34">
        <v>6</v>
      </c>
      <c r="BO34">
        <v>2.9600000000000001E-2</v>
      </c>
      <c r="BP34">
        <v>8.0045746555948689</v>
      </c>
      <c r="BQ34">
        <v>899.63413481595308</v>
      </c>
      <c r="BR34">
        <v>0.42399999999999999</v>
      </c>
      <c r="BS34">
        <v>3.1199999999999999E-2</v>
      </c>
      <c r="BT34">
        <v>6.399599999999964</v>
      </c>
      <c r="BU34" s="2">
        <v>45681</v>
      </c>
      <c r="BV34" t="s">
        <v>2022</v>
      </c>
      <c r="BW34">
        <v>7</v>
      </c>
      <c r="BX34">
        <v>1.1900000000000001E-2</v>
      </c>
      <c r="BY34">
        <v>6.8570393165316634</v>
      </c>
      <c r="BZ34">
        <v>790.73303113885481</v>
      </c>
      <c r="CA34">
        <v>0.42399999999999999</v>
      </c>
      <c r="CB34">
        <v>1.34E-2</v>
      </c>
      <c r="CC34">
        <v>6.8012999999999693</v>
      </c>
      <c r="CD34" s="2">
        <v>45681</v>
      </c>
      <c r="CE34" t="s">
        <v>2136</v>
      </c>
      <c r="CF34">
        <v>7</v>
      </c>
      <c r="CG34">
        <v>2.9700000000000001E-2</v>
      </c>
      <c r="CH34">
        <v>8.0090810575099578</v>
      </c>
      <c r="CI34">
        <v>900.06179235769503</v>
      </c>
      <c r="CJ34">
        <v>0.42399999999999999</v>
      </c>
      <c r="CK34">
        <v>3.1300000000000001E-2</v>
      </c>
      <c r="CL34">
        <v>6.4098000000000184</v>
      </c>
    </row>
    <row r="35" spans="1:90" x14ac:dyDescent="0.3">
      <c r="A35" s="2">
        <v>45681</v>
      </c>
      <c r="B35" t="s">
        <v>247</v>
      </c>
      <c r="C35">
        <v>1</v>
      </c>
      <c r="D35">
        <v>1.6199999999999999E-2</v>
      </c>
      <c r="E35">
        <v>7.033970938456215</v>
      </c>
      <c r="F35">
        <v>807.52384205949488</v>
      </c>
      <c r="G35">
        <v>0.42399999999999999</v>
      </c>
      <c r="H35">
        <v>1.61E-2</v>
      </c>
      <c r="I35">
        <v>6.6019999999999754</v>
      </c>
      <c r="J35" s="2">
        <v>45681</v>
      </c>
      <c r="K35" t="s">
        <v>447</v>
      </c>
      <c r="L35">
        <v>1</v>
      </c>
      <c r="M35">
        <v>3.1699999999999999E-2</v>
      </c>
      <c r="N35">
        <v>8.0716220823964822</v>
      </c>
      <c r="O35">
        <v>905.99693561942615</v>
      </c>
      <c r="P35">
        <v>0.42399999999999999</v>
      </c>
      <c r="Q35">
        <v>3.2300000000000002E-2</v>
      </c>
      <c r="R35">
        <v>6.6017999999999972</v>
      </c>
      <c r="S35" s="2">
        <v>45681</v>
      </c>
      <c r="T35" t="s">
        <v>843</v>
      </c>
      <c r="U35">
        <v>3</v>
      </c>
      <c r="V35">
        <v>3.1099999999999999E-2</v>
      </c>
      <c r="W35">
        <v>8.0727910545686239</v>
      </c>
      <c r="X35">
        <v>906.10787107856243</v>
      </c>
      <c r="Y35">
        <v>0.42399999999999999</v>
      </c>
      <c r="Z35">
        <v>3.2300000000000002E-2</v>
      </c>
      <c r="AA35">
        <v>6.5988000000000397</v>
      </c>
      <c r="AB35" s="2">
        <v>45681</v>
      </c>
      <c r="AC35" t="s">
        <v>1043</v>
      </c>
      <c r="AD35">
        <v>3</v>
      </c>
      <c r="AE35">
        <v>3.1399999999999997E-2</v>
      </c>
      <c r="AF35">
        <v>8.073423183467817</v>
      </c>
      <c r="AG35">
        <v>906.16786011109582</v>
      </c>
      <c r="AH35">
        <v>0.42399999999999999</v>
      </c>
      <c r="AI35">
        <v>3.2300000000000002E-2</v>
      </c>
      <c r="AJ35">
        <v>6.5992999999999711</v>
      </c>
      <c r="AK35" s="2">
        <v>45681</v>
      </c>
      <c r="AL35" t="s">
        <v>1343</v>
      </c>
      <c r="AM35">
        <v>4</v>
      </c>
      <c r="AN35">
        <v>3.1E-2</v>
      </c>
      <c r="AO35">
        <v>8.0747969183686905</v>
      </c>
      <c r="AP35">
        <v>906.29822755318878</v>
      </c>
      <c r="AQ35">
        <v>0.42399999999999999</v>
      </c>
      <c r="AR35">
        <v>3.2300000000000002E-2</v>
      </c>
      <c r="AS35">
        <v>6.5988999999999578</v>
      </c>
      <c r="AT35" s="2">
        <v>45681</v>
      </c>
      <c r="AU35" t="s">
        <v>1543</v>
      </c>
      <c r="AV35">
        <v>5</v>
      </c>
      <c r="AW35">
        <v>3.0700000000000002E-2</v>
      </c>
      <c r="AX35">
        <v>8.076001571966831</v>
      </c>
      <c r="AY35">
        <v>906.41254917965227</v>
      </c>
      <c r="AZ35">
        <v>0.42399999999999999</v>
      </c>
      <c r="BA35">
        <v>3.2300000000000002E-2</v>
      </c>
      <c r="BB35">
        <v>6.6012999999999806</v>
      </c>
      <c r="BC35" s="2">
        <v>45681</v>
      </c>
      <c r="BD35" t="s">
        <v>1741</v>
      </c>
      <c r="BE35">
        <v>6</v>
      </c>
      <c r="BF35">
        <v>3.0499999999999999E-2</v>
      </c>
      <c r="BG35">
        <v>8.0770837733984813</v>
      </c>
      <c r="BH35">
        <v>906.51525009551597</v>
      </c>
      <c r="BI35">
        <v>0.42399999999999999</v>
      </c>
      <c r="BJ35">
        <v>3.2300000000000002E-2</v>
      </c>
      <c r="BK35">
        <v>6.6023000000000138</v>
      </c>
      <c r="BL35" s="2">
        <v>45681</v>
      </c>
      <c r="BM35" t="s">
        <v>1941</v>
      </c>
      <c r="BN35">
        <v>6</v>
      </c>
      <c r="BO35">
        <v>3.0700000000000002E-2</v>
      </c>
      <c r="BP35">
        <v>8.0780613633766425</v>
      </c>
      <c r="BQ35">
        <v>906.60802338444341</v>
      </c>
      <c r="BR35">
        <v>0.42399999999999999</v>
      </c>
      <c r="BS35">
        <v>3.2399999999999998E-2</v>
      </c>
      <c r="BT35">
        <v>6.6014000000000124</v>
      </c>
      <c r="BU35" s="2">
        <v>45681</v>
      </c>
      <c r="BV35" t="s">
        <v>2023</v>
      </c>
      <c r="BW35">
        <v>7</v>
      </c>
      <c r="BX35">
        <v>1.32E-2</v>
      </c>
      <c r="BY35">
        <v>6.9372349433423199</v>
      </c>
      <c r="BZ35">
        <v>798.34359612318622</v>
      </c>
      <c r="CA35">
        <v>0.42399999999999999</v>
      </c>
      <c r="CB35">
        <v>1.46E-2</v>
      </c>
      <c r="CC35">
        <v>7.0015999999999394</v>
      </c>
      <c r="CD35" s="2">
        <v>45681</v>
      </c>
      <c r="CE35" t="s">
        <v>2137</v>
      </c>
      <c r="CF35">
        <v>7</v>
      </c>
      <c r="CG35">
        <v>3.0700000000000002E-2</v>
      </c>
      <c r="CH35">
        <v>8.0783451929016152</v>
      </c>
      <c r="CI35">
        <v>906.63495880636333</v>
      </c>
      <c r="CJ35">
        <v>0.42399999999999999</v>
      </c>
      <c r="CK35">
        <v>3.2399999999999998E-2</v>
      </c>
      <c r="CL35">
        <v>6.6002000000000862</v>
      </c>
    </row>
    <row r="36" spans="1:90" x14ac:dyDescent="0.3">
      <c r="A36" s="2">
        <v>45681</v>
      </c>
      <c r="B36" t="s">
        <v>248</v>
      </c>
      <c r="C36">
        <v>1</v>
      </c>
      <c r="D36">
        <v>1.7000000000000001E-2</v>
      </c>
      <c r="E36">
        <v>7.0690125316095083</v>
      </c>
      <c r="F36">
        <v>810.84928924974236</v>
      </c>
      <c r="G36">
        <v>0.42399999999999999</v>
      </c>
      <c r="H36">
        <v>1.67E-2</v>
      </c>
      <c r="I36">
        <v>6.8016999999999825</v>
      </c>
      <c r="J36" s="2">
        <v>45681</v>
      </c>
      <c r="K36" t="s">
        <v>448</v>
      </c>
      <c r="L36">
        <v>1</v>
      </c>
      <c r="M36">
        <v>3.32E-2</v>
      </c>
      <c r="N36">
        <v>8.1416047119570756</v>
      </c>
      <c r="O36">
        <v>912.63828716472653</v>
      </c>
      <c r="P36">
        <v>0.42399999999999999</v>
      </c>
      <c r="Q36">
        <v>3.3300000000000003E-2</v>
      </c>
      <c r="R36">
        <v>6.801099999999991</v>
      </c>
      <c r="S36" s="2">
        <v>45681</v>
      </c>
      <c r="T36" t="s">
        <v>844</v>
      </c>
      <c r="U36">
        <v>3</v>
      </c>
      <c r="V36">
        <v>3.2500000000000001E-2</v>
      </c>
      <c r="W36">
        <v>8.1434504148109053</v>
      </c>
      <c r="X36">
        <v>912.81344436555491</v>
      </c>
      <c r="Y36">
        <v>0.42399999999999999</v>
      </c>
      <c r="Z36">
        <v>3.3399999999999999E-2</v>
      </c>
      <c r="AA36">
        <v>6.800200000000018</v>
      </c>
      <c r="AB36" s="2">
        <v>45681</v>
      </c>
      <c r="AC36" t="s">
        <v>1044</v>
      </c>
      <c r="AD36">
        <v>3</v>
      </c>
      <c r="AE36">
        <v>3.2599999999999997E-2</v>
      </c>
      <c r="AF36">
        <v>8.1459789304076757</v>
      </c>
      <c r="AG36">
        <v>913.05340049568849</v>
      </c>
      <c r="AH36">
        <v>0.42399999999999999</v>
      </c>
      <c r="AI36">
        <v>3.3399999999999999E-2</v>
      </c>
      <c r="AJ36">
        <v>6.8063999999999965</v>
      </c>
      <c r="AK36" s="2">
        <v>45681</v>
      </c>
      <c r="AL36" t="s">
        <v>1344</v>
      </c>
      <c r="AM36">
        <v>4</v>
      </c>
      <c r="AN36">
        <v>3.2599999999999997E-2</v>
      </c>
      <c r="AO36">
        <v>8.145105140941503</v>
      </c>
      <c r="AP36">
        <v>912.97047787534871</v>
      </c>
      <c r="AQ36">
        <v>0.42399999999999999</v>
      </c>
      <c r="AR36">
        <v>3.3399999999999999E-2</v>
      </c>
      <c r="AS36">
        <v>6.7994999999999663</v>
      </c>
      <c r="AT36" s="2">
        <v>45681</v>
      </c>
      <c r="AU36" t="s">
        <v>1544</v>
      </c>
      <c r="AV36">
        <v>5</v>
      </c>
      <c r="AW36">
        <v>3.1899999999999998E-2</v>
      </c>
      <c r="AX36">
        <v>8.1462587052251489</v>
      </c>
      <c r="AY36">
        <v>913.07995112586673</v>
      </c>
      <c r="AZ36">
        <v>0.42399999999999999</v>
      </c>
      <c r="BA36">
        <v>3.3399999999999999E-2</v>
      </c>
      <c r="BB36">
        <v>6.8019999999999641</v>
      </c>
      <c r="BC36" s="2">
        <v>45681</v>
      </c>
      <c r="BD36" t="s">
        <v>1742</v>
      </c>
      <c r="BE36">
        <v>6</v>
      </c>
      <c r="BF36">
        <v>3.1600000000000003E-2</v>
      </c>
      <c r="BG36">
        <v>8.1471791238275664</v>
      </c>
      <c r="BH36">
        <v>913.16729885123607</v>
      </c>
      <c r="BI36">
        <v>0.42399999999999999</v>
      </c>
      <c r="BJ36">
        <v>3.3399999999999999E-2</v>
      </c>
      <c r="BK36">
        <v>6.802599999999984</v>
      </c>
      <c r="BL36" s="2">
        <v>45681</v>
      </c>
      <c r="BM36" t="s">
        <v>1942</v>
      </c>
      <c r="BN36">
        <v>6</v>
      </c>
      <c r="BO36">
        <v>3.2099999999999997E-2</v>
      </c>
      <c r="BP36">
        <v>8.1481648232207249</v>
      </c>
      <c r="BQ36">
        <v>913.26084172364688</v>
      </c>
      <c r="BR36">
        <v>0.42399999999999999</v>
      </c>
      <c r="BS36">
        <v>3.3399999999999999E-2</v>
      </c>
      <c r="BT36">
        <v>6.8017999999999574</v>
      </c>
      <c r="BU36" s="2">
        <v>45681</v>
      </c>
      <c r="BV36" t="s">
        <v>2024</v>
      </c>
      <c r="BW36">
        <v>7</v>
      </c>
      <c r="BX36">
        <v>1.4800000000000001E-2</v>
      </c>
      <c r="BY36">
        <v>7.0188545834268483</v>
      </c>
      <c r="BZ36">
        <v>806.08929996720792</v>
      </c>
      <c r="CA36">
        <v>0.42399999999999999</v>
      </c>
      <c r="CB36">
        <v>1.5900000000000001E-2</v>
      </c>
      <c r="CC36">
        <v>7.20150000000001</v>
      </c>
      <c r="CD36" s="2">
        <v>45681</v>
      </c>
      <c r="CE36" t="s">
        <v>2138</v>
      </c>
      <c r="CF36">
        <v>7</v>
      </c>
      <c r="CG36">
        <v>3.1199999999999999E-2</v>
      </c>
      <c r="CH36">
        <v>8.1481871241119723</v>
      </c>
      <c r="CI36">
        <v>913.26295807822623</v>
      </c>
      <c r="CJ36">
        <v>0.42399999999999999</v>
      </c>
      <c r="CK36">
        <v>3.3399999999999999E-2</v>
      </c>
      <c r="CL36">
        <v>6.7999000000000933</v>
      </c>
    </row>
    <row r="37" spans="1:90" x14ac:dyDescent="0.3">
      <c r="A37" s="2">
        <v>45681</v>
      </c>
      <c r="B37" t="s">
        <v>249</v>
      </c>
      <c r="C37">
        <v>1</v>
      </c>
      <c r="D37">
        <v>1.7399999999999999E-2</v>
      </c>
      <c r="E37">
        <v>7.1022923543542111</v>
      </c>
      <c r="F37">
        <v>814.00754442821471</v>
      </c>
      <c r="G37">
        <v>0.42399999999999999</v>
      </c>
      <c r="H37">
        <v>1.72E-2</v>
      </c>
      <c r="I37">
        <v>7.0001999999999782</v>
      </c>
      <c r="J37" s="2">
        <v>45681</v>
      </c>
      <c r="K37" t="s">
        <v>449</v>
      </c>
      <c r="L37">
        <v>1</v>
      </c>
      <c r="M37">
        <v>3.4099999999999998E-2</v>
      </c>
      <c r="N37">
        <v>8.2082523445992237</v>
      </c>
      <c r="O37">
        <v>918.96314750246643</v>
      </c>
      <c r="P37">
        <v>0.42399999999999999</v>
      </c>
      <c r="Q37">
        <v>3.44E-2</v>
      </c>
      <c r="R37">
        <v>6.99969999999999</v>
      </c>
      <c r="S37" s="2">
        <v>45681</v>
      </c>
      <c r="T37" t="s">
        <v>845</v>
      </c>
      <c r="U37">
        <v>3</v>
      </c>
      <c r="V37">
        <v>3.3300000000000003E-2</v>
      </c>
      <c r="W37">
        <v>8.2103518721425335</v>
      </c>
      <c r="X37">
        <v>919.16239266632647</v>
      </c>
      <c r="Y37">
        <v>0.42399999999999999</v>
      </c>
      <c r="Z37">
        <v>3.44E-2</v>
      </c>
      <c r="AA37">
        <v>6.9999000000000251</v>
      </c>
      <c r="AB37" s="2">
        <v>45681</v>
      </c>
      <c r="AC37" t="s">
        <v>1045</v>
      </c>
      <c r="AD37">
        <v>3</v>
      </c>
      <c r="AE37">
        <v>3.3500000000000002E-2</v>
      </c>
      <c r="AF37">
        <v>8.2113010791681944</v>
      </c>
      <c r="AG37">
        <v>919.2524724130617</v>
      </c>
      <c r="AH37">
        <v>0.42399999999999999</v>
      </c>
      <c r="AI37">
        <v>3.44E-2</v>
      </c>
      <c r="AJ37">
        <v>7.0015999999999963</v>
      </c>
      <c r="AK37" s="2">
        <v>45681</v>
      </c>
      <c r="AL37" t="s">
        <v>1345</v>
      </c>
      <c r="AM37">
        <v>4</v>
      </c>
      <c r="AN37">
        <v>3.3500000000000002E-2</v>
      </c>
      <c r="AO37">
        <v>8.2118800913991432</v>
      </c>
      <c r="AP37">
        <v>919.30742067377878</v>
      </c>
      <c r="AQ37">
        <v>0.42399999999999999</v>
      </c>
      <c r="AR37">
        <v>3.44E-2</v>
      </c>
      <c r="AS37">
        <v>6.9989999999999668</v>
      </c>
      <c r="AT37" s="2">
        <v>45681</v>
      </c>
      <c r="AU37" t="s">
        <v>1545</v>
      </c>
      <c r="AV37">
        <v>5</v>
      </c>
      <c r="AW37">
        <v>3.32E-2</v>
      </c>
      <c r="AX37">
        <v>8.2134533179089981</v>
      </c>
      <c r="AY37">
        <v>919.45671986956393</v>
      </c>
      <c r="AZ37">
        <v>0.42399999999999999</v>
      </c>
      <c r="BA37">
        <v>3.4500000000000003E-2</v>
      </c>
      <c r="BB37">
        <v>7.0029999999999859</v>
      </c>
      <c r="BC37" s="2">
        <v>45681</v>
      </c>
      <c r="BD37" t="s">
        <v>1743</v>
      </c>
      <c r="BE37">
        <v>6</v>
      </c>
      <c r="BF37">
        <v>3.3000000000000002E-2</v>
      </c>
      <c r="BG37">
        <v>8.2142026278549309</v>
      </c>
      <c r="BH37">
        <v>919.52782938343296</v>
      </c>
      <c r="BI37">
        <v>0.42399999999999999</v>
      </c>
      <c r="BJ37">
        <v>3.4500000000000003E-2</v>
      </c>
      <c r="BK37">
        <v>7.0031000000000176</v>
      </c>
      <c r="BL37" s="2">
        <v>45681</v>
      </c>
      <c r="BM37" t="s">
        <v>1943</v>
      </c>
      <c r="BN37">
        <v>6</v>
      </c>
      <c r="BO37">
        <v>3.3099999999999997E-2</v>
      </c>
      <c r="BP37">
        <v>8.2140181386636968</v>
      </c>
      <c r="BQ37">
        <v>919.5103213591849</v>
      </c>
      <c r="BR37">
        <v>0.42399999999999999</v>
      </c>
      <c r="BS37">
        <v>3.4500000000000003E-2</v>
      </c>
      <c r="BT37">
        <v>6.9990000000000236</v>
      </c>
      <c r="BU37" s="2">
        <v>45681</v>
      </c>
      <c r="BV37" t="s">
        <v>2025</v>
      </c>
      <c r="BW37">
        <v>7</v>
      </c>
      <c r="BX37">
        <v>1.6E-2</v>
      </c>
      <c r="BY37">
        <v>7.1015454772327811</v>
      </c>
      <c r="BZ37">
        <v>813.93666578939099</v>
      </c>
      <c r="CA37">
        <v>0.42399999999999999</v>
      </c>
      <c r="CB37">
        <v>1.72E-2</v>
      </c>
      <c r="CC37">
        <v>7.4008999999999787</v>
      </c>
      <c r="CD37" s="2">
        <v>45681</v>
      </c>
      <c r="CE37" t="s">
        <v>2139</v>
      </c>
      <c r="CF37">
        <v>7</v>
      </c>
      <c r="CG37">
        <v>3.3000000000000002E-2</v>
      </c>
      <c r="CH37">
        <v>8.2151149370423475</v>
      </c>
      <c r="CI37">
        <v>919.61440752531882</v>
      </c>
      <c r="CJ37">
        <v>0.42399999999999999</v>
      </c>
      <c r="CK37">
        <v>3.4500000000000003E-2</v>
      </c>
      <c r="CL37">
        <v>7.0003000000000384</v>
      </c>
    </row>
    <row r="38" spans="1:90" x14ac:dyDescent="0.3">
      <c r="A38" s="2">
        <v>45681</v>
      </c>
      <c r="B38" t="s">
        <v>250</v>
      </c>
      <c r="C38">
        <v>1</v>
      </c>
      <c r="D38">
        <v>1.7600000000000001E-2</v>
      </c>
      <c r="E38">
        <v>7.1338566303558206</v>
      </c>
      <c r="F38">
        <v>817.00299422076739</v>
      </c>
      <c r="G38">
        <v>0.42399999999999999</v>
      </c>
      <c r="H38">
        <v>1.77E-2</v>
      </c>
      <c r="I38">
        <v>7.1983999999999924</v>
      </c>
      <c r="J38" s="2">
        <v>45681</v>
      </c>
      <c r="K38" t="s">
        <v>450</v>
      </c>
      <c r="L38">
        <v>1</v>
      </c>
      <c r="M38">
        <v>3.4700000000000002E-2</v>
      </c>
      <c r="N38">
        <v>8.2724732348028454</v>
      </c>
      <c r="O38">
        <v>925.05770998279002</v>
      </c>
      <c r="P38">
        <v>0.42399999999999999</v>
      </c>
      <c r="Q38">
        <v>3.5400000000000001E-2</v>
      </c>
      <c r="R38">
        <v>7.2013000000000318</v>
      </c>
      <c r="S38" s="2">
        <v>45681</v>
      </c>
      <c r="T38" t="s">
        <v>846</v>
      </c>
      <c r="U38">
        <v>3</v>
      </c>
      <c r="V38">
        <v>3.4599999999999999E-2</v>
      </c>
      <c r="W38">
        <v>8.2741810776016891</v>
      </c>
      <c r="X38">
        <v>925.21978426440035</v>
      </c>
      <c r="Y38">
        <v>0.42399999999999999</v>
      </c>
      <c r="Z38">
        <v>3.5400000000000001E-2</v>
      </c>
      <c r="AA38">
        <v>7.2006000000000085</v>
      </c>
      <c r="AB38" s="2">
        <v>45681</v>
      </c>
      <c r="AC38" t="s">
        <v>1046</v>
      </c>
      <c r="AD38">
        <v>3</v>
      </c>
      <c r="AE38">
        <v>3.49E-2</v>
      </c>
      <c r="AF38">
        <v>8.2740659239087009</v>
      </c>
      <c r="AG38">
        <v>925.20885617893578</v>
      </c>
      <c r="AH38">
        <v>0.42399999999999999</v>
      </c>
      <c r="AI38">
        <v>3.5400000000000001E-2</v>
      </c>
      <c r="AJ38">
        <v>7.1989999999999554</v>
      </c>
      <c r="AK38" s="2">
        <v>45681</v>
      </c>
      <c r="AL38" t="s">
        <v>1346</v>
      </c>
      <c r="AM38">
        <v>4</v>
      </c>
      <c r="AN38">
        <v>3.4299999999999997E-2</v>
      </c>
      <c r="AO38">
        <v>8.2753334254730841</v>
      </c>
      <c r="AP38">
        <v>925.32914207739577</v>
      </c>
      <c r="AQ38">
        <v>0.42399999999999999</v>
      </c>
      <c r="AR38">
        <v>3.5400000000000001E-2</v>
      </c>
      <c r="AS38">
        <v>7.1988000000000056</v>
      </c>
      <c r="AT38" s="2">
        <v>45681</v>
      </c>
      <c r="AU38" t="s">
        <v>1546</v>
      </c>
      <c r="AV38">
        <v>5</v>
      </c>
      <c r="AW38">
        <v>3.4200000000000001E-2</v>
      </c>
      <c r="AX38">
        <v>8.2760129944500225</v>
      </c>
      <c r="AY38">
        <v>925.39363317330719</v>
      </c>
      <c r="AZ38">
        <v>0.42399999999999999</v>
      </c>
      <c r="BA38">
        <v>3.5400000000000001E-2</v>
      </c>
      <c r="BB38">
        <v>7.2000999999999635</v>
      </c>
      <c r="BC38" s="2">
        <v>45681</v>
      </c>
      <c r="BD38" t="s">
        <v>1744</v>
      </c>
      <c r="BE38">
        <v>6</v>
      </c>
      <c r="BF38">
        <v>3.4000000000000002E-2</v>
      </c>
      <c r="BG38">
        <v>8.2773210430894029</v>
      </c>
      <c r="BH38">
        <v>925.51776698918434</v>
      </c>
      <c r="BI38">
        <v>0.42399999999999999</v>
      </c>
      <c r="BJ38">
        <v>3.5499999999999997E-2</v>
      </c>
      <c r="BK38">
        <v>7.202199999999948</v>
      </c>
      <c r="BL38" s="2">
        <v>45681</v>
      </c>
      <c r="BM38" t="s">
        <v>1944</v>
      </c>
      <c r="BN38">
        <v>6</v>
      </c>
      <c r="BO38">
        <v>3.39E-2</v>
      </c>
      <c r="BP38">
        <v>8.2774455226096411</v>
      </c>
      <c r="BQ38">
        <v>925.52958009565498</v>
      </c>
      <c r="BR38">
        <v>0.42399999999999999</v>
      </c>
      <c r="BS38">
        <v>3.5499999999999997E-2</v>
      </c>
      <c r="BT38">
        <v>7.199100000000044</v>
      </c>
      <c r="BU38" s="2">
        <v>45681</v>
      </c>
      <c r="BV38" t="s">
        <v>2026</v>
      </c>
      <c r="BW38">
        <v>7</v>
      </c>
      <c r="BX38">
        <v>1.72E-2</v>
      </c>
      <c r="BY38">
        <v>7.1853842587318564</v>
      </c>
      <c r="BZ38">
        <v>821.89296615365322</v>
      </c>
      <c r="CA38">
        <v>0.42399999999999999</v>
      </c>
      <c r="CB38">
        <v>1.8499999999999999E-2</v>
      </c>
      <c r="CC38">
        <v>7.6005999999999858</v>
      </c>
      <c r="CD38" s="2">
        <v>45681</v>
      </c>
      <c r="CE38" t="s">
        <v>2140</v>
      </c>
      <c r="CF38">
        <v>7</v>
      </c>
      <c r="CG38">
        <v>3.39E-2</v>
      </c>
      <c r="CH38">
        <v>8.2789161650197567</v>
      </c>
      <c r="CI38">
        <v>925.66914406037495</v>
      </c>
      <c r="CJ38">
        <v>0.42399999999999999</v>
      </c>
      <c r="CK38">
        <v>3.5499999999999997E-2</v>
      </c>
      <c r="CL38">
        <v>7.2018000000000484</v>
      </c>
    </row>
    <row r="39" spans="1:90" x14ac:dyDescent="0.3">
      <c r="A39" s="2">
        <v>45681</v>
      </c>
      <c r="B39" t="s">
        <v>251</v>
      </c>
      <c r="C39">
        <v>1</v>
      </c>
      <c r="D39">
        <v>1.77E-2</v>
      </c>
      <c r="E39">
        <v>7.1639080949893224</v>
      </c>
      <c r="F39">
        <v>819.85487821448669</v>
      </c>
      <c r="G39">
        <v>0.42399999999999999</v>
      </c>
      <c r="H39">
        <v>1.8200000000000001E-2</v>
      </c>
      <c r="I39">
        <v>7.3984999999999843</v>
      </c>
      <c r="J39" s="2">
        <v>45681</v>
      </c>
      <c r="K39" t="s">
        <v>451</v>
      </c>
      <c r="L39">
        <v>1</v>
      </c>
      <c r="M39">
        <v>3.61E-2</v>
      </c>
      <c r="N39">
        <v>8.3328502622968195</v>
      </c>
      <c r="O39">
        <v>930.78748989196822</v>
      </c>
      <c r="P39">
        <v>0.42399999999999999</v>
      </c>
      <c r="Q39">
        <v>3.6299999999999999E-2</v>
      </c>
      <c r="R39">
        <v>7.4025000000000034</v>
      </c>
      <c r="S39" s="2">
        <v>45681</v>
      </c>
      <c r="T39" t="s">
        <v>847</v>
      </c>
      <c r="U39">
        <v>3</v>
      </c>
      <c r="V39">
        <v>3.5799999999999998E-2</v>
      </c>
      <c r="W39">
        <v>8.3335156397975076</v>
      </c>
      <c r="X39">
        <v>930.85063421678353</v>
      </c>
      <c r="Y39">
        <v>0.42399999999999999</v>
      </c>
      <c r="Z39">
        <v>3.6299999999999999E-2</v>
      </c>
      <c r="AA39">
        <v>7.3985000000000127</v>
      </c>
      <c r="AB39" s="2">
        <v>45681</v>
      </c>
      <c r="AC39" t="s">
        <v>1047</v>
      </c>
      <c r="AD39">
        <v>3</v>
      </c>
      <c r="AE39">
        <v>3.56E-2</v>
      </c>
      <c r="AF39">
        <v>8.3341262787469539</v>
      </c>
      <c r="AG39">
        <v>930.90858385308593</v>
      </c>
      <c r="AH39">
        <v>0.42399999999999999</v>
      </c>
      <c r="AI39">
        <v>3.6299999999999999E-2</v>
      </c>
      <c r="AJ39">
        <v>7.3993999999999573</v>
      </c>
      <c r="AK39" s="2">
        <v>45681</v>
      </c>
      <c r="AL39" t="s">
        <v>1347</v>
      </c>
      <c r="AM39">
        <v>4</v>
      </c>
      <c r="AN39">
        <v>3.5299999999999998E-2</v>
      </c>
      <c r="AO39">
        <v>8.3357384304488065</v>
      </c>
      <c r="AP39">
        <v>931.06157704959173</v>
      </c>
      <c r="AQ39">
        <v>0.42399999999999999</v>
      </c>
      <c r="AR39">
        <v>3.6400000000000002E-2</v>
      </c>
      <c r="AS39">
        <v>7.4006999999999721</v>
      </c>
      <c r="AT39" s="2">
        <v>45681</v>
      </c>
      <c r="AU39" t="s">
        <v>1547</v>
      </c>
      <c r="AV39">
        <v>5</v>
      </c>
      <c r="AW39">
        <v>3.4799999999999998E-2</v>
      </c>
      <c r="AX39">
        <v>8.3369240269216949</v>
      </c>
      <c r="AY39">
        <v>931.17409015486885</v>
      </c>
      <c r="AZ39">
        <v>0.42399999999999999</v>
      </c>
      <c r="BA39">
        <v>3.6400000000000002E-2</v>
      </c>
      <c r="BB39">
        <v>7.4038999999999646</v>
      </c>
      <c r="BC39" s="2">
        <v>45681</v>
      </c>
      <c r="BD39" t="s">
        <v>1745</v>
      </c>
      <c r="BE39">
        <v>6</v>
      </c>
      <c r="BF39">
        <v>3.44E-2</v>
      </c>
      <c r="BG39">
        <v>8.3366896648282172</v>
      </c>
      <c r="BH39">
        <v>931.1518491921978</v>
      </c>
      <c r="BI39">
        <v>0.42399999999999999</v>
      </c>
      <c r="BJ39">
        <v>3.6400000000000002E-2</v>
      </c>
      <c r="BK39">
        <v>7.4009999999999536</v>
      </c>
      <c r="BL39" s="2">
        <v>45681</v>
      </c>
      <c r="BM39" t="s">
        <v>1945</v>
      </c>
      <c r="BN39">
        <v>6</v>
      </c>
      <c r="BO39">
        <v>3.5000000000000003E-2</v>
      </c>
      <c r="BP39">
        <v>8.3376352226171306</v>
      </c>
      <c r="BQ39">
        <v>931.2415826263657</v>
      </c>
      <c r="BR39">
        <v>0.42399999999999999</v>
      </c>
      <c r="BS39">
        <v>3.6400000000000002E-2</v>
      </c>
      <c r="BT39">
        <v>7.4005999999999403</v>
      </c>
      <c r="BU39" s="2">
        <v>45681</v>
      </c>
      <c r="BV39" t="s">
        <v>2027</v>
      </c>
      <c r="BW39">
        <v>7</v>
      </c>
      <c r="BX39">
        <v>1.83E-2</v>
      </c>
      <c r="BY39">
        <v>7.2704370196563204</v>
      </c>
      <c r="BZ39">
        <v>829.9644731653849</v>
      </c>
      <c r="CA39">
        <v>0.42399999999999999</v>
      </c>
      <c r="CB39">
        <v>1.9800000000000002E-2</v>
      </c>
      <c r="CC39">
        <v>7.8016999999999825</v>
      </c>
      <c r="CD39" s="2">
        <v>45681</v>
      </c>
      <c r="CE39" t="s">
        <v>2141</v>
      </c>
      <c r="CF39">
        <v>7</v>
      </c>
      <c r="CG39">
        <v>3.4700000000000002E-2</v>
      </c>
      <c r="CH39">
        <v>8.3378785050671098</v>
      </c>
      <c r="CI39">
        <v>931.26467013086881</v>
      </c>
      <c r="CJ39">
        <v>0.42399999999999999</v>
      </c>
      <c r="CK39">
        <v>3.6400000000000002E-2</v>
      </c>
      <c r="CL39">
        <v>7.3994000000000142</v>
      </c>
    </row>
    <row r="40" spans="1:90" x14ac:dyDescent="0.3">
      <c r="A40" s="2">
        <v>45681</v>
      </c>
      <c r="B40" t="s">
        <v>252</v>
      </c>
      <c r="C40">
        <v>1</v>
      </c>
      <c r="D40">
        <v>1.9E-2</v>
      </c>
      <c r="E40">
        <v>7.1922213065177294</v>
      </c>
      <c r="F40">
        <v>822.5418019885326</v>
      </c>
      <c r="G40">
        <v>0.42399999999999999</v>
      </c>
      <c r="H40">
        <v>1.8599999999999998E-2</v>
      </c>
      <c r="I40">
        <v>7.6000999999999976</v>
      </c>
      <c r="J40" s="2">
        <v>45681</v>
      </c>
      <c r="K40" t="s">
        <v>452</v>
      </c>
      <c r="L40">
        <v>1</v>
      </c>
      <c r="M40">
        <v>3.7100000000000001E-2</v>
      </c>
      <c r="N40">
        <v>8.3888583424599439</v>
      </c>
      <c r="O40">
        <v>936.10265669944874</v>
      </c>
      <c r="P40">
        <v>0.42399999999999999</v>
      </c>
      <c r="Q40">
        <v>3.7199999999999997E-2</v>
      </c>
      <c r="R40">
        <v>7.6020999999999788</v>
      </c>
      <c r="S40" s="2">
        <v>45681</v>
      </c>
      <c r="T40" t="s">
        <v>848</v>
      </c>
      <c r="U40">
        <v>3</v>
      </c>
      <c r="V40">
        <v>3.6700000000000003E-2</v>
      </c>
      <c r="W40">
        <v>8.3900427225205831</v>
      </c>
      <c r="X40">
        <v>936.21505436720338</v>
      </c>
      <c r="Y40">
        <v>0.42399999999999999</v>
      </c>
      <c r="Z40">
        <v>3.7199999999999997E-2</v>
      </c>
      <c r="AA40">
        <v>7.6000999999999976</v>
      </c>
      <c r="AB40" s="2">
        <v>45681</v>
      </c>
      <c r="AC40" t="s">
        <v>1048</v>
      </c>
      <c r="AD40">
        <v>3</v>
      </c>
      <c r="AE40">
        <v>3.6499999999999998E-2</v>
      </c>
      <c r="AF40">
        <v>8.3904538698610462</v>
      </c>
      <c r="AG40">
        <v>936.25407224981336</v>
      </c>
      <c r="AH40">
        <v>0.42399999999999999</v>
      </c>
      <c r="AI40">
        <v>3.7199999999999997E-2</v>
      </c>
      <c r="AJ40">
        <v>7.6005000000000109</v>
      </c>
      <c r="AK40" s="2">
        <v>45681</v>
      </c>
      <c r="AL40" t="s">
        <v>1348</v>
      </c>
      <c r="AM40">
        <v>4</v>
      </c>
      <c r="AN40">
        <v>3.6600000000000001E-2</v>
      </c>
      <c r="AO40">
        <v>8.3914626810869546</v>
      </c>
      <c r="AP40">
        <v>936.349808435152</v>
      </c>
      <c r="AQ40">
        <v>0.42399999999999999</v>
      </c>
      <c r="AR40">
        <v>3.7199999999999997E-2</v>
      </c>
      <c r="AS40">
        <v>7.599899999999991</v>
      </c>
      <c r="AT40" s="2">
        <v>45681</v>
      </c>
      <c r="AU40" t="s">
        <v>1548</v>
      </c>
      <c r="AV40">
        <v>5</v>
      </c>
      <c r="AW40">
        <v>3.5499999999999997E-2</v>
      </c>
      <c r="AX40">
        <v>8.3925140667416063</v>
      </c>
      <c r="AY40">
        <v>936.44958493377851</v>
      </c>
      <c r="AZ40">
        <v>0.42399999999999999</v>
      </c>
      <c r="BA40">
        <v>3.7199999999999997E-2</v>
      </c>
      <c r="BB40">
        <v>7.6028999999999769</v>
      </c>
      <c r="BC40" s="2">
        <v>45681</v>
      </c>
      <c r="BD40" t="s">
        <v>1746</v>
      </c>
      <c r="BE40">
        <v>6</v>
      </c>
      <c r="BF40">
        <v>3.5900000000000001E-2</v>
      </c>
      <c r="BG40">
        <v>8.3927930306175806</v>
      </c>
      <c r="BH40">
        <v>936.4760586056085</v>
      </c>
      <c r="BI40">
        <v>0.42399999999999999</v>
      </c>
      <c r="BJ40">
        <v>3.7199999999999997E-2</v>
      </c>
      <c r="BK40">
        <v>7.6018000000000256</v>
      </c>
      <c r="BL40" s="2">
        <v>45681</v>
      </c>
      <c r="BM40" t="s">
        <v>1946</v>
      </c>
      <c r="BN40">
        <v>6</v>
      </c>
      <c r="BO40">
        <v>3.5799999999999998E-2</v>
      </c>
      <c r="BP40">
        <v>8.393071994493555</v>
      </c>
      <c r="BQ40">
        <v>936.50253227743838</v>
      </c>
      <c r="BR40">
        <v>0.42399999999999999</v>
      </c>
      <c r="BS40">
        <v>3.7199999999999997E-2</v>
      </c>
      <c r="BT40">
        <v>7.5992999999999711</v>
      </c>
      <c r="BU40" s="2">
        <v>45681</v>
      </c>
      <c r="BV40" t="s">
        <v>2028</v>
      </c>
      <c r="BW40">
        <v>7</v>
      </c>
      <c r="BX40">
        <v>1.9699999999999999E-2</v>
      </c>
      <c r="BY40">
        <v>7.3547242518048543</v>
      </c>
      <c r="BZ40">
        <v>837.96333149628072</v>
      </c>
      <c r="CA40">
        <v>0.42399999999999999</v>
      </c>
      <c r="CB40">
        <v>2.1100000000000001E-2</v>
      </c>
      <c r="CC40">
        <v>8.0004000000000133</v>
      </c>
      <c r="CD40" s="2">
        <v>45681</v>
      </c>
      <c r="CE40" t="s">
        <v>2142</v>
      </c>
      <c r="CF40">
        <v>7</v>
      </c>
      <c r="CG40">
        <v>3.5799999999999998E-2</v>
      </c>
      <c r="CH40">
        <v>8.3937941378992402</v>
      </c>
      <c r="CI40">
        <v>936.5710636866379</v>
      </c>
      <c r="CJ40">
        <v>0.42399999999999999</v>
      </c>
      <c r="CK40">
        <v>3.73E-2</v>
      </c>
      <c r="CL40">
        <v>7.5999000000000478</v>
      </c>
    </row>
    <row r="41" spans="1:90" x14ac:dyDescent="0.3">
      <c r="A41" s="2">
        <v>45681</v>
      </c>
      <c r="B41" t="s">
        <v>253</v>
      </c>
      <c r="C41">
        <v>1</v>
      </c>
      <c r="D41">
        <v>1.9400000000000001E-2</v>
      </c>
      <c r="E41">
        <v>7.2184248537340814</v>
      </c>
      <c r="F41">
        <v>825.02851861936438</v>
      </c>
      <c r="G41">
        <v>0.42399999999999999</v>
      </c>
      <c r="H41">
        <v>1.9E-2</v>
      </c>
      <c r="I41">
        <v>7.8015999999999792</v>
      </c>
      <c r="J41" s="2">
        <v>45681</v>
      </c>
      <c r="K41" t="s">
        <v>453</v>
      </c>
      <c r="L41">
        <v>1</v>
      </c>
      <c r="M41">
        <v>3.7499999999999999E-2</v>
      </c>
      <c r="N41">
        <v>8.4414835801561257</v>
      </c>
      <c r="O41">
        <v>941.0967917568164</v>
      </c>
      <c r="P41">
        <v>0.42399999999999999</v>
      </c>
      <c r="Q41">
        <v>3.7999999999999999E-2</v>
      </c>
      <c r="R41">
        <v>7.8044999999999902</v>
      </c>
      <c r="S41" s="2">
        <v>45681</v>
      </c>
      <c r="T41" t="s">
        <v>849</v>
      </c>
      <c r="U41">
        <v>3</v>
      </c>
      <c r="V41">
        <v>3.8100000000000002E-2</v>
      </c>
      <c r="W41">
        <v>8.4416611763446081</v>
      </c>
      <c r="X41">
        <v>941.11364563510335</v>
      </c>
      <c r="Y41">
        <v>0.42399999999999999</v>
      </c>
      <c r="Z41">
        <v>3.7999999999999999E-2</v>
      </c>
      <c r="AA41">
        <v>7.7989000000000033</v>
      </c>
      <c r="AB41" s="2">
        <v>45681</v>
      </c>
      <c r="AC41" t="s">
        <v>1049</v>
      </c>
      <c r="AD41">
        <v>3</v>
      </c>
      <c r="AE41">
        <v>3.7699999999999997E-2</v>
      </c>
      <c r="AF41">
        <v>8.4423245264915465</v>
      </c>
      <c r="AG41">
        <v>941.17659756404782</v>
      </c>
      <c r="AH41">
        <v>0.42399999999999999</v>
      </c>
      <c r="AI41">
        <v>3.7999999999999999E-2</v>
      </c>
      <c r="AJ41">
        <v>7.8002999999999929</v>
      </c>
      <c r="AK41" s="2">
        <v>45681</v>
      </c>
      <c r="AL41" t="s">
        <v>1349</v>
      </c>
      <c r="AM41">
        <v>4</v>
      </c>
      <c r="AN41">
        <v>3.7600000000000001E-2</v>
      </c>
      <c r="AO41">
        <v>8.4437732734811668</v>
      </c>
      <c r="AP41">
        <v>941.31408365336279</v>
      </c>
      <c r="AQ41">
        <v>0.42399999999999999</v>
      </c>
      <c r="AR41">
        <v>3.7999999999999999E-2</v>
      </c>
      <c r="AS41">
        <v>7.8017999999999574</v>
      </c>
      <c r="AT41" s="2">
        <v>45681</v>
      </c>
      <c r="AU41" t="s">
        <v>1549</v>
      </c>
      <c r="AV41">
        <v>5</v>
      </c>
      <c r="AW41">
        <v>3.6799999999999999E-2</v>
      </c>
      <c r="AX41">
        <v>8.44351215031819</v>
      </c>
      <c r="AY41">
        <v>941.28930306519624</v>
      </c>
      <c r="AZ41">
        <v>0.42399999999999999</v>
      </c>
      <c r="BA41">
        <v>3.7999999999999999E-2</v>
      </c>
      <c r="BB41">
        <v>7.7998999999999796</v>
      </c>
      <c r="BC41" s="2">
        <v>45681</v>
      </c>
      <c r="BD41" t="s">
        <v>1747</v>
      </c>
      <c r="BE41">
        <v>6</v>
      </c>
      <c r="BF41">
        <v>3.6999999999999998E-2</v>
      </c>
      <c r="BG41">
        <v>8.4445886751593413</v>
      </c>
      <c r="BH41">
        <v>941.39146527262153</v>
      </c>
      <c r="BI41">
        <v>0.42399999999999999</v>
      </c>
      <c r="BJ41">
        <v>3.7999999999999999E-2</v>
      </c>
      <c r="BK41">
        <v>7.8020999999999958</v>
      </c>
      <c r="BL41" s="2">
        <v>45681</v>
      </c>
      <c r="BM41" t="s">
        <v>1947</v>
      </c>
      <c r="BN41">
        <v>6</v>
      </c>
      <c r="BO41">
        <v>3.6400000000000002E-2</v>
      </c>
      <c r="BP41">
        <v>8.4450861877695456</v>
      </c>
      <c r="BQ41">
        <v>941.43867921932997</v>
      </c>
      <c r="BR41">
        <v>0.42399999999999999</v>
      </c>
      <c r="BS41">
        <v>3.8100000000000002E-2</v>
      </c>
      <c r="BT41">
        <v>7.8006000000000313</v>
      </c>
      <c r="BU41" s="2">
        <v>45681</v>
      </c>
      <c r="BV41" t="s">
        <v>2029</v>
      </c>
      <c r="BW41">
        <v>7</v>
      </c>
      <c r="BX41">
        <v>2.07E-2</v>
      </c>
      <c r="BY41">
        <v>7.4401966749555308</v>
      </c>
      <c r="BZ41">
        <v>846.07466445327987</v>
      </c>
      <c r="CA41">
        <v>0.42399999999999999</v>
      </c>
      <c r="CB41">
        <v>2.24E-2</v>
      </c>
      <c r="CC41">
        <v>8.2017999999999347</v>
      </c>
      <c r="CD41" s="2">
        <v>45681</v>
      </c>
      <c r="CE41" t="s">
        <v>2143</v>
      </c>
      <c r="CF41">
        <v>7</v>
      </c>
      <c r="CG41">
        <v>3.6600000000000001E-2</v>
      </c>
      <c r="CH41">
        <v>8.4467482123736435</v>
      </c>
      <c r="CI41">
        <v>941.59640535425876</v>
      </c>
      <c r="CJ41">
        <v>0.42399999999999999</v>
      </c>
      <c r="CK41">
        <v>3.8100000000000002E-2</v>
      </c>
      <c r="CL41">
        <v>7.8052999999999884</v>
      </c>
    </row>
    <row r="42" spans="1:90" x14ac:dyDescent="0.3">
      <c r="A42" s="2">
        <v>45681</v>
      </c>
      <c r="B42" t="s">
        <v>254</v>
      </c>
      <c r="C42">
        <v>1</v>
      </c>
      <c r="D42">
        <v>1.9699999999999999E-2</v>
      </c>
      <c r="E42">
        <v>7.2421675989689067</v>
      </c>
      <c r="F42">
        <v>827.28170514214924</v>
      </c>
      <c r="G42">
        <v>0.42399999999999999</v>
      </c>
      <c r="H42">
        <v>1.9400000000000001E-2</v>
      </c>
      <c r="I42">
        <v>8.0006999999999948</v>
      </c>
      <c r="J42" s="2">
        <v>45681</v>
      </c>
      <c r="K42" t="s">
        <v>454</v>
      </c>
      <c r="L42">
        <v>1</v>
      </c>
      <c r="M42">
        <v>3.7999999999999999E-2</v>
      </c>
      <c r="N42">
        <v>8.4879971572381177</v>
      </c>
      <c r="O42">
        <v>945.51093022189741</v>
      </c>
      <c r="P42">
        <v>0.42399999999999999</v>
      </c>
      <c r="Q42">
        <v>3.8699999999999998E-2</v>
      </c>
      <c r="R42">
        <v>7.9994000000000085</v>
      </c>
      <c r="S42" s="2">
        <v>45681</v>
      </c>
      <c r="T42" t="s">
        <v>850</v>
      </c>
      <c r="U42">
        <v>3</v>
      </c>
      <c r="V42">
        <v>3.8600000000000002E-2</v>
      </c>
      <c r="W42">
        <v>8.4896831046164625</v>
      </c>
      <c r="X42">
        <v>945.67092662810239</v>
      </c>
      <c r="Y42">
        <v>0.42399999999999999</v>
      </c>
      <c r="Z42">
        <v>3.8699999999999998E-2</v>
      </c>
      <c r="AA42">
        <v>8.000500000000045</v>
      </c>
      <c r="AB42" s="2">
        <v>45681</v>
      </c>
      <c r="AC42" t="s">
        <v>1050</v>
      </c>
      <c r="AD42">
        <v>3</v>
      </c>
      <c r="AE42">
        <v>3.8399999999999997E-2</v>
      </c>
      <c r="AF42">
        <v>8.4896482341319679</v>
      </c>
      <c r="AG42">
        <v>945.66761741912376</v>
      </c>
      <c r="AH42">
        <v>0.42399999999999999</v>
      </c>
      <c r="AI42">
        <v>3.8699999999999998E-2</v>
      </c>
      <c r="AJ42">
        <v>7.9991999999999734</v>
      </c>
      <c r="AK42" s="2">
        <v>45681</v>
      </c>
      <c r="AL42" t="s">
        <v>1350</v>
      </c>
      <c r="AM42">
        <v>4</v>
      </c>
      <c r="AN42">
        <v>3.8899999999999997E-2</v>
      </c>
      <c r="AO42">
        <v>8.4908699175016036</v>
      </c>
      <c r="AP42">
        <v>945.78355517090222</v>
      </c>
      <c r="AQ42">
        <v>0.42399999999999999</v>
      </c>
      <c r="AR42">
        <v>3.8800000000000001E-2</v>
      </c>
      <c r="AS42">
        <v>8.0002999999999815</v>
      </c>
      <c r="AT42" s="2">
        <v>45681</v>
      </c>
      <c r="AU42" t="s">
        <v>1550</v>
      </c>
      <c r="AV42">
        <v>5</v>
      </c>
      <c r="AW42">
        <v>3.7999999999999999E-2</v>
      </c>
      <c r="AX42">
        <v>8.491916842978009</v>
      </c>
      <c r="AY42">
        <v>945.88290839861315</v>
      </c>
      <c r="AZ42">
        <v>0.42399999999999999</v>
      </c>
      <c r="BA42">
        <v>3.8800000000000001E-2</v>
      </c>
      <c r="BB42">
        <v>8.0039999999999623</v>
      </c>
      <c r="BC42" s="2">
        <v>45681</v>
      </c>
      <c r="BD42" t="s">
        <v>1748</v>
      </c>
      <c r="BE42">
        <v>6</v>
      </c>
      <c r="BF42">
        <v>3.7699999999999997E-2</v>
      </c>
      <c r="BG42">
        <v>8.4921179564699898</v>
      </c>
      <c r="BH42">
        <v>945.90199406900206</v>
      </c>
      <c r="BI42">
        <v>0.42399999999999999</v>
      </c>
      <c r="BJ42">
        <v>3.8800000000000001E-2</v>
      </c>
      <c r="BK42">
        <v>8.0027999999999793</v>
      </c>
      <c r="BL42" s="2">
        <v>45681</v>
      </c>
      <c r="BM42" t="s">
        <v>1948</v>
      </c>
      <c r="BN42">
        <v>6</v>
      </c>
      <c r="BO42">
        <v>3.7699999999999997E-2</v>
      </c>
      <c r="BP42">
        <v>8.4922529782297271</v>
      </c>
      <c r="BQ42">
        <v>945.91480763400114</v>
      </c>
      <c r="BR42">
        <v>0.42399999999999999</v>
      </c>
      <c r="BS42">
        <v>3.8800000000000001E-2</v>
      </c>
      <c r="BT42">
        <v>7.9997999999999365</v>
      </c>
      <c r="BU42" s="2">
        <v>45681</v>
      </c>
      <c r="BV42" t="s">
        <v>2030</v>
      </c>
      <c r="BW42">
        <v>7</v>
      </c>
      <c r="BX42">
        <v>2.2200000000000001E-2</v>
      </c>
      <c r="BY42">
        <v>7.5245605410758074</v>
      </c>
      <c r="BZ42">
        <v>854.08079534809417</v>
      </c>
      <c r="CA42">
        <v>0.42399999999999999</v>
      </c>
      <c r="CB42">
        <v>2.3800000000000002E-2</v>
      </c>
      <c r="CC42">
        <v>8.4014999999999418</v>
      </c>
      <c r="CD42" s="2">
        <v>45681</v>
      </c>
      <c r="CE42" t="s">
        <v>2144</v>
      </c>
      <c r="CF42">
        <v>7</v>
      </c>
      <c r="CG42">
        <v>3.7699999999999997E-2</v>
      </c>
      <c r="CH42">
        <v>8.4927496798984325</v>
      </c>
      <c r="CI42">
        <v>945.96194462236133</v>
      </c>
      <c r="CJ42">
        <v>0.42399999999999999</v>
      </c>
      <c r="CK42">
        <v>3.8800000000000001E-2</v>
      </c>
      <c r="CL42">
        <v>8</v>
      </c>
    </row>
    <row r="43" spans="1:90" x14ac:dyDescent="0.3">
      <c r="A43" s="2">
        <v>45681</v>
      </c>
      <c r="B43" t="s">
        <v>255</v>
      </c>
      <c r="C43">
        <v>1</v>
      </c>
      <c r="D43">
        <v>2.0199999999999999E-2</v>
      </c>
      <c r="E43">
        <v>7.2635221214864529</v>
      </c>
      <c r="F43">
        <v>829.30824932906444</v>
      </c>
      <c r="G43">
        <v>0.42399999999999999</v>
      </c>
      <c r="H43">
        <v>1.9699999999999999E-2</v>
      </c>
      <c r="I43">
        <v>8.1981999999999857</v>
      </c>
      <c r="J43" s="2">
        <v>45681</v>
      </c>
      <c r="K43" t="s">
        <v>455</v>
      </c>
      <c r="L43">
        <v>1</v>
      </c>
      <c r="M43">
        <v>3.9199999999999999E-2</v>
      </c>
      <c r="N43">
        <v>8.5315325516616323</v>
      </c>
      <c r="O43">
        <v>949.64243915268901</v>
      </c>
      <c r="P43">
        <v>0.42399999999999999</v>
      </c>
      <c r="Q43">
        <v>3.9399999999999998E-2</v>
      </c>
      <c r="R43">
        <v>8.2007000000000119</v>
      </c>
      <c r="S43" s="2">
        <v>45681</v>
      </c>
      <c r="T43" t="s">
        <v>851</v>
      </c>
      <c r="U43">
        <v>3</v>
      </c>
      <c r="V43">
        <v>3.9399999999999998E-2</v>
      </c>
      <c r="W43">
        <v>8.5328041079335151</v>
      </c>
      <c r="X43">
        <v>949.76310984289069</v>
      </c>
      <c r="Y43">
        <v>0.42399999999999999</v>
      </c>
      <c r="Z43">
        <v>3.9399999999999998E-2</v>
      </c>
      <c r="AA43">
        <v>8.2006000000000085</v>
      </c>
      <c r="AB43" s="2">
        <v>45681</v>
      </c>
      <c r="AC43" t="s">
        <v>1051</v>
      </c>
      <c r="AD43">
        <v>3</v>
      </c>
      <c r="AE43">
        <v>3.9E-2</v>
      </c>
      <c r="AF43">
        <v>8.5329460226960041</v>
      </c>
      <c r="AG43">
        <v>949.77657755385087</v>
      </c>
      <c r="AH43">
        <v>0.42399999999999999</v>
      </c>
      <c r="AI43">
        <v>3.9399999999999998E-2</v>
      </c>
      <c r="AJ43">
        <v>8.2000999999999635</v>
      </c>
      <c r="AK43" s="2">
        <v>45681</v>
      </c>
      <c r="AL43" t="s">
        <v>1351</v>
      </c>
      <c r="AM43">
        <v>4</v>
      </c>
      <c r="AN43">
        <v>3.9399999999999998E-2</v>
      </c>
      <c r="AO43">
        <v>8.5337520985469304</v>
      </c>
      <c r="AP43">
        <v>949.85307415210377</v>
      </c>
      <c r="AQ43">
        <v>0.42399999999999999</v>
      </c>
      <c r="AR43">
        <v>3.9399999999999998E-2</v>
      </c>
      <c r="AS43">
        <v>8.199799999999982</v>
      </c>
      <c r="AT43" s="2">
        <v>45681</v>
      </c>
      <c r="AU43" t="s">
        <v>1551</v>
      </c>
      <c r="AV43">
        <v>5</v>
      </c>
      <c r="AW43">
        <v>3.8699999999999998E-2</v>
      </c>
      <c r="AX43">
        <v>8.5345938558238519</v>
      </c>
      <c r="AY43">
        <v>949.93295691768355</v>
      </c>
      <c r="AZ43">
        <v>0.42399999999999999</v>
      </c>
      <c r="BA43">
        <v>3.9399999999999998E-2</v>
      </c>
      <c r="BB43">
        <v>8.2029999999999745</v>
      </c>
      <c r="BC43" s="2">
        <v>45681</v>
      </c>
      <c r="BD43" t="s">
        <v>1749</v>
      </c>
      <c r="BE43">
        <v>6</v>
      </c>
      <c r="BF43">
        <v>3.8199999999999998E-2</v>
      </c>
      <c r="BG43">
        <v>8.5349222871313231</v>
      </c>
      <c r="BH43">
        <v>949.96412504876264</v>
      </c>
      <c r="BI43">
        <v>0.42399999999999999</v>
      </c>
      <c r="BJ43">
        <v>3.95E-2</v>
      </c>
      <c r="BK43">
        <v>8.2024999999999864</v>
      </c>
      <c r="BL43" s="2">
        <v>45681</v>
      </c>
      <c r="BM43" t="s">
        <v>1949</v>
      </c>
      <c r="BN43">
        <v>6</v>
      </c>
      <c r="BO43">
        <v>3.8699999999999998E-2</v>
      </c>
      <c r="BP43">
        <v>8.5351813829405465</v>
      </c>
      <c r="BQ43">
        <v>949.98871324105789</v>
      </c>
      <c r="BR43">
        <v>0.42399999999999999</v>
      </c>
      <c r="BS43">
        <v>3.95E-2</v>
      </c>
      <c r="BT43">
        <v>8.2001999999999953</v>
      </c>
      <c r="BU43" s="2">
        <v>45681</v>
      </c>
      <c r="BV43" t="s">
        <v>2031</v>
      </c>
      <c r="BW43">
        <v>7</v>
      </c>
      <c r="BX43">
        <v>2.3300000000000001E-2</v>
      </c>
      <c r="BY43">
        <v>7.6086320627853627</v>
      </c>
      <c r="BZ43">
        <v>862.05918275833096</v>
      </c>
      <c r="CA43">
        <v>0.42399999999999999</v>
      </c>
      <c r="CB43">
        <v>2.5100000000000001E-2</v>
      </c>
      <c r="CC43">
        <v>8.6021999999999252</v>
      </c>
      <c r="CD43" s="2">
        <v>45681</v>
      </c>
      <c r="CE43" t="s">
        <v>2145</v>
      </c>
      <c r="CF43">
        <v>7</v>
      </c>
      <c r="CG43">
        <v>3.8199999999999998E-2</v>
      </c>
      <c r="CH43">
        <v>8.5357157933890004</v>
      </c>
      <c r="CI43">
        <v>950.03942879261615</v>
      </c>
      <c r="CJ43">
        <v>0.42399999999999999</v>
      </c>
      <c r="CK43">
        <v>3.95E-2</v>
      </c>
      <c r="CL43">
        <v>8.200800000000072</v>
      </c>
    </row>
    <row r="44" spans="1:90" x14ac:dyDescent="0.3">
      <c r="A44" s="2">
        <v>45681</v>
      </c>
      <c r="B44" t="s">
        <v>256</v>
      </c>
      <c r="C44">
        <v>1</v>
      </c>
      <c r="D44">
        <v>2.0299999999999999E-2</v>
      </c>
      <c r="E44">
        <v>7.2828496957249342</v>
      </c>
      <c r="F44">
        <v>831.1424361242963</v>
      </c>
      <c r="G44">
        <v>0.42399999999999999</v>
      </c>
      <c r="H44">
        <v>0.02</v>
      </c>
      <c r="I44">
        <v>8.3985999999999876</v>
      </c>
      <c r="J44" s="2">
        <v>45681</v>
      </c>
      <c r="K44" t="s">
        <v>456</v>
      </c>
      <c r="L44">
        <v>1</v>
      </c>
      <c r="M44">
        <v>4.0300000000000002E-2</v>
      </c>
      <c r="N44">
        <v>8.5699951015323617</v>
      </c>
      <c r="O44">
        <v>953.29253513542119</v>
      </c>
      <c r="P44">
        <v>0.42399999999999999</v>
      </c>
      <c r="Q44">
        <v>0.04</v>
      </c>
      <c r="R44">
        <v>8.4000999999999806</v>
      </c>
      <c r="S44" s="2">
        <v>45681</v>
      </c>
      <c r="T44" t="s">
        <v>852</v>
      </c>
      <c r="U44">
        <v>3</v>
      </c>
      <c r="V44">
        <v>3.9899999999999998E-2</v>
      </c>
      <c r="W44">
        <v>8.5708433463412845</v>
      </c>
      <c r="X44">
        <v>953.37303356778796</v>
      </c>
      <c r="Y44">
        <v>0.42399999999999999</v>
      </c>
      <c r="Z44">
        <v>0.04</v>
      </c>
      <c r="AA44">
        <v>8.3985000000000127</v>
      </c>
      <c r="AB44" s="2">
        <v>45681</v>
      </c>
      <c r="AC44" t="s">
        <v>1052</v>
      </c>
      <c r="AD44">
        <v>3</v>
      </c>
      <c r="AE44">
        <v>3.9800000000000002E-2</v>
      </c>
      <c r="AF44">
        <v>8.5714981816024753</v>
      </c>
      <c r="AG44">
        <v>953.43517743407494</v>
      </c>
      <c r="AH44">
        <v>0.42399999999999999</v>
      </c>
      <c r="AI44">
        <v>0.04</v>
      </c>
      <c r="AJ44">
        <v>8.4010000000000105</v>
      </c>
      <c r="AK44" s="2">
        <v>45681</v>
      </c>
      <c r="AL44" t="s">
        <v>1352</v>
      </c>
      <c r="AM44">
        <v>4</v>
      </c>
      <c r="AN44">
        <v>4.0399999999999998E-2</v>
      </c>
      <c r="AO44">
        <v>8.5722182976544072</v>
      </c>
      <c r="AP44">
        <v>953.50351644740329</v>
      </c>
      <c r="AQ44">
        <v>0.42399999999999999</v>
      </c>
      <c r="AR44">
        <v>0.04</v>
      </c>
      <c r="AS44">
        <v>8.4006999999999721</v>
      </c>
      <c r="AT44" s="2">
        <v>45681</v>
      </c>
      <c r="AU44" t="s">
        <v>1552</v>
      </c>
      <c r="AV44">
        <v>5</v>
      </c>
      <c r="AW44">
        <v>3.9E-2</v>
      </c>
      <c r="AX44">
        <v>8.572456308984636</v>
      </c>
      <c r="AY44">
        <v>953.52610372264201</v>
      </c>
      <c r="AZ44">
        <v>0.42399999999999999</v>
      </c>
      <c r="BA44">
        <v>0.04</v>
      </c>
      <c r="BB44">
        <v>8.4010999999999854</v>
      </c>
      <c r="BC44" s="2">
        <v>45681</v>
      </c>
      <c r="BD44" t="s">
        <v>1750</v>
      </c>
      <c r="BE44">
        <v>6</v>
      </c>
      <c r="BF44">
        <v>3.9300000000000002E-2</v>
      </c>
      <c r="BG44">
        <v>8.5728074466541031</v>
      </c>
      <c r="BH44">
        <v>953.55942668747446</v>
      </c>
      <c r="BI44">
        <v>0.42399999999999999</v>
      </c>
      <c r="BJ44">
        <v>0.04</v>
      </c>
      <c r="BK44">
        <v>8.4009999999999536</v>
      </c>
      <c r="BL44" s="2">
        <v>45681</v>
      </c>
      <c r="BM44" t="s">
        <v>1950</v>
      </c>
      <c r="BN44">
        <v>6</v>
      </c>
      <c r="BO44">
        <v>3.9100000000000003E-2</v>
      </c>
      <c r="BP44">
        <v>8.573591627084534</v>
      </c>
      <c r="BQ44">
        <v>953.63384541032235</v>
      </c>
      <c r="BR44">
        <v>0.42399999999999999</v>
      </c>
      <c r="BS44">
        <v>4.0099999999999997E-2</v>
      </c>
      <c r="BT44">
        <v>8.4017999999999802</v>
      </c>
      <c r="BU44" s="2">
        <v>45681</v>
      </c>
      <c r="BV44" t="s">
        <v>2032</v>
      </c>
      <c r="BW44">
        <v>7</v>
      </c>
      <c r="BX44">
        <v>2.4299999999999999E-2</v>
      </c>
      <c r="BY44">
        <v>7.6913456629532906</v>
      </c>
      <c r="BZ44">
        <v>869.90870341426739</v>
      </c>
      <c r="CA44">
        <v>0.42399999999999999</v>
      </c>
      <c r="CB44">
        <v>2.63E-2</v>
      </c>
      <c r="CC44">
        <v>8.8021999999999707</v>
      </c>
      <c r="CD44" s="2">
        <v>45681</v>
      </c>
      <c r="CE44" t="s">
        <v>2146</v>
      </c>
      <c r="CF44">
        <v>7</v>
      </c>
      <c r="CG44">
        <v>3.9100000000000003E-2</v>
      </c>
      <c r="CH44">
        <v>8.573793956988764</v>
      </c>
      <c r="CI44">
        <v>953.65304651823374</v>
      </c>
      <c r="CJ44">
        <v>0.42399999999999999</v>
      </c>
      <c r="CK44">
        <v>4.0099999999999997E-2</v>
      </c>
      <c r="CL44">
        <v>8.4009000000000924</v>
      </c>
    </row>
    <row r="45" spans="1:90" x14ac:dyDescent="0.3">
      <c r="A45" s="2">
        <v>45681</v>
      </c>
      <c r="B45" t="s">
        <v>257</v>
      </c>
      <c r="C45">
        <v>1</v>
      </c>
      <c r="D45">
        <v>2.0500000000000001E-2</v>
      </c>
      <c r="E45">
        <v>7.2998624374518766</v>
      </c>
      <c r="F45">
        <v>832.7569453141831</v>
      </c>
      <c r="G45">
        <v>0.42399999999999999</v>
      </c>
      <c r="H45">
        <v>2.0299999999999999E-2</v>
      </c>
      <c r="I45">
        <v>8.6002999999999759</v>
      </c>
      <c r="J45" s="2">
        <v>45681</v>
      </c>
      <c r="K45" t="s">
        <v>457</v>
      </c>
      <c r="L45">
        <v>1</v>
      </c>
      <c r="M45">
        <v>4.07E-2</v>
      </c>
      <c r="N45">
        <v>8.6037850064805177</v>
      </c>
      <c r="O45">
        <v>956.49919711500115</v>
      </c>
      <c r="P45">
        <v>0.42399999999999999</v>
      </c>
      <c r="Q45">
        <v>4.0500000000000001E-2</v>
      </c>
      <c r="R45">
        <v>8.6004000000000076</v>
      </c>
      <c r="S45" s="2">
        <v>45681</v>
      </c>
      <c r="T45" t="s">
        <v>853</v>
      </c>
      <c r="U45">
        <v>3</v>
      </c>
      <c r="V45">
        <v>4.1300000000000003E-2</v>
      </c>
      <c r="W45">
        <v>8.6047792207594291</v>
      </c>
      <c r="X45">
        <v>956.5935480500699</v>
      </c>
      <c r="Y45">
        <v>0.42399999999999999</v>
      </c>
      <c r="Z45">
        <v>4.0500000000000001E-2</v>
      </c>
      <c r="AA45">
        <v>8.600400000000036</v>
      </c>
      <c r="AB45" s="2">
        <v>45681</v>
      </c>
      <c r="AC45" t="s">
        <v>1053</v>
      </c>
      <c r="AD45">
        <v>3</v>
      </c>
      <c r="AE45">
        <v>4.0399999999999998E-2</v>
      </c>
      <c r="AF45">
        <v>8.6049706029534097</v>
      </c>
      <c r="AG45">
        <v>956.61171022027861</v>
      </c>
      <c r="AH45">
        <v>0.42399999999999999</v>
      </c>
      <c r="AI45">
        <v>4.0500000000000001E-2</v>
      </c>
      <c r="AJ45">
        <v>8.6005000000000109</v>
      </c>
      <c r="AK45" s="2">
        <v>45681</v>
      </c>
      <c r="AL45" t="s">
        <v>1353</v>
      </c>
      <c r="AM45">
        <v>4</v>
      </c>
      <c r="AN45">
        <v>4.0800000000000003E-2</v>
      </c>
      <c r="AO45">
        <v>8.6054685210343642</v>
      </c>
      <c r="AP45">
        <v>956.65896264616117</v>
      </c>
      <c r="AQ45">
        <v>0.42399999999999999</v>
      </c>
      <c r="AR45">
        <v>4.0500000000000001E-2</v>
      </c>
      <c r="AS45">
        <v>8.5994000000000028</v>
      </c>
      <c r="AT45" s="2">
        <v>45681</v>
      </c>
      <c r="AU45" t="s">
        <v>1553</v>
      </c>
      <c r="AV45">
        <v>5</v>
      </c>
      <c r="AW45">
        <v>3.9300000000000002E-2</v>
      </c>
      <c r="AX45">
        <v>8.6057195074285922</v>
      </c>
      <c r="AY45">
        <v>956.68278125497341</v>
      </c>
      <c r="AZ45">
        <v>0.42399999999999999</v>
      </c>
      <c r="BA45">
        <v>4.0599999999999997E-2</v>
      </c>
      <c r="BB45">
        <v>8.6000999999999976</v>
      </c>
      <c r="BC45" s="2">
        <v>45681</v>
      </c>
      <c r="BD45" t="s">
        <v>1751</v>
      </c>
      <c r="BE45">
        <v>6</v>
      </c>
      <c r="BF45">
        <v>4.0500000000000001E-2</v>
      </c>
      <c r="BG45">
        <v>8.6061128140560541</v>
      </c>
      <c r="BH45">
        <v>956.72010605391961</v>
      </c>
      <c r="BI45">
        <v>0.42399999999999999</v>
      </c>
      <c r="BJ45">
        <v>4.0599999999999997E-2</v>
      </c>
      <c r="BK45">
        <v>8.6005000000000109</v>
      </c>
      <c r="BL45" s="2">
        <v>45681</v>
      </c>
      <c r="BM45" t="s">
        <v>1951</v>
      </c>
      <c r="BN45">
        <v>6</v>
      </c>
      <c r="BO45">
        <v>3.9300000000000002E-2</v>
      </c>
      <c r="BP45">
        <v>8.6066703363372543</v>
      </c>
      <c r="BQ45">
        <v>956.77301491840547</v>
      </c>
      <c r="BR45">
        <v>0.42399999999999999</v>
      </c>
      <c r="BS45">
        <v>4.0599999999999997E-2</v>
      </c>
      <c r="BT45">
        <v>8.6005000000000109</v>
      </c>
      <c r="BU45" s="2">
        <v>45681</v>
      </c>
      <c r="BV45" t="s">
        <v>2033</v>
      </c>
      <c r="BW45">
        <v>7</v>
      </c>
      <c r="BX45">
        <v>2.5999999999999999E-2</v>
      </c>
      <c r="BY45">
        <v>7.7721154363458984</v>
      </c>
      <c r="BZ45">
        <v>877.57375490922573</v>
      </c>
      <c r="CA45">
        <v>0.42399999999999999</v>
      </c>
      <c r="CB45">
        <v>2.76E-2</v>
      </c>
      <c r="CC45">
        <v>9.0005999999999631</v>
      </c>
      <c r="CD45" s="2">
        <v>45681</v>
      </c>
      <c r="CE45" t="s">
        <v>2147</v>
      </c>
      <c r="CF45">
        <v>7</v>
      </c>
      <c r="CG45">
        <v>4.0099999999999997E-2</v>
      </c>
      <c r="CH45">
        <v>8.6071216252819642</v>
      </c>
      <c r="CI45">
        <v>956.81584223925847</v>
      </c>
      <c r="CJ45">
        <v>0.42399999999999999</v>
      </c>
      <c r="CK45">
        <v>4.0599999999999997E-2</v>
      </c>
      <c r="CL45">
        <v>8.6014999999999873</v>
      </c>
    </row>
    <row r="46" spans="1:90" x14ac:dyDescent="0.3">
      <c r="A46" s="2">
        <v>45681</v>
      </c>
      <c r="B46" t="s">
        <v>258</v>
      </c>
      <c r="C46">
        <v>1</v>
      </c>
      <c r="D46">
        <v>2.07E-2</v>
      </c>
      <c r="E46">
        <v>7.3142367810088116</v>
      </c>
      <c r="F46">
        <v>834.12107051773626</v>
      </c>
      <c r="G46">
        <v>0.42399999999999999</v>
      </c>
      <c r="H46">
        <v>2.0500000000000001E-2</v>
      </c>
      <c r="I46">
        <v>8.8001999999999896</v>
      </c>
      <c r="J46" s="2">
        <v>45681</v>
      </c>
      <c r="K46" t="s">
        <v>458</v>
      </c>
      <c r="L46">
        <v>1</v>
      </c>
      <c r="M46">
        <v>4.1300000000000003E-2</v>
      </c>
      <c r="N46">
        <v>8.6326910162453725</v>
      </c>
      <c r="O46">
        <v>959.2423774416859</v>
      </c>
      <c r="P46">
        <v>0.42399999999999999</v>
      </c>
      <c r="Q46">
        <v>4.1000000000000002E-2</v>
      </c>
      <c r="R46">
        <v>8.8012999999999977</v>
      </c>
      <c r="S46" s="2">
        <v>45681</v>
      </c>
      <c r="T46" t="s">
        <v>854</v>
      </c>
      <c r="U46">
        <v>3</v>
      </c>
      <c r="V46">
        <v>4.2299999999999997E-2</v>
      </c>
      <c r="W46">
        <v>8.6331593349615794</v>
      </c>
      <c r="X46">
        <v>959.28682088785388</v>
      </c>
      <c r="Y46">
        <v>0.42399999999999999</v>
      </c>
      <c r="Z46">
        <v>4.1000000000000002E-2</v>
      </c>
      <c r="AA46">
        <v>8.7985000000000468</v>
      </c>
      <c r="AB46" s="2">
        <v>45681</v>
      </c>
      <c r="AC46" t="s">
        <v>1054</v>
      </c>
      <c r="AD46">
        <v>3</v>
      </c>
      <c r="AE46">
        <v>4.1599999999999998E-2</v>
      </c>
      <c r="AF46">
        <v>8.633795518568272</v>
      </c>
      <c r="AG46">
        <v>959.34719471212907</v>
      </c>
      <c r="AH46">
        <v>0.42399999999999999</v>
      </c>
      <c r="AI46">
        <v>4.1000000000000002E-2</v>
      </c>
      <c r="AJ46">
        <v>8.8021999999999707</v>
      </c>
      <c r="AK46" s="2">
        <v>45681</v>
      </c>
      <c r="AL46" t="s">
        <v>1354</v>
      </c>
      <c r="AM46">
        <v>4</v>
      </c>
      <c r="AN46">
        <v>4.1099999999999998E-2</v>
      </c>
      <c r="AO46">
        <v>8.6341085419872439</v>
      </c>
      <c r="AP46">
        <v>959.37690063458945</v>
      </c>
      <c r="AQ46">
        <v>0.42399999999999999</v>
      </c>
      <c r="AR46">
        <v>4.1000000000000002E-2</v>
      </c>
      <c r="AS46">
        <v>8.8002999999999929</v>
      </c>
      <c r="AT46" s="2">
        <v>45681</v>
      </c>
      <c r="AU46" t="s">
        <v>1554</v>
      </c>
      <c r="AV46">
        <v>5</v>
      </c>
      <c r="AW46">
        <v>4.1000000000000002E-2</v>
      </c>
      <c r="AX46">
        <v>8.6345132017957056</v>
      </c>
      <c r="AY46">
        <v>959.41530285041256</v>
      </c>
      <c r="AZ46">
        <v>0.42399999999999999</v>
      </c>
      <c r="BA46">
        <v>4.1000000000000002E-2</v>
      </c>
      <c r="BB46">
        <v>8.8024999999999523</v>
      </c>
      <c r="BC46" s="2">
        <v>45681</v>
      </c>
      <c r="BD46" t="s">
        <v>1752</v>
      </c>
      <c r="BE46">
        <v>6</v>
      </c>
      <c r="BF46">
        <v>4.1000000000000002E-2</v>
      </c>
      <c r="BG46">
        <v>8.6345277987427043</v>
      </c>
      <c r="BH46">
        <v>959.41668810068268</v>
      </c>
      <c r="BI46">
        <v>0.42399999999999999</v>
      </c>
      <c r="BJ46">
        <v>4.1000000000000002E-2</v>
      </c>
      <c r="BK46">
        <v>8.8006000000000313</v>
      </c>
      <c r="BL46" s="2">
        <v>45681</v>
      </c>
      <c r="BM46" t="s">
        <v>1952</v>
      </c>
      <c r="BN46">
        <v>6</v>
      </c>
      <c r="BO46">
        <v>4.0599999999999997E-2</v>
      </c>
      <c r="BP46">
        <v>8.6349320530804157</v>
      </c>
      <c r="BQ46">
        <v>959.45505183733155</v>
      </c>
      <c r="BR46">
        <v>0.42399999999999999</v>
      </c>
      <c r="BS46">
        <v>4.1000000000000002E-2</v>
      </c>
      <c r="BT46">
        <v>8.8001000000000431</v>
      </c>
      <c r="BU46" s="2">
        <v>45681</v>
      </c>
      <c r="BV46" t="s">
        <v>2034</v>
      </c>
      <c r="BW46">
        <v>7</v>
      </c>
      <c r="BX46">
        <v>2.7E-2</v>
      </c>
      <c r="BY46">
        <v>7.8523443117580527</v>
      </c>
      <c r="BZ46">
        <v>885.18747518583928</v>
      </c>
      <c r="CA46">
        <v>0.42399999999999999</v>
      </c>
      <c r="CB46">
        <v>2.8799999999999999E-2</v>
      </c>
      <c r="CC46">
        <v>9.2019000000000233</v>
      </c>
      <c r="CD46" s="2">
        <v>45681</v>
      </c>
      <c r="CE46" t="s">
        <v>2148</v>
      </c>
      <c r="CF46">
        <v>7</v>
      </c>
      <c r="CG46">
        <v>4.1000000000000002E-2</v>
      </c>
      <c r="CH46">
        <v>8.6354283492783708</v>
      </c>
      <c r="CI46">
        <v>959.5021503465174</v>
      </c>
      <c r="CJ46">
        <v>0.42399999999999999</v>
      </c>
      <c r="CK46">
        <v>4.1000000000000002E-2</v>
      </c>
      <c r="CL46">
        <v>8.801900000000046</v>
      </c>
    </row>
    <row r="47" spans="1:90" x14ac:dyDescent="0.3">
      <c r="A47" s="2">
        <v>45681</v>
      </c>
      <c r="B47" t="s">
        <v>259</v>
      </c>
      <c r="C47">
        <v>1</v>
      </c>
      <c r="D47">
        <v>2.0899999999999998E-2</v>
      </c>
      <c r="E47">
        <v>7.3261564046454701</v>
      </c>
      <c r="F47">
        <v>835.25224280085513</v>
      </c>
      <c r="G47">
        <v>0.42399999999999999</v>
      </c>
      <c r="H47">
        <v>2.07E-2</v>
      </c>
      <c r="I47">
        <v>9.0016999999999996</v>
      </c>
      <c r="J47" s="2">
        <v>45681</v>
      </c>
      <c r="K47" t="s">
        <v>459</v>
      </c>
      <c r="L47">
        <v>1</v>
      </c>
      <c r="M47">
        <v>4.19E-2</v>
      </c>
      <c r="N47">
        <v>8.6564349778924505</v>
      </c>
      <c r="O47">
        <v>961.49567940199358</v>
      </c>
      <c r="P47">
        <v>0.42399999999999999</v>
      </c>
      <c r="Q47">
        <v>4.1300000000000003E-2</v>
      </c>
      <c r="R47">
        <v>9.0016999999999996</v>
      </c>
      <c r="S47" s="2">
        <v>45681</v>
      </c>
      <c r="T47" t="s">
        <v>855</v>
      </c>
      <c r="U47">
        <v>3</v>
      </c>
      <c r="V47">
        <v>4.2700000000000002E-2</v>
      </c>
      <c r="W47">
        <v>8.6569065403746563</v>
      </c>
      <c r="X47">
        <v>961.54043068155488</v>
      </c>
      <c r="Y47">
        <v>0.42399999999999999</v>
      </c>
      <c r="Z47">
        <v>4.1300000000000003E-2</v>
      </c>
      <c r="AA47">
        <v>8.9999000000000251</v>
      </c>
      <c r="AB47" s="2">
        <v>45681</v>
      </c>
      <c r="AC47" t="s">
        <v>1055</v>
      </c>
      <c r="AD47">
        <v>3</v>
      </c>
      <c r="AE47">
        <v>4.24E-2</v>
      </c>
      <c r="AF47">
        <v>8.6572009121391282</v>
      </c>
      <c r="AG47">
        <v>961.56836656200335</v>
      </c>
      <c r="AH47">
        <v>0.42399999999999999</v>
      </c>
      <c r="AI47">
        <v>4.1399999999999999E-2</v>
      </c>
      <c r="AJ47">
        <v>9.0014999999999645</v>
      </c>
      <c r="AK47" s="2">
        <v>45681</v>
      </c>
      <c r="AL47" t="s">
        <v>1355</v>
      </c>
      <c r="AM47">
        <v>4</v>
      </c>
      <c r="AN47">
        <v>4.2299999999999997E-2</v>
      </c>
      <c r="AO47">
        <v>8.6576469299640895</v>
      </c>
      <c r="AP47">
        <v>961.61069365359219</v>
      </c>
      <c r="AQ47">
        <v>0.42399999999999999</v>
      </c>
      <c r="AR47">
        <v>4.1399999999999999E-2</v>
      </c>
      <c r="AS47">
        <v>9.0014999999999645</v>
      </c>
      <c r="AT47" s="2">
        <v>45681</v>
      </c>
      <c r="AU47" t="s">
        <v>1555</v>
      </c>
      <c r="AV47">
        <v>5</v>
      </c>
      <c r="AW47">
        <v>4.2099999999999999E-2</v>
      </c>
      <c r="AX47">
        <v>8.657779924370077</v>
      </c>
      <c r="AY47">
        <v>961.62331482272032</v>
      </c>
      <c r="AZ47">
        <v>0.42399999999999999</v>
      </c>
      <c r="BA47">
        <v>4.1399999999999999E-2</v>
      </c>
      <c r="BB47">
        <v>9.0018999999999778</v>
      </c>
      <c r="BC47" s="2">
        <v>45681</v>
      </c>
      <c r="BD47" t="s">
        <v>1753</v>
      </c>
      <c r="BE47">
        <v>6</v>
      </c>
      <c r="BF47">
        <v>4.1700000000000001E-2</v>
      </c>
      <c r="BG47">
        <v>8.6580941642012981</v>
      </c>
      <c r="BH47">
        <v>961.65313618270329</v>
      </c>
      <c r="BI47">
        <v>0.42399999999999999</v>
      </c>
      <c r="BJ47">
        <v>4.1399999999999999E-2</v>
      </c>
      <c r="BK47">
        <v>9.0027999999999793</v>
      </c>
      <c r="BL47" s="2">
        <v>45681</v>
      </c>
      <c r="BM47" t="s">
        <v>1953</v>
      </c>
      <c r="BN47">
        <v>6</v>
      </c>
      <c r="BO47">
        <v>4.1500000000000002E-2</v>
      </c>
      <c r="BP47">
        <v>8.6581862060615382</v>
      </c>
      <c r="BQ47">
        <v>961.66187095524003</v>
      </c>
      <c r="BR47">
        <v>0.42399999999999999</v>
      </c>
      <c r="BS47">
        <v>4.1399999999999999E-2</v>
      </c>
      <c r="BT47">
        <v>9.0000999999999749</v>
      </c>
      <c r="BU47" s="2">
        <v>45681</v>
      </c>
      <c r="BV47" t="s">
        <v>2035</v>
      </c>
      <c r="BW47">
        <v>7</v>
      </c>
      <c r="BX47">
        <v>2.8400000000000002E-2</v>
      </c>
      <c r="BY47">
        <v>7.9301261711941837</v>
      </c>
      <c r="BZ47">
        <v>892.56897364632812</v>
      </c>
      <c r="CA47">
        <v>0.42399999999999999</v>
      </c>
      <c r="CB47">
        <v>3.0099999999999998E-2</v>
      </c>
      <c r="CC47">
        <v>9.40199999999993</v>
      </c>
      <c r="CD47" s="2">
        <v>45681</v>
      </c>
      <c r="CE47" t="s">
        <v>2149</v>
      </c>
      <c r="CF47">
        <v>7</v>
      </c>
      <c r="CG47">
        <v>4.1300000000000003E-2</v>
      </c>
      <c r="CH47">
        <v>8.6583483943615249</v>
      </c>
      <c r="CI47">
        <v>961.67726262490874</v>
      </c>
      <c r="CJ47">
        <v>0.42399999999999999</v>
      </c>
      <c r="CK47">
        <v>4.1399999999999999E-2</v>
      </c>
      <c r="CL47">
        <v>8.9997000000000753</v>
      </c>
    </row>
    <row r="48" spans="1:90" x14ac:dyDescent="0.3">
      <c r="A48" s="2">
        <v>45681</v>
      </c>
      <c r="B48" t="s">
        <v>260</v>
      </c>
      <c r="C48">
        <v>1</v>
      </c>
      <c r="D48">
        <v>2.0899999999999998E-2</v>
      </c>
      <c r="E48">
        <v>7.3352636831603863</v>
      </c>
      <c r="F48">
        <v>836.11652353192073</v>
      </c>
      <c r="G48">
        <v>0.42399999999999999</v>
      </c>
      <c r="H48">
        <v>2.0799999999999999E-2</v>
      </c>
      <c r="I48">
        <v>9.1983999999999924</v>
      </c>
      <c r="J48" s="2">
        <v>45681</v>
      </c>
      <c r="K48" t="s">
        <v>460</v>
      </c>
      <c r="L48">
        <v>1</v>
      </c>
      <c r="M48">
        <v>4.2000000000000003E-2</v>
      </c>
      <c r="N48">
        <v>8.6748052356902683</v>
      </c>
      <c r="O48">
        <v>963.23901686700651</v>
      </c>
      <c r="P48">
        <v>0.42399999999999999</v>
      </c>
      <c r="Q48">
        <v>4.1599999999999998E-2</v>
      </c>
      <c r="R48">
        <v>9.1998999999999853</v>
      </c>
      <c r="S48" s="2">
        <v>45681</v>
      </c>
      <c r="T48" t="s">
        <v>856</v>
      </c>
      <c r="U48">
        <v>3</v>
      </c>
      <c r="V48">
        <v>4.2999999999999997E-2</v>
      </c>
      <c r="W48">
        <v>8.6752512535152277</v>
      </c>
      <c r="X48">
        <v>963.28134395859513</v>
      </c>
      <c r="Y48">
        <v>0.42399999999999999</v>
      </c>
      <c r="Z48">
        <v>4.1599999999999998E-2</v>
      </c>
      <c r="AA48">
        <v>9.1992000000000189</v>
      </c>
      <c r="AB48" s="2">
        <v>45681</v>
      </c>
      <c r="AC48" t="s">
        <v>1056</v>
      </c>
      <c r="AD48">
        <v>3</v>
      </c>
      <c r="AE48">
        <v>4.2999999999999997E-2</v>
      </c>
      <c r="AF48">
        <v>8.6754020886342129</v>
      </c>
      <c r="AG48">
        <v>963.29565821138681</v>
      </c>
      <c r="AH48">
        <v>0.42399999999999999</v>
      </c>
      <c r="AI48">
        <v>4.1599999999999998E-2</v>
      </c>
      <c r="AJ48">
        <v>9.1998999999999569</v>
      </c>
      <c r="AK48" s="2">
        <v>45681</v>
      </c>
      <c r="AL48" t="s">
        <v>1356</v>
      </c>
      <c r="AM48">
        <v>4</v>
      </c>
      <c r="AN48">
        <v>4.2700000000000002E-2</v>
      </c>
      <c r="AO48">
        <v>8.6758436462809243</v>
      </c>
      <c r="AP48">
        <v>963.33756203205974</v>
      </c>
      <c r="AQ48">
        <v>0.42399999999999999</v>
      </c>
      <c r="AR48">
        <v>4.1599999999999998E-2</v>
      </c>
      <c r="AS48">
        <v>9.2013000000000034</v>
      </c>
      <c r="AT48" s="2">
        <v>45681</v>
      </c>
      <c r="AU48" t="s">
        <v>1556</v>
      </c>
      <c r="AV48">
        <v>5</v>
      </c>
      <c r="AW48">
        <v>4.2500000000000003E-2</v>
      </c>
      <c r="AX48">
        <v>8.6761359906916464</v>
      </c>
      <c r="AY48">
        <v>963.36530551663725</v>
      </c>
      <c r="AZ48">
        <v>0.42399999999999999</v>
      </c>
      <c r="BA48">
        <v>4.1599999999999998E-2</v>
      </c>
      <c r="BB48">
        <v>9.2040999999999826</v>
      </c>
      <c r="BC48" s="2">
        <v>45681</v>
      </c>
      <c r="BD48" t="s">
        <v>1754</v>
      </c>
      <c r="BE48">
        <v>6</v>
      </c>
      <c r="BF48">
        <v>4.2099999999999999E-2</v>
      </c>
      <c r="BG48">
        <v>8.6762766890418828</v>
      </c>
      <c r="BH48">
        <v>963.37865779007473</v>
      </c>
      <c r="BI48">
        <v>0.42399999999999999</v>
      </c>
      <c r="BJ48">
        <v>4.1599999999999998E-2</v>
      </c>
      <c r="BK48">
        <v>9.2038000000000011</v>
      </c>
      <c r="BL48" s="2">
        <v>45681</v>
      </c>
      <c r="BM48" t="s">
        <v>1954</v>
      </c>
      <c r="BN48">
        <v>6</v>
      </c>
      <c r="BO48">
        <v>4.2200000000000001E-2</v>
      </c>
      <c r="BP48">
        <v>8.6761947839503915</v>
      </c>
      <c r="BQ48">
        <v>963.37088499689219</v>
      </c>
      <c r="BR48">
        <v>0.42399999999999999</v>
      </c>
      <c r="BS48">
        <v>4.1599999999999998E-2</v>
      </c>
      <c r="BT48">
        <v>9.1992000000000189</v>
      </c>
      <c r="BU48" s="2">
        <v>45681</v>
      </c>
      <c r="BV48" t="s">
        <v>2036</v>
      </c>
      <c r="BW48">
        <v>7</v>
      </c>
      <c r="BX48">
        <v>2.9499999999999998E-2</v>
      </c>
      <c r="BY48">
        <v>8.0057484934160108</v>
      </c>
      <c r="BZ48">
        <v>899.7455320251795</v>
      </c>
      <c r="CA48">
        <v>0.42399999999999999</v>
      </c>
      <c r="CB48">
        <v>3.1199999999999999E-2</v>
      </c>
      <c r="CC48">
        <v>9.6025999999999385</v>
      </c>
      <c r="CD48" s="2">
        <v>45681</v>
      </c>
      <c r="CE48" t="s">
        <v>2150</v>
      </c>
      <c r="CF48">
        <v>7</v>
      </c>
      <c r="CG48">
        <v>4.2299999999999997E-2</v>
      </c>
      <c r="CH48">
        <v>8.6765820085166041</v>
      </c>
      <c r="CI48">
        <v>963.40763260822575</v>
      </c>
      <c r="CJ48">
        <v>0.42399999999999999</v>
      </c>
      <c r="CK48">
        <v>4.1700000000000001E-2</v>
      </c>
      <c r="CL48">
        <v>9.2022000000000617</v>
      </c>
    </row>
    <row r="49" spans="1:90" x14ac:dyDescent="0.3">
      <c r="A49" s="2">
        <v>45681</v>
      </c>
      <c r="B49" t="s">
        <v>261</v>
      </c>
      <c r="C49">
        <v>1</v>
      </c>
      <c r="D49">
        <v>2.1700000000000001E-2</v>
      </c>
      <c r="E49">
        <v>7.3419271894652756</v>
      </c>
      <c r="F49">
        <v>836.74889028025473</v>
      </c>
      <c r="G49">
        <v>0.42399999999999999</v>
      </c>
      <c r="H49">
        <v>2.0899999999999998E-2</v>
      </c>
      <c r="I49">
        <v>9.398399999999981</v>
      </c>
      <c r="J49" s="2">
        <v>45681</v>
      </c>
      <c r="K49" t="s">
        <v>461</v>
      </c>
      <c r="L49">
        <v>1</v>
      </c>
      <c r="M49">
        <v>4.2200000000000001E-2</v>
      </c>
      <c r="N49">
        <v>8.6881614421940458</v>
      </c>
      <c r="O49">
        <v>964.50652086421496</v>
      </c>
      <c r="P49">
        <v>0.42399999999999999</v>
      </c>
      <c r="Q49">
        <v>4.1799999999999997E-2</v>
      </c>
      <c r="R49">
        <v>9.4004999999999939</v>
      </c>
      <c r="S49" s="2">
        <v>45681</v>
      </c>
      <c r="T49" t="s">
        <v>857</v>
      </c>
      <c r="U49">
        <v>3</v>
      </c>
      <c r="V49">
        <v>4.3200000000000002E-2</v>
      </c>
      <c r="W49">
        <v>8.6884882516185158</v>
      </c>
      <c r="X49">
        <v>964.53753507859722</v>
      </c>
      <c r="Y49">
        <v>0.42399999999999999</v>
      </c>
      <c r="Z49">
        <v>4.1799999999999997E-2</v>
      </c>
      <c r="AA49">
        <v>9.4004000000000474</v>
      </c>
      <c r="AB49" s="2">
        <v>45681</v>
      </c>
      <c r="AC49" t="s">
        <v>1057</v>
      </c>
      <c r="AD49">
        <v>3</v>
      </c>
      <c r="AE49">
        <v>4.3299999999999998E-2</v>
      </c>
      <c r="AF49">
        <v>8.6885871864815059</v>
      </c>
      <c r="AG49">
        <v>964.54692399709495</v>
      </c>
      <c r="AH49">
        <v>0.42399999999999999</v>
      </c>
      <c r="AI49">
        <v>4.1799999999999997E-2</v>
      </c>
      <c r="AJ49">
        <v>9.4010999999999854</v>
      </c>
      <c r="AK49" s="2">
        <v>45681</v>
      </c>
      <c r="AL49" t="s">
        <v>1357</v>
      </c>
      <c r="AM49">
        <v>4</v>
      </c>
      <c r="AN49">
        <v>4.3099999999999999E-2</v>
      </c>
      <c r="AO49">
        <v>8.6887789741462385</v>
      </c>
      <c r="AP49">
        <v>964.56512464647813</v>
      </c>
      <c r="AQ49">
        <v>0.42399999999999999</v>
      </c>
      <c r="AR49">
        <v>4.1799999999999997E-2</v>
      </c>
      <c r="AS49">
        <v>9.4003999999999905</v>
      </c>
      <c r="AT49" s="2">
        <v>45681</v>
      </c>
      <c r="AU49" t="s">
        <v>1557</v>
      </c>
      <c r="AV49">
        <v>5</v>
      </c>
      <c r="AW49">
        <v>4.3099999999999999E-2</v>
      </c>
      <c r="AX49">
        <v>8.6889079138447283</v>
      </c>
      <c r="AY49">
        <v>964.5773610238648</v>
      </c>
      <c r="AZ49">
        <v>0.42399999999999999</v>
      </c>
      <c r="BA49">
        <v>4.1799999999999997E-2</v>
      </c>
      <c r="BB49">
        <v>9.4019999999999868</v>
      </c>
      <c r="BC49" s="2">
        <v>45681</v>
      </c>
      <c r="BD49" t="s">
        <v>1755</v>
      </c>
      <c r="BE49">
        <v>6</v>
      </c>
      <c r="BF49">
        <v>4.2200000000000001E-2</v>
      </c>
      <c r="BG49">
        <v>8.6891325446402075</v>
      </c>
      <c r="BH49">
        <v>964.59867848635577</v>
      </c>
      <c r="BI49">
        <v>0.42399999999999999</v>
      </c>
      <c r="BJ49">
        <v>4.1799999999999997E-2</v>
      </c>
      <c r="BK49">
        <v>9.4043000000000347</v>
      </c>
      <c r="BL49" s="2">
        <v>45681</v>
      </c>
      <c r="BM49" t="s">
        <v>1955</v>
      </c>
      <c r="BN49">
        <v>6</v>
      </c>
      <c r="BO49">
        <v>4.2299999999999997E-2</v>
      </c>
      <c r="BP49">
        <v>8.6892785141101943</v>
      </c>
      <c r="BQ49">
        <v>964.61253098905752</v>
      </c>
      <c r="BR49">
        <v>0.42399999999999999</v>
      </c>
      <c r="BS49">
        <v>4.19E-2</v>
      </c>
      <c r="BT49">
        <v>9.4035999999999831</v>
      </c>
      <c r="BU49" s="2">
        <v>45681</v>
      </c>
      <c r="BV49" t="s">
        <v>2037</v>
      </c>
      <c r="BW49">
        <v>7</v>
      </c>
      <c r="BX49">
        <v>3.1099999999999999E-2</v>
      </c>
      <c r="BY49">
        <v>8.0785329258588501</v>
      </c>
      <c r="BZ49">
        <v>906.65277466400494</v>
      </c>
      <c r="CA49">
        <v>0.42399999999999999</v>
      </c>
      <c r="CB49">
        <v>3.2399999999999998E-2</v>
      </c>
      <c r="CC49">
        <v>9.8025000000000091</v>
      </c>
      <c r="CD49" s="2">
        <v>45681</v>
      </c>
      <c r="CE49" t="s">
        <v>2151</v>
      </c>
      <c r="CF49">
        <v>7</v>
      </c>
      <c r="CG49">
        <v>4.2900000000000001E-2</v>
      </c>
      <c r="CH49">
        <v>8.6892598624556943</v>
      </c>
      <c r="CI49">
        <v>964.61076094704538</v>
      </c>
      <c r="CJ49">
        <v>0.42399999999999999</v>
      </c>
      <c r="CK49">
        <v>4.19E-2</v>
      </c>
      <c r="CL49">
        <v>9.4012000000000171</v>
      </c>
    </row>
    <row r="50" spans="1:90" x14ac:dyDescent="0.3">
      <c r="A50" s="2">
        <v>45681</v>
      </c>
      <c r="B50" t="s">
        <v>262</v>
      </c>
      <c r="C50">
        <v>1</v>
      </c>
      <c r="D50">
        <v>2.2200000000000001E-2</v>
      </c>
      <c r="E50">
        <v>7.345946215538909</v>
      </c>
      <c r="F50">
        <v>837.13029585464255</v>
      </c>
      <c r="G50">
        <v>0.42399999999999999</v>
      </c>
      <c r="H50">
        <v>2.1000000000000001E-2</v>
      </c>
      <c r="I50">
        <v>9.598399999999998</v>
      </c>
      <c r="J50" s="2">
        <v>45681</v>
      </c>
      <c r="K50" t="s">
        <v>462</v>
      </c>
      <c r="L50">
        <v>1</v>
      </c>
      <c r="M50">
        <v>4.2200000000000001E-2</v>
      </c>
      <c r="N50">
        <v>8.6961642183860626</v>
      </c>
      <c r="O50">
        <v>965.2659843248374</v>
      </c>
      <c r="P50">
        <v>0.42399999999999999</v>
      </c>
      <c r="Q50">
        <v>4.2000000000000003E-2</v>
      </c>
      <c r="R50">
        <v>9.5999999999999943</v>
      </c>
      <c r="S50" s="2">
        <v>45681</v>
      </c>
      <c r="T50" t="s">
        <v>858</v>
      </c>
      <c r="U50">
        <v>3</v>
      </c>
      <c r="V50">
        <v>4.3200000000000002E-2</v>
      </c>
      <c r="W50">
        <v>8.6964143938387899</v>
      </c>
      <c r="X50">
        <v>965.28972597530117</v>
      </c>
      <c r="Y50">
        <v>0.42399999999999999</v>
      </c>
      <c r="Z50">
        <v>4.2000000000000003E-2</v>
      </c>
      <c r="AA50">
        <v>9.6032000000000153</v>
      </c>
      <c r="AB50" s="2">
        <v>45681</v>
      </c>
      <c r="AC50" t="s">
        <v>1058</v>
      </c>
      <c r="AD50">
        <v>3</v>
      </c>
      <c r="AE50">
        <v>4.3299999999999998E-2</v>
      </c>
      <c r="AF50">
        <v>8.6964010133040421</v>
      </c>
      <c r="AG50">
        <v>965.28845616255364</v>
      </c>
      <c r="AH50">
        <v>0.42399999999999999</v>
      </c>
      <c r="AI50">
        <v>4.2000000000000003E-2</v>
      </c>
      <c r="AJ50">
        <v>9.6014999999999873</v>
      </c>
      <c r="AK50" s="2">
        <v>45681</v>
      </c>
      <c r="AL50" t="s">
        <v>1358</v>
      </c>
      <c r="AM50">
        <v>4</v>
      </c>
      <c r="AN50">
        <v>4.3799999999999999E-2</v>
      </c>
      <c r="AO50">
        <v>8.6965088685235301</v>
      </c>
      <c r="AP50">
        <v>965.2986916228831</v>
      </c>
      <c r="AQ50">
        <v>0.42399999999999999</v>
      </c>
      <c r="AR50">
        <v>4.2000000000000003E-2</v>
      </c>
      <c r="AS50">
        <v>9.6013999999999555</v>
      </c>
      <c r="AT50" s="2">
        <v>45681</v>
      </c>
      <c r="AU50" t="s">
        <v>1558</v>
      </c>
      <c r="AV50">
        <v>5</v>
      </c>
      <c r="AW50">
        <v>4.3299999999999998E-2</v>
      </c>
      <c r="AX50">
        <v>8.6965554976597783</v>
      </c>
      <c r="AY50">
        <v>965.30311672791299</v>
      </c>
      <c r="AZ50">
        <v>0.42399999999999999</v>
      </c>
      <c r="BA50">
        <v>4.2000000000000003E-2</v>
      </c>
      <c r="BB50">
        <v>9.6023999999999887</v>
      </c>
      <c r="BC50" s="2">
        <v>45681</v>
      </c>
      <c r="BD50" t="s">
        <v>1756</v>
      </c>
      <c r="BE50">
        <v>6</v>
      </c>
      <c r="BF50">
        <v>4.2200000000000001E-2</v>
      </c>
      <c r="BG50">
        <v>8.6965664453700242</v>
      </c>
      <c r="BH50">
        <v>965.30415566561533</v>
      </c>
      <c r="BI50">
        <v>0.42399999999999999</v>
      </c>
      <c r="BJ50">
        <v>4.2000000000000003E-2</v>
      </c>
      <c r="BK50">
        <v>9.6006999999999607</v>
      </c>
      <c r="BL50" s="2">
        <v>45681</v>
      </c>
      <c r="BM50" t="s">
        <v>1956</v>
      </c>
      <c r="BN50">
        <v>6</v>
      </c>
      <c r="BO50">
        <v>4.2500000000000003E-2</v>
      </c>
      <c r="BP50">
        <v>8.696660920054768</v>
      </c>
      <c r="BQ50">
        <v>965.31312131319748</v>
      </c>
      <c r="BR50">
        <v>0.42399999999999999</v>
      </c>
      <c r="BS50">
        <v>4.2000000000000003E-2</v>
      </c>
      <c r="BT50">
        <v>9.6009999999999991</v>
      </c>
      <c r="BU50" s="2">
        <v>45681</v>
      </c>
      <c r="BV50" t="s">
        <v>2038</v>
      </c>
      <c r="BW50">
        <v>7</v>
      </c>
      <c r="BX50">
        <v>3.15E-2</v>
      </c>
      <c r="BY50">
        <v>8.1481680669867238</v>
      </c>
      <c r="BZ50">
        <v>913.26114955704008</v>
      </c>
      <c r="CA50">
        <v>0.42399999999999999</v>
      </c>
      <c r="CB50">
        <v>3.3399999999999999E-2</v>
      </c>
      <c r="CC50">
        <v>10.001599999999939</v>
      </c>
      <c r="CD50" s="2">
        <v>45681</v>
      </c>
      <c r="CE50" t="s">
        <v>2152</v>
      </c>
      <c r="CF50">
        <v>7</v>
      </c>
      <c r="CG50">
        <v>4.2999999999999997E-2</v>
      </c>
      <c r="CH50">
        <v>8.6966884920657659</v>
      </c>
      <c r="CI50">
        <v>965.31573789704123</v>
      </c>
      <c r="CJ50">
        <v>0.42399999999999999</v>
      </c>
      <c r="CK50">
        <v>4.2000000000000003E-2</v>
      </c>
      <c r="CL50">
        <v>9.6000999999999976</v>
      </c>
    </row>
    <row r="51" spans="1:90" x14ac:dyDescent="0.3">
      <c r="A51" s="2">
        <v>45681</v>
      </c>
      <c r="B51" t="s">
        <v>263</v>
      </c>
      <c r="C51">
        <v>1</v>
      </c>
      <c r="D51">
        <v>2.2200000000000001E-2</v>
      </c>
      <c r="E51">
        <v>7.3473025151975344</v>
      </c>
      <c r="F51">
        <v>837.25900869224608</v>
      </c>
      <c r="G51">
        <v>0.42399999999999999</v>
      </c>
      <c r="H51">
        <v>2.1000000000000001E-2</v>
      </c>
      <c r="I51">
        <v>9.7979999999999734</v>
      </c>
      <c r="J51" s="2">
        <v>45681</v>
      </c>
      <c r="K51" t="s">
        <v>463</v>
      </c>
      <c r="L51">
        <v>1</v>
      </c>
      <c r="M51">
        <v>4.2299999999999997E-2</v>
      </c>
      <c r="N51">
        <v>8.6988719520543132</v>
      </c>
      <c r="O51">
        <v>965.52294824995442</v>
      </c>
      <c r="P51">
        <v>0.42399999999999999</v>
      </c>
      <c r="Q51">
        <v>4.2000000000000003E-2</v>
      </c>
      <c r="R51">
        <v>9.801700000000011</v>
      </c>
      <c r="S51" s="2">
        <v>45681</v>
      </c>
      <c r="T51" t="s">
        <v>859</v>
      </c>
      <c r="U51">
        <v>3</v>
      </c>
      <c r="V51">
        <v>4.3200000000000002E-2</v>
      </c>
      <c r="W51">
        <v>8.6988703301713155</v>
      </c>
      <c r="X51">
        <v>965.52279433325793</v>
      </c>
      <c r="Y51">
        <v>0.42399999999999999</v>
      </c>
      <c r="Z51">
        <v>4.2000000000000003E-2</v>
      </c>
      <c r="AA51">
        <v>9.8003000000000497</v>
      </c>
      <c r="AB51" s="2">
        <v>45681</v>
      </c>
      <c r="AC51" t="s">
        <v>1059</v>
      </c>
      <c r="AD51">
        <v>3</v>
      </c>
      <c r="AE51">
        <v>4.3400000000000001E-2</v>
      </c>
      <c r="AF51">
        <v>8.6988691137590646</v>
      </c>
      <c r="AG51">
        <v>965.52267889573523</v>
      </c>
      <c r="AH51">
        <v>0.42399999999999999</v>
      </c>
      <c r="AI51">
        <v>4.2000000000000003E-2</v>
      </c>
      <c r="AJ51">
        <v>9.8001999999999612</v>
      </c>
      <c r="AK51" s="2">
        <v>45681</v>
      </c>
      <c r="AL51" t="s">
        <v>1359</v>
      </c>
      <c r="AM51">
        <v>4</v>
      </c>
      <c r="AN51">
        <v>4.3900000000000002E-2</v>
      </c>
      <c r="AO51">
        <v>8.6988581660488151</v>
      </c>
      <c r="AP51">
        <v>965.52163995803255</v>
      </c>
      <c r="AQ51">
        <v>0.42399999999999999</v>
      </c>
      <c r="AR51">
        <v>4.2000000000000003E-2</v>
      </c>
      <c r="AS51">
        <v>9.8041000000000054</v>
      </c>
      <c r="AT51" s="2">
        <v>45681</v>
      </c>
      <c r="AU51" t="s">
        <v>1559</v>
      </c>
      <c r="AV51">
        <v>5</v>
      </c>
      <c r="AW51">
        <v>4.3400000000000001E-2</v>
      </c>
      <c r="AX51">
        <v>8.698859382461066</v>
      </c>
      <c r="AY51">
        <v>965.52175539555526</v>
      </c>
      <c r="AZ51">
        <v>0.42399999999999999</v>
      </c>
      <c r="BA51">
        <v>4.2000000000000003E-2</v>
      </c>
      <c r="BB51">
        <v>9.8024999999999523</v>
      </c>
      <c r="BC51" s="2">
        <v>45681</v>
      </c>
      <c r="BD51" t="s">
        <v>1757</v>
      </c>
      <c r="BE51">
        <v>6</v>
      </c>
      <c r="BF51">
        <v>4.2299999999999997E-2</v>
      </c>
      <c r="BG51">
        <v>8.6988541113413156</v>
      </c>
      <c r="BH51">
        <v>965.52125516629087</v>
      </c>
      <c r="BI51">
        <v>0.42399999999999999</v>
      </c>
      <c r="BJ51">
        <v>4.2000000000000003E-2</v>
      </c>
      <c r="BK51">
        <v>9.8029000000000224</v>
      </c>
      <c r="BL51" s="2">
        <v>45681</v>
      </c>
      <c r="BM51" t="s">
        <v>1957</v>
      </c>
      <c r="BN51">
        <v>6</v>
      </c>
      <c r="BO51">
        <v>4.24E-2</v>
      </c>
      <c r="BP51">
        <v>8.6988504621045646</v>
      </c>
      <c r="BQ51">
        <v>965.5209088537232</v>
      </c>
      <c r="BR51">
        <v>0.42399999999999999</v>
      </c>
      <c r="BS51">
        <v>4.2000000000000003E-2</v>
      </c>
      <c r="BT51">
        <v>9.8011000000000195</v>
      </c>
      <c r="BU51" s="2">
        <v>45681</v>
      </c>
      <c r="BV51" t="s">
        <v>2039</v>
      </c>
      <c r="BW51">
        <v>7</v>
      </c>
      <c r="BX51">
        <v>3.27E-2</v>
      </c>
      <c r="BY51">
        <v>8.2148748983583673</v>
      </c>
      <c r="BZ51">
        <v>919.59162785420915</v>
      </c>
      <c r="CA51">
        <v>0.42399999999999999</v>
      </c>
      <c r="CB51">
        <v>3.4500000000000003E-2</v>
      </c>
      <c r="CC51">
        <v>10.201399999999921</v>
      </c>
      <c r="CD51" s="2">
        <v>45681</v>
      </c>
      <c r="CE51" t="s">
        <v>2153</v>
      </c>
      <c r="CF51">
        <v>7</v>
      </c>
      <c r="CG51">
        <v>4.3099999999999999E-2</v>
      </c>
      <c r="CH51">
        <v>8.698847623809316</v>
      </c>
      <c r="CI51">
        <v>965.52063949950411</v>
      </c>
      <c r="CJ51">
        <v>0.42399999999999999</v>
      </c>
      <c r="CK51">
        <v>4.2000000000000003E-2</v>
      </c>
      <c r="CL51">
        <v>9.8002999999999929</v>
      </c>
    </row>
    <row r="52" spans="1:90" x14ac:dyDescent="0.3">
      <c r="A52" s="2">
        <v>45681</v>
      </c>
      <c r="B52" t="s">
        <v>264</v>
      </c>
      <c r="C52">
        <v>1</v>
      </c>
      <c r="D52">
        <v>2.2200000000000001E-2</v>
      </c>
      <c r="E52">
        <v>7.345970138313155</v>
      </c>
      <c r="F52">
        <v>732.64441689078603</v>
      </c>
      <c r="G52">
        <v>0.42399999999999999</v>
      </c>
      <c r="H52">
        <v>2.1000000000000001E-2</v>
      </c>
      <c r="I52">
        <v>10</v>
      </c>
      <c r="J52" s="2">
        <v>45681</v>
      </c>
      <c r="K52" t="s">
        <v>464</v>
      </c>
      <c r="L52">
        <v>1</v>
      </c>
      <c r="M52">
        <v>4.2200000000000001E-2</v>
      </c>
      <c r="N52">
        <v>8.6962189569373081</v>
      </c>
      <c r="O52">
        <v>858.48760678655708</v>
      </c>
      <c r="P52">
        <v>0.42399999999999999</v>
      </c>
      <c r="Q52">
        <v>4.2000000000000003E-2</v>
      </c>
      <c r="R52">
        <v>10.001000000000005</v>
      </c>
      <c r="S52" s="2">
        <v>45681</v>
      </c>
      <c r="T52" t="s">
        <v>860</v>
      </c>
      <c r="U52">
        <v>3</v>
      </c>
      <c r="V52">
        <v>4.3200000000000002E-2</v>
      </c>
      <c r="W52">
        <v>8.6960441990440742</v>
      </c>
      <c r="X52">
        <v>858.47131935090772</v>
      </c>
      <c r="Y52">
        <v>0.42399999999999999</v>
      </c>
      <c r="Z52">
        <v>4.2000000000000003E-2</v>
      </c>
      <c r="AA52">
        <v>10.001100000000008</v>
      </c>
      <c r="AB52" s="2">
        <v>45681</v>
      </c>
      <c r="AC52" t="s">
        <v>1060</v>
      </c>
      <c r="AD52">
        <v>3</v>
      </c>
      <c r="AE52">
        <v>4.3400000000000001E-2</v>
      </c>
      <c r="AF52">
        <v>8.6960101395010767</v>
      </c>
      <c r="AG52">
        <v>858.46814500150037</v>
      </c>
      <c r="AH52">
        <v>0.42399999999999999</v>
      </c>
      <c r="AI52">
        <v>4.2000000000000003E-2</v>
      </c>
      <c r="AJ52">
        <v>10.001199999999983</v>
      </c>
      <c r="AK52" s="2">
        <v>45681</v>
      </c>
      <c r="AL52" t="s">
        <v>1360</v>
      </c>
      <c r="AM52">
        <v>4</v>
      </c>
      <c r="AN52">
        <v>4.3900000000000002E-2</v>
      </c>
      <c r="AO52">
        <v>8.6959253961143332</v>
      </c>
      <c r="AP52">
        <v>858.4602469178559</v>
      </c>
      <c r="AQ52">
        <v>0.42399999999999999</v>
      </c>
      <c r="AR52">
        <v>4.2000000000000003E-2</v>
      </c>
      <c r="AS52">
        <v>9.9998999999999683</v>
      </c>
      <c r="AT52" s="2">
        <v>45681</v>
      </c>
      <c r="AU52" t="s">
        <v>1560</v>
      </c>
      <c r="AV52">
        <v>5</v>
      </c>
      <c r="AW52">
        <v>4.3299999999999998E-2</v>
      </c>
      <c r="AX52">
        <v>8.6958787669780886</v>
      </c>
      <c r="AY52">
        <v>858.45590108235785</v>
      </c>
      <c r="AZ52">
        <v>0.42399999999999999</v>
      </c>
      <c r="BA52">
        <v>4.2000000000000003E-2</v>
      </c>
      <c r="BB52">
        <v>10.000699999999995</v>
      </c>
      <c r="BC52" s="2">
        <v>45681</v>
      </c>
      <c r="BD52" t="s">
        <v>1758</v>
      </c>
      <c r="BE52">
        <v>6</v>
      </c>
      <c r="BF52">
        <v>4.2299999999999997E-2</v>
      </c>
      <c r="BG52">
        <v>8.6957688844048473</v>
      </c>
      <c r="BH52">
        <v>858.44566002653175</v>
      </c>
      <c r="BI52">
        <v>0.42399999999999999</v>
      </c>
      <c r="BJ52">
        <v>4.2000000000000003E-2</v>
      </c>
      <c r="BK52">
        <v>10.002399999999966</v>
      </c>
      <c r="BL52" s="2">
        <v>45681</v>
      </c>
      <c r="BM52" t="s">
        <v>1958</v>
      </c>
      <c r="BN52">
        <v>6</v>
      </c>
      <c r="BO52">
        <v>4.2500000000000003E-2</v>
      </c>
      <c r="BP52">
        <v>8.6957011707896044</v>
      </c>
      <c r="BQ52">
        <v>858.43934911759118</v>
      </c>
      <c r="BR52">
        <v>0.42399999999999999</v>
      </c>
      <c r="BS52">
        <v>4.2000000000000003E-2</v>
      </c>
      <c r="BT52">
        <v>10.00120000000004</v>
      </c>
      <c r="BU52" s="2">
        <v>45681</v>
      </c>
      <c r="BV52" t="s">
        <v>2040</v>
      </c>
      <c r="BW52">
        <v>7</v>
      </c>
      <c r="BX52">
        <v>3.4099999999999998E-2</v>
      </c>
      <c r="BY52">
        <v>8.2784052718748011</v>
      </c>
      <c r="BZ52">
        <v>925.62066030091864</v>
      </c>
      <c r="CA52">
        <v>0.42399999999999999</v>
      </c>
      <c r="CB52">
        <v>3.5499999999999997E-2</v>
      </c>
      <c r="CC52">
        <v>10.40199999999993</v>
      </c>
      <c r="CD52" s="2">
        <v>45681</v>
      </c>
      <c r="CE52" t="s">
        <v>2154</v>
      </c>
      <c r="CF52">
        <v>7</v>
      </c>
      <c r="CG52">
        <v>4.3099999999999999E-2</v>
      </c>
      <c r="CH52">
        <v>8.6955852061551155</v>
      </c>
      <c r="CI52">
        <v>858.42854121365679</v>
      </c>
      <c r="CJ52">
        <v>0.42399999999999999</v>
      </c>
      <c r="CK52">
        <v>4.19E-2</v>
      </c>
      <c r="CL52">
        <v>10.003100000000018</v>
      </c>
    </row>
    <row r="53" spans="1:90" x14ac:dyDescent="0.3">
      <c r="A53" s="2">
        <v>45681</v>
      </c>
      <c r="B53" t="s">
        <v>265</v>
      </c>
      <c r="C53">
        <v>1</v>
      </c>
      <c r="D53">
        <v>2.12E-2</v>
      </c>
      <c r="E53">
        <v>7.3419807116042719</v>
      </c>
      <c r="F53">
        <v>732.27260232151821</v>
      </c>
      <c r="G53">
        <v>0.42399999999999999</v>
      </c>
      <c r="H53">
        <v>2.0899999999999998E-2</v>
      </c>
      <c r="I53">
        <v>10.199799999999982</v>
      </c>
      <c r="J53" s="2">
        <v>45681</v>
      </c>
      <c r="K53" t="s">
        <v>465</v>
      </c>
      <c r="L53">
        <v>1</v>
      </c>
      <c r="M53">
        <v>4.1500000000000002E-2</v>
      </c>
      <c r="N53">
        <v>8.6882478074637888</v>
      </c>
      <c r="O53">
        <v>857.74469565562515</v>
      </c>
      <c r="P53">
        <v>0.42399999999999999</v>
      </c>
      <c r="Q53">
        <v>4.1799999999999997E-2</v>
      </c>
      <c r="R53">
        <v>10.200900000000019</v>
      </c>
      <c r="S53" s="2">
        <v>45681</v>
      </c>
      <c r="T53" t="s">
        <v>861</v>
      </c>
      <c r="U53">
        <v>3</v>
      </c>
      <c r="V53">
        <v>4.2200000000000001E-2</v>
      </c>
      <c r="W53">
        <v>8.6880702112753028</v>
      </c>
      <c r="X53">
        <v>857.72814369085825</v>
      </c>
      <c r="Y53">
        <v>0.42399999999999999</v>
      </c>
      <c r="Z53">
        <v>4.1799999999999997E-2</v>
      </c>
      <c r="AA53">
        <v>10.197900000000004</v>
      </c>
      <c r="AB53" s="2">
        <v>45681</v>
      </c>
      <c r="AC53" t="s">
        <v>1061</v>
      </c>
      <c r="AD53">
        <v>3</v>
      </c>
      <c r="AE53">
        <v>4.2500000000000003E-2</v>
      </c>
      <c r="AF53">
        <v>8.6878151701735771</v>
      </c>
      <c r="AG53">
        <v>857.70437386017738</v>
      </c>
      <c r="AH53">
        <v>0.42399999999999999</v>
      </c>
      <c r="AI53">
        <v>4.1799999999999997E-2</v>
      </c>
      <c r="AJ53">
        <v>10.201399999999978</v>
      </c>
      <c r="AK53" s="2">
        <v>45681</v>
      </c>
      <c r="AL53" t="s">
        <v>1361</v>
      </c>
      <c r="AM53">
        <v>4</v>
      </c>
      <c r="AN53">
        <v>4.2999999999999997E-2</v>
      </c>
      <c r="AO53">
        <v>8.6877215064303357</v>
      </c>
      <c r="AP53">
        <v>857.6956443993073</v>
      </c>
      <c r="AQ53">
        <v>0.42399999999999999</v>
      </c>
      <c r="AR53">
        <v>4.1799999999999997E-2</v>
      </c>
      <c r="AS53">
        <v>10.198800000000006</v>
      </c>
      <c r="AT53" s="2">
        <v>45681</v>
      </c>
      <c r="AU53" t="s">
        <v>1561</v>
      </c>
      <c r="AV53">
        <v>5</v>
      </c>
      <c r="AW53">
        <v>4.24E-2</v>
      </c>
      <c r="AX53">
        <v>8.6875881065535978</v>
      </c>
      <c r="AY53">
        <v>857.68321153079535</v>
      </c>
      <c r="AZ53">
        <v>0.42399999999999999</v>
      </c>
      <c r="BA53">
        <v>4.1799999999999997E-2</v>
      </c>
      <c r="BB53">
        <v>10.200400000000002</v>
      </c>
      <c r="BC53" s="2">
        <v>45681</v>
      </c>
      <c r="BD53" t="s">
        <v>1759</v>
      </c>
      <c r="BE53">
        <v>6</v>
      </c>
      <c r="BF53">
        <v>4.1700000000000001E-2</v>
      </c>
      <c r="BG53">
        <v>8.6874113213066124</v>
      </c>
      <c r="BH53">
        <v>857.66673514577633</v>
      </c>
      <c r="BI53">
        <v>0.42399999999999999</v>
      </c>
      <c r="BJ53">
        <v>4.1799999999999997E-2</v>
      </c>
      <c r="BK53">
        <v>10.20150000000001</v>
      </c>
      <c r="BL53" s="2">
        <v>45681</v>
      </c>
      <c r="BM53" t="s">
        <v>1959</v>
      </c>
      <c r="BN53">
        <v>6</v>
      </c>
      <c r="BO53">
        <v>4.1799999999999997E-2</v>
      </c>
      <c r="BP53">
        <v>8.687256836950878</v>
      </c>
      <c r="BQ53">
        <v>857.65233720382184</v>
      </c>
      <c r="BR53">
        <v>0.42399999999999999</v>
      </c>
      <c r="BS53">
        <v>4.1799999999999997E-2</v>
      </c>
      <c r="BT53">
        <v>10.200699999999983</v>
      </c>
      <c r="BU53" s="2">
        <v>45681</v>
      </c>
      <c r="BV53" t="s">
        <v>2041</v>
      </c>
      <c r="BW53">
        <v>7</v>
      </c>
      <c r="BX53">
        <v>3.49E-2</v>
      </c>
      <c r="BY53">
        <v>8.3377357793631219</v>
      </c>
      <c r="BZ53">
        <v>931.25112546156026</v>
      </c>
      <c r="CA53">
        <v>0.42399999999999999</v>
      </c>
      <c r="CB53">
        <v>3.6400000000000002E-2</v>
      </c>
      <c r="CC53">
        <v>10.600799999999936</v>
      </c>
      <c r="CD53" s="2">
        <v>45681</v>
      </c>
      <c r="CE53" t="s">
        <v>2155</v>
      </c>
      <c r="CF53">
        <v>7</v>
      </c>
      <c r="CG53">
        <v>4.24E-2</v>
      </c>
      <c r="CH53">
        <v>8.6870009849076499</v>
      </c>
      <c r="CI53">
        <v>857.62849179339298</v>
      </c>
      <c r="CJ53">
        <v>0.42399999999999999</v>
      </c>
      <c r="CK53">
        <v>4.1799999999999997E-2</v>
      </c>
      <c r="CL53">
        <v>10.203300000000013</v>
      </c>
    </row>
    <row r="54" spans="1:90" x14ac:dyDescent="0.3">
      <c r="A54" s="2">
        <v>45681</v>
      </c>
      <c r="B54" t="s">
        <v>266</v>
      </c>
      <c r="C54">
        <v>1</v>
      </c>
      <c r="D54">
        <v>2.06E-2</v>
      </c>
      <c r="E54">
        <v>7.3353764040288754</v>
      </c>
      <c r="F54">
        <v>731.65708085549124</v>
      </c>
      <c r="G54">
        <v>0.42399999999999999</v>
      </c>
      <c r="H54">
        <v>2.0799999999999999E-2</v>
      </c>
      <c r="I54">
        <v>10.398999999999972</v>
      </c>
      <c r="J54" s="2">
        <v>45681</v>
      </c>
      <c r="K54" t="s">
        <v>466</v>
      </c>
      <c r="L54">
        <v>1</v>
      </c>
      <c r="M54">
        <v>4.0899999999999999E-2</v>
      </c>
      <c r="N54">
        <v>8.6749503942187527</v>
      </c>
      <c r="O54">
        <v>856.50537674118777</v>
      </c>
      <c r="P54">
        <v>0.42399999999999999</v>
      </c>
      <c r="Q54">
        <v>4.1599999999999998E-2</v>
      </c>
      <c r="R54">
        <v>10.40130000000002</v>
      </c>
      <c r="S54" s="2">
        <v>45681</v>
      </c>
      <c r="T54" t="s">
        <v>862</v>
      </c>
      <c r="U54">
        <v>3</v>
      </c>
      <c r="V54">
        <v>4.1599999999999998E-2</v>
      </c>
      <c r="W54">
        <v>8.6745287046387922</v>
      </c>
      <c r="X54">
        <v>856.4660752723355</v>
      </c>
      <c r="Y54">
        <v>0.42399999999999999</v>
      </c>
      <c r="Z54">
        <v>4.1599999999999998E-2</v>
      </c>
      <c r="AA54">
        <v>10.400200000000041</v>
      </c>
      <c r="AB54" s="2">
        <v>45681</v>
      </c>
      <c r="AC54" t="s">
        <v>1062</v>
      </c>
      <c r="AD54">
        <v>3</v>
      </c>
      <c r="AE54">
        <v>4.2000000000000003E-2</v>
      </c>
      <c r="AF54">
        <v>8.6743478646843091</v>
      </c>
      <c r="AG54">
        <v>856.44922098857762</v>
      </c>
      <c r="AH54">
        <v>0.42399999999999999</v>
      </c>
      <c r="AI54">
        <v>4.1599999999999998E-2</v>
      </c>
      <c r="AJ54">
        <v>10.401299999999992</v>
      </c>
      <c r="AK54" s="2">
        <v>45681</v>
      </c>
      <c r="AL54" t="s">
        <v>1362</v>
      </c>
      <c r="AM54">
        <v>4</v>
      </c>
      <c r="AN54">
        <v>4.2200000000000001E-2</v>
      </c>
      <c r="AO54">
        <v>8.6741382363065789</v>
      </c>
      <c r="AP54">
        <v>856.42968362377314</v>
      </c>
      <c r="AQ54">
        <v>0.42399999999999999</v>
      </c>
      <c r="AR54">
        <v>4.1599999999999998E-2</v>
      </c>
      <c r="AS54">
        <v>10.399599999999964</v>
      </c>
      <c r="AT54" s="2">
        <v>45681</v>
      </c>
      <c r="AU54" t="s">
        <v>1562</v>
      </c>
      <c r="AV54">
        <v>5</v>
      </c>
      <c r="AW54">
        <v>4.19E-2</v>
      </c>
      <c r="AX54">
        <v>8.6729927814379337</v>
      </c>
      <c r="AY54">
        <v>856.32292723001547</v>
      </c>
      <c r="AZ54">
        <v>0.42399999999999999</v>
      </c>
      <c r="BA54">
        <v>4.1599999999999998E-2</v>
      </c>
      <c r="BB54">
        <v>10.412699999999973</v>
      </c>
      <c r="BC54" s="2">
        <v>45681</v>
      </c>
      <c r="BD54" t="s">
        <v>1760</v>
      </c>
      <c r="BE54">
        <v>6</v>
      </c>
      <c r="BF54">
        <v>4.1399999999999999E-2</v>
      </c>
      <c r="BG54">
        <v>8.6736342361643732</v>
      </c>
      <c r="BH54">
        <v>856.3827108105196</v>
      </c>
      <c r="BI54">
        <v>0.42399999999999999</v>
      </c>
      <c r="BJ54">
        <v>4.1599999999999998E-2</v>
      </c>
      <c r="BK54">
        <v>10.402799999999957</v>
      </c>
      <c r="BL54" s="2">
        <v>45681</v>
      </c>
      <c r="BM54" t="s">
        <v>1960</v>
      </c>
      <c r="BN54">
        <v>6</v>
      </c>
      <c r="BO54">
        <v>4.1300000000000003E-2</v>
      </c>
      <c r="BP54">
        <v>8.6734740752181398</v>
      </c>
      <c r="BQ54">
        <v>856.36778381033071</v>
      </c>
      <c r="BR54">
        <v>0.42399999999999999</v>
      </c>
      <c r="BS54">
        <v>4.1599999999999998E-2</v>
      </c>
      <c r="BT54">
        <v>10.401100000000042</v>
      </c>
      <c r="BU54" s="2">
        <v>45681</v>
      </c>
      <c r="BV54" t="s">
        <v>2042</v>
      </c>
      <c r="BW54">
        <v>7</v>
      </c>
      <c r="BX54">
        <v>3.5700000000000003E-2</v>
      </c>
      <c r="BY54">
        <v>8.393896316528231</v>
      </c>
      <c r="BZ54">
        <v>936.58076043852918</v>
      </c>
      <c r="CA54">
        <v>0.42399999999999999</v>
      </c>
      <c r="CB54">
        <v>3.73E-2</v>
      </c>
      <c r="CC54">
        <v>10.802099999999996</v>
      </c>
      <c r="CD54" s="2">
        <v>45681</v>
      </c>
      <c r="CE54" t="s">
        <v>2156</v>
      </c>
      <c r="CF54">
        <v>7</v>
      </c>
      <c r="CG54">
        <v>4.2200000000000001E-2</v>
      </c>
      <c r="CH54">
        <v>8.6734327172016439</v>
      </c>
      <c r="CI54">
        <v>856.36392924319318</v>
      </c>
      <c r="CJ54">
        <v>0.42399999999999999</v>
      </c>
      <c r="CK54">
        <v>4.1599999999999998E-2</v>
      </c>
      <c r="CL54">
        <v>10.399600000000078</v>
      </c>
    </row>
    <row r="55" spans="1:90" x14ac:dyDescent="0.3">
      <c r="A55" s="2">
        <v>45681</v>
      </c>
      <c r="B55" t="s">
        <v>267</v>
      </c>
      <c r="C55">
        <v>1</v>
      </c>
      <c r="D55">
        <v>2.0400000000000001E-2</v>
      </c>
      <c r="E55">
        <v>7.3261020715649749</v>
      </c>
      <c r="F55">
        <v>730.79271306985572</v>
      </c>
      <c r="G55">
        <v>0.42399999999999999</v>
      </c>
      <c r="H55">
        <v>2.07E-2</v>
      </c>
      <c r="I55">
        <v>10.599499999999978</v>
      </c>
      <c r="J55" s="2">
        <v>45681</v>
      </c>
      <c r="K55" t="s">
        <v>467</v>
      </c>
      <c r="L55">
        <v>1</v>
      </c>
      <c r="M55">
        <v>4.1000000000000002E-2</v>
      </c>
      <c r="N55">
        <v>8.6565201267499425</v>
      </c>
      <c r="O55">
        <v>854.78767581309467</v>
      </c>
      <c r="P55">
        <v>0.42399999999999999</v>
      </c>
      <c r="Q55">
        <v>4.1300000000000003E-2</v>
      </c>
      <c r="R55">
        <v>10.600499999999982</v>
      </c>
      <c r="S55" s="2">
        <v>45681</v>
      </c>
      <c r="T55" t="s">
        <v>863</v>
      </c>
      <c r="U55">
        <v>3</v>
      </c>
      <c r="V55">
        <v>4.1500000000000002E-2</v>
      </c>
      <c r="W55">
        <v>8.6559540895829929</v>
      </c>
      <c r="X55">
        <v>854.73492114913495</v>
      </c>
      <c r="Y55">
        <v>0.42399999999999999</v>
      </c>
      <c r="Z55">
        <v>4.1300000000000003E-2</v>
      </c>
      <c r="AA55">
        <v>10.599500000000035</v>
      </c>
      <c r="AB55" s="2">
        <v>45681</v>
      </c>
      <c r="AC55" t="s">
        <v>1063</v>
      </c>
      <c r="AD55">
        <v>3</v>
      </c>
      <c r="AE55">
        <v>4.1799999999999997E-2</v>
      </c>
      <c r="AF55">
        <v>8.65578987392926</v>
      </c>
      <c r="AG55">
        <v>854.71961625020708</v>
      </c>
      <c r="AH55">
        <v>0.42399999999999999</v>
      </c>
      <c r="AI55">
        <v>4.1300000000000003E-2</v>
      </c>
      <c r="AJ55">
        <v>10.599799999999959</v>
      </c>
      <c r="AK55" s="2">
        <v>45681</v>
      </c>
      <c r="AL55" t="s">
        <v>1363</v>
      </c>
      <c r="AM55">
        <v>4</v>
      </c>
      <c r="AN55">
        <v>4.2000000000000003E-2</v>
      </c>
      <c r="AO55">
        <v>8.6554350870230419</v>
      </c>
      <c r="AP55">
        <v>854.6865501105475</v>
      </c>
      <c r="AQ55">
        <v>0.42399999999999999</v>
      </c>
      <c r="AR55">
        <v>4.1300000000000003E-2</v>
      </c>
      <c r="AS55">
        <v>10.598799999999983</v>
      </c>
      <c r="AT55" s="2">
        <v>45681</v>
      </c>
      <c r="AU55" t="s">
        <v>1563</v>
      </c>
      <c r="AV55">
        <v>5</v>
      </c>
      <c r="AW55">
        <v>4.1799999999999997E-2</v>
      </c>
      <c r="AX55">
        <v>8.6551216581333197</v>
      </c>
      <c r="AY55">
        <v>854.65733853802544</v>
      </c>
      <c r="AZ55">
        <v>0.42399999999999999</v>
      </c>
      <c r="BA55">
        <v>4.1300000000000003E-2</v>
      </c>
      <c r="BB55">
        <v>10.600899999999967</v>
      </c>
      <c r="BC55" s="2">
        <v>45681</v>
      </c>
      <c r="BD55" t="s">
        <v>1761</v>
      </c>
      <c r="BE55">
        <v>6</v>
      </c>
      <c r="BF55">
        <v>4.1300000000000003E-2</v>
      </c>
      <c r="BG55">
        <v>8.6546659090103617</v>
      </c>
      <c r="BH55">
        <v>854.61486271976571</v>
      </c>
      <c r="BI55">
        <v>0.42399999999999999</v>
      </c>
      <c r="BJ55">
        <v>4.1300000000000003E-2</v>
      </c>
      <c r="BK55">
        <v>10.602999999999952</v>
      </c>
      <c r="BL55" s="2">
        <v>45681</v>
      </c>
      <c r="BM55" t="s">
        <v>1961</v>
      </c>
      <c r="BN55">
        <v>6</v>
      </c>
      <c r="BO55">
        <v>4.1300000000000003E-2</v>
      </c>
      <c r="BP55">
        <v>8.6546379315286135</v>
      </c>
      <c r="BQ55">
        <v>854.61225521846677</v>
      </c>
      <c r="BR55">
        <v>0.42399999999999999</v>
      </c>
      <c r="BS55">
        <v>4.1300000000000003E-2</v>
      </c>
      <c r="BT55">
        <v>10.599699999999984</v>
      </c>
      <c r="BU55" s="2">
        <v>45681</v>
      </c>
      <c r="BV55" t="s">
        <v>2043</v>
      </c>
      <c r="BW55">
        <v>7</v>
      </c>
      <c r="BX55">
        <v>3.6999999999999998E-2</v>
      </c>
      <c r="BY55">
        <v>8.4454247558457656</v>
      </c>
      <c r="BZ55">
        <v>941.47080932976326</v>
      </c>
      <c r="CA55">
        <v>0.42399999999999999</v>
      </c>
      <c r="CB55">
        <v>3.8100000000000002E-2</v>
      </c>
      <c r="CC55">
        <v>11.001700000000028</v>
      </c>
      <c r="CD55" s="2">
        <v>45681</v>
      </c>
      <c r="CE55" t="s">
        <v>2157</v>
      </c>
      <c r="CF55">
        <v>7</v>
      </c>
      <c r="CG55">
        <v>4.2000000000000003E-2</v>
      </c>
      <c r="CH55">
        <v>8.6544161390283847</v>
      </c>
      <c r="CI55">
        <v>854.59158415744548</v>
      </c>
      <c r="CJ55">
        <v>0.42399999999999999</v>
      </c>
      <c r="CK55">
        <v>4.1300000000000003E-2</v>
      </c>
      <c r="CL55">
        <v>10.599800000000073</v>
      </c>
    </row>
    <row r="56" spans="1:90" x14ac:dyDescent="0.3">
      <c r="A56" s="2">
        <v>45681</v>
      </c>
      <c r="B56" t="s">
        <v>268</v>
      </c>
      <c r="C56">
        <v>1</v>
      </c>
      <c r="D56">
        <v>2.0400000000000001E-2</v>
      </c>
      <c r="E56">
        <v>7.3142659749028072</v>
      </c>
      <c r="F56">
        <v>729.68958886094163</v>
      </c>
      <c r="G56">
        <v>0.42399999999999999</v>
      </c>
      <c r="H56">
        <v>2.0500000000000001E-2</v>
      </c>
      <c r="I56">
        <v>10.799499999999995</v>
      </c>
      <c r="J56" s="2">
        <v>45681</v>
      </c>
      <c r="K56" t="s">
        <v>468</v>
      </c>
      <c r="L56">
        <v>1</v>
      </c>
      <c r="M56">
        <v>4.0300000000000002E-2</v>
      </c>
      <c r="N56">
        <v>8.6328884805006059</v>
      </c>
      <c r="O56">
        <v>852.58520638265645</v>
      </c>
      <c r="P56">
        <v>0.42399999999999999</v>
      </c>
      <c r="Q56">
        <v>4.1000000000000002E-2</v>
      </c>
      <c r="R56">
        <v>10.80019999999999</v>
      </c>
      <c r="S56" s="2">
        <v>45681</v>
      </c>
      <c r="T56" t="s">
        <v>864</v>
      </c>
      <c r="U56">
        <v>3</v>
      </c>
      <c r="V56">
        <v>4.1200000000000001E-2</v>
      </c>
      <c r="W56">
        <v>8.6320767280591788</v>
      </c>
      <c r="X56">
        <v>852.50955105511548</v>
      </c>
      <c r="Y56">
        <v>0.42399999999999999</v>
      </c>
      <c r="Z56">
        <v>4.1000000000000002E-2</v>
      </c>
      <c r="AA56">
        <v>10.800100000000043</v>
      </c>
      <c r="AB56" s="2">
        <v>45681</v>
      </c>
      <c r="AC56" t="s">
        <v>1064</v>
      </c>
      <c r="AD56">
        <v>3</v>
      </c>
      <c r="AE56">
        <v>4.1700000000000001E-2</v>
      </c>
      <c r="AF56">
        <v>8.6319433281824409</v>
      </c>
      <c r="AG56">
        <v>852.49711818660353</v>
      </c>
      <c r="AH56">
        <v>0.42399999999999999</v>
      </c>
      <c r="AI56">
        <v>4.1000000000000002E-2</v>
      </c>
      <c r="AJ56">
        <v>10.79989999999998</v>
      </c>
      <c r="AK56" s="2">
        <v>45681</v>
      </c>
      <c r="AL56" t="s">
        <v>1364</v>
      </c>
      <c r="AM56">
        <v>4</v>
      </c>
      <c r="AN56">
        <v>4.1399999999999999E-2</v>
      </c>
      <c r="AO56">
        <v>8.6306977220385548</v>
      </c>
      <c r="AP56">
        <v>852.38102769399336</v>
      </c>
      <c r="AQ56">
        <v>0.42399999999999999</v>
      </c>
      <c r="AR56">
        <v>4.0899999999999999E-2</v>
      </c>
      <c r="AS56">
        <v>10.805000000000007</v>
      </c>
      <c r="AT56" s="2">
        <v>45681</v>
      </c>
      <c r="AU56" t="s">
        <v>1564</v>
      </c>
      <c r="AV56">
        <v>5</v>
      </c>
      <c r="AW56">
        <v>4.1200000000000001E-2</v>
      </c>
      <c r="AX56">
        <v>8.6309345169565344</v>
      </c>
      <c r="AY56">
        <v>852.40309698034901</v>
      </c>
      <c r="AZ56">
        <v>0.42399999999999999</v>
      </c>
      <c r="BA56">
        <v>4.0899999999999999E-2</v>
      </c>
      <c r="BB56">
        <v>10.802300000000002</v>
      </c>
      <c r="BC56" s="2">
        <v>45681</v>
      </c>
      <c r="BD56" t="s">
        <v>1762</v>
      </c>
      <c r="BE56">
        <v>6</v>
      </c>
      <c r="BF56">
        <v>4.1200000000000001E-2</v>
      </c>
      <c r="BG56">
        <v>8.6307447566455515</v>
      </c>
      <c r="BH56">
        <v>852.3854113193654</v>
      </c>
      <c r="BI56">
        <v>0.42399999999999999</v>
      </c>
      <c r="BJ56">
        <v>4.0899999999999999E-2</v>
      </c>
      <c r="BK56">
        <v>10.801699999999983</v>
      </c>
      <c r="BL56" s="2">
        <v>45681</v>
      </c>
      <c r="BM56" t="s">
        <v>1962</v>
      </c>
      <c r="BN56">
        <v>6</v>
      </c>
      <c r="BO56">
        <v>4.1200000000000001E-2</v>
      </c>
      <c r="BP56">
        <v>8.6297371618318923</v>
      </c>
      <c r="BQ56">
        <v>852.29150348273242</v>
      </c>
      <c r="BR56">
        <v>0.42399999999999999</v>
      </c>
      <c r="BS56">
        <v>4.0899999999999999E-2</v>
      </c>
      <c r="BT56">
        <v>10.805600000000027</v>
      </c>
      <c r="BU56" s="2">
        <v>45681</v>
      </c>
      <c r="BV56" t="s">
        <v>2044</v>
      </c>
      <c r="BW56">
        <v>7</v>
      </c>
      <c r="BX56">
        <v>3.8100000000000002E-2</v>
      </c>
      <c r="BY56">
        <v>8.4931632600633957</v>
      </c>
      <c r="BZ56">
        <v>946.00119338001628</v>
      </c>
      <c r="CA56">
        <v>0.42399999999999999</v>
      </c>
      <c r="CB56">
        <v>3.8800000000000001E-2</v>
      </c>
      <c r="CC56">
        <v>11.203599999999938</v>
      </c>
      <c r="CD56" s="2">
        <v>45681</v>
      </c>
      <c r="CE56" t="s">
        <v>2158</v>
      </c>
      <c r="CF56">
        <v>7</v>
      </c>
      <c r="CG56">
        <v>4.19E-2</v>
      </c>
      <c r="CH56">
        <v>8.6302350799128451</v>
      </c>
      <c r="CI56">
        <v>852.33790944787722</v>
      </c>
      <c r="CJ56">
        <v>0.42399999999999999</v>
      </c>
      <c r="CK56">
        <v>4.0899999999999999E-2</v>
      </c>
      <c r="CL56">
        <v>10.799800000000005</v>
      </c>
    </row>
    <row r="57" spans="1:90" x14ac:dyDescent="0.3">
      <c r="A57" s="2">
        <v>45681</v>
      </c>
      <c r="B57" t="s">
        <v>269</v>
      </c>
      <c r="C57">
        <v>1</v>
      </c>
      <c r="D57">
        <v>2.0199999999999999E-2</v>
      </c>
      <c r="E57">
        <v>7.2998498678586294</v>
      </c>
      <c r="F57">
        <v>728.34600768442419</v>
      </c>
      <c r="G57">
        <v>0.42399999999999999</v>
      </c>
      <c r="H57">
        <v>2.0299999999999999E-2</v>
      </c>
      <c r="I57">
        <v>11.000099999999975</v>
      </c>
      <c r="J57" s="2">
        <v>45681</v>
      </c>
      <c r="K57" t="s">
        <v>469</v>
      </c>
      <c r="L57">
        <v>1</v>
      </c>
      <c r="M57">
        <v>4.0300000000000002E-2</v>
      </c>
      <c r="N57">
        <v>8.6039220555940066</v>
      </c>
      <c r="O57">
        <v>849.88553558136141</v>
      </c>
      <c r="P57">
        <v>0.42399999999999999</v>
      </c>
      <c r="Q57">
        <v>4.0500000000000001E-2</v>
      </c>
      <c r="R57">
        <v>11.0017</v>
      </c>
      <c r="S57" s="2">
        <v>45681</v>
      </c>
      <c r="T57" t="s">
        <v>865</v>
      </c>
      <c r="U57">
        <v>3</v>
      </c>
      <c r="V57">
        <v>4.1200000000000001E-2</v>
      </c>
      <c r="W57">
        <v>8.6032287006115702</v>
      </c>
      <c r="X57">
        <v>849.82091489699837</v>
      </c>
      <c r="Y57">
        <v>0.42399999999999999</v>
      </c>
      <c r="Z57">
        <v>4.0500000000000001E-2</v>
      </c>
      <c r="AA57">
        <v>10.999900000000025</v>
      </c>
      <c r="AB57" s="2">
        <v>45681</v>
      </c>
      <c r="AC57" t="s">
        <v>1065</v>
      </c>
      <c r="AD57">
        <v>3</v>
      </c>
      <c r="AE57">
        <v>4.1500000000000002E-2</v>
      </c>
      <c r="AF57">
        <v>8.6029744704513433</v>
      </c>
      <c r="AG57">
        <v>849.79722064606517</v>
      </c>
      <c r="AH57">
        <v>0.42399999999999999</v>
      </c>
      <c r="AI57">
        <v>4.0500000000000001E-2</v>
      </c>
      <c r="AJ57">
        <v>11.000299999999982</v>
      </c>
      <c r="AK57" s="2">
        <v>45681</v>
      </c>
      <c r="AL57" t="s">
        <v>1365</v>
      </c>
      <c r="AM57">
        <v>4</v>
      </c>
      <c r="AN57">
        <v>4.1399999999999999E-2</v>
      </c>
      <c r="AO57">
        <v>8.6022405683939098</v>
      </c>
      <c r="AP57">
        <v>849.72882097431238</v>
      </c>
      <c r="AQ57">
        <v>0.42399999999999999</v>
      </c>
      <c r="AR57">
        <v>4.0500000000000001E-2</v>
      </c>
      <c r="AS57">
        <v>11.000599999999963</v>
      </c>
      <c r="AT57" s="2">
        <v>45681</v>
      </c>
      <c r="AU57" t="s">
        <v>1565</v>
      </c>
      <c r="AV57">
        <v>5</v>
      </c>
      <c r="AW57">
        <v>4.1099999999999998E-2</v>
      </c>
      <c r="AX57">
        <v>8.6019238957381887</v>
      </c>
      <c r="AY57">
        <v>849.69930708279924</v>
      </c>
      <c r="AZ57">
        <v>0.42399999999999999</v>
      </c>
      <c r="BA57">
        <v>4.0500000000000001E-2</v>
      </c>
      <c r="BB57">
        <v>11.001699999999971</v>
      </c>
      <c r="BC57" s="2">
        <v>45681</v>
      </c>
      <c r="BD57" t="s">
        <v>1763</v>
      </c>
      <c r="BE57">
        <v>6</v>
      </c>
      <c r="BF57">
        <v>4.1099999999999998E-2</v>
      </c>
      <c r="BG57">
        <v>8.6015297781692244</v>
      </c>
      <c r="BH57">
        <v>849.66257532537179</v>
      </c>
      <c r="BI57">
        <v>0.42399999999999999</v>
      </c>
      <c r="BJ57">
        <v>4.0500000000000001E-2</v>
      </c>
      <c r="BK57">
        <v>11.002200000000016</v>
      </c>
      <c r="BL57" s="2">
        <v>45681</v>
      </c>
      <c r="BM57" t="s">
        <v>1963</v>
      </c>
      <c r="BN57">
        <v>6</v>
      </c>
      <c r="BO57">
        <v>4.1200000000000001E-2</v>
      </c>
      <c r="BP57">
        <v>8.6013428561534919</v>
      </c>
      <c r="BQ57">
        <v>849.6451541935055</v>
      </c>
      <c r="BR57">
        <v>0.42399999999999999</v>
      </c>
      <c r="BS57">
        <v>4.0500000000000001E-2</v>
      </c>
      <c r="BT57">
        <v>10.999699999999962</v>
      </c>
      <c r="BU57" s="2">
        <v>45681</v>
      </c>
      <c r="BV57" t="s">
        <v>2045</v>
      </c>
      <c r="BW57">
        <v>7</v>
      </c>
      <c r="BX57">
        <v>3.85E-2</v>
      </c>
      <c r="BY57">
        <v>8.535389389435279</v>
      </c>
      <c r="BZ57">
        <v>950.00845305740802</v>
      </c>
      <c r="CA57">
        <v>0.42399999999999999</v>
      </c>
      <c r="CB57">
        <v>3.95E-2</v>
      </c>
      <c r="CC57">
        <v>11.401099999999929</v>
      </c>
      <c r="CD57" s="2">
        <v>45681</v>
      </c>
      <c r="CE57" t="s">
        <v>2159</v>
      </c>
      <c r="CF57">
        <v>7</v>
      </c>
      <c r="CG57">
        <v>4.1300000000000003E-2</v>
      </c>
      <c r="CH57">
        <v>8.6007159983740511</v>
      </c>
      <c r="CI57">
        <v>849.58673104846162</v>
      </c>
      <c r="CJ57">
        <v>0.42399999999999999</v>
      </c>
      <c r="CK57">
        <v>4.0500000000000001E-2</v>
      </c>
      <c r="CL57">
        <v>11.001700000000028</v>
      </c>
    </row>
    <row r="58" spans="1:90" x14ac:dyDescent="0.3">
      <c r="A58" s="2">
        <v>45681</v>
      </c>
      <c r="B58" t="s">
        <v>270</v>
      </c>
      <c r="C58">
        <v>1</v>
      </c>
      <c r="D58">
        <v>2.0299999999999999E-2</v>
      </c>
      <c r="E58">
        <v>7.283118522832158</v>
      </c>
      <c r="F58">
        <v>726.7866463279571</v>
      </c>
      <c r="G58">
        <v>0.42399999999999999</v>
      </c>
      <c r="H58">
        <v>0.02</v>
      </c>
      <c r="I58">
        <v>11.198599999999999</v>
      </c>
      <c r="J58" s="2">
        <v>45681</v>
      </c>
      <c r="K58" t="s">
        <v>470</v>
      </c>
      <c r="L58">
        <v>1</v>
      </c>
      <c r="M58">
        <v>4.0300000000000002E-2</v>
      </c>
      <c r="N58">
        <v>8.5703993558700748</v>
      </c>
      <c r="O58">
        <v>846.76121996709105</v>
      </c>
      <c r="P58">
        <v>0.42399999999999999</v>
      </c>
      <c r="Q58">
        <v>0.04</v>
      </c>
      <c r="R58">
        <v>11.20059999999998</v>
      </c>
      <c r="S58" s="2">
        <v>45681</v>
      </c>
      <c r="T58" t="s">
        <v>866</v>
      </c>
      <c r="U58">
        <v>3</v>
      </c>
      <c r="V58">
        <v>4.1200000000000001E-2</v>
      </c>
      <c r="W58">
        <v>8.5695320539359034</v>
      </c>
      <c r="X58">
        <v>846.6803874268262</v>
      </c>
      <c r="Y58">
        <v>0.42399999999999999</v>
      </c>
      <c r="Z58">
        <v>0.04</v>
      </c>
      <c r="AA58">
        <v>11.199100000000044</v>
      </c>
      <c r="AB58" s="2">
        <v>45681</v>
      </c>
      <c r="AC58" t="s">
        <v>1066</v>
      </c>
      <c r="AD58">
        <v>3</v>
      </c>
      <c r="AE58">
        <v>4.1399999999999999E-2</v>
      </c>
      <c r="AF58">
        <v>8.5690884689354458</v>
      </c>
      <c r="AG58">
        <v>846.63904530478362</v>
      </c>
      <c r="AH58">
        <v>0.42399999999999999</v>
      </c>
      <c r="AI58">
        <v>0.04</v>
      </c>
      <c r="AJ58">
        <v>11.20029999999997</v>
      </c>
      <c r="AK58" s="2">
        <v>45681</v>
      </c>
      <c r="AL58" t="s">
        <v>1366</v>
      </c>
      <c r="AM58">
        <v>4</v>
      </c>
      <c r="AN58">
        <v>4.0800000000000003E-2</v>
      </c>
      <c r="AO58">
        <v>8.5681611573302785</v>
      </c>
      <c r="AP58">
        <v>846.55261986318203</v>
      </c>
      <c r="AQ58">
        <v>0.42399999999999999</v>
      </c>
      <c r="AR58">
        <v>0.04</v>
      </c>
      <c r="AS58">
        <v>11.201099999999997</v>
      </c>
      <c r="AT58" s="2">
        <v>45681</v>
      </c>
      <c r="AU58" t="s">
        <v>1566</v>
      </c>
      <c r="AV58">
        <v>5</v>
      </c>
      <c r="AW58">
        <v>4.1099999999999998E-2</v>
      </c>
      <c r="AX58">
        <v>8.5676887839065721</v>
      </c>
      <c r="AY58">
        <v>846.50859466009251</v>
      </c>
      <c r="AZ58">
        <v>0.42399999999999999</v>
      </c>
      <c r="BA58">
        <v>0.04</v>
      </c>
      <c r="BB58">
        <v>11.202799999999968</v>
      </c>
      <c r="BC58" s="2">
        <v>45681</v>
      </c>
      <c r="BD58" t="s">
        <v>1764</v>
      </c>
      <c r="BE58">
        <v>6</v>
      </c>
      <c r="BF58">
        <v>4.1000000000000002E-2</v>
      </c>
      <c r="BG58">
        <v>8.5673668401311005</v>
      </c>
      <c r="BH58">
        <v>846.47858950021862</v>
      </c>
      <c r="BI58">
        <v>0.42399999999999999</v>
      </c>
      <c r="BJ58">
        <v>0.04</v>
      </c>
      <c r="BK58">
        <v>11.202499999999986</v>
      </c>
      <c r="BL58" s="2">
        <v>45681</v>
      </c>
      <c r="BM58" t="s">
        <v>1964</v>
      </c>
      <c r="BN58">
        <v>6</v>
      </c>
      <c r="BO58">
        <v>4.0500000000000001E-2</v>
      </c>
      <c r="BP58">
        <v>8.5672480372013631</v>
      </c>
      <c r="BQ58">
        <v>846.46751706716702</v>
      </c>
      <c r="BR58">
        <v>0.42399999999999999</v>
      </c>
      <c r="BS58">
        <v>0.04</v>
      </c>
      <c r="BT58">
        <v>11.199499999999944</v>
      </c>
      <c r="BU58" s="2">
        <v>45681</v>
      </c>
      <c r="BV58" t="s">
        <v>2046</v>
      </c>
      <c r="BW58">
        <v>7</v>
      </c>
      <c r="BX58">
        <v>3.8800000000000001E-2</v>
      </c>
      <c r="BY58">
        <v>8.5734456576145472</v>
      </c>
      <c r="BZ58">
        <v>953.6199929076206</v>
      </c>
      <c r="CA58">
        <v>0.42399999999999999</v>
      </c>
      <c r="CB58">
        <v>4.0099999999999997E-2</v>
      </c>
      <c r="CC58">
        <v>11.600699999999961</v>
      </c>
      <c r="CD58" s="2">
        <v>45681</v>
      </c>
      <c r="CE58" t="s">
        <v>2160</v>
      </c>
      <c r="CF58">
        <v>7</v>
      </c>
      <c r="CG58">
        <v>4.1200000000000001E-2</v>
      </c>
      <c r="CH58">
        <v>8.5666499678451693</v>
      </c>
      <c r="CI58">
        <v>846.41177700316985</v>
      </c>
      <c r="CJ58">
        <v>0.42399999999999999</v>
      </c>
      <c r="CK58">
        <v>3.9899999999999998E-2</v>
      </c>
      <c r="CL58">
        <v>11.200800000000072</v>
      </c>
    </row>
    <row r="59" spans="1:90" x14ac:dyDescent="0.3">
      <c r="A59" s="2">
        <v>45681</v>
      </c>
      <c r="B59" t="s">
        <v>271</v>
      </c>
      <c r="C59">
        <v>1</v>
      </c>
      <c r="D59">
        <v>1.95E-2</v>
      </c>
      <c r="E59">
        <v>7.2637666203486786</v>
      </c>
      <c r="F59">
        <v>724.98304901649692</v>
      </c>
      <c r="G59">
        <v>0.42399999999999999</v>
      </c>
      <c r="H59">
        <v>1.9699999999999999E-2</v>
      </c>
      <c r="I59">
        <v>11.399599999999992</v>
      </c>
      <c r="J59" s="2">
        <v>45681</v>
      </c>
      <c r="K59" t="s">
        <v>471</v>
      </c>
      <c r="L59">
        <v>1</v>
      </c>
      <c r="M59">
        <v>4.0300000000000002E-2</v>
      </c>
      <c r="N59">
        <v>8.5320397955698368</v>
      </c>
      <c r="O59">
        <v>843.18610894710878</v>
      </c>
      <c r="P59">
        <v>0.42399999999999999</v>
      </c>
      <c r="Q59">
        <v>3.9399999999999998E-2</v>
      </c>
      <c r="R59">
        <v>11.399799999999999</v>
      </c>
      <c r="S59" s="2">
        <v>45681</v>
      </c>
      <c r="T59" t="s">
        <v>867</v>
      </c>
      <c r="U59">
        <v>3</v>
      </c>
      <c r="V59">
        <v>4.1000000000000002E-2</v>
      </c>
      <c r="W59">
        <v>8.530745127465206</v>
      </c>
      <c r="X59">
        <v>843.06544587975725</v>
      </c>
      <c r="Y59">
        <v>0.42399999999999999</v>
      </c>
      <c r="Z59">
        <v>3.9399999999999998E-2</v>
      </c>
      <c r="AA59">
        <v>11.399800000000027</v>
      </c>
      <c r="AB59" s="2">
        <v>45681</v>
      </c>
      <c r="AC59" t="s">
        <v>1067</v>
      </c>
      <c r="AD59">
        <v>3</v>
      </c>
      <c r="AE59">
        <v>4.1300000000000003E-2</v>
      </c>
      <c r="AF59">
        <v>8.5304377806367313</v>
      </c>
      <c r="AG59">
        <v>843.03680115534337</v>
      </c>
      <c r="AH59">
        <v>0.42399999999999999</v>
      </c>
      <c r="AI59">
        <v>3.9399999999999998E-2</v>
      </c>
      <c r="AJ59">
        <v>11.400100000000009</v>
      </c>
      <c r="AK59" s="2">
        <v>45681</v>
      </c>
      <c r="AL59" t="s">
        <v>1367</v>
      </c>
      <c r="AM59">
        <v>4</v>
      </c>
      <c r="AN59">
        <v>4.07E-2</v>
      </c>
      <c r="AO59">
        <v>8.5296994184010515</v>
      </c>
      <c r="AP59">
        <v>842.96798579497806</v>
      </c>
      <c r="AQ59">
        <v>0.42399999999999999</v>
      </c>
      <c r="AR59">
        <v>3.9399999999999998E-2</v>
      </c>
      <c r="AS59">
        <v>11.399399999999957</v>
      </c>
      <c r="AT59" s="2">
        <v>45681</v>
      </c>
      <c r="AU59" t="s">
        <v>1567</v>
      </c>
      <c r="AV59">
        <v>5</v>
      </c>
      <c r="AW59">
        <v>4.1099999999999998E-2</v>
      </c>
      <c r="AX59">
        <v>8.5285851847801517</v>
      </c>
      <c r="AY59">
        <v>842.86413922151019</v>
      </c>
      <c r="AZ59">
        <v>0.42399999999999999</v>
      </c>
      <c r="BA59">
        <v>3.9399999999999998E-2</v>
      </c>
      <c r="BB59">
        <v>11.403899999999965</v>
      </c>
      <c r="BC59" s="2">
        <v>45681</v>
      </c>
      <c r="BD59" t="s">
        <v>1765</v>
      </c>
      <c r="BE59">
        <v>6</v>
      </c>
      <c r="BF59">
        <v>4.0800000000000003E-2</v>
      </c>
      <c r="BG59">
        <v>8.52871209712489</v>
      </c>
      <c r="BH59">
        <v>842.87596745203973</v>
      </c>
      <c r="BI59">
        <v>0.42399999999999999</v>
      </c>
      <c r="BJ59">
        <v>3.9399999999999998E-2</v>
      </c>
      <c r="BK59">
        <v>11.401200000000017</v>
      </c>
      <c r="BL59" s="2">
        <v>45681</v>
      </c>
      <c r="BM59" t="s">
        <v>1965</v>
      </c>
      <c r="BN59">
        <v>6</v>
      </c>
      <c r="BO59">
        <v>4.0500000000000001E-2</v>
      </c>
      <c r="BP59">
        <v>8.5279567051177079</v>
      </c>
      <c r="BQ59">
        <v>842.80556491697041</v>
      </c>
      <c r="BR59">
        <v>0.42399999999999999</v>
      </c>
      <c r="BS59">
        <v>3.9300000000000002E-2</v>
      </c>
      <c r="BT59">
        <v>11.401299999999992</v>
      </c>
      <c r="BU59" s="2">
        <v>45681</v>
      </c>
      <c r="BV59" t="s">
        <v>2047</v>
      </c>
      <c r="BW59">
        <v>7</v>
      </c>
      <c r="BX59">
        <v>3.9399999999999998E-2</v>
      </c>
      <c r="BY59">
        <v>8.6068661787094864</v>
      </c>
      <c r="BZ59">
        <v>956.79160035953032</v>
      </c>
      <c r="CA59">
        <v>0.42399999999999999</v>
      </c>
      <c r="CB59">
        <v>4.0599999999999997E-2</v>
      </c>
      <c r="CC59">
        <v>11.801600000000008</v>
      </c>
      <c r="CD59" s="2">
        <v>45681</v>
      </c>
      <c r="CE59" t="s">
        <v>2161</v>
      </c>
      <c r="CF59">
        <v>7</v>
      </c>
      <c r="CG59">
        <v>4.1099999999999998E-2</v>
      </c>
      <c r="CH59">
        <v>8.5275820501447441</v>
      </c>
      <c r="CI59">
        <v>842.77064707349018</v>
      </c>
      <c r="CJ59">
        <v>0.42399999999999999</v>
      </c>
      <c r="CK59">
        <v>3.9300000000000002E-2</v>
      </c>
      <c r="CL59">
        <v>11.401000000000067</v>
      </c>
    </row>
    <row r="60" spans="1:90" x14ac:dyDescent="0.3">
      <c r="A60" s="2">
        <v>45681</v>
      </c>
      <c r="B60" t="s">
        <v>272</v>
      </c>
      <c r="C60">
        <v>1</v>
      </c>
      <c r="D60">
        <v>1.95E-2</v>
      </c>
      <c r="E60">
        <v>7.2421274573646608</v>
      </c>
      <c r="F60">
        <v>722.96627902638636</v>
      </c>
      <c r="G60">
        <v>0.42399999999999999</v>
      </c>
      <c r="H60">
        <v>1.9400000000000001E-2</v>
      </c>
      <c r="I60">
        <v>11.599899999999991</v>
      </c>
      <c r="J60" s="2">
        <v>45681</v>
      </c>
      <c r="K60" t="s">
        <v>472</v>
      </c>
      <c r="L60">
        <v>1</v>
      </c>
      <c r="M60">
        <v>4.0300000000000002E-2</v>
      </c>
      <c r="N60">
        <v>8.4889427150270311</v>
      </c>
      <c r="O60">
        <v>839.16946104051931</v>
      </c>
      <c r="P60">
        <v>0.42399999999999999</v>
      </c>
      <c r="Q60">
        <v>3.8699999999999998E-2</v>
      </c>
      <c r="R60">
        <v>11.599400000000031</v>
      </c>
      <c r="S60" s="2">
        <v>45681</v>
      </c>
      <c r="T60" t="s">
        <v>868</v>
      </c>
      <c r="U60">
        <v>3</v>
      </c>
      <c r="V60">
        <v>4.0800000000000003E-2</v>
      </c>
      <c r="W60">
        <v>8.4877360340751427</v>
      </c>
      <c r="X60">
        <v>839.05699837580335</v>
      </c>
      <c r="Y60">
        <v>0.42399999999999999</v>
      </c>
      <c r="Z60">
        <v>3.8699999999999998E-2</v>
      </c>
      <c r="AA60">
        <v>11.598400000000026</v>
      </c>
      <c r="AB60" s="2">
        <v>45681</v>
      </c>
      <c r="AC60" t="s">
        <v>1068</v>
      </c>
      <c r="AD60">
        <v>3</v>
      </c>
      <c r="AE60">
        <v>4.1099999999999998E-2</v>
      </c>
      <c r="AF60">
        <v>8.4870232164967074</v>
      </c>
      <c r="AG60">
        <v>838.99056377749321</v>
      </c>
      <c r="AH60">
        <v>0.42399999999999999</v>
      </c>
      <c r="AI60">
        <v>3.8699999999999998E-2</v>
      </c>
      <c r="AJ60">
        <v>11.600300000000004</v>
      </c>
      <c r="AK60" s="2">
        <v>45681</v>
      </c>
      <c r="AL60" t="s">
        <v>1368</v>
      </c>
      <c r="AM60">
        <v>4</v>
      </c>
      <c r="AN60">
        <v>4.07E-2</v>
      </c>
      <c r="AO60">
        <v>8.4860298131592984</v>
      </c>
      <c r="AP60">
        <v>838.89797858644658</v>
      </c>
      <c r="AQ60">
        <v>0.42399999999999999</v>
      </c>
      <c r="AR60">
        <v>3.8699999999999998E-2</v>
      </c>
      <c r="AS60">
        <v>11.600399999999979</v>
      </c>
      <c r="AT60" s="2">
        <v>45681</v>
      </c>
      <c r="AU60" t="s">
        <v>1568</v>
      </c>
      <c r="AV60">
        <v>5</v>
      </c>
      <c r="AW60">
        <v>4.0300000000000002E-2</v>
      </c>
      <c r="AX60">
        <v>8.485459315814099</v>
      </c>
      <c r="AY60">
        <v>838.84480823387401</v>
      </c>
      <c r="AZ60">
        <v>0.42399999999999999</v>
      </c>
      <c r="BA60">
        <v>3.8699999999999998E-2</v>
      </c>
      <c r="BB60">
        <v>11.601999999999975</v>
      </c>
      <c r="BC60" s="2">
        <v>45681</v>
      </c>
      <c r="BD60" t="s">
        <v>1766</v>
      </c>
      <c r="BE60">
        <v>6</v>
      </c>
      <c r="BF60">
        <v>4.0599999999999997E-2</v>
      </c>
      <c r="BG60">
        <v>8.4848880075274025</v>
      </c>
      <c r="BH60">
        <v>838.79156230155388</v>
      </c>
      <c r="BI60">
        <v>0.42399999999999999</v>
      </c>
      <c r="BJ60">
        <v>3.8699999999999998E-2</v>
      </c>
      <c r="BK60">
        <v>11.602399999999989</v>
      </c>
      <c r="BL60" s="2">
        <v>45681</v>
      </c>
      <c r="BM60" t="s">
        <v>1966</v>
      </c>
      <c r="BN60">
        <v>6</v>
      </c>
      <c r="BO60">
        <v>4.0500000000000001E-2</v>
      </c>
      <c r="BP60">
        <v>8.4842935874079561</v>
      </c>
      <c r="BQ60">
        <v>838.73616234642157</v>
      </c>
      <c r="BR60">
        <v>0.42399999999999999</v>
      </c>
      <c r="BS60">
        <v>3.8699999999999998E-2</v>
      </c>
      <c r="BT60">
        <v>11.601300000000037</v>
      </c>
      <c r="BU60" s="2">
        <v>45681</v>
      </c>
      <c r="BV60" t="s">
        <v>2048</v>
      </c>
      <c r="BW60">
        <v>7</v>
      </c>
      <c r="BX60">
        <v>4.0399999999999998E-2</v>
      </c>
      <c r="BY60">
        <v>8.6350143636426591</v>
      </c>
      <c r="BZ60">
        <v>959.46286310968844</v>
      </c>
      <c r="CA60">
        <v>0.42399999999999999</v>
      </c>
      <c r="CB60">
        <v>4.1000000000000002E-2</v>
      </c>
      <c r="CC60">
        <v>12.000499999999988</v>
      </c>
      <c r="CD60" s="2">
        <v>45681</v>
      </c>
      <c r="CE60" t="s">
        <v>2162</v>
      </c>
      <c r="CF60">
        <v>7</v>
      </c>
      <c r="CG60">
        <v>4.1099999999999998E-2</v>
      </c>
      <c r="CH60">
        <v>8.4837097095280107</v>
      </c>
      <c r="CI60">
        <v>838.68174492801063</v>
      </c>
      <c r="CJ60">
        <v>0.42399999999999999</v>
      </c>
      <c r="CK60">
        <v>3.8699999999999998E-2</v>
      </c>
      <c r="CL60">
        <v>11.601900000000001</v>
      </c>
    </row>
    <row r="61" spans="1:90" x14ac:dyDescent="0.3">
      <c r="A61" s="2">
        <v>45681</v>
      </c>
      <c r="B61" t="s">
        <v>273</v>
      </c>
      <c r="C61">
        <v>1</v>
      </c>
      <c r="D61">
        <v>1.8700000000000001E-2</v>
      </c>
      <c r="E61">
        <v>7.2184597242185777</v>
      </c>
      <c r="F61">
        <v>720.76044629717148</v>
      </c>
      <c r="G61">
        <v>0.42399999999999999</v>
      </c>
      <c r="H61">
        <v>1.9E-2</v>
      </c>
      <c r="I61">
        <v>11.798299999999983</v>
      </c>
      <c r="J61" s="2">
        <v>45681</v>
      </c>
      <c r="K61" t="s">
        <v>473</v>
      </c>
      <c r="L61">
        <v>1</v>
      </c>
      <c r="M61">
        <v>4.0099999999999997E-2</v>
      </c>
      <c r="N61">
        <v>8.4408482074909337</v>
      </c>
      <c r="O61">
        <v>834.68705293815503</v>
      </c>
      <c r="P61">
        <v>0.42399999999999999</v>
      </c>
      <c r="Q61">
        <v>3.7999999999999999E-2</v>
      </c>
      <c r="R61">
        <v>11.801099999999991</v>
      </c>
      <c r="S61" s="2">
        <v>45681</v>
      </c>
      <c r="T61" t="s">
        <v>869</v>
      </c>
      <c r="U61">
        <v>3</v>
      </c>
      <c r="V61">
        <v>3.9800000000000002E-2</v>
      </c>
      <c r="W61">
        <v>8.4396026013470493</v>
      </c>
      <c r="X61">
        <v>834.57096244554498</v>
      </c>
      <c r="Y61">
        <v>0.42399999999999999</v>
      </c>
      <c r="Z61">
        <v>3.7999999999999999E-2</v>
      </c>
      <c r="AA61">
        <v>11.79970000000003</v>
      </c>
      <c r="AB61" s="2">
        <v>45681</v>
      </c>
      <c r="AC61" t="s">
        <v>1069</v>
      </c>
      <c r="AD61">
        <v>3</v>
      </c>
      <c r="AE61">
        <v>4.02E-2</v>
      </c>
      <c r="AF61">
        <v>8.4389177612503605</v>
      </c>
      <c r="AG61">
        <v>834.50713534853367</v>
      </c>
      <c r="AH61">
        <v>0.42399999999999999</v>
      </c>
      <c r="AI61">
        <v>3.7999999999999999E-2</v>
      </c>
      <c r="AJ61">
        <v>11.801299999999969</v>
      </c>
      <c r="AK61" s="2">
        <v>45681</v>
      </c>
      <c r="AL61" t="s">
        <v>1369</v>
      </c>
      <c r="AM61">
        <v>4</v>
      </c>
      <c r="AN61">
        <v>4.0500000000000001E-2</v>
      </c>
      <c r="AO61">
        <v>8.4381392574104321</v>
      </c>
      <c r="AP61">
        <v>834.43457879065227</v>
      </c>
      <c r="AQ61">
        <v>0.42399999999999999</v>
      </c>
      <c r="AR61">
        <v>3.7900000000000003E-2</v>
      </c>
      <c r="AS61">
        <v>11.800099999999986</v>
      </c>
      <c r="AT61" s="2">
        <v>45681</v>
      </c>
      <c r="AU61" t="s">
        <v>1569</v>
      </c>
      <c r="AV61">
        <v>5</v>
      </c>
      <c r="AW61">
        <v>3.9699999999999999E-2</v>
      </c>
      <c r="AX61">
        <v>8.4378063659247111</v>
      </c>
      <c r="AY61">
        <v>834.40355330418311</v>
      </c>
      <c r="AZ61">
        <v>0.42399999999999999</v>
      </c>
      <c r="BA61">
        <v>3.7900000000000003E-2</v>
      </c>
      <c r="BB61">
        <v>11.8005</v>
      </c>
      <c r="BC61" s="2">
        <v>45681</v>
      </c>
      <c r="BD61" t="s">
        <v>1767</v>
      </c>
      <c r="BE61">
        <v>6</v>
      </c>
      <c r="BF61">
        <v>3.9899999999999998E-2</v>
      </c>
      <c r="BG61">
        <v>8.4367776866320554</v>
      </c>
      <c r="BH61">
        <v>834.30768039410759</v>
      </c>
      <c r="BI61">
        <v>0.42399999999999999</v>
      </c>
      <c r="BJ61">
        <v>3.7900000000000003E-2</v>
      </c>
      <c r="BK61">
        <v>11.802500000000009</v>
      </c>
      <c r="BL61" s="2">
        <v>45681</v>
      </c>
      <c r="BM61" t="s">
        <v>1967</v>
      </c>
      <c r="BN61">
        <v>6</v>
      </c>
      <c r="BO61">
        <v>4.0399999999999998E-2</v>
      </c>
      <c r="BP61">
        <v>8.4365048048173321</v>
      </c>
      <c r="BQ61">
        <v>834.2822478089754</v>
      </c>
      <c r="BR61">
        <v>0.42399999999999999</v>
      </c>
      <c r="BS61">
        <v>3.7900000000000003E-2</v>
      </c>
      <c r="BT61">
        <v>11.799999999999955</v>
      </c>
      <c r="BU61" s="2">
        <v>45681</v>
      </c>
      <c r="BV61" t="s">
        <v>2049</v>
      </c>
      <c r="BW61">
        <v>7</v>
      </c>
      <c r="BX61">
        <v>4.19E-2</v>
      </c>
      <c r="BY61">
        <v>8.6583573147180228</v>
      </c>
      <c r="BZ61">
        <v>961.67810916674046</v>
      </c>
      <c r="CA61">
        <v>0.42399999999999999</v>
      </c>
      <c r="CB61">
        <v>4.1399999999999999E-2</v>
      </c>
      <c r="CC61">
        <v>12.20150000000001</v>
      </c>
      <c r="CD61" s="2">
        <v>45681</v>
      </c>
      <c r="CE61" t="s">
        <v>2163</v>
      </c>
      <c r="CF61">
        <v>7</v>
      </c>
      <c r="CG61">
        <v>4.0899999999999999E-2</v>
      </c>
      <c r="CH61">
        <v>8.4360243219786248</v>
      </c>
      <c r="CI61">
        <v>834.23746680840782</v>
      </c>
      <c r="CJ61">
        <v>0.42399999999999999</v>
      </c>
      <c r="CK61">
        <v>3.7900000000000003E-2</v>
      </c>
      <c r="CL61">
        <v>11.799900000000093</v>
      </c>
    </row>
    <row r="62" spans="1:90" x14ac:dyDescent="0.3">
      <c r="A62" s="2">
        <v>45681</v>
      </c>
      <c r="B62" t="s">
        <v>274</v>
      </c>
      <c r="C62">
        <v>1</v>
      </c>
      <c r="D62">
        <v>1.8499999999999999E-2</v>
      </c>
      <c r="E62">
        <v>7.1922363089354784</v>
      </c>
      <c r="F62">
        <v>718.31642399278655</v>
      </c>
      <c r="G62">
        <v>0.42399999999999999</v>
      </c>
      <c r="H62">
        <v>1.8599999999999998E-2</v>
      </c>
      <c r="I62">
        <v>12</v>
      </c>
      <c r="J62" s="2">
        <v>45681</v>
      </c>
      <c r="K62" t="s">
        <v>474</v>
      </c>
      <c r="L62">
        <v>1</v>
      </c>
      <c r="M62">
        <v>3.9100000000000003E-2</v>
      </c>
      <c r="N62">
        <v>8.3885436971579708</v>
      </c>
      <c r="O62">
        <v>829.81227257512285</v>
      </c>
      <c r="P62">
        <v>0.42399999999999999</v>
      </c>
      <c r="Q62">
        <v>3.7199999999999997E-2</v>
      </c>
      <c r="R62">
        <v>12.002100000000013</v>
      </c>
      <c r="S62" s="2">
        <v>45681</v>
      </c>
      <c r="T62" t="s">
        <v>870</v>
      </c>
      <c r="U62">
        <v>3</v>
      </c>
      <c r="V62">
        <v>3.9600000000000003E-2</v>
      </c>
      <c r="W62">
        <v>8.3875742165948104</v>
      </c>
      <c r="X62">
        <v>829.7219169866363</v>
      </c>
      <c r="Y62">
        <v>0.42399999999999999</v>
      </c>
      <c r="Z62">
        <v>3.7199999999999997E-2</v>
      </c>
      <c r="AA62">
        <v>11.999400000000037</v>
      </c>
      <c r="AB62" s="2">
        <v>45681</v>
      </c>
      <c r="AC62" t="s">
        <v>1070</v>
      </c>
      <c r="AD62">
        <v>3</v>
      </c>
      <c r="AE62">
        <v>0.04</v>
      </c>
      <c r="AF62">
        <v>8.3869838511828636</v>
      </c>
      <c r="AG62">
        <v>829.66689493024296</v>
      </c>
      <c r="AH62">
        <v>0.42399999999999999</v>
      </c>
      <c r="AI62">
        <v>3.7199999999999997E-2</v>
      </c>
      <c r="AJ62">
        <v>12.000299999999982</v>
      </c>
      <c r="AK62" s="2">
        <v>45681</v>
      </c>
      <c r="AL62" t="s">
        <v>1370</v>
      </c>
      <c r="AM62">
        <v>4</v>
      </c>
      <c r="AN62">
        <v>3.95E-2</v>
      </c>
      <c r="AO62">
        <v>8.3857045909667303</v>
      </c>
      <c r="AP62">
        <v>829.54766787809933</v>
      </c>
      <c r="AQ62">
        <v>0.42399999999999999</v>
      </c>
      <c r="AR62">
        <v>3.7100000000000001E-2</v>
      </c>
      <c r="AS62">
        <v>12.000699999999995</v>
      </c>
      <c r="AT62" s="2">
        <v>45681</v>
      </c>
      <c r="AU62" t="s">
        <v>1570</v>
      </c>
      <c r="AV62">
        <v>5</v>
      </c>
      <c r="AW62">
        <v>3.9699999999999999E-2</v>
      </c>
      <c r="AX62">
        <v>8.3852115385347759</v>
      </c>
      <c r="AY62">
        <v>829.50171539144117</v>
      </c>
      <c r="AZ62">
        <v>0.42399999999999999</v>
      </c>
      <c r="BA62">
        <v>3.7100000000000001E-2</v>
      </c>
      <c r="BB62">
        <v>12.001699999999971</v>
      </c>
      <c r="BC62" s="2">
        <v>45681</v>
      </c>
      <c r="BD62" t="s">
        <v>1768</v>
      </c>
      <c r="BE62">
        <v>6</v>
      </c>
      <c r="BF62">
        <v>3.9800000000000002E-2</v>
      </c>
      <c r="BG62">
        <v>8.3848239084978111</v>
      </c>
      <c r="BH62">
        <v>829.46558827199601</v>
      </c>
      <c r="BI62">
        <v>0.42399999999999999</v>
      </c>
      <c r="BJ62">
        <v>3.7100000000000001E-2</v>
      </c>
      <c r="BK62">
        <v>12.000999999999976</v>
      </c>
      <c r="BL62" s="2">
        <v>45681</v>
      </c>
      <c r="BM62" t="s">
        <v>1968</v>
      </c>
      <c r="BN62">
        <v>6</v>
      </c>
      <c r="BO62">
        <v>4.0099999999999997E-2</v>
      </c>
      <c r="BP62">
        <v>8.3835892500641744</v>
      </c>
      <c r="BQ62">
        <v>829.35051810598111</v>
      </c>
      <c r="BR62">
        <v>0.42399999999999999</v>
      </c>
      <c r="BS62">
        <v>3.7100000000000001E-2</v>
      </c>
      <c r="BT62">
        <v>12.001899999999978</v>
      </c>
      <c r="BU62" s="2">
        <v>45681</v>
      </c>
      <c r="BV62" t="s">
        <v>2050</v>
      </c>
      <c r="BW62">
        <v>7</v>
      </c>
      <c r="BX62">
        <v>4.24E-2</v>
      </c>
      <c r="BY62">
        <v>8.6765292973191102</v>
      </c>
      <c r="BZ62">
        <v>963.40263031558356</v>
      </c>
      <c r="CA62">
        <v>0.42399999999999999</v>
      </c>
      <c r="CB62">
        <v>4.1700000000000001E-2</v>
      </c>
      <c r="CC62">
        <v>12.403299999999945</v>
      </c>
      <c r="CD62" s="2">
        <v>45681</v>
      </c>
      <c r="CE62" t="s">
        <v>2164</v>
      </c>
      <c r="CF62">
        <v>7</v>
      </c>
      <c r="CG62">
        <v>3.9800000000000002E-2</v>
      </c>
      <c r="CH62">
        <v>8.3833329925501996</v>
      </c>
      <c r="CI62">
        <v>829.32663490567859</v>
      </c>
      <c r="CJ62">
        <v>0.42399999999999999</v>
      </c>
      <c r="CK62">
        <v>3.7100000000000001E-2</v>
      </c>
      <c r="CL62">
        <v>12.000800000000027</v>
      </c>
    </row>
    <row r="63" spans="1:90" x14ac:dyDescent="0.3">
      <c r="A63" s="2">
        <v>45681</v>
      </c>
      <c r="B63" t="s">
        <v>275</v>
      </c>
      <c r="C63">
        <v>1</v>
      </c>
      <c r="D63">
        <v>1.84E-2</v>
      </c>
      <c r="E63">
        <v>7.1640897458853052</v>
      </c>
      <c r="F63">
        <v>715.69316431651043</v>
      </c>
      <c r="G63">
        <v>0.42399999999999999</v>
      </c>
      <c r="H63">
        <v>1.8200000000000001E-2</v>
      </c>
      <c r="I63">
        <v>12.200499999999977</v>
      </c>
      <c r="J63" s="2">
        <v>45681</v>
      </c>
      <c r="K63" t="s">
        <v>475</v>
      </c>
      <c r="L63">
        <v>1</v>
      </c>
      <c r="M63">
        <v>3.85E-2</v>
      </c>
      <c r="N63">
        <v>8.3326600965150881</v>
      </c>
      <c r="O63">
        <v>824.60392099520618</v>
      </c>
      <c r="P63">
        <v>0.42399999999999999</v>
      </c>
      <c r="Q63">
        <v>3.6299999999999999E-2</v>
      </c>
      <c r="R63">
        <v>12.201100000000025</v>
      </c>
      <c r="S63" s="2">
        <v>45681</v>
      </c>
      <c r="T63" t="s">
        <v>871</v>
      </c>
      <c r="U63">
        <v>3</v>
      </c>
      <c r="V63">
        <v>3.8800000000000001E-2</v>
      </c>
      <c r="W63">
        <v>8.3309554974822415</v>
      </c>
      <c r="X63">
        <v>824.44505236534496</v>
      </c>
      <c r="Y63">
        <v>0.42399999999999999</v>
      </c>
      <c r="Z63">
        <v>3.6299999999999999E-2</v>
      </c>
      <c r="AA63">
        <v>12.20070000000004</v>
      </c>
      <c r="AB63" s="2">
        <v>45681</v>
      </c>
      <c r="AC63" t="s">
        <v>1071</v>
      </c>
      <c r="AD63">
        <v>3</v>
      </c>
      <c r="AE63">
        <v>3.9100000000000003E-2</v>
      </c>
      <c r="AF63">
        <v>8.3305261039580323</v>
      </c>
      <c r="AG63">
        <v>824.40503288888863</v>
      </c>
      <c r="AH63">
        <v>0.42399999999999999</v>
      </c>
      <c r="AI63">
        <v>3.6299999999999999E-2</v>
      </c>
      <c r="AJ63">
        <v>12.200999999999965</v>
      </c>
      <c r="AK63" s="2">
        <v>45681</v>
      </c>
      <c r="AL63" t="s">
        <v>1371</v>
      </c>
      <c r="AM63">
        <v>4</v>
      </c>
      <c r="AN63">
        <v>3.9100000000000003E-2</v>
      </c>
      <c r="AO63">
        <v>8.3294426861141311</v>
      </c>
      <c r="AP63">
        <v>824.30405834583701</v>
      </c>
      <c r="AQ63">
        <v>0.42399999999999999</v>
      </c>
      <c r="AR63">
        <v>3.6299999999999999E-2</v>
      </c>
      <c r="AS63">
        <v>12.200400000000002</v>
      </c>
      <c r="AT63" s="2">
        <v>45681</v>
      </c>
      <c r="AU63" t="s">
        <v>1571</v>
      </c>
      <c r="AV63">
        <v>5</v>
      </c>
      <c r="AW63">
        <v>3.8899999999999997E-2</v>
      </c>
      <c r="AX63">
        <v>8.3288993553091792</v>
      </c>
      <c r="AY63">
        <v>824.25341991481548</v>
      </c>
      <c r="AZ63">
        <v>0.42399999999999999</v>
      </c>
      <c r="BA63">
        <v>3.6299999999999999E-2</v>
      </c>
      <c r="BB63">
        <v>12.201300000000003</v>
      </c>
      <c r="BC63" s="2">
        <v>45681</v>
      </c>
      <c r="BD63" t="s">
        <v>1769</v>
      </c>
      <c r="BE63">
        <v>6</v>
      </c>
      <c r="BF63">
        <v>3.9699999999999999E-2</v>
      </c>
      <c r="BG63">
        <v>8.3281999182654936</v>
      </c>
      <c r="BH63">
        <v>824.18823238234404</v>
      </c>
      <c r="BI63">
        <v>0.42399999999999999</v>
      </c>
      <c r="BJ63">
        <v>3.6200000000000003E-2</v>
      </c>
      <c r="BK63">
        <v>12.201599999999985</v>
      </c>
      <c r="BL63" s="2">
        <v>45681</v>
      </c>
      <c r="BM63" t="s">
        <v>1969</v>
      </c>
      <c r="BN63">
        <v>6</v>
      </c>
      <c r="BO63">
        <v>3.9100000000000003E-2</v>
      </c>
      <c r="BP63">
        <v>8.3271160949508438</v>
      </c>
      <c r="BQ63">
        <v>824.08722004941865</v>
      </c>
      <c r="BR63">
        <v>0.42399999999999999</v>
      </c>
      <c r="BS63">
        <v>3.6200000000000003E-2</v>
      </c>
      <c r="BT63">
        <v>12.20169999999996</v>
      </c>
      <c r="BU63" s="2">
        <v>45681</v>
      </c>
      <c r="BV63" t="s">
        <v>2051</v>
      </c>
      <c r="BW63">
        <v>7</v>
      </c>
      <c r="BX63">
        <v>4.2700000000000002E-2</v>
      </c>
      <c r="BY63">
        <v>8.689153629119204</v>
      </c>
      <c r="BZ63">
        <v>964.60067940341253</v>
      </c>
      <c r="CA63">
        <v>0.42399999999999999</v>
      </c>
      <c r="CB63">
        <v>4.1799999999999997E-2</v>
      </c>
      <c r="CC63">
        <v>12.600900000000024</v>
      </c>
      <c r="CD63" s="2">
        <v>45681</v>
      </c>
      <c r="CE63" t="s">
        <v>2165</v>
      </c>
      <c r="CF63">
        <v>7</v>
      </c>
      <c r="CG63">
        <v>3.9199999999999999E-2</v>
      </c>
      <c r="CH63">
        <v>8.3269976974918549</v>
      </c>
      <c r="CI63">
        <v>824.07618540624094</v>
      </c>
      <c r="CJ63">
        <v>0.42399999999999999</v>
      </c>
      <c r="CK63">
        <v>3.6200000000000003E-2</v>
      </c>
      <c r="CL63">
        <v>12.20010000000002</v>
      </c>
    </row>
    <row r="64" spans="1:90" x14ac:dyDescent="0.3">
      <c r="A64" s="2">
        <v>45681</v>
      </c>
      <c r="B64" t="s">
        <v>276</v>
      </c>
      <c r="C64">
        <v>1</v>
      </c>
      <c r="D64">
        <v>1.83E-2</v>
      </c>
      <c r="E64">
        <v>7.1344632145977673</v>
      </c>
      <c r="F64">
        <v>712.93197160051193</v>
      </c>
      <c r="G64">
        <v>0.42399999999999999</v>
      </c>
      <c r="H64">
        <v>1.77E-2</v>
      </c>
      <c r="I64">
        <v>12.397899999999993</v>
      </c>
      <c r="J64" s="2">
        <v>45681</v>
      </c>
      <c r="K64" t="s">
        <v>476</v>
      </c>
      <c r="L64">
        <v>1</v>
      </c>
      <c r="M64">
        <v>3.7900000000000003E-2</v>
      </c>
      <c r="N64">
        <v>8.2726017690305849</v>
      </c>
      <c r="O64">
        <v>819.00648487365049</v>
      </c>
      <c r="P64">
        <v>0.42399999999999999</v>
      </c>
      <c r="Q64">
        <v>3.5400000000000001E-2</v>
      </c>
      <c r="R64">
        <v>12.401199999999989</v>
      </c>
      <c r="S64" s="2">
        <v>45681</v>
      </c>
      <c r="T64" t="s">
        <v>872</v>
      </c>
      <c r="U64">
        <v>3</v>
      </c>
      <c r="V64">
        <v>3.8300000000000001E-2</v>
      </c>
      <c r="W64">
        <v>8.2707414692297547</v>
      </c>
      <c r="X64">
        <v>818.83310493221313</v>
      </c>
      <c r="Y64">
        <v>0.42399999999999999</v>
      </c>
      <c r="Z64">
        <v>3.5299999999999998E-2</v>
      </c>
      <c r="AA64">
        <v>12.400900000000036</v>
      </c>
      <c r="AB64" s="2">
        <v>45681</v>
      </c>
      <c r="AC64" t="s">
        <v>1072</v>
      </c>
      <c r="AD64">
        <v>3</v>
      </c>
      <c r="AE64">
        <v>3.8800000000000001E-2</v>
      </c>
      <c r="AF64">
        <v>8.2706457781327618</v>
      </c>
      <c r="AG64">
        <v>818.82418652197339</v>
      </c>
      <c r="AH64">
        <v>0.42399999999999999</v>
      </c>
      <c r="AI64">
        <v>3.5299999999999998E-2</v>
      </c>
      <c r="AJ64">
        <v>12.399999999999977</v>
      </c>
      <c r="AK64" s="2">
        <v>45681</v>
      </c>
      <c r="AL64" t="s">
        <v>1372</v>
      </c>
      <c r="AM64">
        <v>4</v>
      </c>
      <c r="AN64">
        <v>3.8199999999999998E-2</v>
      </c>
      <c r="AO64">
        <v>8.2694103087576263</v>
      </c>
      <c r="AP64">
        <v>818.70904077621083</v>
      </c>
      <c r="AQ64">
        <v>0.42399999999999999</v>
      </c>
      <c r="AR64">
        <v>3.5299999999999998E-2</v>
      </c>
      <c r="AS64">
        <v>12.399699999999996</v>
      </c>
      <c r="AT64" s="2">
        <v>45681</v>
      </c>
      <c r="AU64" t="s">
        <v>1572</v>
      </c>
      <c r="AV64">
        <v>5</v>
      </c>
      <c r="AW64">
        <v>3.8199999999999998E-2</v>
      </c>
      <c r="AX64">
        <v>8.2686508620429464</v>
      </c>
      <c r="AY64">
        <v>818.63826034240265</v>
      </c>
      <c r="AZ64">
        <v>0.42399999999999999</v>
      </c>
      <c r="BA64">
        <v>3.5299999999999998E-2</v>
      </c>
      <c r="BB64">
        <v>12.40119999999996</v>
      </c>
      <c r="BC64" s="2">
        <v>45681</v>
      </c>
      <c r="BD64" t="s">
        <v>1770</v>
      </c>
      <c r="BE64">
        <v>6</v>
      </c>
      <c r="BF64">
        <v>3.8600000000000002E-2</v>
      </c>
      <c r="BG64">
        <v>8.2681626752599886</v>
      </c>
      <c r="BH64">
        <v>818.592761334231</v>
      </c>
      <c r="BI64">
        <v>0.42399999999999999</v>
      </c>
      <c r="BJ64">
        <v>3.5299999999999998E-2</v>
      </c>
      <c r="BK64">
        <v>12.400700000000029</v>
      </c>
      <c r="BL64" s="2">
        <v>45681</v>
      </c>
      <c r="BM64" t="s">
        <v>1970</v>
      </c>
      <c r="BN64">
        <v>6</v>
      </c>
      <c r="BO64">
        <v>3.8399999999999997E-2</v>
      </c>
      <c r="BP64">
        <v>8.267039926753343</v>
      </c>
      <c r="BQ64">
        <v>818.48812117341163</v>
      </c>
      <c r="BR64">
        <v>0.42399999999999999</v>
      </c>
      <c r="BS64">
        <v>3.5299999999999998E-2</v>
      </c>
      <c r="BT64">
        <v>12.400700000000029</v>
      </c>
      <c r="BU64" s="2">
        <v>45681</v>
      </c>
      <c r="BV64" t="s">
        <v>2052</v>
      </c>
      <c r="BW64">
        <v>7</v>
      </c>
      <c r="BX64">
        <v>4.2900000000000001E-2</v>
      </c>
      <c r="BY64">
        <v>8.6966564598765181</v>
      </c>
      <c r="BZ64">
        <v>965.31269804228157</v>
      </c>
      <c r="CA64">
        <v>0.42399999999999999</v>
      </c>
      <c r="CB64">
        <v>4.2000000000000003E-2</v>
      </c>
      <c r="CC64">
        <v>12.800599999999918</v>
      </c>
      <c r="CD64" s="2">
        <v>45681</v>
      </c>
      <c r="CE64" t="s">
        <v>2166</v>
      </c>
      <c r="CF64">
        <v>7</v>
      </c>
      <c r="CG64">
        <v>3.9E-2</v>
      </c>
      <c r="CH64">
        <v>8.2666875726716267</v>
      </c>
      <c r="CI64">
        <v>818.45528177299559</v>
      </c>
      <c r="CJ64">
        <v>0.42399999999999999</v>
      </c>
      <c r="CK64">
        <v>3.5299999999999998E-2</v>
      </c>
      <c r="CL64">
        <v>12.399900000000002</v>
      </c>
    </row>
    <row r="65" spans="1:90" x14ac:dyDescent="0.3">
      <c r="A65" s="2">
        <v>45681</v>
      </c>
      <c r="B65" t="s">
        <v>277</v>
      </c>
      <c r="C65">
        <v>1</v>
      </c>
      <c r="D65">
        <v>1.8200000000000001E-2</v>
      </c>
      <c r="E65">
        <v>7.1022858668222124</v>
      </c>
      <c r="F65">
        <v>709.93304278783012</v>
      </c>
      <c r="G65">
        <v>0.42399999999999999</v>
      </c>
      <c r="H65">
        <v>1.72E-2</v>
      </c>
      <c r="I65">
        <v>12.599999999999994</v>
      </c>
      <c r="J65" s="2">
        <v>45681</v>
      </c>
      <c r="K65" t="s">
        <v>477</v>
      </c>
      <c r="L65">
        <v>1</v>
      </c>
      <c r="M65">
        <v>3.78E-2</v>
      </c>
      <c r="N65">
        <v>8.2091666811403918</v>
      </c>
      <c r="O65">
        <v>813.09433468228451</v>
      </c>
      <c r="P65">
        <v>0.42399999999999999</v>
      </c>
      <c r="Q65">
        <v>3.44E-2</v>
      </c>
      <c r="R65">
        <v>12.600499999999982</v>
      </c>
      <c r="S65" s="2">
        <v>45681</v>
      </c>
      <c r="T65" t="s">
        <v>873</v>
      </c>
      <c r="U65">
        <v>3</v>
      </c>
      <c r="V65">
        <v>3.7600000000000001E-2</v>
      </c>
      <c r="W65">
        <v>8.2076542752430282</v>
      </c>
      <c r="X65">
        <v>812.95337845265021</v>
      </c>
      <c r="Y65">
        <v>0.42399999999999999</v>
      </c>
      <c r="Z65">
        <v>3.44E-2</v>
      </c>
      <c r="AA65">
        <v>12.59880000000004</v>
      </c>
      <c r="AB65" s="2">
        <v>45681</v>
      </c>
      <c r="AC65" t="s">
        <v>1073</v>
      </c>
      <c r="AD65">
        <v>3</v>
      </c>
      <c r="AE65">
        <v>3.85E-2</v>
      </c>
      <c r="AF65">
        <v>8.2064236715168928</v>
      </c>
      <c r="AG65">
        <v>812.8386861853744</v>
      </c>
      <c r="AH65">
        <v>0.42399999999999999</v>
      </c>
      <c r="AI65">
        <v>3.4299999999999997E-2</v>
      </c>
      <c r="AJ65">
        <v>12.601299999999981</v>
      </c>
      <c r="AK65" s="2">
        <v>45681</v>
      </c>
      <c r="AL65" t="s">
        <v>1373</v>
      </c>
      <c r="AM65">
        <v>4</v>
      </c>
      <c r="AN65">
        <v>3.78E-2</v>
      </c>
      <c r="AO65">
        <v>8.2057465353644545</v>
      </c>
      <c r="AP65">
        <v>812.77557709596715</v>
      </c>
      <c r="AQ65">
        <v>0.42399999999999999</v>
      </c>
      <c r="AR65">
        <v>3.4299999999999997E-2</v>
      </c>
      <c r="AS65">
        <v>12.599099999999964</v>
      </c>
      <c r="AT65" s="2">
        <v>45681</v>
      </c>
      <c r="AU65" t="s">
        <v>1573</v>
      </c>
      <c r="AV65">
        <v>5</v>
      </c>
      <c r="AW65">
        <v>3.8199999999999998E-2</v>
      </c>
      <c r="AX65">
        <v>8.2038282532463782</v>
      </c>
      <c r="AY65">
        <v>812.59679320256248</v>
      </c>
      <c r="AZ65">
        <v>0.42399999999999999</v>
      </c>
      <c r="BA65">
        <v>3.4299999999999997E-2</v>
      </c>
      <c r="BB65">
        <v>12.603999999999985</v>
      </c>
      <c r="BC65" s="2">
        <v>45681</v>
      </c>
      <c r="BD65" t="s">
        <v>1771</v>
      </c>
      <c r="BE65">
        <v>6</v>
      </c>
      <c r="BF65">
        <v>3.7699999999999997E-2</v>
      </c>
      <c r="BG65">
        <v>8.2035517221949057</v>
      </c>
      <c r="BH65">
        <v>812.5710205085652</v>
      </c>
      <c r="BI65">
        <v>0.42399999999999999</v>
      </c>
      <c r="BJ65">
        <v>3.4299999999999997E-2</v>
      </c>
      <c r="BK65">
        <v>12.602700000000027</v>
      </c>
      <c r="BL65" s="2">
        <v>45681</v>
      </c>
      <c r="BM65" t="s">
        <v>1971</v>
      </c>
      <c r="BN65">
        <v>6</v>
      </c>
      <c r="BO65">
        <v>3.8300000000000001E-2</v>
      </c>
      <c r="BP65">
        <v>8.2028920212847165</v>
      </c>
      <c r="BQ65">
        <v>812.50953638373562</v>
      </c>
      <c r="BR65">
        <v>0.42399999999999999</v>
      </c>
      <c r="BS65">
        <v>3.4299999999999997E-2</v>
      </c>
      <c r="BT65">
        <v>12.601199999999949</v>
      </c>
      <c r="BU65" s="2">
        <v>45681</v>
      </c>
      <c r="BV65" t="s">
        <v>2053</v>
      </c>
      <c r="BW65">
        <v>7</v>
      </c>
      <c r="BX65">
        <v>4.2900000000000001E-2</v>
      </c>
      <c r="BY65">
        <v>8.698847623809316</v>
      </c>
      <c r="BZ65">
        <v>965.52063949950411</v>
      </c>
      <c r="CA65">
        <v>0.42399999999999999</v>
      </c>
      <c r="CB65">
        <v>4.2000000000000003E-2</v>
      </c>
      <c r="CC65">
        <v>13.002099999999928</v>
      </c>
      <c r="CD65" s="2">
        <v>45681</v>
      </c>
      <c r="CE65" t="s">
        <v>2167</v>
      </c>
      <c r="CF65">
        <v>7</v>
      </c>
      <c r="CG65">
        <v>3.8100000000000002E-2</v>
      </c>
      <c r="CH65">
        <v>8.2025514258547449</v>
      </c>
      <c r="CI65">
        <v>812.47779288966228</v>
      </c>
      <c r="CJ65">
        <v>0.42399999999999999</v>
      </c>
      <c r="CK65">
        <v>3.4299999999999997E-2</v>
      </c>
      <c r="CL65">
        <v>12.600200000000086</v>
      </c>
    </row>
    <row r="66" spans="1:90" x14ac:dyDescent="0.3">
      <c r="A66" s="2">
        <v>45681</v>
      </c>
      <c r="B66" t="s">
        <v>278</v>
      </c>
      <c r="C66">
        <v>1</v>
      </c>
      <c r="D66">
        <v>1.7500000000000002E-2</v>
      </c>
      <c r="E66">
        <v>7.0690478075647549</v>
      </c>
      <c r="F66">
        <v>706.83525566503522</v>
      </c>
      <c r="G66">
        <v>0.42399999999999999</v>
      </c>
      <c r="H66">
        <v>1.67E-2</v>
      </c>
      <c r="I66">
        <v>12.798299999999983</v>
      </c>
      <c r="J66" s="2">
        <v>45681</v>
      </c>
      <c r="K66" t="s">
        <v>478</v>
      </c>
      <c r="L66">
        <v>1</v>
      </c>
      <c r="M66">
        <v>3.6499999999999998E-2</v>
      </c>
      <c r="N66">
        <v>8.1411635597811163</v>
      </c>
      <c r="O66">
        <v>806.75644377160006</v>
      </c>
      <c r="P66">
        <v>0.42399999999999999</v>
      </c>
      <c r="Q66">
        <v>3.3300000000000003E-2</v>
      </c>
      <c r="R66">
        <v>12.803100000000001</v>
      </c>
      <c r="S66" s="2">
        <v>45681</v>
      </c>
      <c r="T66" t="s">
        <v>874</v>
      </c>
      <c r="U66">
        <v>3</v>
      </c>
      <c r="V66">
        <v>3.6200000000000003E-2</v>
      </c>
      <c r="W66">
        <v>8.1403343720974419</v>
      </c>
      <c r="X66">
        <v>806.67916347948164</v>
      </c>
      <c r="Y66">
        <v>0.42399999999999999</v>
      </c>
      <c r="Z66">
        <v>3.3300000000000003E-2</v>
      </c>
      <c r="AA66">
        <v>12.799300000000017</v>
      </c>
      <c r="AB66" s="2">
        <v>45681</v>
      </c>
      <c r="AC66" t="s">
        <v>1074</v>
      </c>
      <c r="AD66">
        <v>3</v>
      </c>
      <c r="AE66">
        <v>3.6999999999999998E-2</v>
      </c>
      <c r="AF66">
        <v>8.1392764989107871</v>
      </c>
      <c r="AG66">
        <v>806.58056969848542</v>
      </c>
      <c r="AH66">
        <v>0.42399999999999999</v>
      </c>
      <c r="AI66">
        <v>3.3300000000000003E-2</v>
      </c>
      <c r="AJ66">
        <v>12.801099999999963</v>
      </c>
      <c r="AK66" s="2">
        <v>45681</v>
      </c>
      <c r="AL66" t="s">
        <v>1374</v>
      </c>
      <c r="AM66">
        <v>4</v>
      </c>
      <c r="AN66">
        <v>3.7400000000000003E-2</v>
      </c>
      <c r="AO66">
        <v>8.1382648493896301</v>
      </c>
      <c r="AP66">
        <v>806.48628396311358</v>
      </c>
      <c r="AQ66">
        <v>0.42399999999999999</v>
      </c>
      <c r="AR66">
        <v>3.3300000000000003E-2</v>
      </c>
      <c r="AS66">
        <v>12.799800000000005</v>
      </c>
      <c r="AT66" s="2">
        <v>45681</v>
      </c>
      <c r="AU66" t="s">
        <v>1574</v>
      </c>
      <c r="AV66">
        <v>5</v>
      </c>
      <c r="AW66">
        <v>3.6700000000000003E-2</v>
      </c>
      <c r="AX66">
        <v>8.137690702807685</v>
      </c>
      <c r="AY66">
        <v>806.43277350167625</v>
      </c>
      <c r="AZ66">
        <v>0.42399999999999999</v>
      </c>
      <c r="BA66">
        <v>3.3300000000000003E-2</v>
      </c>
      <c r="BB66">
        <v>12.8005</v>
      </c>
      <c r="BC66" s="2">
        <v>45681</v>
      </c>
      <c r="BD66" t="s">
        <v>1772</v>
      </c>
      <c r="BE66">
        <v>6</v>
      </c>
      <c r="BF66">
        <v>3.7400000000000003E-2</v>
      </c>
      <c r="BG66">
        <v>8.1364296887752996</v>
      </c>
      <c r="BH66">
        <v>806.31524699385795</v>
      </c>
      <c r="BI66">
        <v>0.42399999999999999</v>
      </c>
      <c r="BJ66">
        <v>3.3300000000000003E-2</v>
      </c>
      <c r="BK66">
        <v>12.802099999999996</v>
      </c>
      <c r="BL66" s="2">
        <v>45681</v>
      </c>
      <c r="BM66" t="s">
        <v>1972</v>
      </c>
      <c r="BN66">
        <v>6</v>
      </c>
      <c r="BO66">
        <v>3.78E-2</v>
      </c>
      <c r="BP66">
        <v>8.1351342097291663</v>
      </c>
      <c r="BQ66">
        <v>806.19450834675831</v>
      </c>
      <c r="BR66">
        <v>0.42399999999999999</v>
      </c>
      <c r="BS66">
        <v>3.32E-2</v>
      </c>
      <c r="BT66">
        <v>12.802299999999946</v>
      </c>
      <c r="BU66" s="2">
        <v>45681</v>
      </c>
      <c r="BV66" t="s">
        <v>2054</v>
      </c>
      <c r="BW66">
        <v>7</v>
      </c>
      <c r="BX66">
        <v>4.2900000000000001E-2</v>
      </c>
      <c r="BY66">
        <v>8.6956626510683588</v>
      </c>
      <c r="BZ66">
        <v>858.43575907957108</v>
      </c>
      <c r="CA66">
        <v>0.42399999999999999</v>
      </c>
      <c r="CB66">
        <v>4.2000000000000003E-2</v>
      </c>
      <c r="CC66">
        <v>13.202299999999923</v>
      </c>
      <c r="CD66" s="2">
        <v>45681</v>
      </c>
      <c r="CE66" t="s">
        <v>2168</v>
      </c>
      <c r="CF66">
        <v>7</v>
      </c>
      <c r="CG66">
        <v>3.6600000000000001E-2</v>
      </c>
      <c r="CH66">
        <v>8.1347096818539573</v>
      </c>
      <c r="CI66">
        <v>806.15494234878884</v>
      </c>
      <c r="CJ66">
        <v>0.42399999999999999</v>
      </c>
      <c r="CK66">
        <v>3.32E-2</v>
      </c>
      <c r="CL66">
        <v>12.801500000000033</v>
      </c>
    </row>
    <row r="67" spans="1:90" x14ac:dyDescent="0.3">
      <c r="A67" s="2">
        <v>45681</v>
      </c>
      <c r="B67" t="s">
        <v>279</v>
      </c>
      <c r="C67">
        <v>1</v>
      </c>
      <c r="D67">
        <v>1.6899999999999998E-2</v>
      </c>
      <c r="E67">
        <v>7.0339510703894677</v>
      </c>
      <c r="F67">
        <v>703.56423976029839</v>
      </c>
      <c r="G67">
        <v>0.42399999999999999</v>
      </c>
      <c r="H67">
        <v>1.61E-2</v>
      </c>
      <c r="I67">
        <v>12.9983</v>
      </c>
      <c r="J67" s="2">
        <v>45681</v>
      </c>
      <c r="K67" t="s">
        <v>479</v>
      </c>
      <c r="L67">
        <v>1</v>
      </c>
      <c r="M67">
        <v>3.5200000000000002E-2</v>
      </c>
      <c r="N67">
        <v>8.0718840165009578</v>
      </c>
      <c r="O67">
        <v>800.2995903378893</v>
      </c>
      <c r="P67">
        <v>0.42399999999999999</v>
      </c>
      <c r="Q67">
        <v>3.2300000000000002E-2</v>
      </c>
      <c r="R67">
        <v>13.000399999999985</v>
      </c>
      <c r="S67" s="2">
        <v>45681</v>
      </c>
      <c r="T67" t="s">
        <v>875</v>
      </c>
      <c r="U67">
        <v>3</v>
      </c>
      <c r="V67">
        <v>3.5000000000000003E-2</v>
      </c>
      <c r="W67">
        <v>8.0695643183404204</v>
      </c>
      <c r="X67">
        <v>800.08339446932723</v>
      </c>
      <c r="Y67">
        <v>0.42399999999999999</v>
      </c>
      <c r="Z67">
        <v>3.2199999999999999E-2</v>
      </c>
      <c r="AA67">
        <v>13.00060000000002</v>
      </c>
      <c r="AB67" s="2">
        <v>45681</v>
      </c>
      <c r="AC67" t="s">
        <v>1075</v>
      </c>
      <c r="AD67">
        <v>3</v>
      </c>
      <c r="AE67">
        <v>3.5200000000000002E-2</v>
      </c>
      <c r="AF67">
        <v>8.0687910856202407</v>
      </c>
      <c r="AG67">
        <v>800.01132917980647</v>
      </c>
      <c r="AH67">
        <v>0.42399999999999999</v>
      </c>
      <c r="AI67">
        <v>3.2199999999999999E-2</v>
      </c>
      <c r="AJ67">
        <v>13.001599999999996</v>
      </c>
      <c r="AK67" s="2">
        <v>45681</v>
      </c>
      <c r="AL67" t="s">
        <v>1375</v>
      </c>
      <c r="AM67">
        <v>4</v>
      </c>
      <c r="AN67">
        <v>3.5400000000000001E-2</v>
      </c>
      <c r="AO67">
        <v>8.0675175019946082</v>
      </c>
      <c r="AP67">
        <v>799.89263118589747</v>
      </c>
      <c r="AQ67">
        <v>0.42399999999999999</v>
      </c>
      <c r="AR67">
        <v>3.2199999999999999E-2</v>
      </c>
      <c r="AS67">
        <v>13.00079999999997</v>
      </c>
      <c r="AT67" s="2">
        <v>45681</v>
      </c>
      <c r="AU67" t="s">
        <v>1575</v>
      </c>
      <c r="AV67">
        <v>5</v>
      </c>
      <c r="AW67">
        <v>3.5499999999999997E-2</v>
      </c>
      <c r="AX67">
        <v>8.0668659104994145</v>
      </c>
      <c r="AY67">
        <v>799.8319028585455</v>
      </c>
      <c r="AZ67">
        <v>0.42399999999999999</v>
      </c>
      <c r="BA67">
        <v>3.2199999999999999E-2</v>
      </c>
      <c r="BB67">
        <v>13.001699999999971</v>
      </c>
      <c r="BC67" s="2">
        <v>45681</v>
      </c>
      <c r="BD67" t="s">
        <v>1773</v>
      </c>
      <c r="BE67">
        <v>6</v>
      </c>
      <c r="BF67">
        <v>3.6999999999999998E-2</v>
      </c>
      <c r="BG67">
        <v>8.0663886714267115</v>
      </c>
      <c r="BH67">
        <v>799.78742417696958</v>
      </c>
      <c r="BI67">
        <v>0.42399999999999999</v>
      </c>
      <c r="BJ67">
        <v>3.2199999999999999E-2</v>
      </c>
      <c r="BK67">
        <v>13.000900000000001</v>
      </c>
      <c r="BL67" s="2">
        <v>45681</v>
      </c>
      <c r="BM67" t="s">
        <v>1973</v>
      </c>
      <c r="BN67">
        <v>6</v>
      </c>
      <c r="BO67">
        <v>3.6200000000000003E-2</v>
      </c>
      <c r="BP67">
        <v>8.0653522881898052</v>
      </c>
      <c r="BQ67">
        <v>799.69083325928989</v>
      </c>
      <c r="BR67">
        <v>0.42399999999999999</v>
      </c>
      <c r="BS67">
        <v>3.2199999999999999E-2</v>
      </c>
      <c r="BT67">
        <v>13.00019999999995</v>
      </c>
      <c r="BU67" s="2">
        <v>45681</v>
      </c>
      <c r="BV67" t="s">
        <v>2055</v>
      </c>
      <c r="BW67">
        <v>7</v>
      </c>
      <c r="BX67">
        <v>4.2099999999999999E-2</v>
      </c>
      <c r="BY67">
        <v>8.68711857142514</v>
      </c>
      <c r="BZ67">
        <v>857.63945085682303</v>
      </c>
      <c r="CA67">
        <v>0.42399999999999999</v>
      </c>
      <c r="CB67">
        <v>4.1799999999999997E-2</v>
      </c>
      <c r="CC67">
        <v>13.402899999999931</v>
      </c>
      <c r="CD67" s="2">
        <v>45681</v>
      </c>
      <c r="CE67" t="s">
        <v>2169</v>
      </c>
      <c r="CF67">
        <v>7</v>
      </c>
      <c r="CG67">
        <v>3.56E-2</v>
      </c>
      <c r="CH67">
        <v>8.063493204801226</v>
      </c>
      <c r="CI67">
        <v>799.5175666874743</v>
      </c>
      <c r="CJ67">
        <v>0.42399999999999999</v>
      </c>
      <c r="CK67">
        <v>3.2099999999999997E-2</v>
      </c>
      <c r="CL67">
        <v>13.003400000000056</v>
      </c>
    </row>
    <row r="68" spans="1:90" x14ac:dyDescent="0.3">
      <c r="A68" s="2">
        <v>45681</v>
      </c>
      <c r="B68" t="s">
        <v>280</v>
      </c>
      <c r="C68">
        <v>1</v>
      </c>
      <c r="D68">
        <v>1.5699999999999999E-2</v>
      </c>
      <c r="E68">
        <v>6.9969948443548491</v>
      </c>
      <c r="F68">
        <v>700.11991949387198</v>
      </c>
      <c r="G68">
        <v>0.42399999999999999</v>
      </c>
      <c r="H68">
        <v>1.5599999999999999E-2</v>
      </c>
      <c r="I68">
        <v>13.200499999999977</v>
      </c>
      <c r="J68" s="2">
        <v>45681</v>
      </c>
      <c r="K68" t="s">
        <v>480</v>
      </c>
      <c r="L68">
        <v>1</v>
      </c>
      <c r="M68">
        <v>3.4200000000000001E-2</v>
      </c>
      <c r="N68">
        <v>7.9984577238609287</v>
      </c>
      <c r="O68">
        <v>793.45625986383857</v>
      </c>
      <c r="P68">
        <v>0.42399999999999999</v>
      </c>
      <c r="Q68">
        <v>3.1099999999999999E-2</v>
      </c>
      <c r="R68">
        <v>13.201400000000007</v>
      </c>
      <c r="S68" s="2">
        <v>45681</v>
      </c>
      <c r="T68" t="s">
        <v>876</v>
      </c>
      <c r="U68">
        <v>3</v>
      </c>
      <c r="V68">
        <v>3.3300000000000003E-2</v>
      </c>
      <c r="W68">
        <v>7.9965925584111002</v>
      </c>
      <c r="X68">
        <v>793.28242644391457</v>
      </c>
      <c r="Y68">
        <v>0.42399999999999999</v>
      </c>
      <c r="Z68">
        <v>3.1099999999999999E-2</v>
      </c>
      <c r="AA68">
        <v>13.20010000000002</v>
      </c>
      <c r="AB68" s="2">
        <v>45681</v>
      </c>
      <c r="AC68" t="s">
        <v>1076</v>
      </c>
      <c r="AD68">
        <v>3</v>
      </c>
      <c r="AE68">
        <v>3.4799999999999998E-2</v>
      </c>
      <c r="AF68">
        <v>7.9962426371538804</v>
      </c>
      <c r="AG68">
        <v>793.24981378274163</v>
      </c>
      <c r="AH68">
        <v>0.42399999999999999</v>
      </c>
      <c r="AI68">
        <v>3.1099999999999999E-2</v>
      </c>
      <c r="AJ68">
        <v>13.199899999999957</v>
      </c>
      <c r="AK68" s="2">
        <v>45681</v>
      </c>
      <c r="AL68" t="s">
        <v>1376</v>
      </c>
      <c r="AM68">
        <v>4</v>
      </c>
      <c r="AN68">
        <v>3.4299999999999997E-2</v>
      </c>
      <c r="AO68">
        <v>7.9943876084728016</v>
      </c>
      <c r="AP68">
        <v>793.07692510966524</v>
      </c>
      <c r="AQ68">
        <v>0.42399999999999999</v>
      </c>
      <c r="AR68">
        <v>3.1099999999999999E-2</v>
      </c>
      <c r="AS68">
        <v>13.200499999999977</v>
      </c>
      <c r="AT68" s="2">
        <v>45681</v>
      </c>
      <c r="AU68" t="s">
        <v>1576</v>
      </c>
      <c r="AV68">
        <v>5</v>
      </c>
      <c r="AW68">
        <v>3.44E-2</v>
      </c>
      <c r="AX68">
        <v>7.9932222855374082</v>
      </c>
      <c r="AY68">
        <v>792.96831701208646</v>
      </c>
      <c r="AZ68">
        <v>0.42399999999999999</v>
      </c>
      <c r="BA68">
        <v>3.1E-2</v>
      </c>
      <c r="BB68">
        <v>13.202699999999993</v>
      </c>
      <c r="BC68" s="2">
        <v>45681</v>
      </c>
      <c r="BD68" t="s">
        <v>1774</v>
      </c>
      <c r="BE68">
        <v>6</v>
      </c>
      <c r="BF68">
        <v>3.49E-2</v>
      </c>
      <c r="BG68">
        <v>7.992328628004489</v>
      </c>
      <c r="BH68">
        <v>792.88502813001844</v>
      </c>
      <c r="BI68">
        <v>0.42399999999999999</v>
      </c>
      <c r="BJ68">
        <v>3.1E-2</v>
      </c>
      <c r="BK68">
        <v>13.202999999999975</v>
      </c>
      <c r="BL68" s="2">
        <v>45681</v>
      </c>
      <c r="BM68" t="s">
        <v>1974</v>
      </c>
      <c r="BN68">
        <v>6</v>
      </c>
      <c r="BO68">
        <v>3.5099999999999999E-2</v>
      </c>
      <c r="BP68">
        <v>7.9917058249325468</v>
      </c>
      <c r="BQ68">
        <v>792.82698288371341</v>
      </c>
      <c r="BR68">
        <v>0.42399999999999999</v>
      </c>
      <c r="BS68">
        <v>3.1E-2</v>
      </c>
      <c r="BT68">
        <v>13.201099999999997</v>
      </c>
      <c r="BU68" s="2">
        <v>45681</v>
      </c>
      <c r="BV68" t="s">
        <v>2056</v>
      </c>
      <c r="BW68">
        <v>7</v>
      </c>
      <c r="BX68">
        <v>4.1500000000000002E-2</v>
      </c>
      <c r="BY68">
        <v>8.6734615056248909</v>
      </c>
      <c r="BZ68">
        <v>856.3666123242399</v>
      </c>
      <c r="CA68">
        <v>0.42399999999999999</v>
      </c>
      <c r="CB68">
        <v>4.1599999999999998E-2</v>
      </c>
      <c r="CC68">
        <v>13.601099999999974</v>
      </c>
      <c r="CD68" s="2">
        <v>45681</v>
      </c>
      <c r="CE68" t="s">
        <v>2170</v>
      </c>
      <c r="CF68">
        <v>7</v>
      </c>
      <c r="CG68">
        <v>3.49E-2</v>
      </c>
      <c r="CH68">
        <v>7.9908478488256263</v>
      </c>
      <c r="CI68">
        <v>792.7470195105484</v>
      </c>
      <c r="CJ68">
        <v>0.42399999999999999</v>
      </c>
      <c r="CK68">
        <v>3.1E-2</v>
      </c>
      <c r="CL68">
        <v>13.201400000000035</v>
      </c>
    </row>
    <row r="69" spans="1:90" x14ac:dyDescent="0.3">
      <c r="A69" s="2">
        <v>45681</v>
      </c>
      <c r="B69" t="s">
        <v>281</v>
      </c>
      <c r="C69">
        <v>1</v>
      </c>
      <c r="D69">
        <v>1.4800000000000001E-2</v>
      </c>
      <c r="E69">
        <v>6.9593075545580492</v>
      </c>
      <c r="F69">
        <v>696.6074640848102</v>
      </c>
      <c r="G69">
        <v>0.42399999999999999</v>
      </c>
      <c r="H69">
        <v>1.4999999999999999E-2</v>
      </c>
      <c r="I69">
        <v>13.399799999999999</v>
      </c>
      <c r="J69" s="2">
        <v>45681</v>
      </c>
      <c r="K69" t="s">
        <v>481</v>
      </c>
      <c r="L69">
        <v>1</v>
      </c>
      <c r="M69">
        <v>3.2399999999999998E-2</v>
      </c>
      <c r="N69">
        <v>7.9234723961872913</v>
      </c>
      <c r="O69">
        <v>786.46762732465561</v>
      </c>
      <c r="P69">
        <v>0.42399999999999999</v>
      </c>
      <c r="Q69">
        <v>0.03</v>
      </c>
      <c r="R69">
        <v>13.399700000000024</v>
      </c>
      <c r="S69" s="2">
        <v>45681</v>
      </c>
      <c r="T69" t="s">
        <v>877</v>
      </c>
      <c r="U69">
        <v>3</v>
      </c>
      <c r="V69">
        <v>3.2399999999999998E-2</v>
      </c>
      <c r="W69">
        <v>7.9176234806190768</v>
      </c>
      <c r="X69">
        <v>785.92250839369797</v>
      </c>
      <c r="Y69">
        <v>0.42399999999999999</v>
      </c>
      <c r="Z69">
        <v>2.9899999999999999E-2</v>
      </c>
      <c r="AA69">
        <v>13.408600000000035</v>
      </c>
      <c r="AB69" s="2">
        <v>45681</v>
      </c>
      <c r="AC69" t="s">
        <v>1077</v>
      </c>
      <c r="AD69">
        <v>3</v>
      </c>
      <c r="AE69">
        <v>3.2899999999999999E-2</v>
      </c>
      <c r="AF69">
        <v>7.9202055183548401</v>
      </c>
      <c r="AG69">
        <v>786.16315431067108</v>
      </c>
      <c r="AH69">
        <v>0.42399999999999999</v>
      </c>
      <c r="AI69">
        <v>2.9899999999999999E-2</v>
      </c>
      <c r="AJ69">
        <v>13.400699999999972</v>
      </c>
      <c r="AK69" s="2">
        <v>45681</v>
      </c>
      <c r="AL69" t="s">
        <v>1377</v>
      </c>
      <c r="AM69">
        <v>4</v>
      </c>
      <c r="AN69">
        <v>3.2500000000000001E-2</v>
      </c>
      <c r="AO69">
        <v>7.9183180520137642</v>
      </c>
      <c r="AP69">
        <v>785.98724244768289</v>
      </c>
      <c r="AQ69">
        <v>0.42399999999999999</v>
      </c>
      <c r="AR69">
        <v>2.9899999999999999E-2</v>
      </c>
      <c r="AS69">
        <v>13.401299999999992</v>
      </c>
      <c r="AT69" s="2">
        <v>45681</v>
      </c>
      <c r="AU69" t="s">
        <v>1577</v>
      </c>
      <c r="AV69">
        <v>5</v>
      </c>
      <c r="AW69">
        <v>3.3599999999999998E-2</v>
      </c>
      <c r="AX69">
        <v>7.9175269785805868</v>
      </c>
      <c r="AY69">
        <v>785.91351440371068</v>
      </c>
      <c r="AZ69">
        <v>0.42399999999999999</v>
      </c>
      <c r="BA69">
        <v>2.9899999999999999E-2</v>
      </c>
      <c r="BB69">
        <v>13.4024</v>
      </c>
      <c r="BC69" s="2">
        <v>45681</v>
      </c>
      <c r="BD69" t="s">
        <v>1775</v>
      </c>
      <c r="BE69">
        <v>6</v>
      </c>
      <c r="BF69">
        <v>3.4000000000000002E-2</v>
      </c>
      <c r="BG69">
        <v>7.9165668238446756</v>
      </c>
      <c r="BH69">
        <v>785.82402798232374</v>
      </c>
      <c r="BI69">
        <v>0.42399999999999999</v>
      </c>
      <c r="BJ69">
        <v>2.98E-2</v>
      </c>
      <c r="BK69">
        <v>13.402799999999957</v>
      </c>
      <c r="BL69" s="2">
        <v>45681</v>
      </c>
      <c r="BM69" t="s">
        <v>1975</v>
      </c>
      <c r="BN69">
        <v>6</v>
      </c>
      <c r="BO69">
        <v>3.4200000000000001E-2</v>
      </c>
      <c r="BP69">
        <v>7.9156626240722581</v>
      </c>
      <c r="BQ69">
        <v>785.73975656353446</v>
      </c>
      <c r="BR69">
        <v>0.42399999999999999</v>
      </c>
      <c r="BS69">
        <v>2.98E-2</v>
      </c>
      <c r="BT69">
        <v>13.40160000000003</v>
      </c>
      <c r="BU69" s="2">
        <v>45681</v>
      </c>
      <c r="BV69" t="s">
        <v>2057</v>
      </c>
      <c r="BW69">
        <v>7</v>
      </c>
      <c r="BX69">
        <v>4.1500000000000002E-2</v>
      </c>
      <c r="BY69">
        <v>8.654448576688381</v>
      </c>
      <c r="BZ69">
        <v>854.59460734735717</v>
      </c>
      <c r="CA69">
        <v>0.42399999999999999</v>
      </c>
      <c r="CB69">
        <v>4.1300000000000003E-2</v>
      </c>
      <c r="CC69">
        <v>13.801299999999969</v>
      </c>
      <c r="CD69" s="2">
        <v>45681</v>
      </c>
      <c r="CE69" t="s">
        <v>2171</v>
      </c>
      <c r="CF69">
        <v>7</v>
      </c>
      <c r="CG69">
        <v>3.3500000000000002E-2</v>
      </c>
      <c r="CH69">
        <v>7.9155438211425171</v>
      </c>
      <c r="CI69">
        <v>785.72868413048263</v>
      </c>
      <c r="CJ69">
        <v>0.42399999999999999</v>
      </c>
      <c r="CK69">
        <v>2.98E-2</v>
      </c>
      <c r="CL69">
        <v>13.399900000000002</v>
      </c>
    </row>
    <row r="70" spans="1:90" x14ac:dyDescent="0.3">
      <c r="A70" s="2">
        <v>45681</v>
      </c>
      <c r="B70" t="s">
        <v>282</v>
      </c>
      <c r="C70">
        <v>1</v>
      </c>
      <c r="D70">
        <v>1.44E-2</v>
      </c>
      <c r="E70">
        <v>6.9201719232423811</v>
      </c>
      <c r="F70">
        <v>692.96002324618996</v>
      </c>
      <c r="G70">
        <v>0.42399999999999999</v>
      </c>
      <c r="H70">
        <v>1.44E-2</v>
      </c>
      <c r="I70">
        <v>13.600699999999989</v>
      </c>
      <c r="J70" s="2">
        <v>45681</v>
      </c>
      <c r="K70" t="s">
        <v>482</v>
      </c>
      <c r="L70">
        <v>1</v>
      </c>
      <c r="M70">
        <v>3.0599999999999999E-2</v>
      </c>
      <c r="N70">
        <v>7.8447380859595013</v>
      </c>
      <c r="O70">
        <v>779.12958961142556</v>
      </c>
      <c r="P70">
        <v>0.42399999999999999</v>
      </c>
      <c r="Q70">
        <v>2.87E-2</v>
      </c>
      <c r="R70">
        <v>13.601799999999997</v>
      </c>
      <c r="S70" s="2">
        <v>45681</v>
      </c>
      <c r="T70" t="s">
        <v>878</v>
      </c>
      <c r="U70">
        <v>3</v>
      </c>
      <c r="V70">
        <v>3.1800000000000002E-2</v>
      </c>
      <c r="W70">
        <v>7.8432102721736383</v>
      </c>
      <c r="X70">
        <v>778.98719736658313</v>
      </c>
      <c r="Y70">
        <v>0.42399999999999999</v>
      </c>
      <c r="Z70">
        <v>2.87E-2</v>
      </c>
      <c r="AA70">
        <v>13.599300000000028</v>
      </c>
      <c r="AB70" s="2">
        <v>45681</v>
      </c>
      <c r="AC70" t="s">
        <v>1078</v>
      </c>
      <c r="AD70">
        <v>3</v>
      </c>
      <c r="AE70">
        <v>3.1600000000000003E-2</v>
      </c>
      <c r="AF70">
        <v>7.8414862105447964</v>
      </c>
      <c r="AG70">
        <v>778.82651482277504</v>
      </c>
      <c r="AH70">
        <v>0.42399999999999999</v>
      </c>
      <c r="AI70">
        <v>2.87E-2</v>
      </c>
      <c r="AJ70">
        <v>13.602499999999964</v>
      </c>
      <c r="AK70" s="2">
        <v>45681</v>
      </c>
      <c r="AL70" t="s">
        <v>1378</v>
      </c>
      <c r="AM70">
        <v>4</v>
      </c>
      <c r="AN70">
        <v>3.1E-2</v>
      </c>
      <c r="AO70">
        <v>7.8398249968822009</v>
      </c>
      <c r="AP70">
        <v>778.67168970942112</v>
      </c>
      <c r="AQ70">
        <v>0.42399999999999999</v>
      </c>
      <c r="AR70">
        <v>2.87E-2</v>
      </c>
      <c r="AS70">
        <v>13.602399999999989</v>
      </c>
      <c r="AT70" s="2">
        <v>45681</v>
      </c>
      <c r="AU70" t="s">
        <v>1578</v>
      </c>
      <c r="AV70">
        <v>5</v>
      </c>
      <c r="AW70">
        <v>3.1800000000000002E-2</v>
      </c>
      <c r="AX70">
        <v>7.8397418753784578</v>
      </c>
      <c r="AY70">
        <v>778.6639427852723</v>
      </c>
      <c r="AZ70">
        <v>0.42399999999999999</v>
      </c>
      <c r="BA70">
        <v>2.87E-2</v>
      </c>
      <c r="BB70">
        <v>13.601699999999994</v>
      </c>
      <c r="BC70" s="2">
        <v>45681</v>
      </c>
      <c r="BD70" t="s">
        <v>1776</v>
      </c>
      <c r="BE70">
        <v>6</v>
      </c>
      <c r="BF70">
        <v>3.2300000000000002E-2</v>
      </c>
      <c r="BG70">
        <v>7.8388328099570392</v>
      </c>
      <c r="BH70">
        <v>778.57921788799604</v>
      </c>
      <c r="BI70">
        <v>0.42399999999999999</v>
      </c>
      <c r="BJ70">
        <v>2.86E-2</v>
      </c>
      <c r="BK70">
        <v>13.601900000000001</v>
      </c>
      <c r="BL70" s="2">
        <v>45681</v>
      </c>
      <c r="BM70" t="s">
        <v>1976</v>
      </c>
      <c r="BN70">
        <v>6</v>
      </c>
      <c r="BO70">
        <v>3.2300000000000002E-2</v>
      </c>
      <c r="BP70">
        <v>7.8382306858933459</v>
      </c>
      <c r="BQ70">
        <v>778.52309992525988</v>
      </c>
      <c r="BR70">
        <v>0.42399999999999999</v>
      </c>
      <c r="BS70">
        <v>2.86E-2</v>
      </c>
      <c r="BT70">
        <v>13.599799999999959</v>
      </c>
      <c r="BU70" s="2">
        <v>45681</v>
      </c>
      <c r="BV70" t="s">
        <v>2058</v>
      </c>
      <c r="BW70">
        <v>7</v>
      </c>
      <c r="BX70">
        <v>4.1000000000000002E-2</v>
      </c>
      <c r="BY70">
        <v>8.6303984846250827</v>
      </c>
      <c r="BZ70">
        <v>852.35313876705777</v>
      </c>
      <c r="CA70">
        <v>0.42399999999999999</v>
      </c>
      <c r="CB70">
        <v>4.0899999999999999E-2</v>
      </c>
      <c r="CC70">
        <v>14.000400000000013</v>
      </c>
      <c r="CD70" s="2">
        <v>45681</v>
      </c>
      <c r="CE70" t="s">
        <v>2172</v>
      </c>
      <c r="CF70">
        <v>7</v>
      </c>
      <c r="CG70">
        <v>3.2300000000000002E-2</v>
      </c>
      <c r="CH70">
        <v>7.8366481335562401</v>
      </c>
      <c r="CI70">
        <v>778.37560604744158</v>
      </c>
      <c r="CJ70">
        <v>0.42399999999999999</v>
      </c>
      <c r="CK70">
        <v>2.86E-2</v>
      </c>
      <c r="CL70">
        <v>13.601800000000026</v>
      </c>
    </row>
    <row r="71" spans="1:90" x14ac:dyDescent="0.3">
      <c r="A71" s="2">
        <v>45681</v>
      </c>
      <c r="B71" t="s">
        <v>283</v>
      </c>
      <c r="C71">
        <v>1</v>
      </c>
      <c r="D71">
        <v>1.29E-2</v>
      </c>
      <c r="E71">
        <v>6.880413894325522</v>
      </c>
      <c r="F71">
        <v>689.25457495113869</v>
      </c>
      <c r="G71">
        <v>0.42399999999999999</v>
      </c>
      <c r="H71">
        <v>1.37E-2</v>
      </c>
      <c r="I71">
        <v>13.799699999999973</v>
      </c>
      <c r="J71" s="2">
        <v>45681</v>
      </c>
      <c r="K71" t="s">
        <v>483</v>
      </c>
      <c r="L71">
        <v>1</v>
      </c>
      <c r="M71">
        <v>2.9499999999999998E-2</v>
      </c>
      <c r="N71">
        <v>7.7647443835823209</v>
      </c>
      <c r="O71">
        <v>771.6741765498723</v>
      </c>
      <c r="P71">
        <v>0.42399999999999999</v>
      </c>
      <c r="Q71">
        <v>2.75E-2</v>
      </c>
      <c r="R71">
        <v>13.801999999999992</v>
      </c>
      <c r="S71" s="2">
        <v>45681</v>
      </c>
      <c r="T71" t="s">
        <v>879</v>
      </c>
      <c r="U71">
        <v>3</v>
      </c>
      <c r="V71">
        <v>0.03</v>
      </c>
      <c r="W71">
        <v>7.7629558521042359</v>
      </c>
      <c r="X71">
        <v>771.50748541611483</v>
      </c>
      <c r="Y71">
        <v>0.42399999999999999</v>
      </c>
      <c r="Z71">
        <v>2.75E-2</v>
      </c>
      <c r="AA71">
        <v>13.800100000000043</v>
      </c>
      <c r="AB71" s="2">
        <v>45681</v>
      </c>
      <c r="AC71" t="s">
        <v>1079</v>
      </c>
      <c r="AD71">
        <v>3</v>
      </c>
      <c r="AE71">
        <v>2.9700000000000001E-2</v>
      </c>
      <c r="AF71">
        <v>7.7627725793252527</v>
      </c>
      <c r="AG71">
        <v>771.49040439311352</v>
      </c>
      <c r="AH71">
        <v>0.42399999999999999</v>
      </c>
      <c r="AI71">
        <v>2.75E-2</v>
      </c>
      <c r="AJ71">
        <v>13.799399999999991</v>
      </c>
      <c r="AK71" s="2">
        <v>45681</v>
      </c>
      <c r="AL71" t="s">
        <v>1379</v>
      </c>
      <c r="AM71">
        <v>4</v>
      </c>
      <c r="AN71">
        <v>2.9700000000000001E-2</v>
      </c>
      <c r="AO71">
        <v>7.7608392947894309</v>
      </c>
      <c r="AP71">
        <v>771.31022227437495</v>
      </c>
      <c r="AQ71">
        <v>0.42399999999999999</v>
      </c>
      <c r="AR71">
        <v>2.7400000000000001E-2</v>
      </c>
      <c r="AS71">
        <v>13.79989999999998</v>
      </c>
      <c r="AT71" s="2">
        <v>45681</v>
      </c>
      <c r="AU71" t="s">
        <v>1579</v>
      </c>
      <c r="AV71">
        <v>5</v>
      </c>
      <c r="AW71">
        <v>3.09E-2</v>
      </c>
      <c r="AX71">
        <v>7.7589668308661004</v>
      </c>
      <c r="AY71">
        <v>771.13570863672055</v>
      </c>
      <c r="AZ71">
        <v>0.42399999999999999</v>
      </c>
      <c r="BA71">
        <v>2.7400000000000001E-2</v>
      </c>
      <c r="BB71">
        <v>13.80359999999996</v>
      </c>
      <c r="BC71" s="2">
        <v>45681</v>
      </c>
      <c r="BD71" t="s">
        <v>1777</v>
      </c>
      <c r="BE71">
        <v>6</v>
      </c>
      <c r="BF71">
        <v>3.1199999999999999E-2</v>
      </c>
      <c r="BG71">
        <v>7.7590390046595932</v>
      </c>
      <c r="BH71">
        <v>771.1424352342741</v>
      </c>
      <c r="BI71">
        <v>0.42399999999999999</v>
      </c>
      <c r="BJ71">
        <v>2.7400000000000001E-2</v>
      </c>
      <c r="BK71">
        <v>13.801299999999969</v>
      </c>
      <c r="BL71" s="2">
        <v>45681</v>
      </c>
      <c r="BM71" t="s">
        <v>1977</v>
      </c>
      <c r="BN71">
        <v>6</v>
      </c>
      <c r="BO71">
        <v>3.0499999999999999E-2</v>
      </c>
      <c r="BP71">
        <v>7.7580893921631811</v>
      </c>
      <c r="BQ71">
        <v>771.05393134960855</v>
      </c>
      <c r="BR71">
        <v>0.42399999999999999</v>
      </c>
      <c r="BS71">
        <v>2.7400000000000001E-2</v>
      </c>
      <c r="BT71">
        <v>13.800100000000043</v>
      </c>
      <c r="BU71" s="2">
        <v>45681</v>
      </c>
      <c r="BV71" t="s">
        <v>2059</v>
      </c>
      <c r="BW71">
        <v>7</v>
      </c>
      <c r="BX71">
        <v>4.1000000000000002E-2</v>
      </c>
      <c r="BY71">
        <v>8.6010026661942725</v>
      </c>
      <c r="BZ71">
        <v>849.61344848930617</v>
      </c>
      <c r="CA71">
        <v>0.42399999999999999</v>
      </c>
      <c r="CB71">
        <v>4.0500000000000001E-2</v>
      </c>
      <c r="CC71">
        <v>14.20169999999996</v>
      </c>
      <c r="CD71" s="2">
        <v>45681</v>
      </c>
      <c r="CE71" t="s">
        <v>2173</v>
      </c>
      <c r="CF71">
        <v>7</v>
      </c>
      <c r="CG71">
        <v>3.0599999999999999E-2</v>
      </c>
      <c r="CH71">
        <v>7.7563337038158418</v>
      </c>
      <c r="CI71">
        <v>770.89030119563643</v>
      </c>
      <c r="CJ71">
        <v>0.42399999999999999</v>
      </c>
      <c r="CK71">
        <v>2.7400000000000001E-2</v>
      </c>
      <c r="CL71">
        <v>13.802400000000034</v>
      </c>
    </row>
    <row r="72" spans="1:90" x14ac:dyDescent="0.3">
      <c r="A72" s="2">
        <v>45681</v>
      </c>
      <c r="B72" t="s">
        <v>284</v>
      </c>
      <c r="C72">
        <v>1</v>
      </c>
      <c r="D72">
        <v>1.2E-2</v>
      </c>
      <c r="E72">
        <v>6.8396794918427517</v>
      </c>
      <c r="F72">
        <v>685.45812863974447</v>
      </c>
      <c r="G72">
        <v>0.42399999999999999</v>
      </c>
      <c r="H72">
        <v>1.3100000000000001E-2</v>
      </c>
      <c r="I72">
        <v>13.999599999999987</v>
      </c>
      <c r="J72" s="2">
        <v>45681</v>
      </c>
      <c r="K72" t="s">
        <v>484</v>
      </c>
      <c r="L72">
        <v>1</v>
      </c>
      <c r="M72">
        <v>2.7699999999999999E-2</v>
      </c>
      <c r="N72">
        <v>7.6835991442752514</v>
      </c>
      <c r="O72">
        <v>764.11144024645341</v>
      </c>
      <c r="P72">
        <v>0.42399999999999999</v>
      </c>
      <c r="Q72">
        <v>2.6200000000000001E-2</v>
      </c>
      <c r="R72">
        <v>14.00109999999998</v>
      </c>
      <c r="S72" s="2">
        <v>45681</v>
      </c>
      <c r="T72" t="s">
        <v>880</v>
      </c>
      <c r="U72">
        <v>3</v>
      </c>
      <c r="V72">
        <v>2.9000000000000001E-2</v>
      </c>
      <c r="W72">
        <v>7.681467990013445</v>
      </c>
      <c r="X72">
        <v>763.91281666925306</v>
      </c>
      <c r="Y72">
        <v>0.42399999999999999</v>
      </c>
      <c r="Z72">
        <v>2.6200000000000001E-2</v>
      </c>
      <c r="AA72">
        <v>13.999900000000025</v>
      </c>
      <c r="AB72" s="2">
        <v>45681</v>
      </c>
      <c r="AC72" t="s">
        <v>1080</v>
      </c>
      <c r="AD72">
        <v>3</v>
      </c>
      <c r="AE72">
        <v>2.87E-2</v>
      </c>
      <c r="AF72">
        <v>7.6809814251134902</v>
      </c>
      <c r="AG72">
        <v>763.8674688205773</v>
      </c>
      <c r="AH72">
        <v>0.42399999999999999</v>
      </c>
      <c r="AI72">
        <v>2.6200000000000001E-2</v>
      </c>
      <c r="AJ72">
        <v>13.999899999999968</v>
      </c>
      <c r="AK72" s="2">
        <v>45681</v>
      </c>
      <c r="AL72" t="s">
        <v>1380</v>
      </c>
      <c r="AM72">
        <v>4</v>
      </c>
      <c r="AN72">
        <v>2.87E-2</v>
      </c>
      <c r="AO72">
        <v>7.6788624349741843</v>
      </c>
      <c r="AP72">
        <v>763.66997893959399</v>
      </c>
      <c r="AQ72">
        <v>0.42399999999999999</v>
      </c>
      <c r="AR72">
        <v>2.6200000000000001E-2</v>
      </c>
      <c r="AS72">
        <v>14.00079999999997</v>
      </c>
      <c r="AT72" s="2">
        <v>45681</v>
      </c>
      <c r="AU72" t="s">
        <v>1580</v>
      </c>
      <c r="AV72">
        <v>5</v>
      </c>
      <c r="AW72">
        <v>2.9100000000000001E-2</v>
      </c>
      <c r="AX72">
        <v>7.673795267011899</v>
      </c>
      <c r="AY72">
        <v>763.19771888550895</v>
      </c>
      <c r="AZ72">
        <v>0.42399999999999999</v>
      </c>
      <c r="BA72">
        <v>2.6100000000000002E-2</v>
      </c>
      <c r="BB72">
        <v>14.012200000000007</v>
      </c>
      <c r="BC72" s="2">
        <v>45681</v>
      </c>
      <c r="BD72" t="s">
        <v>1778</v>
      </c>
      <c r="BE72">
        <v>6</v>
      </c>
      <c r="BF72">
        <v>2.9399999999999999E-2</v>
      </c>
      <c r="BG72">
        <v>7.6769895655801053</v>
      </c>
      <c r="BH72">
        <v>763.49542751206582</v>
      </c>
      <c r="BI72">
        <v>0.42399999999999999</v>
      </c>
      <c r="BJ72">
        <v>2.6100000000000002E-2</v>
      </c>
      <c r="BK72">
        <v>14.002299999999991</v>
      </c>
      <c r="BL72" s="2">
        <v>45681</v>
      </c>
      <c r="BM72" t="s">
        <v>1978</v>
      </c>
      <c r="BN72">
        <v>6</v>
      </c>
      <c r="BO72">
        <v>2.9399999999999999E-2</v>
      </c>
      <c r="BP72">
        <v>7.6757026014197223</v>
      </c>
      <c r="BQ72">
        <v>763.37548245231812</v>
      </c>
      <c r="BR72">
        <v>0.42399999999999999</v>
      </c>
      <c r="BS72">
        <v>2.6100000000000002E-2</v>
      </c>
      <c r="BT72">
        <v>14.001899999999978</v>
      </c>
      <c r="BU72" s="2">
        <v>45681</v>
      </c>
      <c r="BV72" t="s">
        <v>2060</v>
      </c>
      <c r="BW72">
        <v>7</v>
      </c>
      <c r="BX72">
        <v>4.0899999999999999E-2</v>
      </c>
      <c r="BY72">
        <v>8.5669982672193861</v>
      </c>
      <c r="BZ72">
        <v>846.44423850484679</v>
      </c>
      <c r="CA72">
        <v>0.42399999999999999</v>
      </c>
      <c r="CB72">
        <v>0.04</v>
      </c>
      <c r="CC72">
        <v>14.400700000000029</v>
      </c>
      <c r="CD72" s="2">
        <v>45681</v>
      </c>
      <c r="CE72" t="s">
        <v>2174</v>
      </c>
      <c r="CF72">
        <v>7</v>
      </c>
      <c r="CG72">
        <v>2.9600000000000001E-2</v>
      </c>
      <c r="CH72">
        <v>7.6750757436402797</v>
      </c>
      <c r="CI72">
        <v>763.31705930727412</v>
      </c>
      <c r="CJ72">
        <v>0.42399999999999999</v>
      </c>
      <c r="CK72">
        <v>2.6100000000000002E-2</v>
      </c>
      <c r="CL72">
        <v>14.00139999999999</v>
      </c>
    </row>
    <row r="73" spans="1:90" x14ac:dyDescent="0.3">
      <c r="A73" s="2">
        <v>45681</v>
      </c>
      <c r="B73" t="s">
        <v>285</v>
      </c>
      <c r="C73">
        <v>1</v>
      </c>
      <c r="D73">
        <v>1.14E-2</v>
      </c>
      <c r="E73">
        <v>6.7983178261097859</v>
      </c>
      <c r="F73">
        <v>681.60322139343202</v>
      </c>
      <c r="G73">
        <v>0.42399999999999999</v>
      </c>
      <c r="H73">
        <v>1.2500000000000001E-2</v>
      </c>
      <c r="I73">
        <v>14.199299999999994</v>
      </c>
      <c r="J73" s="2">
        <v>45681</v>
      </c>
      <c r="K73" t="s">
        <v>485</v>
      </c>
      <c r="L73">
        <v>1</v>
      </c>
      <c r="M73">
        <v>2.6100000000000002E-2</v>
      </c>
      <c r="N73">
        <v>7.6005210259031051</v>
      </c>
      <c r="O73">
        <v>756.36855961416938</v>
      </c>
      <c r="P73">
        <v>0.42399999999999999</v>
      </c>
      <c r="Q73">
        <v>2.4899999999999999E-2</v>
      </c>
      <c r="R73">
        <v>14.201600000000013</v>
      </c>
      <c r="S73" s="2">
        <v>45681</v>
      </c>
      <c r="T73" t="s">
        <v>881</v>
      </c>
      <c r="U73">
        <v>3</v>
      </c>
      <c r="V73">
        <v>2.7300000000000001E-2</v>
      </c>
      <c r="W73">
        <v>7.597974669593337</v>
      </c>
      <c r="X73">
        <v>756.13123920609905</v>
      </c>
      <c r="Y73">
        <v>0.42399999999999999</v>
      </c>
      <c r="Z73">
        <v>2.4899999999999999E-2</v>
      </c>
      <c r="AA73">
        <v>14.201400000000035</v>
      </c>
      <c r="AB73" s="2">
        <v>45681</v>
      </c>
      <c r="AC73" t="s">
        <v>1081</v>
      </c>
      <c r="AD73">
        <v>3</v>
      </c>
      <c r="AE73">
        <v>2.7699999999999999E-2</v>
      </c>
      <c r="AF73">
        <v>7.5974001175406407</v>
      </c>
      <c r="AG73">
        <v>756.07769095478773</v>
      </c>
      <c r="AH73">
        <v>0.42399999999999999</v>
      </c>
      <c r="AI73">
        <v>2.4899999999999999E-2</v>
      </c>
      <c r="AJ73">
        <v>14.201599999999985</v>
      </c>
      <c r="AK73" s="2">
        <v>45681</v>
      </c>
      <c r="AL73" t="s">
        <v>1381</v>
      </c>
      <c r="AM73">
        <v>4</v>
      </c>
      <c r="AN73">
        <v>2.7799999999999998E-2</v>
      </c>
      <c r="AO73">
        <v>7.5958901444677789</v>
      </c>
      <c r="AP73">
        <v>755.93696146439697</v>
      </c>
      <c r="AQ73">
        <v>0.42399999999999999</v>
      </c>
      <c r="AR73">
        <v>2.4899999999999999E-2</v>
      </c>
      <c r="AS73">
        <v>14.20089999999999</v>
      </c>
      <c r="AT73" s="2">
        <v>45681</v>
      </c>
      <c r="AU73" t="s">
        <v>1581</v>
      </c>
      <c r="AV73">
        <v>5</v>
      </c>
      <c r="AW73">
        <v>2.7799999999999998E-2</v>
      </c>
      <c r="AX73">
        <v>7.5954575071775681</v>
      </c>
      <c r="AY73">
        <v>755.89663966894932</v>
      </c>
      <c r="AZ73">
        <v>0.42399999999999999</v>
      </c>
      <c r="BA73">
        <v>2.4899999999999999E-2</v>
      </c>
      <c r="BB73">
        <v>14.200999999999965</v>
      </c>
      <c r="BC73" s="2">
        <v>45681</v>
      </c>
      <c r="BD73" t="s">
        <v>1779</v>
      </c>
      <c r="BE73">
        <v>6</v>
      </c>
      <c r="BF73">
        <v>2.7900000000000001E-2</v>
      </c>
      <c r="BG73">
        <v>7.5939503723999584</v>
      </c>
      <c r="BH73">
        <v>755.75617470767611</v>
      </c>
      <c r="BI73">
        <v>0.42399999999999999</v>
      </c>
      <c r="BJ73">
        <v>2.4799999999999999E-2</v>
      </c>
      <c r="BK73">
        <v>14.202499999999986</v>
      </c>
      <c r="BL73" s="2">
        <v>45681</v>
      </c>
      <c r="BM73" t="s">
        <v>1979</v>
      </c>
      <c r="BN73">
        <v>6</v>
      </c>
      <c r="BO73">
        <v>2.8299999999999999E-2</v>
      </c>
      <c r="BP73">
        <v>7.5928487083723066</v>
      </c>
      <c r="BQ73">
        <v>755.65349962029904</v>
      </c>
      <c r="BR73">
        <v>0.42399999999999999</v>
      </c>
      <c r="BS73">
        <v>2.4799999999999999E-2</v>
      </c>
      <c r="BT73">
        <v>14.201599999999985</v>
      </c>
      <c r="BU73" s="2">
        <v>45681</v>
      </c>
      <c r="BV73" t="s">
        <v>2061</v>
      </c>
      <c r="BW73">
        <v>7</v>
      </c>
      <c r="BX73">
        <v>4.0399999999999998E-2</v>
      </c>
      <c r="BY73">
        <v>8.5276538184674884</v>
      </c>
      <c r="BZ73">
        <v>842.77733588116996</v>
      </c>
      <c r="CA73">
        <v>0.42399999999999999</v>
      </c>
      <c r="CB73">
        <v>3.9300000000000002E-2</v>
      </c>
      <c r="CC73">
        <v>14.602499999999964</v>
      </c>
      <c r="CD73" s="2">
        <v>45681</v>
      </c>
      <c r="CE73" t="s">
        <v>2175</v>
      </c>
      <c r="CF73">
        <v>7</v>
      </c>
      <c r="CG73">
        <v>2.86E-2</v>
      </c>
      <c r="CH73">
        <v>7.5918885536363954</v>
      </c>
      <c r="CI73">
        <v>755.56401319891211</v>
      </c>
      <c r="CJ73">
        <v>0.42399999999999999</v>
      </c>
      <c r="CK73">
        <v>2.4799999999999999E-2</v>
      </c>
      <c r="CL73">
        <v>14.201900000000023</v>
      </c>
    </row>
    <row r="74" spans="1:90" x14ac:dyDescent="0.3">
      <c r="A74" s="2">
        <v>45681</v>
      </c>
      <c r="B74" t="s">
        <v>286</v>
      </c>
      <c r="C74">
        <v>1</v>
      </c>
      <c r="D74">
        <v>1.14E-2</v>
      </c>
      <c r="E74">
        <v>6.7563244369483808</v>
      </c>
      <c r="F74">
        <v>677.68943752358916</v>
      </c>
      <c r="G74">
        <v>0.42399999999999999</v>
      </c>
      <c r="H74">
        <v>1.18E-2</v>
      </c>
      <c r="I74">
        <v>14.399599999999992</v>
      </c>
      <c r="J74" s="2">
        <v>45681</v>
      </c>
      <c r="K74" t="s">
        <v>486</v>
      </c>
      <c r="L74">
        <v>1</v>
      </c>
      <c r="M74">
        <v>2.5000000000000001E-2</v>
      </c>
      <c r="N74">
        <v>7.5162642040608167</v>
      </c>
      <c r="O74">
        <v>748.51582381846811</v>
      </c>
      <c r="P74">
        <v>0.42399999999999999</v>
      </c>
      <c r="Q74">
        <v>2.3599999999999999E-2</v>
      </c>
      <c r="R74">
        <v>14.402500000000003</v>
      </c>
      <c r="S74" s="2">
        <v>45681</v>
      </c>
      <c r="T74" t="s">
        <v>882</v>
      </c>
      <c r="U74">
        <v>3</v>
      </c>
      <c r="V74">
        <v>2.6100000000000002E-2</v>
      </c>
      <c r="W74">
        <v>7.5136310770105581</v>
      </c>
      <c r="X74">
        <v>748.27041637738398</v>
      </c>
      <c r="Y74">
        <v>0.42399999999999999</v>
      </c>
      <c r="Z74">
        <v>2.3599999999999999E-2</v>
      </c>
      <c r="AA74">
        <v>14.402500000000032</v>
      </c>
      <c r="AB74" s="2">
        <v>45681</v>
      </c>
      <c r="AC74" t="s">
        <v>1082</v>
      </c>
      <c r="AD74">
        <v>3</v>
      </c>
      <c r="AE74">
        <v>2.5899999999999999E-2</v>
      </c>
      <c r="AF74">
        <v>7.5140746620110193</v>
      </c>
      <c r="AG74">
        <v>748.31175849942701</v>
      </c>
      <c r="AH74">
        <v>0.42399999999999999</v>
      </c>
      <c r="AI74">
        <v>2.3599999999999999E-2</v>
      </c>
      <c r="AJ74">
        <v>14.400199999999984</v>
      </c>
      <c r="AK74" s="2">
        <v>45681</v>
      </c>
      <c r="AL74" t="s">
        <v>1382</v>
      </c>
      <c r="AM74">
        <v>4</v>
      </c>
      <c r="AN74">
        <v>2.6200000000000001E-2</v>
      </c>
      <c r="AO74">
        <v>7.5121198875254462</v>
      </c>
      <c r="AP74">
        <v>748.12957351737157</v>
      </c>
      <c r="AQ74">
        <v>0.42399999999999999</v>
      </c>
      <c r="AR74">
        <v>2.3599999999999999E-2</v>
      </c>
      <c r="AS74">
        <v>14.400599999999997</v>
      </c>
      <c r="AT74" s="2">
        <v>45681</v>
      </c>
      <c r="AU74" t="s">
        <v>1582</v>
      </c>
      <c r="AV74">
        <v>5</v>
      </c>
      <c r="AW74">
        <v>2.5999999999999999E-2</v>
      </c>
      <c r="AX74">
        <v>7.5110482283332951</v>
      </c>
      <c r="AY74">
        <v>748.0296948806631</v>
      </c>
      <c r="AZ74">
        <v>0.42399999999999999</v>
      </c>
      <c r="BA74">
        <v>2.35E-2</v>
      </c>
      <c r="BB74">
        <v>14.402199999999993</v>
      </c>
      <c r="BC74" s="2">
        <v>45681</v>
      </c>
      <c r="BD74" t="s">
        <v>1780</v>
      </c>
      <c r="BE74">
        <v>6</v>
      </c>
      <c r="BF74">
        <v>2.6700000000000002E-2</v>
      </c>
      <c r="BG74">
        <v>7.5105503102523397</v>
      </c>
      <c r="BH74">
        <v>747.98328891551807</v>
      </c>
      <c r="BI74">
        <v>0.42399999999999999</v>
      </c>
      <c r="BJ74">
        <v>2.35E-2</v>
      </c>
      <c r="BK74">
        <v>14.401299999999992</v>
      </c>
      <c r="BL74" s="2">
        <v>45681</v>
      </c>
      <c r="BM74" t="s">
        <v>1980</v>
      </c>
      <c r="BN74">
        <v>6</v>
      </c>
      <c r="BO74">
        <v>2.7099999999999999E-2</v>
      </c>
      <c r="BP74">
        <v>7.5090695310734761</v>
      </c>
      <c r="BQ74">
        <v>747.84528029604803</v>
      </c>
      <c r="BR74">
        <v>0.42399999999999999</v>
      </c>
      <c r="BS74">
        <v>2.35E-2</v>
      </c>
      <c r="BT74">
        <v>14.401200000000017</v>
      </c>
      <c r="BU74" s="2">
        <v>45681</v>
      </c>
      <c r="BV74" t="s">
        <v>2062</v>
      </c>
      <c r="BW74">
        <v>7</v>
      </c>
      <c r="BX74">
        <v>4.0300000000000002E-2</v>
      </c>
      <c r="BY74">
        <v>8.4842250628512144</v>
      </c>
      <c r="BZ74">
        <v>838.72977585773322</v>
      </c>
      <c r="CA74">
        <v>0.42399999999999999</v>
      </c>
      <c r="CB74">
        <v>3.8699999999999998E-2</v>
      </c>
      <c r="CC74">
        <v>14.801399999999944</v>
      </c>
      <c r="CD74" s="2">
        <v>45681</v>
      </c>
      <c r="CE74" t="s">
        <v>2176</v>
      </c>
      <c r="CF74">
        <v>7</v>
      </c>
      <c r="CG74">
        <v>2.6800000000000001E-2</v>
      </c>
      <c r="CH74">
        <v>7.5083457657847932</v>
      </c>
      <c r="CI74">
        <v>747.77782537114274</v>
      </c>
      <c r="CJ74">
        <v>0.42399999999999999</v>
      </c>
      <c r="CK74">
        <v>2.35E-2</v>
      </c>
      <c r="CL74">
        <v>14.400900000000092</v>
      </c>
    </row>
    <row r="75" spans="1:90" x14ac:dyDescent="0.3">
      <c r="A75" s="2">
        <v>45681</v>
      </c>
      <c r="B75" t="s">
        <v>287</v>
      </c>
      <c r="C75">
        <v>1</v>
      </c>
      <c r="D75">
        <v>9.7999999999999997E-3</v>
      </c>
      <c r="E75">
        <v>6.7143298313747248</v>
      </c>
      <c r="F75">
        <v>673.77554028412442</v>
      </c>
      <c r="G75">
        <v>0.42399999999999999</v>
      </c>
      <c r="H75">
        <v>1.12E-2</v>
      </c>
      <c r="I75">
        <v>14.598299999999995</v>
      </c>
      <c r="J75" s="2">
        <v>45681</v>
      </c>
      <c r="K75" t="s">
        <v>487</v>
      </c>
      <c r="L75">
        <v>1</v>
      </c>
      <c r="M75">
        <v>2.3300000000000001E-2</v>
      </c>
      <c r="N75">
        <v>7.432435559330492</v>
      </c>
      <c r="O75">
        <v>740.70299412960185</v>
      </c>
      <c r="P75">
        <v>0.42399999999999999</v>
      </c>
      <c r="Q75">
        <v>2.23E-2</v>
      </c>
      <c r="R75">
        <v>14.600800000000021</v>
      </c>
      <c r="S75" s="2">
        <v>45681</v>
      </c>
      <c r="T75" t="s">
        <v>883</v>
      </c>
      <c r="U75">
        <v>3</v>
      </c>
      <c r="V75">
        <v>2.4500000000000001E-2</v>
      </c>
      <c r="W75">
        <v>7.4298798771934758</v>
      </c>
      <c r="X75">
        <v>740.46480455443191</v>
      </c>
      <c r="Y75">
        <v>0.42399999999999999</v>
      </c>
      <c r="Z75">
        <v>2.23E-2</v>
      </c>
      <c r="AA75">
        <v>14.600600000000043</v>
      </c>
      <c r="AB75" s="2">
        <v>45681</v>
      </c>
      <c r="AC75" t="s">
        <v>1083</v>
      </c>
      <c r="AD75">
        <v>3</v>
      </c>
      <c r="AE75">
        <v>2.4400000000000002E-2</v>
      </c>
      <c r="AF75">
        <v>7.4293478995695228</v>
      </c>
      <c r="AG75">
        <v>740.41522423987954</v>
      </c>
      <c r="AH75">
        <v>0.42399999999999999</v>
      </c>
      <c r="AI75">
        <v>2.23E-2</v>
      </c>
      <c r="AJ75">
        <v>14.600599999999986</v>
      </c>
      <c r="AK75" s="2">
        <v>45681</v>
      </c>
      <c r="AL75" t="s">
        <v>1383</v>
      </c>
      <c r="AM75">
        <v>4</v>
      </c>
      <c r="AN75">
        <v>2.4400000000000002E-2</v>
      </c>
      <c r="AO75">
        <v>7.4279275355324028</v>
      </c>
      <c r="AP75">
        <v>740.28284631162001</v>
      </c>
      <c r="AQ75">
        <v>0.42399999999999999</v>
      </c>
      <c r="AR75">
        <v>2.23E-2</v>
      </c>
      <c r="AS75">
        <v>14.599699999999984</v>
      </c>
      <c r="AT75" s="2">
        <v>45681</v>
      </c>
      <c r="AU75" t="s">
        <v>1583</v>
      </c>
      <c r="AV75">
        <v>5</v>
      </c>
      <c r="AW75">
        <v>2.4500000000000001E-2</v>
      </c>
      <c r="AX75">
        <v>7.4271178104447282</v>
      </c>
      <c r="AY75">
        <v>740.20737993344869</v>
      </c>
      <c r="AZ75">
        <v>0.42399999999999999</v>
      </c>
      <c r="BA75">
        <v>2.2200000000000001E-2</v>
      </c>
      <c r="BB75">
        <v>14.600699999999961</v>
      </c>
      <c r="BC75" s="2">
        <v>45681</v>
      </c>
      <c r="BD75" t="s">
        <v>1781</v>
      </c>
      <c r="BE75">
        <v>6</v>
      </c>
      <c r="BF75">
        <v>2.4899999999999999E-2</v>
      </c>
      <c r="BG75">
        <v>7.4256487899176111</v>
      </c>
      <c r="BH75">
        <v>740.07046722032135</v>
      </c>
      <c r="BI75">
        <v>0.42399999999999999</v>
      </c>
      <c r="BJ75">
        <v>2.2200000000000001E-2</v>
      </c>
      <c r="BK75">
        <v>14.60209999999995</v>
      </c>
      <c r="BL75" s="2">
        <v>45681</v>
      </c>
      <c r="BM75" t="s">
        <v>1981</v>
      </c>
      <c r="BN75">
        <v>6</v>
      </c>
      <c r="BO75">
        <v>2.5100000000000001E-2</v>
      </c>
      <c r="BP75">
        <v>7.4250450439709166</v>
      </c>
      <c r="BQ75">
        <v>740.01419809808942</v>
      </c>
      <c r="BR75">
        <v>0.42399999999999999</v>
      </c>
      <c r="BS75">
        <v>2.2200000000000001E-2</v>
      </c>
      <c r="BT75">
        <v>14.599899999999934</v>
      </c>
      <c r="BU75" s="2">
        <v>45681</v>
      </c>
      <c r="BV75" t="s">
        <v>2063</v>
      </c>
      <c r="BW75">
        <v>7</v>
      </c>
      <c r="BX75">
        <v>4.0300000000000002E-2</v>
      </c>
      <c r="BY75">
        <v>8.4358921385141361</v>
      </c>
      <c r="BZ75">
        <v>834.22514730951752</v>
      </c>
      <c r="CA75">
        <v>0.42399999999999999</v>
      </c>
      <c r="CB75">
        <v>3.7900000000000003E-2</v>
      </c>
      <c r="CC75">
        <v>15.002200000000016</v>
      </c>
      <c r="CD75" s="2">
        <v>45681</v>
      </c>
      <c r="CE75" t="s">
        <v>2177</v>
      </c>
      <c r="CF75">
        <v>7</v>
      </c>
      <c r="CG75">
        <v>2.5100000000000001E-2</v>
      </c>
      <c r="CH75">
        <v>7.4239879817257641</v>
      </c>
      <c r="CI75">
        <v>739.9156798968412</v>
      </c>
      <c r="CJ75">
        <v>0.42399999999999999</v>
      </c>
      <c r="CK75">
        <v>2.2200000000000001E-2</v>
      </c>
      <c r="CL75">
        <v>14.600400000000036</v>
      </c>
    </row>
    <row r="76" spans="1:90" x14ac:dyDescent="0.3">
      <c r="A76" s="2">
        <v>45681</v>
      </c>
      <c r="B76" t="s">
        <v>288</v>
      </c>
      <c r="C76">
        <v>1</v>
      </c>
      <c r="D76">
        <v>9.5999999999999992E-3</v>
      </c>
      <c r="E76">
        <v>6.6717148555536259</v>
      </c>
      <c r="F76">
        <v>669.80382453759796</v>
      </c>
      <c r="G76">
        <v>0.42399999999999999</v>
      </c>
      <c r="H76">
        <v>1.0500000000000001E-2</v>
      </c>
      <c r="I76">
        <v>14.799199999999985</v>
      </c>
      <c r="J76" s="2">
        <v>45681</v>
      </c>
      <c r="K76" t="s">
        <v>488</v>
      </c>
      <c r="L76">
        <v>1</v>
      </c>
      <c r="M76">
        <v>2.1600000000000001E-2</v>
      </c>
      <c r="N76">
        <v>7.3472765650695351</v>
      </c>
      <c r="O76">
        <v>732.76617586448072</v>
      </c>
      <c r="P76">
        <v>0.42399999999999999</v>
      </c>
      <c r="Q76">
        <v>2.1000000000000001E-2</v>
      </c>
      <c r="R76">
        <v>14.801599999999979</v>
      </c>
      <c r="S76" s="2">
        <v>45681</v>
      </c>
      <c r="T76" t="s">
        <v>884</v>
      </c>
      <c r="U76">
        <v>3</v>
      </c>
      <c r="V76">
        <v>2.3300000000000001E-2</v>
      </c>
      <c r="W76">
        <v>7.3448599593997583</v>
      </c>
      <c r="X76">
        <v>732.54094821605747</v>
      </c>
      <c r="Y76">
        <v>0.42399999999999999</v>
      </c>
      <c r="Z76">
        <v>2.1000000000000001E-2</v>
      </c>
      <c r="AA76">
        <v>14.800900000000013</v>
      </c>
      <c r="AB76" s="2">
        <v>45681</v>
      </c>
      <c r="AC76" t="s">
        <v>1084</v>
      </c>
      <c r="AD76">
        <v>3</v>
      </c>
      <c r="AE76">
        <v>2.3400000000000001E-2</v>
      </c>
      <c r="AF76">
        <v>7.3447812980742659</v>
      </c>
      <c r="AG76">
        <v>732.53361698052163</v>
      </c>
      <c r="AH76">
        <v>0.42399999999999999</v>
      </c>
      <c r="AI76">
        <v>2.1000000000000001E-2</v>
      </c>
      <c r="AJ76">
        <v>14.79989999999998</v>
      </c>
      <c r="AK76" s="2">
        <v>45681</v>
      </c>
      <c r="AL76" t="s">
        <v>1384</v>
      </c>
      <c r="AM76">
        <v>4</v>
      </c>
      <c r="AN76">
        <v>2.2599999999999999E-2</v>
      </c>
      <c r="AO76">
        <v>7.3423679361704854</v>
      </c>
      <c r="AP76">
        <v>732.30869165108925</v>
      </c>
      <c r="AQ76">
        <v>0.42399999999999999</v>
      </c>
      <c r="AR76">
        <v>2.0899999999999998E-2</v>
      </c>
      <c r="AS76">
        <v>14.801299999999969</v>
      </c>
      <c r="AT76" s="2">
        <v>45681</v>
      </c>
      <c r="AU76" t="s">
        <v>1584</v>
      </c>
      <c r="AV76">
        <v>5</v>
      </c>
      <c r="AW76">
        <v>2.2700000000000001E-2</v>
      </c>
      <c r="AX76">
        <v>7.3421137060102586</v>
      </c>
      <c r="AY76">
        <v>732.28499740015616</v>
      </c>
      <c r="AZ76">
        <v>0.42399999999999999</v>
      </c>
      <c r="BA76">
        <v>2.0899999999999998E-2</v>
      </c>
      <c r="BB76">
        <v>14.800999999999988</v>
      </c>
      <c r="BC76" s="2">
        <v>45681</v>
      </c>
      <c r="BD76" t="s">
        <v>1782</v>
      </c>
      <c r="BE76">
        <v>6</v>
      </c>
      <c r="BF76">
        <v>2.3099999999999999E-2</v>
      </c>
      <c r="BG76">
        <v>7.3408486372703754</v>
      </c>
      <c r="BH76">
        <v>732.16709299359889</v>
      </c>
      <c r="BI76">
        <v>0.42399999999999999</v>
      </c>
      <c r="BJ76">
        <v>2.0899999999999998E-2</v>
      </c>
      <c r="BK76">
        <v>14.801900000000046</v>
      </c>
      <c r="BL76" s="2">
        <v>45681</v>
      </c>
      <c r="BM76" t="s">
        <v>1982</v>
      </c>
      <c r="BN76">
        <v>6</v>
      </c>
      <c r="BO76">
        <v>2.3300000000000001E-2</v>
      </c>
      <c r="BP76">
        <v>7.3398313111587168</v>
      </c>
      <c r="BQ76">
        <v>732.07227819999241</v>
      </c>
      <c r="BR76">
        <v>0.42399999999999999</v>
      </c>
      <c r="BS76">
        <v>2.0899999999999998E-2</v>
      </c>
      <c r="BT76">
        <v>14.800700000000006</v>
      </c>
      <c r="BU76" s="2">
        <v>45681</v>
      </c>
      <c r="BV76" t="s">
        <v>2064</v>
      </c>
      <c r="BW76">
        <v>7</v>
      </c>
      <c r="BX76">
        <v>4.0300000000000002E-2</v>
      </c>
      <c r="BY76">
        <v>8.3831497197712164</v>
      </c>
      <c r="BZ76">
        <v>829.30955388267739</v>
      </c>
      <c r="CA76">
        <v>0.42399999999999999</v>
      </c>
      <c r="CB76">
        <v>3.7100000000000001E-2</v>
      </c>
      <c r="CC76">
        <v>15.203300000000013</v>
      </c>
      <c r="CD76" s="2">
        <v>45681</v>
      </c>
      <c r="CE76" t="s">
        <v>2178</v>
      </c>
      <c r="CF76">
        <v>7</v>
      </c>
      <c r="CG76">
        <v>2.3400000000000001E-2</v>
      </c>
      <c r="CH76">
        <v>7.3377828729299051</v>
      </c>
      <c r="CI76">
        <v>731.88136375706722</v>
      </c>
      <c r="CJ76">
        <v>0.42399999999999999</v>
      </c>
      <c r="CK76">
        <v>2.0899999999999998E-2</v>
      </c>
      <c r="CL76">
        <v>14.803499999999985</v>
      </c>
    </row>
    <row r="77" spans="1:90" x14ac:dyDescent="0.3">
      <c r="A77" s="2">
        <v>45681</v>
      </c>
      <c r="B77" t="s">
        <v>289</v>
      </c>
      <c r="C77">
        <v>1</v>
      </c>
      <c r="D77">
        <v>8.8000000000000005E-3</v>
      </c>
      <c r="E77">
        <v>6.6290986633202751</v>
      </c>
      <c r="F77">
        <v>665.83199542144962</v>
      </c>
      <c r="G77">
        <v>0.42399999999999999</v>
      </c>
      <c r="H77">
        <v>9.7999999999999997E-3</v>
      </c>
      <c r="I77">
        <v>15</v>
      </c>
      <c r="J77" s="2">
        <v>45681</v>
      </c>
      <c r="K77" t="s">
        <v>489</v>
      </c>
      <c r="L77">
        <v>1</v>
      </c>
      <c r="M77">
        <v>2.06E-2</v>
      </c>
      <c r="N77">
        <v>7.262621976421535</v>
      </c>
      <c r="O77">
        <v>724.87636820248713</v>
      </c>
      <c r="P77">
        <v>0.42399999999999999</v>
      </c>
      <c r="Q77">
        <v>1.9699999999999999E-2</v>
      </c>
      <c r="R77">
        <v>15.00109999999998</v>
      </c>
      <c r="S77" s="2">
        <v>45681</v>
      </c>
      <c r="T77" t="s">
        <v>885</v>
      </c>
      <c r="U77">
        <v>3</v>
      </c>
      <c r="V77">
        <v>2.1399999999999999E-2</v>
      </c>
      <c r="W77">
        <v>7.2600764310532693</v>
      </c>
      <c r="X77">
        <v>724.63912337416468</v>
      </c>
      <c r="Y77">
        <v>0.42399999999999999</v>
      </c>
      <c r="Z77">
        <v>1.9599999999999999E-2</v>
      </c>
      <c r="AA77">
        <v>15.000800000000027</v>
      </c>
      <c r="AB77" s="2">
        <v>45681</v>
      </c>
      <c r="AC77" t="s">
        <v>1085</v>
      </c>
      <c r="AD77">
        <v>3</v>
      </c>
      <c r="AE77">
        <v>2.1399999999999999E-2</v>
      </c>
      <c r="AF77">
        <v>7.2591949376428504</v>
      </c>
      <c r="AG77">
        <v>724.5569681883137</v>
      </c>
      <c r="AH77">
        <v>0.42399999999999999</v>
      </c>
      <c r="AI77">
        <v>1.9599999999999999E-2</v>
      </c>
      <c r="AJ77">
        <v>15.001599999999996</v>
      </c>
      <c r="AK77" s="2">
        <v>45681</v>
      </c>
      <c r="AL77" t="s">
        <v>1385</v>
      </c>
      <c r="AM77">
        <v>4</v>
      </c>
      <c r="AN77">
        <v>2.1499999999999998E-2</v>
      </c>
      <c r="AO77">
        <v>7.2578779686469694</v>
      </c>
      <c r="AP77">
        <v>724.43422667789753</v>
      </c>
      <c r="AQ77">
        <v>0.42399999999999999</v>
      </c>
      <c r="AR77">
        <v>1.9599999999999999E-2</v>
      </c>
      <c r="AS77">
        <v>15.000399999999956</v>
      </c>
      <c r="AT77" s="2">
        <v>45681</v>
      </c>
      <c r="AU77" t="s">
        <v>1585</v>
      </c>
      <c r="AV77">
        <v>5</v>
      </c>
      <c r="AW77">
        <v>2.1299999999999999E-2</v>
      </c>
      <c r="AX77">
        <v>7.2573772122707663</v>
      </c>
      <c r="AY77">
        <v>724.38755618363541</v>
      </c>
      <c r="AZ77">
        <v>0.42399999999999999</v>
      </c>
      <c r="BA77">
        <v>1.9599999999999999E-2</v>
      </c>
      <c r="BB77">
        <v>15.000699999999995</v>
      </c>
      <c r="BC77" s="2">
        <v>45681</v>
      </c>
      <c r="BD77" t="s">
        <v>1783</v>
      </c>
      <c r="BE77">
        <v>6</v>
      </c>
      <c r="BF77">
        <v>2.1999999999999999E-2</v>
      </c>
      <c r="BG77">
        <v>7.2561356608343797</v>
      </c>
      <c r="BH77">
        <v>724.27184358976422</v>
      </c>
      <c r="BI77">
        <v>0.42399999999999999</v>
      </c>
      <c r="BJ77">
        <v>1.9599999999999999E-2</v>
      </c>
      <c r="BK77">
        <v>15.001499999999965</v>
      </c>
      <c r="BL77" s="2">
        <v>45681</v>
      </c>
      <c r="BM77" t="s">
        <v>1983</v>
      </c>
      <c r="BN77">
        <v>6</v>
      </c>
      <c r="BO77">
        <v>2.1600000000000001E-2</v>
      </c>
      <c r="BP77">
        <v>7.2550173725059821</v>
      </c>
      <c r="BQ77">
        <v>724.16761911755759</v>
      </c>
      <c r="BR77">
        <v>0.42399999999999999</v>
      </c>
      <c r="BS77">
        <v>1.9599999999999999E-2</v>
      </c>
      <c r="BT77">
        <v>15.000599999999963</v>
      </c>
      <c r="BU77" s="2">
        <v>45681</v>
      </c>
      <c r="BV77" t="s">
        <v>2065</v>
      </c>
      <c r="BW77">
        <v>7</v>
      </c>
      <c r="BX77">
        <v>3.9399999999999998E-2</v>
      </c>
      <c r="BY77">
        <v>8.3269859388401049</v>
      </c>
      <c r="BZ77">
        <v>824.07508949989779</v>
      </c>
      <c r="CA77">
        <v>0.42399999999999999</v>
      </c>
      <c r="CB77">
        <v>3.6200000000000003E-2</v>
      </c>
      <c r="CC77">
        <v>15.40199999999993</v>
      </c>
      <c r="CD77" s="2">
        <v>45681</v>
      </c>
      <c r="CE77" t="s">
        <v>2179</v>
      </c>
      <c r="CF77">
        <v>7</v>
      </c>
      <c r="CG77">
        <v>2.23E-2</v>
      </c>
      <c r="CH77">
        <v>7.2542700899138008</v>
      </c>
      <c r="CI77">
        <v>724.09797237996622</v>
      </c>
      <c r="CJ77">
        <v>0.42399999999999999</v>
      </c>
      <c r="CK77">
        <v>1.9599999999999999E-2</v>
      </c>
      <c r="CL77">
        <v>15.000300000000038</v>
      </c>
    </row>
    <row r="78" spans="1:90" x14ac:dyDescent="0.3">
      <c r="A78" s="2">
        <v>45681</v>
      </c>
      <c r="B78" t="s">
        <v>290</v>
      </c>
      <c r="C78">
        <v>1</v>
      </c>
      <c r="D78">
        <v>8.0999999999999996E-3</v>
      </c>
      <c r="E78">
        <v>6.5872962508821029</v>
      </c>
      <c r="F78">
        <v>661.93601058221202</v>
      </c>
      <c r="G78">
        <v>0.42399999999999999</v>
      </c>
      <c r="H78">
        <v>9.1999999999999998E-3</v>
      </c>
      <c r="I78">
        <v>15.197799999999972</v>
      </c>
      <c r="J78" s="2">
        <v>45681</v>
      </c>
      <c r="K78" t="s">
        <v>490</v>
      </c>
      <c r="L78">
        <v>1</v>
      </c>
      <c r="M78">
        <v>1.9E-2</v>
      </c>
      <c r="N78">
        <v>7.1783712366404977</v>
      </c>
      <c r="O78">
        <v>717.02419925489437</v>
      </c>
      <c r="P78">
        <v>0.42399999999999999</v>
      </c>
      <c r="Q78">
        <v>1.84E-2</v>
      </c>
      <c r="R78">
        <v>15.20040000000003</v>
      </c>
      <c r="S78" s="2">
        <v>45681</v>
      </c>
      <c r="T78" t="s">
        <v>886</v>
      </c>
      <c r="U78">
        <v>3</v>
      </c>
      <c r="V78">
        <v>2.0299999999999999E-2</v>
      </c>
      <c r="W78">
        <v>7.1756772889777443</v>
      </c>
      <c r="X78">
        <v>716.77312333272573</v>
      </c>
      <c r="Y78">
        <v>0.42399999999999999</v>
      </c>
      <c r="Z78">
        <v>1.83E-2</v>
      </c>
      <c r="AA78">
        <v>15.200500000000034</v>
      </c>
      <c r="AB78" s="2">
        <v>45681</v>
      </c>
      <c r="AC78" t="s">
        <v>1086</v>
      </c>
      <c r="AD78">
        <v>3</v>
      </c>
      <c r="AE78">
        <v>1.9400000000000001E-2</v>
      </c>
      <c r="AF78">
        <v>7.1742078629798787</v>
      </c>
      <c r="AG78">
        <v>716.63617282972473</v>
      </c>
      <c r="AH78">
        <v>0.42399999999999999</v>
      </c>
      <c r="AI78">
        <v>1.83E-2</v>
      </c>
      <c r="AJ78">
        <v>15.202799999999968</v>
      </c>
      <c r="AK78" s="2">
        <v>45681</v>
      </c>
      <c r="AL78" t="s">
        <v>1386</v>
      </c>
      <c r="AM78">
        <v>4</v>
      </c>
      <c r="AN78">
        <v>1.9800000000000002E-2</v>
      </c>
      <c r="AO78">
        <v>7.1719376322508364</v>
      </c>
      <c r="AP78">
        <v>716.42458732577802</v>
      </c>
      <c r="AQ78">
        <v>0.42399999999999999</v>
      </c>
      <c r="AR78">
        <v>1.83E-2</v>
      </c>
      <c r="AS78">
        <v>15.203899999999976</v>
      </c>
      <c r="AT78" s="2">
        <v>45681</v>
      </c>
      <c r="AU78" t="s">
        <v>1586</v>
      </c>
      <c r="AV78">
        <v>5</v>
      </c>
      <c r="AW78">
        <v>2.01E-2</v>
      </c>
      <c r="AX78">
        <v>7.1714810721863804</v>
      </c>
      <c r="AY78">
        <v>716.38203592777063</v>
      </c>
      <c r="AZ78">
        <v>0.42399999999999999</v>
      </c>
      <c r="BA78">
        <v>1.83E-2</v>
      </c>
      <c r="BB78">
        <v>15.204099999999983</v>
      </c>
      <c r="BC78" s="2">
        <v>45681</v>
      </c>
      <c r="BD78" t="s">
        <v>1784</v>
      </c>
      <c r="BE78">
        <v>6</v>
      </c>
      <c r="BF78">
        <v>2.0199999999999999E-2</v>
      </c>
      <c r="BG78">
        <v>7.1714129531003854</v>
      </c>
      <c r="BH78">
        <v>716.37568722895594</v>
      </c>
      <c r="BI78">
        <v>0.42399999999999999</v>
      </c>
      <c r="BJ78">
        <v>1.83E-2</v>
      </c>
      <c r="BK78">
        <v>15.202099999999973</v>
      </c>
      <c r="BL78" s="2">
        <v>45681</v>
      </c>
      <c r="BM78" t="s">
        <v>1984</v>
      </c>
      <c r="BN78">
        <v>6</v>
      </c>
      <c r="BO78">
        <v>2.0299999999999999E-2</v>
      </c>
      <c r="BP78">
        <v>7.1708335353986881</v>
      </c>
      <c r="BQ78">
        <v>716.32168549915775</v>
      </c>
      <c r="BR78">
        <v>0.42399999999999999</v>
      </c>
      <c r="BS78">
        <v>1.83E-2</v>
      </c>
      <c r="BT78">
        <v>15.199799999999982</v>
      </c>
      <c r="BU78" s="2">
        <v>45681</v>
      </c>
      <c r="BV78" t="s">
        <v>2066</v>
      </c>
      <c r="BW78">
        <v>7</v>
      </c>
      <c r="BX78">
        <v>3.8899999999999997E-2</v>
      </c>
      <c r="BY78">
        <v>8.266584177630385</v>
      </c>
      <c r="BZ78">
        <v>818.4456453551519</v>
      </c>
      <c r="CA78">
        <v>0.42399999999999999</v>
      </c>
      <c r="CB78">
        <v>3.5299999999999998E-2</v>
      </c>
      <c r="CC78">
        <v>15.601999999999975</v>
      </c>
      <c r="CD78" s="2">
        <v>45681</v>
      </c>
      <c r="CE78" t="s">
        <v>2180</v>
      </c>
      <c r="CF78">
        <v>7</v>
      </c>
      <c r="CG78">
        <v>2.06E-2</v>
      </c>
      <c r="CH78">
        <v>7.1695388672940572</v>
      </c>
      <c r="CI78">
        <v>716.20102243180611</v>
      </c>
      <c r="CJ78">
        <v>0.42399999999999999</v>
      </c>
      <c r="CK78">
        <v>1.8200000000000001E-2</v>
      </c>
      <c r="CL78">
        <v>15.201000000000022</v>
      </c>
    </row>
    <row r="79" spans="1:90" x14ac:dyDescent="0.3">
      <c r="A79" s="2">
        <v>45681</v>
      </c>
      <c r="B79" t="s">
        <v>291</v>
      </c>
      <c r="C79">
        <v>1</v>
      </c>
      <c r="D79">
        <v>7.4000000000000003E-3</v>
      </c>
      <c r="E79">
        <v>6.5453681425114407</v>
      </c>
      <c r="F79">
        <v>658.02831088206631</v>
      </c>
      <c r="G79">
        <v>0.42399999999999999</v>
      </c>
      <c r="H79">
        <v>8.5000000000000006E-3</v>
      </c>
      <c r="I79">
        <v>15.397799999999989</v>
      </c>
      <c r="J79" s="2">
        <v>45681</v>
      </c>
      <c r="K79" t="s">
        <v>491</v>
      </c>
      <c r="L79">
        <v>1</v>
      </c>
      <c r="M79">
        <v>1.7999999999999999E-2</v>
      </c>
      <c r="N79">
        <v>7.0946512580711607</v>
      </c>
      <c r="O79">
        <v>709.22149725223221</v>
      </c>
      <c r="P79">
        <v>0.42399999999999999</v>
      </c>
      <c r="Q79">
        <v>1.7100000000000001E-2</v>
      </c>
      <c r="R79">
        <v>15.400000000000006</v>
      </c>
      <c r="S79" s="2">
        <v>45681</v>
      </c>
      <c r="T79" t="s">
        <v>887</v>
      </c>
      <c r="U79">
        <v>3</v>
      </c>
      <c r="V79">
        <v>1.83E-2</v>
      </c>
      <c r="W79">
        <v>7.0918320199466693</v>
      </c>
      <c r="X79">
        <v>708.95874425902957</v>
      </c>
      <c r="Y79">
        <v>0.42399999999999999</v>
      </c>
      <c r="Z79">
        <v>1.7000000000000001E-2</v>
      </c>
      <c r="AA79">
        <v>15.400500000000022</v>
      </c>
      <c r="AB79" s="2">
        <v>45681</v>
      </c>
      <c r="AC79" t="s">
        <v>1087</v>
      </c>
      <c r="AD79">
        <v>3</v>
      </c>
      <c r="AE79">
        <v>1.83E-2</v>
      </c>
      <c r="AF79">
        <v>7.0912886891417184</v>
      </c>
      <c r="AG79">
        <v>708.90810582800816</v>
      </c>
      <c r="AH79">
        <v>0.42399999999999999</v>
      </c>
      <c r="AI79">
        <v>1.7000000000000001E-2</v>
      </c>
      <c r="AJ79">
        <v>15.400599999999997</v>
      </c>
      <c r="AK79" s="2">
        <v>45681</v>
      </c>
      <c r="AL79" t="s">
        <v>1387</v>
      </c>
      <c r="AM79">
        <v>4</v>
      </c>
      <c r="AN79">
        <v>1.8700000000000001E-2</v>
      </c>
      <c r="AO79">
        <v>7.089001023170427</v>
      </c>
      <c r="AP79">
        <v>708.69489535948378</v>
      </c>
      <c r="AQ79">
        <v>0.42399999999999999</v>
      </c>
      <c r="AR79">
        <v>1.7000000000000001E-2</v>
      </c>
      <c r="AS79">
        <v>15.40179999999998</v>
      </c>
      <c r="AT79" s="2">
        <v>45681</v>
      </c>
      <c r="AU79" t="s">
        <v>1587</v>
      </c>
      <c r="AV79">
        <v>5</v>
      </c>
      <c r="AW79">
        <v>1.89E-2</v>
      </c>
      <c r="AX79">
        <v>7.0888724889426893</v>
      </c>
      <c r="AY79">
        <v>708.68291596945869</v>
      </c>
      <c r="AZ79">
        <v>0.42399999999999999</v>
      </c>
      <c r="BA79">
        <v>1.7000000000000001E-2</v>
      </c>
      <c r="BB79">
        <v>15.40119999999996</v>
      </c>
      <c r="BC79" s="2">
        <v>45681</v>
      </c>
      <c r="BD79" t="s">
        <v>1785</v>
      </c>
      <c r="BE79">
        <v>6</v>
      </c>
      <c r="BF79">
        <v>1.89E-2</v>
      </c>
      <c r="BG79">
        <v>7.0880360027855174</v>
      </c>
      <c r="BH79">
        <v>708.60495545961021</v>
      </c>
      <c r="BI79">
        <v>0.42399999999999999</v>
      </c>
      <c r="BJ79">
        <v>1.7000000000000001E-2</v>
      </c>
      <c r="BK79">
        <v>15.401100000000042</v>
      </c>
      <c r="BL79" s="2">
        <v>45681</v>
      </c>
      <c r="BM79" t="s">
        <v>1985</v>
      </c>
      <c r="BN79">
        <v>6</v>
      </c>
      <c r="BO79">
        <v>1.8599999999999998E-2</v>
      </c>
      <c r="BP79">
        <v>7.0856210189987383</v>
      </c>
      <c r="BQ79">
        <v>708.3798789706824</v>
      </c>
      <c r="BR79">
        <v>0.42399999999999999</v>
      </c>
      <c r="BS79">
        <v>1.6899999999999998E-2</v>
      </c>
      <c r="BT79">
        <v>15.403299999999945</v>
      </c>
      <c r="BU79" s="2">
        <v>45681</v>
      </c>
      <c r="BV79" t="s">
        <v>2067</v>
      </c>
      <c r="BW79">
        <v>7</v>
      </c>
      <c r="BX79">
        <v>3.8699999999999998E-2</v>
      </c>
      <c r="BY79">
        <v>8.2029690607272077</v>
      </c>
      <c r="BZ79">
        <v>812.51671645977581</v>
      </c>
      <c r="CA79">
        <v>0.42399999999999999</v>
      </c>
      <c r="CB79">
        <v>3.4299999999999997E-2</v>
      </c>
      <c r="CC79">
        <v>15.800700000000006</v>
      </c>
      <c r="CD79" s="2">
        <v>45681</v>
      </c>
      <c r="CE79" t="s">
        <v>2181</v>
      </c>
      <c r="CF79">
        <v>7</v>
      </c>
      <c r="CG79">
        <v>1.9400000000000001E-2</v>
      </c>
      <c r="CH79">
        <v>7.0853712490167604</v>
      </c>
      <c r="CI79">
        <v>708.35660040836206</v>
      </c>
      <c r="CJ79">
        <v>0.42399999999999999</v>
      </c>
      <c r="CK79">
        <v>1.6899999999999998E-2</v>
      </c>
      <c r="CL79">
        <v>15.401900000000069</v>
      </c>
    </row>
    <row r="80" spans="1:90" x14ac:dyDescent="0.3">
      <c r="A80" s="2">
        <v>45681</v>
      </c>
      <c r="B80" t="s">
        <v>292</v>
      </c>
      <c r="C80">
        <v>1</v>
      </c>
      <c r="D80">
        <v>6.6E-3</v>
      </c>
      <c r="E80">
        <v>6.5036825056492571</v>
      </c>
      <c r="F80">
        <v>654.14320952651076</v>
      </c>
      <c r="G80">
        <v>0.42399999999999999</v>
      </c>
      <c r="H80">
        <v>7.9000000000000008E-3</v>
      </c>
      <c r="I80">
        <v>15.59899999999999</v>
      </c>
      <c r="J80" s="2">
        <v>45681</v>
      </c>
      <c r="K80" t="s">
        <v>492</v>
      </c>
      <c r="L80">
        <v>1</v>
      </c>
      <c r="M80">
        <v>1.6500000000000001E-2</v>
      </c>
      <c r="N80">
        <v>7.0117349225282517</v>
      </c>
      <c r="O80">
        <v>701.49369477963307</v>
      </c>
      <c r="P80">
        <v>0.42399999999999999</v>
      </c>
      <c r="Q80">
        <v>1.5800000000000002E-2</v>
      </c>
      <c r="R80">
        <v>15.600100000000026</v>
      </c>
      <c r="S80" s="2">
        <v>45681</v>
      </c>
      <c r="T80" t="s">
        <v>888</v>
      </c>
      <c r="U80">
        <v>3</v>
      </c>
      <c r="V80">
        <v>1.7100000000000001E-2</v>
      </c>
      <c r="W80">
        <v>7.0094148188969623</v>
      </c>
      <c r="X80">
        <v>701.27746112119689</v>
      </c>
      <c r="Y80">
        <v>0.42399999999999999</v>
      </c>
      <c r="Z80">
        <v>1.5800000000000002E-2</v>
      </c>
      <c r="AA80">
        <v>15.599500000000035</v>
      </c>
      <c r="AB80" s="2">
        <v>45681</v>
      </c>
      <c r="AC80" t="s">
        <v>1088</v>
      </c>
      <c r="AD80">
        <v>3</v>
      </c>
      <c r="AE80">
        <v>1.6799999999999999E-2</v>
      </c>
      <c r="AF80">
        <v>7.0086294220542849</v>
      </c>
      <c r="AG80">
        <v>701.20426213545932</v>
      </c>
      <c r="AH80">
        <v>0.42399999999999999</v>
      </c>
      <c r="AI80">
        <v>1.5699999999999999E-2</v>
      </c>
      <c r="AJ80">
        <v>15.600199999999973</v>
      </c>
      <c r="AK80" s="2">
        <v>45681</v>
      </c>
      <c r="AL80" t="s">
        <v>1388</v>
      </c>
      <c r="AM80">
        <v>4</v>
      </c>
      <c r="AN80">
        <v>1.7299999999999999E-2</v>
      </c>
      <c r="AO80">
        <v>7.0052660421833437</v>
      </c>
      <c r="AP80">
        <v>700.89079513148761</v>
      </c>
      <c r="AQ80">
        <v>0.42399999999999999</v>
      </c>
      <c r="AR80">
        <v>1.5699999999999999E-2</v>
      </c>
      <c r="AS80">
        <v>15.60409999999996</v>
      </c>
      <c r="AT80" s="2">
        <v>45681</v>
      </c>
      <c r="AU80" t="s">
        <v>1588</v>
      </c>
      <c r="AV80">
        <v>5</v>
      </c>
      <c r="AW80">
        <v>1.7000000000000001E-2</v>
      </c>
      <c r="AX80">
        <v>7.0050000533713659</v>
      </c>
      <c r="AY80">
        <v>700.86600497421136</v>
      </c>
      <c r="AZ80">
        <v>0.42399999999999999</v>
      </c>
      <c r="BA80">
        <v>1.5699999999999999E-2</v>
      </c>
      <c r="BB80">
        <v>15.603799999999978</v>
      </c>
      <c r="BC80" s="2">
        <v>45681</v>
      </c>
      <c r="BD80" t="s">
        <v>1786</v>
      </c>
      <c r="BE80">
        <v>6</v>
      </c>
      <c r="BF80">
        <v>1.7399999999999999E-2</v>
      </c>
      <c r="BG80">
        <v>7.0042552036036856</v>
      </c>
      <c r="BH80">
        <v>700.79658497586354</v>
      </c>
      <c r="BI80">
        <v>0.42399999999999999</v>
      </c>
      <c r="BJ80">
        <v>1.5699999999999999E-2</v>
      </c>
      <c r="BK80">
        <v>15.60349999999994</v>
      </c>
      <c r="BU80" s="2">
        <v>45681</v>
      </c>
      <c r="BV80" t="s">
        <v>2068</v>
      </c>
      <c r="BW80">
        <v>7</v>
      </c>
      <c r="BX80">
        <v>3.73E-2</v>
      </c>
      <c r="BY80">
        <v>8.1350810930609221</v>
      </c>
      <c r="BZ80">
        <v>806.18955787327798</v>
      </c>
      <c r="CA80">
        <v>0.42399999999999999</v>
      </c>
      <c r="CB80">
        <v>3.32E-2</v>
      </c>
      <c r="CC80">
        <v>16.002200000000016</v>
      </c>
      <c r="CD80" s="2">
        <v>45681</v>
      </c>
      <c r="CE80" t="s">
        <v>2182</v>
      </c>
      <c r="CF80">
        <v>7</v>
      </c>
      <c r="CG80">
        <v>1.7600000000000001E-2</v>
      </c>
      <c r="CH80">
        <v>7.0030254108190482</v>
      </c>
      <c r="CI80">
        <v>700.68196828833527</v>
      </c>
      <c r="CJ80">
        <v>0.42399999999999999</v>
      </c>
      <c r="CK80">
        <v>1.5699999999999999E-2</v>
      </c>
      <c r="CL80">
        <v>15.600900000000024</v>
      </c>
    </row>
    <row r="81" spans="1:90" x14ac:dyDescent="0.3">
      <c r="A81" s="2">
        <v>45681</v>
      </c>
      <c r="B81" t="s">
        <v>293</v>
      </c>
      <c r="C81">
        <v>1</v>
      </c>
      <c r="D81">
        <v>5.8999999999999999E-3</v>
      </c>
      <c r="E81">
        <v>6.4628098376407488</v>
      </c>
      <c r="F81">
        <v>650.33387686811784</v>
      </c>
      <c r="G81">
        <v>0.42399999999999999</v>
      </c>
      <c r="H81">
        <v>7.3000000000000001E-3</v>
      </c>
      <c r="I81">
        <v>15.799499999999995</v>
      </c>
      <c r="J81" s="2">
        <v>45681</v>
      </c>
      <c r="K81" t="s">
        <v>493</v>
      </c>
      <c r="L81">
        <v>1</v>
      </c>
      <c r="M81">
        <v>1.49E-2</v>
      </c>
      <c r="N81">
        <v>6.9303504554787017</v>
      </c>
      <c r="O81">
        <v>693.908662450615</v>
      </c>
      <c r="P81">
        <v>0.42399999999999999</v>
      </c>
      <c r="Q81">
        <v>1.4500000000000001E-2</v>
      </c>
      <c r="R81">
        <v>15.799700000000001</v>
      </c>
      <c r="S81" s="2">
        <v>45681</v>
      </c>
      <c r="T81" t="s">
        <v>889</v>
      </c>
      <c r="U81">
        <v>3</v>
      </c>
      <c r="V81">
        <v>1.5100000000000001E-2</v>
      </c>
      <c r="W81">
        <v>6.9273272655669782</v>
      </c>
      <c r="X81">
        <v>693.6269011508424</v>
      </c>
      <c r="Y81">
        <v>0.42399999999999999</v>
      </c>
      <c r="Z81">
        <v>1.4500000000000001E-2</v>
      </c>
      <c r="AA81">
        <v>15.800900000000013</v>
      </c>
      <c r="AB81" s="2">
        <v>45681</v>
      </c>
      <c r="AC81" t="s">
        <v>1089</v>
      </c>
      <c r="AD81">
        <v>3</v>
      </c>
      <c r="AE81">
        <v>1.5599999999999999E-2</v>
      </c>
      <c r="AF81">
        <v>6.9266051221612939</v>
      </c>
      <c r="AG81">
        <v>693.55959738543265</v>
      </c>
      <c r="AH81">
        <v>0.42399999999999999</v>
      </c>
      <c r="AI81">
        <v>1.4500000000000001E-2</v>
      </c>
      <c r="AJ81">
        <v>15.801499999999976</v>
      </c>
      <c r="AK81" s="2">
        <v>45681</v>
      </c>
      <c r="AL81" t="s">
        <v>1389</v>
      </c>
      <c r="AM81">
        <v>4</v>
      </c>
      <c r="AN81">
        <v>1.6E-2</v>
      </c>
      <c r="AO81">
        <v>6.9250083783479388</v>
      </c>
      <c r="AP81">
        <v>693.41078086202788</v>
      </c>
      <c r="AQ81">
        <v>0.42399999999999999</v>
      </c>
      <c r="AR81">
        <v>1.44E-2</v>
      </c>
      <c r="AS81">
        <v>15.801199999999994</v>
      </c>
      <c r="AT81" s="2">
        <v>45681</v>
      </c>
      <c r="AU81" t="s">
        <v>1589</v>
      </c>
      <c r="AV81">
        <v>5</v>
      </c>
      <c r="AW81">
        <v>1.54E-2</v>
      </c>
      <c r="AX81">
        <v>6.9240222734840291</v>
      </c>
      <c r="AY81">
        <v>693.31887588871155</v>
      </c>
      <c r="AZ81">
        <v>0.42399999999999999</v>
      </c>
      <c r="BA81">
        <v>1.44E-2</v>
      </c>
      <c r="BB81">
        <v>15.802699999999959</v>
      </c>
      <c r="BC81" s="2">
        <v>45681</v>
      </c>
      <c r="BD81" t="s">
        <v>1787</v>
      </c>
      <c r="BE81">
        <v>6</v>
      </c>
      <c r="BF81">
        <v>1.6799999999999999E-2</v>
      </c>
      <c r="BG81">
        <v>6.921822594665481</v>
      </c>
      <c r="BH81">
        <v>693.11386582282285</v>
      </c>
      <c r="BI81">
        <v>0.42399999999999999</v>
      </c>
      <c r="BJ81">
        <v>1.44E-2</v>
      </c>
      <c r="BK81">
        <v>15.80600000000004</v>
      </c>
      <c r="BU81" s="2">
        <v>45681</v>
      </c>
      <c r="BV81" t="s">
        <v>2069</v>
      </c>
      <c r="BW81">
        <v>7</v>
      </c>
      <c r="BX81">
        <v>3.5799999999999998E-2</v>
      </c>
      <c r="BY81">
        <v>8.0646504183216194</v>
      </c>
      <c r="BZ81">
        <v>799.6254189875749</v>
      </c>
      <c r="CA81">
        <v>0.42399999999999999</v>
      </c>
      <c r="CB81">
        <v>3.2099999999999997E-2</v>
      </c>
      <c r="CC81">
        <v>16.201999999999998</v>
      </c>
      <c r="CD81" s="2">
        <v>45681</v>
      </c>
      <c r="CE81" t="s">
        <v>2183</v>
      </c>
      <c r="CF81">
        <v>7</v>
      </c>
      <c r="CG81">
        <v>1.6E-2</v>
      </c>
      <c r="CH81">
        <v>6.9210854488420477</v>
      </c>
      <c r="CI81">
        <v>693.04516383207886</v>
      </c>
      <c r="CJ81">
        <v>0.42399999999999999</v>
      </c>
      <c r="CK81">
        <v>1.44E-2</v>
      </c>
      <c r="CL81">
        <v>15.802300000000059</v>
      </c>
    </row>
    <row r="82" spans="1:90" x14ac:dyDescent="0.3">
      <c r="A82" s="2">
        <v>45681</v>
      </c>
      <c r="B82" t="s">
        <v>294</v>
      </c>
      <c r="C82">
        <v>1</v>
      </c>
      <c r="D82">
        <v>5.4000000000000003E-3</v>
      </c>
      <c r="E82">
        <v>6.4230140999441412</v>
      </c>
      <c r="F82">
        <v>646.62491411479402</v>
      </c>
      <c r="G82">
        <v>0.42399999999999999</v>
      </c>
      <c r="H82">
        <v>6.6E-3</v>
      </c>
      <c r="I82">
        <v>15.998699999999985</v>
      </c>
      <c r="J82" s="2">
        <v>45681</v>
      </c>
      <c r="K82" t="s">
        <v>494</v>
      </c>
      <c r="L82">
        <v>1</v>
      </c>
      <c r="M82">
        <v>1.32E-2</v>
      </c>
      <c r="N82">
        <v>6.8497996362910758</v>
      </c>
      <c r="O82">
        <v>686.40132610232831</v>
      </c>
      <c r="P82">
        <v>0.42399999999999999</v>
      </c>
      <c r="Q82">
        <v>1.3299999999999999E-2</v>
      </c>
      <c r="R82">
        <v>16.001400000000018</v>
      </c>
      <c r="S82" s="2">
        <v>45681</v>
      </c>
      <c r="T82" t="s">
        <v>890</v>
      </c>
      <c r="U82">
        <v>3</v>
      </c>
      <c r="V82">
        <v>1.37E-2</v>
      </c>
      <c r="W82">
        <v>6.8483967074962022</v>
      </c>
      <c r="X82">
        <v>686.27057313864611</v>
      </c>
      <c r="Y82">
        <v>0.42399999999999999</v>
      </c>
      <c r="Z82">
        <v>1.32E-2</v>
      </c>
      <c r="AA82">
        <v>15.99860000000001</v>
      </c>
      <c r="AB82" s="2">
        <v>45681</v>
      </c>
      <c r="AC82" t="s">
        <v>1090</v>
      </c>
      <c r="AD82">
        <v>3</v>
      </c>
      <c r="AE82">
        <v>1.3899999999999999E-2</v>
      </c>
      <c r="AF82">
        <v>6.8465510046423708</v>
      </c>
      <c r="AG82">
        <v>686.098553632669</v>
      </c>
      <c r="AH82">
        <v>0.42399999999999999</v>
      </c>
      <c r="AI82">
        <v>1.32E-2</v>
      </c>
      <c r="AJ82">
        <v>16.002099999999984</v>
      </c>
      <c r="AK82" s="2">
        <v>45681</v>
      </c>
      <c r="AL82" t="s">
        <v>1390</v>
      </c>
      <c r="AM82">
        <v>4</v>
      </c>
      <c r="AN82">
        <v>1.46E-2</v>
      </c>
      <c r="AO82">
        <v>6.8455259745864652</v>
      </c>
      <c r="AP82">
        <v>686.00302083145857</v>
      </c>
      <c r="AQ82">
        <v>0.42399999999999999</v>
      </c>
      <c r="AR82">
        <v>1.32E-2</v>
      </c>
      <c r="AS82">
        <v>16.000399999999956</v>
      </c>
      <c r="AT82" s="2">
        <v>45681</v>
      </c>
      <c r="AU82" t="s">
        <v>1590</v>
      </c>
      <c r="AV82">
        <v>5</v>
      </c>
      <c r="AW82">
        <v>1.4200000000000001E-2</v>
      </c>
      <c r="AX82">
        <v>6.8438161044338726</v>
      </c>
      <c r="AY82">
        <v>685.84366093323695</v>
      </c>
      <c r="AZ82">
        <v>0.42399999999999999</v>
      </c>
      <c r="BA82">
        <v>1.32E-2</v>
      </c>
      <c r="BB82">
        <v>16.003799999999956</v>
      </c>
      <c r="BC82" s="2">
        <v>45681</v>
      </c>
      <c r="BD82" t="s">
        <v>1788</v>
      </c>
      <c r="BE82">
        <v>6</v>
      </c>
      <c r="BF82">
        <v>1.54E-2</v>
      </c>
      <c r="BG82">
        <v>6.8439434222493594</v>
      </c>
      <c r="BH82">
        <v>685.85552695364026</v>
      </c>
      <c r="BI82">
        <v>0.42399999999999999</v>
      </c>
      <c r="BJ82">
        <v>1.32E-2</v>
      </c>
      <c r="BK82">
        <v>16.00139999999999</v>
      </c>
      <c r="BU82" s="2">
        <v>45681</v>
      </c>
      <c r="BV82" t="s">
        <v>2070</v>
      </c>
      <c r="BW82">
        <v>7</v>
      </c>
      <c r="BX82">
        <v>3.5299999999999998E-2</v>
      </c>
      <c r="BY82">
        <v>7.9915217412120638</v>
      </c>
      <c r="BZ82">
        <v>792.80982628096433</v>
      </c>
      <c r="CA82">
        <v>0.42399999999999999</v>
      </c>
      <c r="CB82">
        <v>3.1E-2</v>
      </c>
      <c r="CC82">
        <v>16.401399999999967</v>
      </c>
      <c r="CD82" s="2">
        <v>45681</v>
      </c>
      <c r="CE82" t="s">
        <v>2184</v>
      </c>
      <c r="CF82">
        <v>7</v>
      </c>
      <c r="CG82">
        <v>1.4500000000000001E-2</v>
      </c>
      <c r="CH82">
        <v>6.841462752201088</v>
      </c>
      <c r="CI82">
        <v>685.62432850514142</v>
      </c>
      <c r="CJ82">
        <v>0.42399999999999999</v>
      </c>
      <c r="CK82">
        <v>1.3100000000000001E-2</v>
      </c>
      <c r="CL82">
        <v>16.002100000000041</v>
      </c>
    </row>
    <row r="83" spans="1:90" x14ac:dyDescent="0.3">
      <c r="A83" s="2">
        <v>45681</v>
      </c>
      <c r="B83" t="s">
        <v>295</v>
      </c>
      <c r="C83">
        <v>1</v>
      </c>
      <c r="D83">
        <v>4.4000000000000003E-3</v>
      </c>
      <c r="E83">
        <v>6.3842058051649184</v>
      </c>
      <c r="F83">
        <v>643.00798104137039</v>
      </c>
      <c r="G83">
        <v>0.42399999999999999</v>
      </c>
      <c r="H83">
        <v>6.0000000000000001E-3</v>
      </c>
      <c r="I83">
        <v>16.197899999999976</v>
      </c>
      <c r="J83" s="2">
        <v>45681</v>
      </c>
      <c r="K83" t="s">
        <v>495</v>
      </c>
      <c r="L83">
        <v>1</v>
      </c>
      <c r="M83">
        <v>1.2200000000000001E-2</v>
      </c>
      <c r="N83">
        <v>6.7720838685871882</v>
      </c>
      <c r="O83">
        <v>679.15821655232594</v>
      </c>
      <c r="P83">
        <v>0.42399999999999999</v>
      </c>
      <c r="Q83">
        <v>1.21E-2</v>
      </c>
      <c r="R83">
        <v>16.200799999999987</v>
      </c>
      <c r="S83" s="2">
        <v>45681</v>
      </c>
      <c r="T83" t="s">
        <v>891</v>
      </c>
      <c r="U83">
        <v>3</v>
      </c>
      <c r="V83">
        <v>1.2E-2</v>
      </c>
      <c r="W83">
        <v>6.7703269638275989</v>
      </c>
      <c r="X83">
        <v>678.99447302873227</v>
      </c>
      <c r="Y83">
        <v>0.42399999999999999</v>
      </c>
      <c r="Z83">
        <v>1.2E-2</v>
      </c>
      <c r="AA83">
        <v>16.199100000000044</v>
      </c>
      <c r="AB83" s="2">
        <v>45681</v>
      </c>
      <c r="AC83" t="s">
        <v>1091</v>
      </c>
      <c r="AD83">
        <v>3</v>
      </c>
      <c r="AE83">
        <v>1.26E-2</v>
      </c>
      <c r="AF83">
        <v>6.769528186450172</v>
      </c>
      <c r="AG83">
        <v>678.920026977156</v>
      </c>
      <c r="AH83">
        <v>0.42399999999999999</v>
      </c>
      <c r="AI83">
        <v>1.2E-2</v>
      </c>
      <c r="AJ83">
        <v>16.199999999999989</v>
      </c>
      <c r="AK83" s="2">
        <v>45681</v>
      </c>
      <c r="AL83" t="s">
        <v>1391</v>
      </c>
      <c r="AM83">
        <v>4</v>
      </c>
      <c r="AN83">
        <v>1.2999999999999999E-2</v>
      </c>
      <c r="AO83">
        <v>6.7675247554746063</v>
      </c>
      <c r="AP83">
        <v>678.73330721023331</v>
      </c>
      <c r="AQ83">
        <v>0.42399999999999999</v>
      </c>
      <c r="AR83">
        <v>1.2E-2</v>
      </c>
      <c r="AS83">
        <v>16.20089999999999</v>
      </c>
      <c r="AT83" s="2">
        <v>45681</v>
      </c>
      <c r="AU83" t="s">
        <v>1591</v>
      </c>
      <c r="AV83">
        <v>5</v>
      </c>
      <c r="AW83">
        <v>1.23E-2</v>
      </c>
      <c r="AX83">
        <v>6.7669226314109103</v>
      </c>
      <c r="AY83">
        <v>678.67718924749681</v>
      </c>
      <c r="AZ83">
        <v>0.42399999999999999</v>
      </c>
      <c r="BA83">
        <v>1.2E-2</v>
      </c>
      <c r="BB83">
        <v>16.201599999999985</v>
      </c>
      <c r="BC83" s="2">
        <v>45681</v>
      </c>
      <c r="BD83" t="s">
        <v>1789</v>
      </c>
      <c r="BE83">
        <v>6</v>
      </c>
      <c r="BF83">
        <v>1.37E-2</v>
      </c>
      <c r="BG83">
        <v>6.7654455014687951</v>
      </c>
      <c r="BH83">
        <v>678.53952073689175</v>
      </c>
      <c r="BI83">
        <v>0.42399999999999999</v>
      </c>
      <c r="BJ83">
        <v>1.2E-2</v>
      </c>
      <c r="BK83">
        <v>16.203300000000013</v>
      </c>
      <c r="BU83" s="2">
        <v>45681</v>
      </c>
      <c r="BV83" t="s">
        <v>2071</v>
      </c>
      <c r="BW83">
        <v>7</v>
      </c>
      <c r="BX83">
        <v>3.3700000000000001E-2</v>
      </c>
      <c r="BY83">
        <v>7.9150978033175594</v>
      </c>
      <c r="BZ83">
        <v>785.68711526919651</v>
      </c>
      <c r="CA83">
        <v>0.42399999999999999</v>
      </c>
      <c r="CB83">
        <v>2.98E-2</v>
      </c>
      <c r="CC83">
        <v>16.602800000000002</v>
      </c>
      <c r="CD83" s="2">
        <v>45681</v>
      </c>
      <c r="CE83" t="s">
        <v>2185</v>
      </c>
      <c r="CF83">
        <v>7</v>
      </c>
      <c r="CG83">
        <v>1.2800000000000001E-2</v>
      </c>
      <c r="CH83">
        <v>6.7645583314678754</v>
      </c>
      <c r="CI83">
        <v>678.45683649280602</v>
      </c>
      <c r="CJ83">
        <v>0.42399999999999999</v>
      </c>
      <c r="CK83">
        <v>1.1900000000000001E-2</v>
      </c>
      <c r="CL83">
        <v>16.200000000000045</v>
      </c>
    </row>
    <row r="84" spans="1:90" x14ac:dyDescent="0.3">
      <c r="A84" s="2">
        <v>45681</v>
      </c>
      <c r="B84" t="s">
        <v>296</v>
      </c>
      <c r="C84">
        <v>1</v>
      </c>
      <c r="D84">
        <v>3.8E-3</v>
      </c>
      <c r="E84">
        <v>6.3463862102624056</v>
      </c>
      <c r="F84">
        <v>639.48319479645625</v>
      </c>
      <c r="G84">
        <v>0.42399999999999999</v>
      </c>
      <c r="H84">
        <v>5.4000000000000003E-3</v>
      </c>
      <c r="I84">
        <v>16.397799999999989</v>
      </c>
      <c r="J84" s="2">
        <v>45681</v>
      </c>
      <c r="K84" t="s">
        <v>496</v>
      </c>
      <c r="L84">
        <v>1</v>
      </c>
      <c r="M84">
        <v>1.0699999999999999E-2</v>
      </c>
      <c r="N84">
        <v>6.6956862862914326</v>
      </c>
      <c r="O84">
        <v>672.03796188236151</v>
      </c>
      <c r="P84">
        <v>0.42399999999999999</v>
      </c>
      <c r="Q84">
        <v>1.09E-2</v>
      </c>
      <c r="R84">
        <v>16.402799999999985</v>
      </c>
      <c r="S84" s="2">
        <v>45681</v>
      </c>
      <c r="T84" t="s">
        <v>892</v>
      </c>
      <c r="U84">
        <v>3</v>
      </c>
      <c r="V84">
        <v>1.0999999999999999E-2</v>
      </c>
      <c r="W84">
        <v>6.694915486395753</v>
      </c>
      <c r="X84">
        <v>671.96612333208418</v>
      </c>
      <c r="Y84">
        <v>0.42399999999999999</v>
      </c>
      <c r="Z84">
        <v>1.09E-2</v>
      </c>
      <c r="AA84">
        <v>16.398600000000044</v>
      </c>
      <c r="AB84" s="2">
        <v>45681</v>
      </c>
      <c r="AC84" t="s">
        <v>1092</v>
      </c>
      <c r="AD84">
        <v>3</v>
      </c>
      <c r="AE84">
        <v>1.15E-2</v>
      </c>
      <c r="AF84">
        <v>6.6934290306263868</v>
      </c>
      <c r="AG84">
        <v>671.82758565437928</v>
      </c>
      <c r="AH84">
        <v>0.42399999999999999</v>
      </c>
      <c r="AI84">
        <v>1.0800000000000001E-2</v>
      </c>
      <c r="AJ84">
        <v>16.401399999999967</v>
      </c>
      <c r="AK84" s="2">
        <v>45681</v>
      </c>
      <c r="AL84" t="s">
        <v>1392</v>
      </c>
      <c r="AM84">
        <v>4</v>
      </c>
      <c r="AN84">
        <v>1.1900000000000001E-2</v>
      </c>
      <c r="AO84">
        <v>6.6922560037467447</v>
      </c>
      <c r="AP84">
        <v>671.71825954919666</v>
      </c>
      <c r="AQ84">
        <v>0.42399999999999999</v>
      </c>
      <c r="AR84">
        <v>1.0800000000000001E-2</v>
      </c>
      <c r="AS84">
        <v>16.400199999999984</v>
      </c>
      <c r="AT84" s="2">
        <v>45681</v>
      </c>
      <c r="AU84" t="s">
        <v>1592</v>
      </c>
      <c r="AV84">
        <v>5</v>
      </c>
      <c r="AW84">
        <v>1.18E-2</v>
      </c>
      <c r="AX84">
        <v>6.6914381692440701</v>
      </c>
      <c r="AY84">
        <v>671.6420373735474</v>
      </c>
      <c r="AZ84">
        <v>0.42399999999999999</v>
      </c>
      <c r="BA84">
        <v>1.0800000000000001E-2</v>
      </c>
      <c r="BB84">
        <v>16.401499999999999</v>
      </c>
      <c r="BC84" s="2">
        <v>45681</v>
      </c>
      <c r="BD84" t="s">
        <v>1790</v>
      </c>
      <c r="BE84">
        <v>6</v>
      </c>
      <c r="BF84">
        <v>1.18E-2</v>
      </c>
      <c r="BG84">
        <v>6.6900080739089507</v>
      </c>
      <c r="BH84">
        <v>671.50875248831426</v>
      </c>
      <c r="BI84">
        <v>0.42399999999999999</v>
      </c>
      <c r="BJ84">
        <v>1.0800000000000001E-2</v>
      </c>
      <c r="BK84">
        <v>16.403299999999945</v>
      </c>
      <c r="BU84" s="2">
        <v>45681</v>
      </c>
      <c r="BV84" t="s">
        <v>2072</v>
      </c>
      <c r="BW84">
        <v>7</v>
      </c>
      <c r="BX84">
        <v>3.2599999999999997E-2</v>
      </c>
      <c r="BY84">
        <v>7.8376318055956498</v>
      </c>
      <c r="BZ84">
        <v>778.46728428151459</v>
      </c>
      <c r="CA84">
        <v>0.42399999999999999</v>
      </c>
      <c r="CB84">
        <v>2.86E-2</v>
      </c>
      <c r="CC84">
        <v>16.801100000000019</v>
      </c>
      <c r="CD84" s="2">
        <v>45681</v>
      </c>
      <c r="CE84" t="s">
        <v>2186</v>
      </c>
      <c r="CF84">
        <v>7</v>
      </c>
      <c r="CG84">
        <v>1.14E-2</v>
      </c>
      <c r="CH84">
        <v>6.6886992143280697</v>
      </c>
      <c r="CI84">
        <v>671.38676677537615</v>
      </c>
      <c r="CJ84">
        <v>0.42399999999999999</v>
      </c>
      <c r="CK84">
        <v>1.0800000000000001E-2</v>
      </c>
      <c r="CL84">
        <v>16.401200000000017</v>
      </c>
    </row>
    <row r="85" spans="1:90" x14ac:dyDescent="0.3">
      <c r="A85" s="2">
        <v>45681</v>
      </c>
      <c r="B85" t="s">
        <v>297</v>
      </c>
      <c r="C85">
        <v>1</v>
      </c>
      <c r="D85">
        <v>3.7000000000000002E-3</v>
      </c>
      <c r="E85">
        <v>6.3095870635963234</v>
      </c>
      <c r="F85">
        <v>636.05351432717737</v>
      </c>
      <c r="G85">
        <v>0.42399999999999999</v>
      </c>
      <c r="H85">
        <v>4.8999999999999998E-3</v>
      </c>
      <c r="I85">
        <v>16.599099999999993</v>
      </c>
      <c r="J85" s="2">
        <v>45681</v>
      </c>
      <c r="K85" t="s">
        <v>497</v>
      </c>
      <c r="L85">
        <v>1</v>
      </c>
      <c r="M85">
        <v>9.7000000000000003E-3</v>
      </c>
      <c r="N85">
        <v>6.484913670104226</v>
      </c>
      <c r="O85">
        <v>652.39395405371386</v>
      </c>
      <c r="P85">
        <v>0.42399999999999999</v>
      </c>
      <c r="Q85">
        <v>7.6E-3</v>
      </c>
      <c r="R85">
        <v>17.004100000000022</v>
      </c>
      <c r="S85" s="2">
        <v>45681</v>
      </c>
      <c r="T85" t="s">
        <v>893</v>
      </c>
      <c r="U85">
        <v>3</v>
      </c>
      <c r="V85">
        <v>9.4000000000000004E-3</v>
      </c>
      <c r="W85">
        <v>6.6211518420917539</v>
      </c>
      <c r="X85">
        <v>665.09135168295143</v>
      </c>
      <c r="Y85">
        <v>0.42399999999999999</v>
      </c>
      <c r="Z85">
        <v>9.7000000000000003E-3</v>
      </c>
      <c r="AA85">
        <v>16.600600000000043</v>
      </c>
      <c r="AB85" s="2">
        <v>45681</v>
      </c>
      <c r="AC85" t="s">
        <v>1093</v>
      </c>
      <c r="AD85">
        <v>3</v>
      </c>
      <c r="AE85">
        <v>9.5999999999999992E-3</v>
      </c>
      <c r="AF85">
        <v>6.6209632981930211</v>
      </c>
      <c r="AG85">
        <v>665.0737793915896</v>
      </c>
      <c r="AH85">
        <v>0.42399999999999999</v>
      </c>
      <c r="AI85">
        <v>9.7000000000000003E-3</v>
      </c>
      <c r="AJ85">
        <v>16.599899999999991</v>
      </c>
      <c r="AK85" s="2">
        <v>45681</v>
      </c>
      <c r="AL85" t="s">
        <v>1393</v>
      </c>
      <c r="AM85">
        <v>4</v>
      </c>
      <c r="AN85">
        <v>1.04E-2</v>
      </c>
      <c r="AO85">
        <v>6.618912021668959</v>
      </c>
      <c r="AP85">
        <v>664.88260041954697</v>
      </c>
      <c r="AQ85">
        <v>0.42399999999999999</v>
      </c>
      <c r="AR85">
        <v>9.7000000000000003E-3</v>
      </c>
      <c r="AS85">
        <v>16.601299999999981</v>
      </c>
      <c r="AT85" s="2">
        <v>45681</v>
      </c>
      <c r="AU85" t="s">
        <v>1593</v>
      </c>
      <c r="AV85">
        <v>5</v>
      </c>
      <c r="AW85">
        <v>1.04E-2</v>
      </c>
      <c r="AX85">
        <v>6.6184027504070047</v>
      </c>
      <c r="AY85">
        <v>664.83513633793291</v>
      </c>
      <c r="AZ85">
        <v>0.42399999999999999</v>
      </c>
      <c r="BA85">
        <v>9.7000000000000003E-3</v>
      </c>
      <c r="BB85">
        <v>16.601900000000001</v>
      </c>
      <c r="BC85" s="2">
        <v>45681</v>
      </c>
      <c r="BD85" t="s">
        <v>1791</v>
      </c>
      <c r="BE85">
        <v>6</v>
      </c>
      <c r="BF85">
        <v>1.0500000000000001E-2</v>
      </c>
      <c r="BG85">
        <v>6.6176501966950747</v>
      </c>
      <c r="BH85">
        <v>664.76499833198102</v>
      </c>
      <c r="BI85">
        <v>0.42399999999999999</v>
      </c>
      <c r="BJ85">
        <v>9.7000000000000003E-3</v>
      </c>
      <c r="BK85">
        <v>16.601900000000001</v>
      </c>
      <c r="BU85" s="2">
        <v>45681</v>
      </c>
      <c r="BV85" t="s">
        <v>2073</v>
      </c>
      <c r="BW85">
        <v>7</v>
      </c>
      <c r="BX85">
        <v>3.0700000000000002E-2</v>
      </c>
      <c r="BY85">
        <v>7.7569662381857842</v>
      </c>
      <c r="BZ85">
        <v>770.94925339891506</v>
      </c>
      <c r="CA85">
        <v>0.42399999999999999</v>
      </c>
      <c r="CB85">
        <v>2.7400000000000001E-2</v>
      </c>
      <c r="CC85">
        <v>17.002700000000004</v>
      </c>
      <c r="CD85" s="2">
        <v>45681</v>
      </c>
      <c r="CE85" t="s">
        <v>2187</v>
      </c>
      <c r="CF85">
        <v>7</v>
      </c>
      <c r="CG85">
        <v>9.9000000000000008E-3</v>
      </c>
      <c r="CH85">
        <v>6.6153313094760371</v>
      </c>
      <c r="CI85">
        <v>664.54887804316672</v>
      </c>
      <c r="CJ85">
        <v>0.42399999999999999</v>
      </c>
      <c r="CK85">
        <v>9.5999999999999992E-3</v>
      </c>
      <c r="CL85">
        <v>16.602800000000002</v>
      </c>
    </row>
    <row r="86" spans="1:90" x14ac:dyDescent="0.3">
      <c r="A86" s="2">
        <v>45681</v>
      </c>
      <c r="B86" t="s">
        <v>298</v>
      </c>
      <c r="C86">
        <v>1</v>
      </c>
      <c r="D86">
        <v>2.8999999999999998E-3</v>
      </c>
      <c r="E86">
        <v>6.2743440325744508</v>
      </c>
      <c r="F86">
        <v>632.76886383593887</v>
      </c>
      <c r="G86">
        <v>0.42399999999999999</v>
      </c>
      <c r="H86">
        <v>4.3E-3</v>
      </c>
      <c r="I86">
        <v>16.79989999999998</v>
      </c>
      <c r="J86" s="2">
        <v>45681</v>
      </c>
      <c r="K86" t="s">
        <v>498</v>
      </c>
      <c r="L86">
        <v>1</v>
      </c>
      <c r="M86">
        <v>6.1999999999999998E-3</v>
      </c>
      <c r="N86">
        <v>6.4218678341339954</v>
      </c>
      <c r="O86">
        <v>646.51808214128835</v>
      </c>
      <c r="P86">
        <v>0.42399999999999999</v>
      </c>
      <c r="Q86">
        <v>6.6E-3</v>
      </c>
      <c r="R86">
        <v>17.202199999999976</v>
      </c>
      <c r="S86" s="2">
        <v>45681</v>
      </c>
      <c r="T86" t="s">
        <v>894</v>
      </c>
      <c r="U86">
        <v>3</v>
      </c>
      <c r="V86">
        <v>8.3999999999999995E-3</v>
      </c>
      <c r="W86">
        <v>6.5507369807116991</v>
      </c>
      <c r="X86">
        <v>658.52868660233037</v>
      </c>
      <c r="Y86">
        <v>0.42399999999999999</v>
      </c>
      <c r="Z86">
        <v>8.6E-3</v>
      </c>
      <c r="AA86">
        <v>16.801400000000001</v>
      </c>
      <c r="AB86" s="2">
        <v>45681</v>
      </c>
      <c r="AC86" t="s">
        <v>1094</v>
      </c>
      <c r="AD86">
        <v>3</v>
      </c>
      <c r="AE86">
        <v>8.8000000000000005E-3</v>
      </c>
      <c r="AF86">
        <v>6.5500817399797597</v>
      </c>
      <c r="AG86">
        <v>658.46761816611365</v>
      </c>
      <c r="AH86">
        <v>0.42399999999999999</v>
      </c>
      <c r="AI86">
        <v>8.6E-3</v>
      </c>
      <c r="AJ86">
        <v>16.802099999999996</v>
      </c>
      <c r="AK86" s="2">
        <v>45681</v>
      </c>
      <c r="AL86" t="s">
        <v>1394</v>
      </c>
      <c r="AM86">
        <v>4</v>
      </c>
      <c r="AN86">
        <v>9.5999999999999992E-3</v>
      </c>
      <c r="AO86">
        <v>6.5491410478398446</v>
      </c>
      <c r="AP86">
        <v>658.37994565867359</v>
      </c>
      <c r="AQ86">
        <v>0.42399999999999999</v>
      </c>
      <c r="AR86">
        <v>8.6E-3</v>
      </c>
      <c r="AS86">
        <v>16.800599999999974</v>
      </c>
      <c r="AT86" s="2">
        <v>45681</v>
      </c>
      <c r="AU86" t="s">
        <v>1594</v>
      </c>
      <c r="AV86">
        <v>5</v>
      </c>
      <c r="AW86">
        <v>9.4999999999999998E-3</v>
      </c>
      <c r="AX86">
        <v>6.5487526068613811</v>
      </c>
      <c r="AY86">
        <v>658.34374295948078</v>
      </c>
      <c r="AZ86">
        <v>0.42399999999999999</v>
      </c>
      <c r="BA86">
        <v>8.6E-3</v>
      </c>
      <c r="BB86">
        <v>16.800799999999981</v>
      </c>
      <c r="BC86" s="2">
        <v>45681</v>
      </c>
      <c r="BD86" t="s">
        <v>1792</v>
      </c>
      <c r="BE86">
        <v>6</v>
      </c>
      <c r="BF86">
        <v>9.7999999999999997E-3</v>
      </c>
      <c r="BG86">
        <v>6.5477490667552241</v>
      </c>
      <c r="BH86">
        <v>658.25021302158689</v>
      </c>
      <c r="BI86">
        <v>0.42399999999999999</v>
      </c>
      <c r="BJ86">
        <v>8.6E-3</v>
      </c>
      <c r="BK86">
        <v>16.801600000000008</v>
      </c>
      <c r="BU86" s="2">
        <v>45681</v>
      </c>
      <c r="BV86" t="s">
        <v>2074</v>
      </c>
      <c r="BW86">
        <v>7</v>
      </c>
      <c r="BX86">
        <v>2.9600000000000001E-2</v>
      </c>
      <c r="BY86">
        <v>7.6760391421421916</v>
      </c>
      <c r="BZ86">
        <v>763.40684804765226</v>
      </c>
      <c r="CA86">
        <v>0.42399999999999999</v>
      </c>
      <c r="CB86">
        <v>2.6100000000000002E-2</v>
      </c>
      <c r="CC86">
        <v>17.200799999999958</v>
      </c>
      <c r="CD86" s="2">
        <v>45681</v>
      </c>
      <c r="CE86" t="s">
        <v>2188</v>
      </c>
      <c r="CF86">
        <v>7</v>
      </c>
      <c r="CG86">
        <v>8.9999999999999993E-3</v>
      </c>
      <c r="CH86">
        <v>5.9957334838115024</v>
      </c>
      <c r="CI86">
        <v>606.80236069123202</v>
      </c>
      <c r="CJ86">
        <v>0.42399999999999999</v>
      </c>
      <c r="CK86">
        <v>0</v>
      </c>
      <c r="CL86">
        <v>16.801500000000033</v>
      </c>
    </row>
    <row r="87" spans="1:90" x14ac:dyDescent="0.3">
      <c r="A87" s="2">
        <v>45681</v>
      </c>
      <c r="B87" t="s">
        <v>299</v>
      </c>
      <c r="C87">
        <v>1</v>
      </c>
      <c r="D87">
        <v>2.3999999999999998E-3</v>
      </c>
      <c r="E87">
        <v>6.2406201382643864</v>
      </c>
      <c r="F87">
        <v>629.62579688624078</v>
      </c>
      <c r="G87">
        <v>0.42399999999999999</v>
      </c>
      <c r="H87">
        <v>3.8E-3</v>
      </c>
      <c r="I87">
        <v>17.000899999999973</v>
      </c>
      <c r="J87" s="2">
        <v>45681</v>
      </c>
      <c r="K87" t="s">
        <v>499</v>
      </c>
      <c r="L87">
        <v>1</v>
      </c>
      <c r="M87">
        <v>6.0000000000000001E-3</v>
      </c>
      <c r="N87">
        <v>6.3621071221799674</v>
      </c>
      <c r="O87">
        <v>640.94838378717293</v>
      </c>
      <c r="P87">
        <v>0.42399999999999999</v>
      </c>
      <c r="Q87">
        <v>5.7000000000000002E-3</v>
      </c>
      <c r="R87">
        <v>17.40130000000002</v>
      </c>
      <c r="S87" s="2">
        <v>45681</v>
      </c>
      <c r="T87" t="s">
        <v>895</v>
      </c>
      <c r="U87">
        <v>3</v>
      </c>
      <c r="V87">
        <v>7.0000000000000001E-3</v>
      </c>
      <c r="W87">
        <v>6.4838553914468218</v>
      </c>
      <c r="X87">
        <v>652.29532248284386</v>
      </c>
      <c r="Y87">
        <v>0.42399999999999999</v>
      </c>
      <c r="Z87">
        <v>7.6E-3</v>
      </c>
      <c r="AA87">
        <v>17.001100000000008</v>
      </c>
      <c r="AB87" s="2">
        <v>45681</v>
      </c>
      <c r="AC87" t="s">
        <v>1095</v>
      </c>
      <c r="AD87">
        <v>3</v>
      </c>
      <c r="AE87">
        <v>7.4999999999999997E-3</v>
      </c>
      <c r="AF87">
        <v>6.4831839318848834</v>
      </c>
      <c r="AG87">
        <v>652.23274245167102</v>
      </c>
      <c r="AH87">
        <v>0.42399999999999999</v>
      </c>
      <c r="AI87">
        <v>7.6E-3</v>
      </c>
      <c r="AJ87">
        <v>17.001899999999978</v>
      </c>
      <c r="AK87" s="2">
        <v>45681</v>
      </c>
      <c r="AL87" t="s">
        <v>1395</v>
      </c>
      <c r="AM87">
        <v>4</v>
      </c>
      <c r="AN87">
        <v>8.0000000000000002E-3</v>
      </c>
      <c r="AO87">
        <v>6.482098081216483</v>
      </c>
      <c r="AP87">
        <v>652.13154116937619</v>
      </c>
      <c r="AQ87">
        <v>0.42399999999999999</v>
      </c>
      <c r="AR87">
        <v>7.6E-3</v>
      </c>
      <c r="AS87">
        <v>17.000900000000001</v>
      </c>
      <c r="AT87" s="2">
        <v>45681</v>
      </c>
      <c r="AU87" t="s">
        <v>1595</v>
      </c>
      <c r="AV87">
        <v>5</v>
      </c>
      <c r="AW87">
        <v>7.7999999999999996E-3</v>
      </c>
      <c r="AX87">
        <v>6.481538531581533</v>
      </c>
      <c r="AY87">
        <v>652.07939114339888</v>
      </c>
      <c r="AZ87">
        <v>0.42399999999999999</v>
      </c>
      <c r="BA87">
        <v>7.4999999999999997E-3</v>
      </c>
      <c r="BB87">
        <v>17.001800000000003</v>
      </c>
      <c r="BC87" s="2">
        <v>45681</v>
      </c>
      <c r="BD87" t="s">
        <v>1793</v>
      </c>
      <c r="BE87">
        <v>6</v>
      </c>
      <c r="BF87">
        <v>8.0999999999999996E-3</v>
      </c>
      <c r="BG87">
        <v>6.4807255627278586</v>
      </c>
      <c r="BH87">
        <v>652.00362244623648</v>
      </c>
      <c r="BI87">
        <v>0.42399999999999999</v>
      </c>
      <c r="BJ87">
        <v>7.4999999999999997E-3</v>
      </c>
      <c r="BK87">
        <v>17.002200000000016</v>
      </c>
      <c r="BU87" s="2">
        <v>45681</v>
      </c>
      <c r="BV87" t="s">
        <v>2075</v>
      </c>
      <c r="BW87">
        <v>7</v>
      </c>
      <c r="BX87">
        <v>2.7900000000000001E-2</v>
      </c>
      <c r="BY87">
        <v>7.5929058797480531</v>
      </c>
      <c r="BZ87">
        <v>755.65882799251858</v>
      </c>
      <c r="CA87">
        <v>0.42399999999999999</v>
      </c>
      <c r="CB87">
        <v>2.4799999999999999E-2</v>
      </c>
      <c r="CC87">
        <v>17.401200000000017</v>
      </c>
      <c r="CD87" s="2">
        <v>45681</v>
      </c>
      <c r="CE87" t="s">
        <v>2189</v>
      </c>
      <c r="CF87">
        <v>7</v>
      </c>
      <c r="CG87">
        <v>3.3E-3</v>
      </c>
      <c r="CH87">
        <v>5.9957334838115024</v>
      </c>
      <c r="CI87">
        <v>606.80236069123202</v>
      </c>
      <c r="CJ87">
        <v>0.42399999999999999</v>
      </c>
      <c r="CK87">
        <v>0</v>
      </c>
      <c r="CL87">
        <v>17.000800000000027</v>
      </c>
    </row>
    <row r="88" spans="1:90" x14ac:dyDescent="0.3">
      <c r="A88" s="2">
        <v>45681</v>
      </c>
      <c r="B88" t="s">
        <v>300</v>
      </c>
      <c r="C88">
        <v>1</v>
      </c>
      <c r="D88">
        <v>2.3E-3</v>
      </c>
      <c r="E88">
        <v>6.2086790988419116</v>
      </c>
      <c r="F88">
        <v>626.6488920120662</v>
      </c>
      <c r="G88">
        <v>0.42399999999999999</v>
      </c>
      <c r="H88">
        <v>3.3E-3</v>
      </c>
      <c r="I88">
        <v>17.201599999999985</v>
      </c>
      <c r="J88" s="2">
        <v>45681</v>
      </c>
      <c r="K88" t="s">
        <v>500</v>
      </c>
      <c r="L88">
        <v>1</v>
      </c>
      <c r="M88">
        <v>4.5999999999999999E-3</v>
      </c>
      <c r="N88">
        <v>6.3060546835167974</v>
      </c>
      <c r="O88">
        <v>635.72429650376546</v>
      </c>
      <c r="P88">
        <v>0.42399999999999999</v>
      </c>
      <c r="Q88">
        <v>4.7999999999999996E-3</v>
      </c>
      <c r="R88">
        <v>17.600899999999996</v>
      </c>
      <c r="S88" s="2">
        <v>45681</v>
      </c>
      <c r="T88" t="s">
        <v>896</v>
      </c>
      <c r="U88">
        <v>3</v>
      </c>
      <c r="V88">
        <v>6.1000000000000004E-3</v>
      </c>
      <c r="W88">
        <v>6.4204158433783789</v>
      </c>
      <c r="X88">
        <v>646.3827566028649</v>
      </c>
      <c r="Y88">
        <v>0.42399999999999999</v>
      </c>
      <c r="Z88">
        <v>6.6E-3</v>
      </c>
      <c r="AA88">
        <v>17.200600000000009</v>
      </c>
      <c r="AB88" s="2">
        <v>45681</v>
      </c>
      <c r="AC88" t="s">
        <v>1096</v>
      </c>
      <c r="AD88">
        <v>3</v>
      </c>
      <c r="AE88">
        <v>6.1999999999999998E-3</v>
      </c>
      <c r="AF88">
        <v>6.4200728151239099</v>
      </c>
      <c r="AG88">
        <v>646.35078636954847</v>
      </c>
      <c r="AH88">
        <v>0.42399999999999999</v>
      </c>
      <c r="AI88">
        <v>6.6E-3</v>
      </c>
      <c r="AJ88">
        <v>17.200499999999977</v>
      </c>
      <c r="AK88" s="2">
        <v>45681</v>
      </c>
      <c r="AL88" t="s">
        <v>1396</v>
      </c>
      <c r="AM88">
        <v>4</v>
      </c>
      <c r="AN88">
        <v>6.4000000000000003E-3</v>
      </c>
      <c r="AO88">
        <v>6.4187534133035307</v>
      </c>
      <c r="AP88">
        <v>646.22781811988909</v>
      </c>
      <c r="AQ88">
        <v>0.42399999999999999</v>
      </c>
      <c r="AR88">
        <v>6.6E-3</v>
      </c>
      <c r="AS88">
        <v>17.200499999999977</v>
      </c>
      <c r="AT88" s="2">
        <v>45681</v>
      </c>
      <c r="AU88" t="s">
        <v>1596</v>
      </c>
      <c r="AV88">
        <v>5</v>
      </c>
      <c r="AW88">
        <v>6.4000000000000003E-3</v>
      </c>
      <c r="AX88">
        <v>6.4184484992995587</v>
      </c>
      <c r="AY88">
        <v>646.19940013471887</v>
      </c>
      <c r="AZ88">
        <v>0.42399999999999999</v>
      </c>
      <c r="BA88">
        <v>6.6E-3</v>
      </c>
      <c r="BB88">
        <v>17.200499999999977</v>
      </c>
      <c r="BC88" s="2">
        <v>45681</v>
      </c>
      <c r="BD88" t="s">
        <v>1794</v>
      </c>
      <c r="BE88">
        <v>6</v>
      </c>
      <c r="BF88">
        <v>7.1000000000000004E-3</v>
      </c>
      <c r="BG88">
        <v>6.417440499015151</v>
      </c>
      <c r="BH88">
        <v>646.10545450821212</v>
      </c>
      <c r="BI88">
        <v>0.42399999999999999</v>
      </c>
      <c r="BJ88">
        <v>6.6E-3</v>
      </c>
      <c r="BK88">
        <v>17.20169999999996</v>
      </c>
      <c r="BU88" s="2">
        <v>45681</v>
      </c>
      <c r="BV88" t="s">
        <v>2076</v>
      </c>
      <c r="BW88">
        <v>7</v>
      </c>
      <c r="BX88">
        <v>2.63E-2</v>
      </c>
      <c r="BY88">
        <v>7.5082265573843037</v>
      </c>
      <c r="BZ88">
        <v>747.76671514821714</v>
      </c>
      <c r="CA88">
        <v>0.42399999999999999</v>
      </c>
      <c r="CB88">
        <v>2.35E-2</v>
      </c>
      <c r="CC88">
        <v>17.602999999999952</v>
      </c>
      <c r="CD88" s="2">
        <v>45681</v>
      </c>
      <c r="CE88" t="s">
        <v>2190</v>
      </c>
      <c r="CF88">
        <v>7</v>
      </c>
      <c r="CG88">
        <v>1E-3</v>
      </c>
      <c r="CH88">
        <v>5.9957334838115024</v>
      </c>
      <c r="CI88">
        <v>606.80236069123202</v>
      </c>
      <c r="CJ88">
        <v>0.42399999999999999</v>
      </c>
      <c r="CK88">
        <v>0</v>
      </c>
      <c r="CL88">
        <v>17.200699999999983</v>
      </c>
    </row>
    <row r="89" spans="1:90" x14ac:dyDescent="0.3">
      <c r="A89" s="2">
        <v>45681</v>
      </c>
      <c r="B89" t="s">
        <v>301</v>
      </c>
      <c r="C89">
        <v>1</v>
      </c>
      <c r="D89">
        <v>1.5E-3</v>
      </c>
      <c r="E89">
        <v>6.1791309855974141</v>
      </c>
      <c r="F89">
        <v>623.89500785767905</v>
      </c>
      <c r="G89">
        <v>0.42399999999999999</v>
      </c>
      <c r="H89">
        <v>2.8E-3</v>
      </c>
      <c r="I89">
        <v>17.398399999999981</v>
      </c>
      <c r="J89" s="2">
        <v>45681</v>
      </c>
      <c r="K89" t="s">
        <v>501</v>
      </c>
      <c r="L89">
        <v>1</v>
      </c>
      <c r="M89">
        <v>3.7000000000000002E-3</v>
      </c>
      <c r="N89">
        <v>6.2542660130719394</v>
      </c>
      <c r="O89">
        <v>630.89759241830473</v>
      </c>
      <c r="P89">
        <v>0.42399999999999999</v>
      </c>
      <c r="Q89">
        <v>4.0000000000000001E-3</v>
      </c>
      <c r="R89">
        <v>17.799900000000008</v>
      </c>
      <c r="S89" s="2">
        <v>45681</v>
      </c>
      <c r="T89" t="s">
        <v>897</v>
      </c>
      <c r="U89">
        <v>3</v>
      </c>
      <c r="V89">
        <v>4.7999999999999996E-3</v>
      </c>
      <c r="W89">
        <v>6.3606869608782208</v>
      </c>
      <c r="X89">
        <v>640.81602475385023</v>
      </c>
      <c r="Y89">
        <v>0.42399999999999999</v>
      </c>
      <c r="Z89">
        <v>5.7000000000000002E-3</v>
      </c>
      <c r="AA89">
        <v>17.399900000000002</v>
      </c>
      <c r="AB89" s="2">
        <v>45681</v>
      </c>
      <c r="AC89" t="s">
        <v>1097</v>
      </c>
      <c r="AD89">
        <v>3</v>
      </c>
      <c r="AE89">
        <v>5.5999999999999999E-3</v>
      </c>
      <c r="AF89">
        <v>6.3603510283618769</v>
      </c>
      <c r="AG89">
        <v>640.78471584332692</v>
      </c>
      <c r="AH89">
        <v>0.42399999999999999</v>
      </c>
      <c r="AI89">
        <v>5.7000000000000002E-3</v>
      </c>
      <c r="AJ89">
        <v>17.399799999999971</v>
      </c>
      <c r="AK89" s="2">
        <v>45681</v>
      </c>
      <c r="AL89" t="s">
        <v>1397</v>
      </c>
      <c r="AM89">
        <v>4</v>
      </c>
      <c r="AN89">
        <v>5.5999999999999999E-3</v>
      </c>
      <c r="AO89">
        <v>6.3588166054027928</v>
      </c>
      <c r="AP89">
        <v>640.64170762354036</v>
      </c>
      <c r="AQ89">
        <v>0.42399999999999999</v>
      </c>
      <c r="AR89">
        <v>5.5999999999999999E-3</v>
      </c>
      <c r="AS89">
        <v>17.400800000000004</v>
      </c>
      <c r="AT89" s="2">
        <v>45681</v>
      </c>
      <c r="AU89" t="s">
        <v>1597</v>
      </c>
      <c r="AV89">
        <v>5</v>
      </c>
      <c r="AW89">
        <v>5.5999999999999999E-3</v>
      </c>
      <c r="AX89">
        <v>6.3584321380376787</v>
      </c>
      <c r="AY89">
        <v>640.60587526511165</v>
      </c>
      <c r="AZ89">
        <v>0.42399999999999999</v>
      </c>
      <c r="BA89">
        <v>5.5999999999999999E-3</v>
      </c>
      <c r="BB89">
        <v>17.401299999999992</v>
      </c>
      <c r="BC89" s="2">
        <v>45681</v>
      </c>
      <c r="BD89" t="s">
        <v>1795</v>
      </c>
      <c r="BE89">
        <v>6</v>
      </c>
      <c r="BF89">
        <v>5.4999999999999997E-3</v>
      </c>
      <c r="BG89">
        <v>6.3573456386160769</v>
      </c>
      <c r="BH89">
        <v>640.50461351901833</v>
      </c>
      <c r="BI89">
        <v>0.42399999999999999</v>
      </c>
      <c r="BJ89">
        <v>5.5999999999999999E-3</v>
      </c>
      <c r="BK89">
        <v>17.402900000000045</v>
      </c>
      <c r="BU89" s="2">
        <v>45681</v>
      </c>
      <c r="BV89" t="s">
        <v>2077</v>
      </c>
      <c r="BW89">
        <v>7</v>
      </c>
      <c r="BX89">
        <v>2.5100000000000001E-2</v>
      </c>
      <c r="BY89">
        <v>7.4243212786822337</v>
      </c>
      <c r="BZ89">
        <v>739.94674317318425</v>
      </c>
      <c r="CA89">
        <v>0.42399999999999999</v>
      </c>
      <c r="CB89">
        <v>2.2200000000000001E-2</v>
      </c>
      <c r="CC89">
        <v>17.801399999999944</v>
      </c>
      <c r="CD89" s="2">
        <v>45681</v>
      </c>
      <c r="CE89" t="s">
        <v>2191</v>
      </c>
      <c r="CF89">
        <v>7</v>
      </c>
      <c r="CG89">
        <v>0</v>
      </c>
      <c r="CH89">
        <v>5.9957334838115024</v>
      </c>
      <c r="CI89">
        <v>606.80236069123202</v>
      </c>
      <c r="CJ89">
        <v>0.42399999999999999</v>
      </c>
      <c r="CK89">
        <v>0</v>
      </c>
      <c r="CL89">
        <v>17.402300000000082</v>
      </c>
    </row>
    <row r="90" spans="1:90" x14ac:dyDescent="0.3">
      <c r="A90" s="2">
        <v>45681</v>
      </c>
      <c r="B90" t="s">
        <v>302</v>
      </c>
      <c r="C90">
        <v>1</v>
      </c>
      <c r="D90">
        <v>8.9999999999999998E-4</v>
      </c>
      <c r="E90">
        <v>6.1511034687594304</v>
      </c>
      <c r="F90">
        <v>621.2828432883789</v>
      </c>
      <c r="G90">
        <v>0.42399999999999999</v>
      </c>
      <c r="H90">
        <v>2.3999999999999998E-3</v>
      </c>
      <c r="I90">
        <v>17.597999999999985</v>
      </c>
      <c r="J90" s="2">
        <v>45681</v>
      </c>
      <c r="K90" t="s">
        <v>502</v>
      </c>
      <c r="L90">
        <v>1</v>
      </c>
      <c r="M90">
        <v>2.0999999999999999E-3</v>
      </c>
      <c r="N90">
        <v>6.206491138128035</v>
      </c>
      <c r="O90">
        <v>626.44497407353288</v>
      </c>
      <c r="P90">
        <v>0.42399999999999999</v>
      </c>
      <c r="Q90">
        <v>3.3E-3</v>
      </c>
      <c r="R90">
        <v>17.999899999999997</v>
      </c>
      <c r="S90" s="2">
        <v>45681</v>
      </c>
      <c r="T90" t="s">
        <v>898</v>
      </c>
      <c r="U90">
        <v>3</v>
      </c>
      <c r="V90">
        <v>3.8999999999999998E-3</v>
      </c>
      <c r="W90">
        <v>6.3049357058881252</v>
      </c>
      <c r="X90">
        <v>635.62000778877325</v>
      </c>
      <c r="Y90">
        <v>0.42399999999999999</v>
      </c>
      <c r="Z90">
        <v>4.7999999999999996E-3</v>
      </c>
      <c r="AA90">
        <v>17.59880000000004</v>
      </c>
      <c r="AB90" s="2">
        <v>45681</v>
      </c>
      <c r="AC90" t="s">
        <v>1098</v>
      </c>
      <c r="AD90">
        <v>3</v>
      </c>
      <c r="AE90">
        <v>4.1999999999999997E-3</v>
      </c>
      <c r="AF90">
        <v>6.3043735612403751</v>
      </c>
      <c r="AG90">
        <v>635.567615907603</v>
      </c>
      <c r="AH90">
        <v>0.42399999999999999</v>
      </c>
      <c r="AI90">
        <v>4.7999999999999996E-3</v>
      </c>
      <c r="AJ90">
        <v>17.599600000000009</v>
      </c>
      <c r="AK90" s="2">
        <v>45681</v>
      </c>
      <c r="AL90" t="s">
        <v>1398</v>
      </c>
      <c r="AM90">
        <v>4</v>
      </c>
      <c r="AN90">
        <v>4.1000000000000003E-3</v>
      </c>
      <c r="AO90">
        <v>6.3033707509815686</v>
      </c>
      <c r="AP90">
        <v>635.47415399148224</v>
      </c>
      <c r="AQ90">
        <v>0.42399999999999999</v>
      </c>
      <c r="AR90">
        <v>4.7999999999999996E-3</v>
      </c>
      <c r="AS90">
        <v>17.599099999999964</v>
      </c>
      <c r="AT90" s="2">
        <v>45681</v>
      </c>
      <c r="AU90" t="s">
        <v>1598</v>
      </c>
      <c r="AV90">
        <v>5</v>
      </c>
      <c r="AW90">
        <v>4.5999999999999999E-3</v>
      </c>
      <c r="AX90">
        <v>6.302633199687385</v>
      </c>
      <c r="AY90">
        <v>635.40541421086425</v>
      </c>
      <c r="AZ90">
        <v>0.42399999999999999</v>
      </c>
      <c r="BA90">
        <v>4.7999999999999996E-3</v>
      </c>
      <c r="BB90">
        <v>17.600899999999967</v>
      </c>
      <c r="BC90" s="2">
        <v>45681</v>
      </c>
      <c r="BD90" t="s">
        <v>1796</v>
      </c>
      <c r="BE90">
        <v>6</v>
      </c>
      <c r="BF90">
        <v>4.4000000000000003E-3</v>
      </c>
      <c r="BG90">
        <v>6.3017526388596918</v>
      </c>
      <c r="BH90">
        <v>635.32334594172335</v>
      </c>
      <c r="BI90">
        <v>0.42399999999999999</v>
      </c>
      <c r="BJ90">
        <v>4.7999999999999996E-3</v>
      </c>
      <c r="BK90">
        <v>17.60209999999995</v>
      </c>
      <c r="BU90" s="2">
        <v>45681</v>
      </c>
      <c r="BV90" t="s">
        <v>2078</v>
      </c>
      <c r="BW90">
        <v>7</v>
      </c>
      <c r="BX90">
        <v>2.41E-2</v>
      </c>
      <c r="BY90">
        <v>7.339044292433039</v>
      </c>
      <c r="BZ90">
        <v>731.99892805475929</v>
      </c>
      <c r="CA90">
        <v>0.42399999999999999</v>
      </c>
      <c r="CB90">
        <v>2.0899999999999998E-2</v>
      </c>
      <c r="CC90">
        <v>18.002299999999991</v>
      </c>
      <c r="CD90" s="2">
        <v>45681</v>
      </c>
      <c r="CE90" t="s">
        <v>2192</v>
      </c>
      <c r="CF90">
        <v>7</v>
      </c>
      <c r="CG90">
        <v>0</v>
      </c>
      <c r="CH90">
        <v>5.9957334838115024</v>
      </c>
      <c r="CI90">
        <v>606.80236069123202</v>
      </c>
      <c r="CJ90">
        <v>0.42399999999999999</v>
      </c>
      <c r="CK90">
        <v>0</v>
      </c>
      <c r="CL90">
        <v>17.601800000000026</v>
      </c>
    </row>
    <row r="91" spans="1:90" x14ac:dyDescent="0.3">
      <c r="A91" s="2">
        <v>45681</v>
      </c>
      <c r="B91" t="s">
        <v>303</v>
      </c>
      <c r="C91">
        <v>1</v>
      </c>
      <c r="D91">
        <v>8.9999999999999998E-4</v>
      </c>
      <c r="E91">
        <v>6.1247895524049403</v>
      </c>
      <c r="F91">
        <v>618.83038628414045</v>
      </c>
      <c r="G91">
        <v>0.42399999999999999</v>
      </c>
      <c r="H91">
        <v>2E-3</v>
      </c>
      <c r="I91">
        <v>17.800099999999986</v>
      </c>
      <c r="J91" s="2">
        <v>45681</v>
      </c>
      <c r="K91" t="s">
        <v>503</v>
      </c>
      <c r="L91">
        <v>1</v>
      </c>
      <c r="M91">
        <v>1.4E-3</v>
      </c>
      <c r="N91">
        <v>6.1630224436428893</v>
      </c>
      <c r="O91">
        <v>622.39369174751732</v>
      </c>
      <c r="P91">
        <v>0.42399999999999999</v>
      </c>
      <c r="Q91">
        <v>2.5999999999999999E-3</v>
      </c>
      <c r="R91">
        <v>18.200900000000019</v>
      </c>
      <c r="S91" s="2">
        <v>45681</v>
      </c>
      <c r="T91" t="s">
        <v>899</v>
      </c>
      <c r="U91">
        <v>3</v>
      </c>
      <c r="V91">
        <v>3.0999999999999999E-3</v>
      </c>
      <c r="W91">
        <v>6.2524955655893004</v>
      </c>
      <c r="X91">
        <v>630.73258671292285</v>
      </c>
      <c r="Y91">
        <v>0.42399999999999999</v>
      </c>
      <c r="Z91">
        <v>4.0000000000000001E-3</v>
      </c>
      <c r="AA91">
        <v>17.800700000000006</v>
      </c>
      <c r="AB91" s="2">
        <v>45681</v>
      </c>
      <c r="AC91" t="s">
        <v>1099</v>
      </c>
      <c r="AD91">
        <v>3</v>
      </c>
      <c r="AE91">
        <v>3.5000000000000001E-3</v>
      </c>
      <c r="AF91">
        <v>6.2520140285266441</v>
      </c>
      <c r="AG91">
        <v>630.68770745868324</v>
      </c>
      <c r="AH91">
        <v>0.42399999999999999</v>
      </c>
      <c r="AI91">
        <v>4.0000000000000001E-3</v>
      </c>
      <c r="AJ91">
        <v>17.801400000000001</v>
      </c>
      <c r="AK91" s="2">
        <v>45681</v>
      </c>
      <c r="AL91" t="s">
        <v>1399</v>
      </c>
      <c r="AM91">
        <v>4</v>
      </c>
      <c r="AN91">
        <v>3.8E-3</v>
      </c>
      <c r="AO91">
        <v>6.2511265746961993</v>
      </c>
      <c r="AP91">
        <v>630.60499676168581</v>
      </c>
      <c r="AQ91">
        <v>0.42399999999999999</v>
      </c>
      <c r="AR91">
        <v>4.0000000000000001E-3</v>
      </c>
      <c r="AS91">
        <v>17.800700000000006</v>
      </c>
      <c r="AT91" s="2">
        <v>45681</v>
      </c>
      <c r="AU91" t="s">
        <v>1599</v>
      </c>
      <c r="AV91">
        <v>5</v>
      </c>
      <c r="AW91">
        <v>3.8E-3</v>
      </c>
      <c r="AX91">
        <v>6.2506521739187439</v>
      </c>
      <c r="AY91">
        <v>630.56078260922698</v>
      </c>
      <c r="AZ91">
        <v>0.42399999999999999</v>
      </c>
      <c r="BA91">
        <v>4.0000000000000001E-3</v>
      </c>
      <c r="BB91">
        <v>17.801699999999983</v>
      </c>
      <c r="BC91" s="2">
        <v>45681</v>
      </c>
      <c r="BD91" t="s">
        <v>1797</v>
      </c>
      <c r="BE91">
        <v>6</v>
      </c>
      <c r="BF91">
        <v>3.7000000000000002E-3</v>
      </c>
      <c r="BG91">
        <v>6.2503107675472753</v>
      </c>
      <c r="BH91">
        <v>630.52896353540609</v>
      </c>
      <c r="BI91">
        <v>0.42399999999999999</v>
      </c>
      <c r="BJ91">
        <v>4.0000000000000001E-3</v>
      </c>
      <c r="BK91">
        <v>17.800899999999956</v>
      </c>
      <c r="BU91" s="2">
        <v>45681</v>
      </c>
      <c r="BV91" t="s">
        <v>2079</v>
      </c>
      <c r="BW91">
        <v>7</v>
      </c>
      <c r="BX91">
        <v>2.23E-2</v>
      </c>
      <c r="BY91">
        <v>7.2539647704390768</v>
      </c>
      <c r="BZ91">
        <v>724.069516604922</v>
      </c>
      <c r="CA91">
        <v>0.42399999999999999</v>
      </c>
      <c r="CB91">
        <v>1.95E-2</v>
      </c>
      <c r="CC91">
        <v>18.2029</v>
      </c>
      <c r="CD91" s="2">
        <v>45681</v>
      </c>
      <c r="CE91" t="s">
        <v>2193</v>
      </c>
      <c r="CF91">
        <v>7</v>
      </c>
      <c r="CG91">
        <v>0</v>
      </c>
      <c r="CH91">
        <v>5.9957334838115024</v>
      </c>
      <c r="CI91">
        <v>606.80236069123202</v>
      </c>
      <c r="CJ91">
        <v>0.42399999999999999</v>
      </c>
      <c r="CK91">
        <v>0</v>
      </c>
      <c r="CL91">
        <v>17.801500000000033</v>
      </c>
    </row>
    <row r="92" spans="1:90" x14ac:dyDescent="0.3">
      <c r="A92" s="2">
        <v>45681</v>
      </c>
      <c r="B92" t="s">
        <v>304</v>
      </c>
      <c r="C92">
        <v>1</v>
      </c>
      <c r="D92">
        <v>8.9999999999999998E-4</v>
      </c>
      <c r="E92">
        <v>6.1010588496513876</v>
      </c>
      <c r="F92">
        <v>616.61868478750932</v>
      </c>
      <c r="G92">
        <v>0.42399999999999999</v>
      </c>
      <c r="H92">
        <v>1.6000000000000001E-3</v>
      </c>
      <c r="I92">
        <v>17.998999999999995</v>
      </c>
      <c r="J92" s="2">
        <v>45681</v>
      </c>
      <c r="K92" t="s">
        <v>504</v>
      </c>
      <c r="L92">
        <v>1</v>
      </c>
      <c r="M92">
        <v>1.1000000000000001E-3</v>
      </c>
      <c r="N92">
        <v>6.1241749803892214</v>
      </c>
      <c r="O92">
        <v>618.77310817227544</v>
      </c>
      <c r="P92">
        <v>0.42399999999999999</v>
      </c>
      <c r="Q92">
        <v>2E-3</v>
      </c>
      <c r="R92">
        <v>18.402500000000003</v>
      </c>
      <c r="S92" s="2">
        <v>45681</v>
      </c>
      <c r="T92" t="s">
        <v>900</v>
      </c>
      <c r="U92">
        <v>3</v>
      </c>
      <c r="V92">
        <v>2.5000000000000001E-3</v>
      </c>
      <c r="W92">
        <v>6.2053404932337912</v>
      </c>
      <c r="X92">
        <v>626.33773396938932</v>
      </c>
      <c r="Y92">
        <v>0.42399999999999999</v>
      </c>
      <c r="Z92">
        <v>3.3E-3</v>
      </c>
      <c r="AA92">
        <v>17.998700000000042</v>
      </c>
      <c r="AB92" s="2">
        <v>45681</v>
      </c>
      <c r="AC92" t="s">
        <v>1100</v>
      </c>
      <c r="AD92">
        <v>3</v>
      </c>
      <c r="AE92">
        <v>2E-3</v>
      </c>
      <c r="AF92">
        <v>6.2047470056970706</v>
      </c>
      <c r="AG92">
        <v>626.28242093096708</v>
      </c>
      <c r="AH92">
        <v>0.42399999999999999</v>
      </c>
      <c r="AI92">
        <v>3.2000000000000002E-3</v>
      </c>
      <c r="AJ92">
        <v>18.000099999999975</v>
      </c>
      <c r="AK92" s="2">
        <v>45681</v>
      </c>
      <c r="AL92" t="s">
        <v>1400</v>
      </c>
      <c r="AM92">
        <v>4</v>
      </c>
      <c r="AN92">
        <v>2.8999999999999998E-3</v>
      </c>
      <c r="AO92">
        <v>6.2038719998186496</v>
      </c>
      <c r="AP92">
        <v>626.20087038309828</v>
      </c>
      <c r="AQ92">
        <v>0.42399999999999999</v>
      </c>
      <c r="AR92">
        <v>3.2000000000000002E-3</v>
      </c>
      <c r="AS92">
        <v>17.999699999999962</v>
      </c>
      <c r="AT92" s="2">
        <v>45681</v>
      </c>
      <c r="AU92" t="s">
        <v>1600</v>
      </c>
      <c r="AV92">
        <v>5</v>
      </c>
      <c r="AW92">
        <v>3.0000000000000001E-3</v>
      </c>
      <c r="AX92">
        <v>6.2033627691037729</v>
      </c>
      <c r="AY92">
        <v>626.15341008047164</v>
      </c>
      <c r="AZ92">
        <v>0.42399999999999999</v>
      </c>
      <c r="BA92">
        <v>3.2000000000000002E-3</v>
      </c>
      <c r="BB92">
        <v>18.000999999999976</v>
      </c>
      <c r="BC92" s="2">
        <v>45681</v>
      </c>
      <c r="BD92" t="s">
        <v>1798</v>
      </c>
      <c r="BE92">
        <v>6</v>
      </c>
      <c r="BF92">
        <v>2.5999999999999999E-3</v>
      </c>
      <c r="BG92">
        <v>6.2022839736264199</v>
      </c>
      <c r="BH92">
        <v>626.05286634198239</v>
      </c>
      <c r="BI92">
        <v>0.42399999999999999</v>
      </c>
      <c r="BJ92">
        <v>3.2000000000000002E-3</v>
      </c>
      <c r="BK92">
        <v>18.003699999999981</v>
      </c>
      <c r="BU92" s="2">
        <v>45681</v>
      </c>
      <c r="BV92" t="s">
        <v>2080</v>
      </c>
      <c r="BW92">
        <v>7</v>
      </c>
      <c r="BX92">
        <v>2.1000000000000001E-2</v>
      </c>
      <c r="BY92">
        <v>7.1704418506542247</v>
      </c>
      <c r="BZ92">
        <v>716.28518048097374</v>
      </c>
      <c r="CA92">
        <v>0.42399999999999999</v>
      </c>
      <c r="CB92">
        <v>1.83E-2</v>
      </c>
      <c r="CC92">
        <v>18.40059999999994</v>
      </c>
      <c r="CD92" s="2">
        <v>45681</v>
      </c>
      <c r="CE92" t="s">
        <v>2194</v>
      </c>
      <c r="CF92">
        <v>7</v>
      </c>
      <c r="CG92">
        <v>0</v>
      </c>
      <c r="CH92">
        <v>5.9957334838115024</v>
      </c>
      <c r="CI92">
        <v>606.80236069123202</v>
      </c>
      <c r="CJ92">
        <v>0.42399999999999999</v>
      </c>
      <c r="CK92">
        <v>0</v>
      </c>
      <c r="CL92">
        <v>18.00100000000009</v>
      </c>
    </row>
    <row r="93" spans="1:90" x14ac:dyDescent="0.3">
      <c r="A93" s="2">
        <v>45681</v>
      </c>
      <c r="B93" t="s">
        <v>305</v>
      </c>
      <c r="C93">
        <v>1</v>
      </c>
      <c r="D93">
        <v>2.0000000000000001E-4</v>
      </c>
      <c r="E93">
        <v>6.0794790475851617</v>
      </c>
      <c r="F93">
        <v>614.60744723493713</v>
      </c>
      <c r="G93">
        <v>0.42399999999999999</v>
      </c>
      <c r="H93">
        <v>1.2999999999999999E-3</v>
      </c>
      <c r="I93">
        <v>18.198599999999999</v>
      </c>
      <c r="J93" s="2">
        <v>45681</v>
      </c>
      <c r="K93" t="s">
        <v>505</v>
      </c>
      <c r="L93">
        <v>1</v>
      </c>
      <c r="M93">
        <v>6.9999999999999999E-4</v>
      </c>
      <c r="N93">
        <v>6.090626087254841</v>
      </c>
      <c r="O93">
        <v>615.6463513321512</v>
      </c>
      <c r="P93">
        <v>0.42399999999999999</v>
      </c>
      <c r="Q93">
        <v>1.5E-3</v>
      </c>
      <c r="R93">
        <v>18.601599999999991</v>
      </c>
      <c r="S93" s="2">
        <v>45681</v>
      </c>
      <c r="T93" t="s">
        <v>901</v>
      </c>
      <c r="U93">
        <v>3</v>
      </c>
      <c r="V93">
        <v>1.6999999999999999E-3</v>
      </c>
      <c r="W93">
        <v>6.1620580720111784</v>
      </c>
      <c r="X93">
        <v>622.30381231144179</v>
      </c>
      <c r="Y93">
        <v>0.42399999999999999</v>
      </c>
      <c r="Z93">
        <v>2.5999999999999999E-3</v>
      </c>
      <c r="AA93">
        <v>18.199400000000026</v>
      </c>
      <c r="AB93" s="2">
        <v>45681</v>
      </c>
      <c r="AC93" t="s">
        <v>1101</v>
      </c>
      <c r="AD93">
        <v>3</v>
      </c>
      <c r="AE93">
        <v>2E-3</v>
      </c>
      <c r="AF93">
        <v>6.1614802761924814</v>
      </c>
      <c r="AG93">
        <v>622.24996174113915</v>
      </c>
      <c r="AH93">
        <v>0.42399999999999999</v>
      </c>
      <c r="AI93">
        <v>2.5999999999999999E-3</v>
      </c>
      <c r="AJ93">
        <v>18.200999999999965</v>
      </c>
      <c r="AK93" s="2">
        <v>45681</v>
      </c>
      <c r="AL93" t="s">
        <v>1401</v>
      </c>
      <c r="AM93">
        <v>4</v>
      </c>
      <c r="AN93">
        <v>1.6000000000000001E-3</v>
      </c>
      <c r="AO93">
        <v>6.1609956980991996</v>
      </c>
      <c r="AP93">
        <v>622.2047990628455</v>
      </c>
      <c r="AQ93">
        <v>0.42399999999999999</v>
      </c>
      <c r="AR93">
        <v>2.5999999999999999E-3</v>
      </c>
      <c r="AS93">
        <v>18.199099999999987</v>
      </c>
      <c r="AT93" s="2">
        <v>45681</v>
      </c>
      <c r="AU93" t="s">
        <v>1601</v>
      </c>
      <c r="AV93">
        <v>5</v>
      </c>
      <c r="AW93">
        <v>1.6999999999999999E-3</v>
      </c>
      <c r="AX93">
        <v>6.1601041490141819</v>
      </c>
      <c r="AY93">
        <v>622.12170668812178</v>
      </c>
      <c r="AZ93">
        <v>0.42399999999999999</v>
      </c>
      <c r="BA93">
        <v>2.5999999999999999E-3</v>
      </c>
      <c r="BB93">
        <v>18.202599999999961</v>
      </c>
      <c r="BC93" s="2">
        <v>45681</v>
      </c>
      <c r="BD93" t="s">
        <v>1799</v>
      </c>
      <c r="BE93">
        <v>6</v>
      </c>
      <c r="BF93">
        <v>1.9E-3</v>
      </c>
      <c r="BG93">
        <v>5.9957334838115024</v>
      </c>
      <c r="BH93">
        <v>606.80236069123202</v>
      </c>
      <c r="BI93">
        <v>0.42399999999999999</v>
      </c>
      <c r="BJ93">
        <v>0</v>
      </c>
      <c r="BK93">
        <v>18.202099999999973</v>
      </c>
      <c r="BU93" s="2">
        <v>45681</v>
      </c>
      <c r="BV93" t="s">
        <v>2081</v>
      </c>
      <c r="BW93">
        <v>7</v>
      </c>
      <c r="BX93">
        <v>1.9E-2</v>
      </c>
      <c r="BY93">
        <v>7.0864672364539114</v>
      </c>
      <c r="BZ93">
        <v>708.45874643750449</v>
      </c>
      <c r="CA93">
        <v>0.42399999999999999</v>
      </c>
      <c r="CB93">
        <v>1.6899999999999998E-2</v>
      </c>
      <c r="CC93">
        <v>18.601099999999974</v>
      </c>
      <c r="CD93" s="2">
        <v>45681</v>
      </c>
      <c r="CE93" t="s">
        <v>2195</v>
      </c>
      <c r="CF93">
        <v>7</v>
      </c>
      <c r="CG93">
        <v>-1E-4</v>
      </c>
      <c r="CH93">
        <v>5.9957334838115024</v>
      </c>
      <c r="CI93">
        <v>606.80236069123202</v>
      </c>
      <c r="CJ93">
        <v>0.42399999999999999</v>
      </c>
      <c r="CK93">
        <v>0</v>
      </c>
      <c r="CL93">
        <v>18.20270000000005</v>
      </c>
    </row>
    <row r="94" spans="1:90" x14ac:dyDescent="0.3">
      <c r="A94" s="2">
        <v>45681</v>
      </c>
      <c r="B94" t="s">
        <v>306</v>
      </c>
      <c r="C94">
        <v>1</v>
      </c>
      <c r="D94">
        <v>2.0000000000000001E-4</v>
      </c>
      <c r="E94">
        <v>6.0600215199713183</v>
      </c>
      <c r="F94">
        <v>612.79400566132688</v>
      </c>
      <c r="G94">
        <v>0.42399999999999999</v>
      </c>
      <c r="H94">
        <v>1E-3</v>
      </c>
      <c r="I94">
        <v>18.400399999999991</v>
      </c>
      <c r="J94" s="2">
        <v>45681</v>
      </c>
      <c r="K94" t="s">
        <v>506</v>
      </c>
      <c r="L94">
        <v>1</v>
      </c>
      <c r="M94">
        <v>0</v>
      </c>
      <c r="N94">
        <v>6.0617451355823357</v>
      </c>
      <c r="O94">
        <v>612.95464663627376</v>
      </c>
      <c r="P94">
        <v>0.42399999999999999</v>
      </c>
      <c r="Q94">
        <v>1E-3</v>
      </c>
      <c r="R94">
        <v>18.802499999999981</v>
      </c>
      <c r="S94" s="2">
        <v>45681</v>
      </c>
      <c r="T94" t="s">
        <v>902</v>
      </c>
      <c r="U94">
        <v>3</v>
      </c>
      <c r="V94">
        <v>1E-3</v>
      </c>
      <c r="W94">
        <v>6.1235600029027513</v>
      </c>
      <c r="X94">
        <v>618.71579227053644</v>
      </c>
      <c r="Y94">
        <v>0.42399999999999999</v>
      </c>
      <c r="Z94">
        <v>2E-3</v>
      </c>
      <c r="AA94">
        <v>18.399699999999996</v>
      </c>
      <c r="AB94" s="2">
        <v>45681</v>
      </c>
      <c r="AC94" t="s">
        <v>1102</v>
      </c>
      <c r="AD94">
        <v>3</v>
      </c>
      <c r="AE94">
        <v>1.2999999999999999E-3</v>
      </c>
      <c r="AF94">
        <v>6.1227265983232781</v>
      </c>
      <c r="AG94">
        <v>618.63811896372954</v>
      </c>
      <c r="AH94">
        <v>0.42399999999999999</v>
      </c>
      <c r="AI94">
        <v>2E-3</v>
      </c>
      <c r="AJ94">
        <v>18.403099999999995</v>
      </c>
      <c r="AK94" s="2">
        <v>45681</v>
      </c>
      <c r="AL94" t="s">
        <v>1402</v>
      </c>
      <c r="AM94">
        <v>4</v>
      </c>
      <c r="AN94">
        <v>1.4E-3</v>
      </c>
      <c r="AO94">
        <v>6.1225128746909716</v>
      </c>
      <c r="AP94">
        <v>618.61819992119865</v>
      </c>
      <c r="AQ94">
        <v>0.42399999999999999</v>
      </c>
      <c r="AR94">
        <v>2E-3</v>
      </c>
      <c r="AS94">
        <v>18.399999999999977</v>
      </c>
      <c r="AT94" s="2">
        <v>45681</v>
      </c>
      <c r="AU94" t="s">
        <v>1602</v>
      </c>
      <c r="AV94">
        <v>5</v>
      </c>
      <c r="AW94">
        <v>1.6000000000000001E-3</v>
      </c>
      <c r="AX94">
        <v>6.1219089260089037</v>
      </c>
      <c r="AY94">
        <v>618.56191190402978</v>
      </c>
      <c r="AZ94">
        <v>0.42399999999999999</v>
      </c>
      <c r="BA94">
        <v>2E-3</v>
      </c>
      <c r="BB94">
        <v>18.4024</v>
      </c>
      <c r="BC94" s="2">
        <v>45681</v>
      </c>
      <c r="BD94" t="s">
        <v>1800</v>
      </c>
      <c r="BE94">
        <v>6</v>
      </c>
      <c r="BF94">
        <v>1E-4</v>
      </c>
      <c r="BG94">
        <v>5.9957334838115024</v>
      </c>
      <c r="BH94">
        <v>606.80236069123202</v>
      </c>
      <c r="BI94">
        <v>0.42399999999999999</v>
      </c>
      <c r="BJ94">
        <v>0</v>
      </c>
      <c r="BK94">
        <v>18.40300000000002</v>
      </c>
      <c r="BU94" s="2">
        <v>45681</v>
      </c>
      <c r="BV94" t="s">
        <v>2082</v>
      </c>
      <c r="BW94">
        <v>7</v>
      </c>
      <c r="BX94">
        <v>1.7500000000000002E-2</v>
      </c>
      <c r="BY94">
        <v>7.0036271294119938</v>
      </c>
      <c r="BZ94">
        <v>700.73804846119788</v>
      </c>
      <c r="CA94">
        <v>0.42399999999999999</v>
      </c>
      <c r="CB94">
        <v>1.5699999999999999E-2</v>
      </c>
      <c r="CC94">
        <v>18.801299999999969</v>
      </c>
      <c r="CD94" s="2">
        <v>45681</v>
      </c>
      <c r="CE94" t="s">
        <v>2196</v>
      </c>
      <c r="CF94">
        <v>7</v>
      </c>
      <c r="CG94">
        <v>0</v>
      </c>
      <c r="CH94">
        <v>5.9957334838115024</v>
      </c>
      <c r="CI94">
        <v>606.80236069123202</v>
      </c>
      <c r="CJ94">
        <v>0.42399999999999999</v>
      </c>
      <c r="CK94">
        <v>0</v>
      </c>
      <c r="CL94">
        <v>18.40160000000003</v>
      </c>
    </row>
    <row r="95" spans="1:90" x14ac:dyDescent="0.3">
      <c r="A95" s="2">
        <v>45681</v>
      </c>
      <c r="B95" t="s">
        <v>307</v>
      </c>
      <c r="C95">
        <v>1</v>
      </c>
      <c r="D95">
        <v>-2.9999999999999997E-4</v>
      </c>
      <c r="E95">
        <v>6.0431886450690584</v>
      </c>
      <c r="F95">
        <v>611.22518172043624</v>
      </c>
      <c r="G95">
        <v>0.42399999999999999</v>
      </c>
      <c r="H95">
        <v>6.9999999999999999E-4</v>
      </c>
      <c r="I95">
        <v>18.600099999999998</v>
      </c>
      <c r="J95" s="2">
        <v>45681</v>
      </c>
      <c r="K95" t="s">
        <v>507</v>
      </c>
      <c r="L95">
        <v>1</v>
      </c>
      <c r="M95">
        <v>0</v>
      </c>
      <c r="N95">
        <v>6.0383004924428807</v>
      </c>
      <c r="O95">
        <v>610.76960589567648</v>
      </c>
      <c r="P95">
        <v>0.42399999999999999</v>
      </c>
      <c r="Q95">
        <v>6.9999999999999999E-4</v>
      </c>
      <c r="R95">
        <v>19.000500000000017</v>
      </c>
      <c r="S95" s="2">
        <v>45681</v>
      </c>
      <c r="T95" t="s">
        <v>903</v>
      </c>
      <c r="U95">
        <v>3</v>
      </c>
      <c r="V95">
        <v>4.0000000000000002E-4</v>
      </c>
      <c r="W95">
        <v>6.0899276233409569</v>
      </c>
      <c r="X95">
        <v>615.58125449537715</v>
      </c>
      <c r="Y95">
        <v>0.42399999999999999</v>
      </c>
      <c r="Z95">
        <v>1.5E-3</v>
      </c>
      <c r="AA95">
        <v>18.599800000000016</v>
      </c>
      <c r="AB95" s="2">
        <v>45681</v>
      </c>
      <c r="AC95" t="s">
        <v>1103</v>
      </c>
      <c r="AD95">
        <v>3</v>
      </c>
      <c r="AE95">
        <v>5.0000000000000001E-4</v>
      </c>
      <c r="AF95">
        <v>6.0897625561986457</v>
      </c>
      <c r="AG95">
        <v>615.56587023771385</v>
      </c>
      <c r="AH95">
        <v>0.42399999999999999</v>
      </c>
      <c r="AI95">
        <v>1.5E-3</v>
      </c>
      <c r="AJ95">
        <v>18.599600000000009</v>
      </c>
      <c r="AK95" s="2">
        <v>45681</v>
      </c>
      <c r="AL95" t="s">
        <v>1403</v>
      </c>
      <c r="AM95">
        <v>4</v>
      </c>
      <c r="AN95">
        <v>5.9999999999999995E-4</v>
      </c>
      <c r="AO95">
        <v>6.0888464355861798</v>
      </c>
      <c r="AP95">
        <v>615.48048779663202</v>
      </c>
      <c r="AQ95">
        <v>0.42399999999999999</v>
      </c>
      <c r="AR95">
        <v>1.4E-3</v>
      </c>
      <c r="AS95">
        <v>18.601299999999981</v>
      </c>
      <c r="AT95" s="2">
        <v>45681</v>
      </c>
      <c r="AU95" t="s">
        <v>1603</v>
      </c>
      <c r="AV95">
        <v>5</v>
      </c>
      <c r="AW95">
        <v>8.0000000000000004E-4</v>
      </c>
      <c r="AX95">
        <v>6.0887761675052108</v>
      </c>
      <c r="AY95">
        <v>615.47393881148571</v>
      </c>
      <c r="AZ95">
        <v>0.42399999999999999</v>
      </c>
      <c r="BA95">
        <v>1.4E-3</v>
      </c>
      <c r="BB95">
        <v>18.600799999999992</v>
      </c>
      <c r="BC95" s="2">
        <v>45681</v>
      </c>
      <c r="BD95" t="s">
        <v>1801</v>
      </c>
      <c r="BE95">
        <v>6</v>
      </c>
      <c r="BF95">
        <v>-1.2999999999999999E-3</v>
      </c>
      <c r="BG95">
        <v>5.9957334838115024</v>
      </c>
      <c r="BH95">
        <v>606.80236069123202</v>
      </c>
      <c r="BI95">
        <v>0.42399999999999999</v>
      </c>
      <c r="BJ95">
        <v>0</v>
      </c>
      <c r="BK95">
        <v>18.602899999999977</v>
      </c>
      <c r="BU95" s="2">
        <v>45681</v>
      </c>
      <c r="BV95" t="s">
        <v>2083</v>
      </c>
      <c r="BW95">
        <v>7</v>
      </c>
      <c r="BX95">
        <v>1.5800000000000002E-2</v>
      </c>
      <c r="BY95">
        <v>6.9213822534310223</v>
      </c>
      <c r="BZ95">
        <v>693.07282601977136</v>
      </c>
      <c r="CA95">
        <v>0.42399999999999999</v>
      </c>
      <c r="CB95">
        <v>1.44E-2</v>
      </c>
      <c r="CC95">
        <v>19.003299999999967</v>
      </c>
      <c r="CD95" s="2">
        <v>45681</v>
      </c>
      <c r="CE95" t="s">
        <v>2197</v>
      </c>
      <c r="CF95">
        <v>7</v>
      </c>
      <c r="CG95">
        <v>0</v>
      </c>
      <c r="CH95">
        <v>5.9957334838115024</v>
      </c>
      <c r="CI95">
        <v>606.80236069123202</v>
      </c>
      <c r="CJ95">
        <v>0.42399999999999999</v>
      </c>
      <c r="CK95">
        <v>0</v>
      </c>
      <c r="CL95">
        <v>18.600900000000024</v>
      </c>
    </row>
    <row r="96" spans="1:90" x14ac:dyDescent="0.3">
      <c r="A96" s="2">
        <v>45681</v>
      </c>
      <c r="B96" t="s">
        <v>308</v>
      </c>
      <c r="C96">
        <v>1</v>
      </c>
      <c r="D96">
        <v>-4.0000000000000002E-4</v>
      </c>
      <c r="E96">
        <v>6.0288184251496526</v>
      </c>
      <c r="F96">
        <v>609.88587722394766</v>
      </c>
      <c r="G96">
        <v>0.42399999999999999</v>
      </c>
      <c r="H96">
        <v>5.0000000000000001E-4</v>
      </c>
      <c r="I96">
        <v>18.79989999999998</v>
      </c>
      <c r="J96" s="2">
        <v>45681</v>
      </c>
      <c r="K96" t="s">
        <v>508</v>
      </c>
      <c r="L96">
        <v>1</v>
      </c>
      <c r="M96">
        <v>-5.0000000000000001E-4</v>
      </c>
      <c r="N96">
        <v>6.0197477160416746</v>
      </c>
      <c r="O96">
        <v>609.04048713508405</v>
      </c>
      <c r="P96">
        <v>0.42399999999999999</v>
      </c>
      <c r="Q96">
        <v>4.0000000000000002E-4</v>
      </c>
      <c r="R96">
        <v>19.200500000000005</v>
      </c>
      <c r="S96" s="2">
        <v>45681</v>
      </c>
      <c r="T96" t="s">
        <v>904</v>
      </c>
      <c r="U96">
        <v>3</v>
      </c>
      <c r="V96">
        <v>2.9999999999999997E-4</v>
      </c>
      <c r="W96">
        <v>6.0613499232423456</v>
      </c>
      <c r="X96">
        <v>612.91781284618673</v>
      </c>
      <c r="Y96">
        <v>0.42399999999999999</v>
      </c>
      <c r="Z96">
        <v>1E-3</v>
      </c>
      <c r="AA96">
        <v>18.799300000000017</v>
      </c>
      <c r="AB96" s="2">
        <v>45681</v>
      </c>
      <c r="AC96" t="s">
        <v>1104</v>
      </c>
      <c r="AD96">
        <v>3</v>
      </c>
      <c r="AE96">
        <v>-2.0000000000000001E-4</v>
      </c>
      <c r="AF96">
        <v>6.0611036403088194</v>
      </c>
      <c r="AG96">
        <v>612.89485927678186</v>
      </c>
      <c r="AH96">
        <v>0.42399999999999999</v>
      </c>
      <c r="AI96">
        <v>1E-3</v>
      </c>
      <c r="AJ96">
        <v>18.799999999999955</v>
      </c>
      <c r="AK96" s="2">
        <v>45681</v>
      </c>
      <c r="AL96" t="s">
        <v>1404</v>
      </c>
      <c r="AM96">
        <v>4</v>
      </c>
      <c r="AN96">
        <v>-1E-4</v>
      </c>
      <c r="AO96">
        <v>6.0606071819225651</v>
      </c>
      <c r="AP96">
        <v>612.84858935518309</v>
      </c>
      <c r="AQ96">
        <v>0.42399999999999999</v>
      </c>
      <c r="AR96">
        <v>1E-3</v>
      </c>
      <c r="AS96">
        <v>18.799399999999991</v>
      </c>
      <c r="AT96" s="2">
        <v>45681</v>
      </c>
      <c r="AU96" t="s">
        <v>1604</v>
      </c>
      <c r="AV96">
        <v>5</v>
      </c>
      <c r="AW96">
        <v>0</v>
      </c>
      <c r="AX96">
        <v>6.0601638402045559</v>
      </c>
      <c r="AY96">
        <v>612.80726990706466</v>
      </c>
      <c r="AZ96">
        <v>0.42399999999999999</v>
      </c>
      <c r="BA96">
        <v>1E-3</v>
      </c>
      <c r="BB96">
        <v>18.801999999999964</v>
      </c>
      <c r="BC96" s="2">
        <v>45681</v>
      </c>
      <c r="BD96" t="s">
        <v>1802</v>
      </c>
      <c r="BE96">
        <v>6</v>
      </c>
      <c r="BF96">
        <v>-2.3E-3</v>
      </c>
      <c r="BG96">
        <v>5.9957334838115024</v>
      </c>
      <c r="BH96">
        <v>606.80236069123202</v>
      </c>
      <c r="BI96">
        <v>0.42399999999999999</v>
      </c>
      <c r="BJ96">
        <v>0</v>
      </c>
      <c r="BK96">
        <v>18.802900000000022</v>
      </c>
      <c r="BU96" s="2">
        <v>45681</v>
      </c>
      <c r="BV96" t="s">
        <v>2084</v>
      </c>
      <c r="BW96">
        <v>7</v>
      </c>
      <c r="BX96">
        <v>1.4500000000000001E-2</v>
      </c>
      <c r="BY96">
        <v>6.8426901121612236</v>
      </c>
      <c r="BZ96">
        <v>685.73871845342615</v>
      </c>
      <c r="CA96">
        <v>0.42399999999999999</v>
      </c>
      <c r="CB96">
        <v>1.32E-2</v>
      </c>
      <c r="CC96">
        <v>19.200799999999958</v>
      </c>
      <c r="CD96" s="2">
        <v>45681</v>
      </c>
      <c r="CE96" t="s">
        <v>2198</v>
      </c>
      <c r="CF96">
        <v>7</v>
      </c>
      <c r="CG96">
        <v>0</v>
      </c>
      <c r="CH96">
        <v>5.9957334838115024</v>
      </c>
      <c r="CI96">
        <v>606.80236069123202</v>
      </c>
      <c r="CJ96">
        <v>0.42399999999999999</v>
      </c>
      <c r="CK96">
        <v>0</v>
      </c>
      <c r="CL96">
        <v>18.801900000000046</v>
      </c>
    </row>
    <row r="97" spans="1:90" x14ac:dyDescent="0.3">
      <c r="A97" s="2">
        <v>45681</v>
      </c>
      <c r="B97" t="s">
        <v>309</v>
      </c>
      <c r="C97">
        <v>1</v>
      </c>
      <c r="D97">
        <v>-4.0000000000000002E-4</v>
      </c>
      <c r="E97">
        <v>6.0169960333988337</v>
      </c>
      <c r="F97">
        <v>608.78403031277128</v>
      </c>
      <c r="G97">
        <v>0.42399999999999999</v>
      </c>
      <c r="H97">
        <v>2.9999999999999997E-4</v>
      </c>
      <c r="I97">
        <v>18.999499999999983</v>
      </c>
      <c r="J97" s="2">
        <v>45681</v>
      </c>
      <c r="K97" t="s">
        <v>509</v>
      </c>
      <c r="L97">
        <v>1</v>
      </c>
      <c r="M97">
        <v>-5.9999999999999995E-4</v>
      </c>
      <c r="N97">
        <v>6.0063663298043242</v>
      </c>
      <c r="O97">
        <v>607.79334193776299</v>
      </c>
      <c r="P97">
        <v>0.42399999999999999</v>
      </c>
      <c r="Q97">
        <v>2.0000000000000001E-4</v>
      </c>
      <c r="R97">
        <v>19.402000000000015</v>
      </c>
      <c r="S97" s="2">
        <v>45681</v>
      </c>
      <c r="T97" t="s">
        <v>905</v>
      </c>
      <c r="U97">
        <v>3</v>
      </c>
      <c r="V97">
        <v>-4.0000000000000002E-4</v>
      </c>
      <c r="W97">
        <v>6.0376346689243672</v>
      </c>
      <c r="X97">
        <v>610.70755114375106</v>
      </c>
      <c r="Y97">
        <v>0.42399999999999999</v>
      </c>
      <c r="Z97">
        <v>6.9999999999999999E-4</v>
      </c>
      <c r="AA97">
        <v>19.000500000000045</v>
      </c>
      <c r="AB97" s="2">
        <v>45681</v>
      </c>
      <c r="AC97" t="s">
        <v>1105</v>
      </c>
      <c r="AD97">
        <v>3</v>
      </c>
      <c r="AE97">
        <v>-6.9999999999999999E-4</v>
      </c>
      <c r="AF97">
        <v>6.0374395158524106</v>
      </c>
      <c r="AG97">
        <v>610.68936287744464</v>
      </c>
      <c r="AH97">
        <v>0.42399999999999999</v>
      </c>
      <c r="AI97">
        <v>5.9999999999999995E-4</v>
      </c>
      <c r="AJ97">
        <v>19.001199999999983</v>
      </c>
      <c r="AK97" s="2">
        <v>45681</v>
      </c>
      <c r="AL97" t="s">
        <v>1405</v>
      </c>
      <c r="AM97">
        <v>4</v>
      </c>
      <c r="AN97">
        <v>-8.0000000000000004E-4</v>
      </c>
      <c r="AO97">
        <v>6.0369452875552811</v>
      </c>
      <c r="AP97">
        <v>610.64330080015225</v>
      </c>
      <c r="AQ97">
        <v>0.42399999999999999</v>
      </c>
      <c r="AR97">
        <v>5.9999999999999995E-4</v>
      </c>
      <c r="AS97">
        <v>19.001599999999996</v>
      </c>
      <c r="AT97" s="2">
        <v>45681</v>
      </c>
      <c r="AU97" t="s">
        <v>1605</v>
      </c>
      <c r="AV97">
        <v>5</v>
      </c>
      <c r="AW97">
        <v>-8.0000000000000004E-4</v>
      </c>
      <c r="AX97">
        <v>6.0369183237504078</v>
      </c>
      <c r="AY97">
        <v>610.64078777353802</v>
      </c>
      <c r="AZ97">
        <v>0.42399999999999999</v>
      </c>
      <c r="BA97">
        <v>5.9999999999999995E-4</v>
      </c>
      <c r="BB97">
        <v>19.000999999999976</v>
      </c>
      <c r="BC97" s="2">
        <v>45681</v>
      </c>
      <c r="BD97" t="s">
        <v>1803</v>
      </c>
      <c r="BE97">
        <v>6</v>
      </c>
      <c r="BF97">
        <v>-2.3999999999999998E-3</v>
      </c>
      <c r="BG97">
        <v>6.0366392382332092</v>
      </c>
      <c r="BH97">
        <v>712.87706370833155</v>
      </c>
      <c r="BI97">
        <v>0.42399999999999999</v>
      </c>
      <c r="BJ97">
        <v>5.9999999999999995E-4</v>
      </c>
      <c r="BK97">
        <v>19.001499999999965</v>
      </c>
      <c r="BU97" s="2">
        <v>45681</v>
      </c>
      <c r="BV97" t="s">
        <v>2085</v>
      </c>
      <c r="BW97">
        <v>7</v>
      </c>
      <c r="BX97">
        <v>1.26E-2</v>
      </c>
      <c r="BY97">
        <v>6.7649520435660913</v>
      </c>
      <c r="BZ97">
        <v>678.49353046035969</v>
      </c>
      <c r="CA97">
        <v>0.42399999999999999</v>
      </c>
      <c r="CB97">
        <v>1.2E-2</v>
      </c>
      <c r="CC97">
        <v>19.400800000000004</v>
      </c>
      <c r="CD97" s="2">
        <v>45681</v>
      </c>
      <c r="CE97" t="s">
        <v>2199</v>
      </c>
      <c r="CF97">
        <v>7</v>
      </c>
      <c r="CG97">
        <v>0</v>
      </c>
      <c r="CH97">
        <v>5.9957334838115024</v>
      </c>
      <c r="CI97">
        <v>606.80236069123202</v>
      </c>
      <c r="CJ97">
        <v>0.42399999999999999</v>
      </c>
      <c r="CK97">
        <v>0</v>
      </c>
      <c r="CL97">
        <v>19.000600000000077</v>
      </c>
    </row>
    <row r="98" spans="1:90" x14ac:dyDescent="0.3">
      <c r="A98" s="2">
        <v>45681</v>
      </c>
      <c r="B98" t="s">
        <v>310</v>
      </c>
      <c r="C98">
        <v>1</v>
      </c>
      <c r="D98">
        <v>-5.0000000000000001E-4</v>
      </c>
      <c r="E98">
        <v>6.007728679086541</v>
      </c>
      <c r="F98">
        <v>607.9203128908656</v>
      </c>
      <c r="G98">
        <v>0.42399999999999999</v>
      </c>
      <c r="H98">
        <v>2.0000000000000001E-4</v>
      </c>
      <c r="I98">
        <v>19.1995</v>
      </c>
      <c r="J98" s="2">
        <v>45681</v>
      </c>
      <c r="K98" t="s">
        <v>510</v>
      </c>
      <c r="L98">
        <v>1</v>
      </c>
      <c r="M98">
        <v>-5.9999999999999995E-4</v>
      </c>
      <c r="N98">
        <v>5.9984202335575034</v>
      </c>
      <c r="O98">
        <v>607.05276576755932</v>
      </c>
      <c r="P98">
        <v>0.42399999999999999</v>
      </c>
      <c r="Q98">
        <v>0</v>
      </c>
      <c r="R98">
        <v>19.600800000000021</v>
      </c>
      <c r="S98" s="2">
        <v>45681</v>
      </c>
      <c r="T98" t="s">
        <v>906</v>
      </c>
      <c r="U98">
        <v>3</v>
      </c>
      <c r="V98">
        <v>-4.0000000000000002E-4</v>
      </c>
      <c r="W98">
        <v>6.0192446200992427</v>
      </c>
      <c r="X98">
        <v>608.99359859324943</v>
      </c>
      <c r="Y98">
        <v>0.42399999999999999</v>
      </c>
      <c r="Z98">
        <v>4.0000000000000002E-4</v>
      </c>
      <c r="AA98">
        <v>19.200600000000009</v>
      </c>
      <c r="AB98" s="2">
        <v>45681</v>
      </c>
      <c r="AC98" t="s">
        <v>1106</v>
      </c>
      <c r="AD98">
        <v>3</v>
      </c>
      <c r="AE98">
        <v>-1E-3</v>
      </c>
      <c r="AF98">
        <v>6.0190484574051197</v>
      </c>
      <c r="AG98">
        <v>608.9753162301572</v>
      </c>
      <c r="AH98">
        <v>0.42399999999999999</v>
      </c>
      <c r="AI98">
        <v>4.0000000000000002E-4</v>
      </c>
      <c r="AJ98">
        <v>19.201899999999966</v>
      </c>
      <c r="AK98" s="2">
        <v>45681</v>
      </c>
      <c r="AL98" t="s">
        <v>1406</v>
      </c>
      <c r="AM98">
        <v>4</v>
      </c>
      <c r="AN98">
        <v>-8.9999999999999998E-4</v>
      </c>
      <c r="AO98">
        <v>6.0188429486102084</v>
      </c>
      <c r="AP98">
        <v>608.95616281047148</v>
      </c>
      <c r="AQ98">
        <v>0.42399999999999999</v>
      </c>
      <c r="AR98">
        <v>4.0000000000000002E-4</v>
      </c>
      <c r="AS98">
        <v>19.200199999999995</v>
      </c>
      <c r="AT98" s="2">
        <v>45681</v>
      </c>
      <c r="AU98" t="s">
        <v>1606</v>
      </c>
      <c r="AV98">
        <v>5</v>
      </c>
      <c r="AW98">
        <v>-1.4E-3</v>
      </c>
      <c r="AX98">
        <v>6.0185576877734857</v>
      </c>
      <c r="AY98">
        <v>608.92957650048891</v>
      </c>
      <c r="AZ98">
        <v>0.42399999999999999</v>
      </c>
      <c r="BA98">
        <v>4.0000000000000002E-4</v>
      </c>
      <c r="BB98">
        <v>19.202999999999975</v>
      </c>
      <c r="BC98" s="2">
        <v>45681</v>
      </c>
      <c r="BD98" t="s">
        <v>1804</v>
      </c>
      <c r="BE98">
        <v>6</v>
      </c>
      <c r="BF98">
        <v>-1.1999999999999999E-3</v>
      </c>
      <c r="BG98">
        <v>6.0185224807482669</v>
      </c>
      <c r="BH98">
        <v>608.92629520573848</v>
      </c>
      <c r="BI98">
        <v>0.42399999999999999</v>
      </c>
      <c r="BJ98">
        <v>4.0000000000000002E-4</v>
      </c>
      <c r="BK98">
        <v>19.201299999999947</v>
      </c>
      <c r="BU98" s="2">
        <v>45681</v>
      </c>
      <c r="BV98" t="s">
        <v>2086</v>
      </c>
      <c r="BW98">
        <v>7</v>
      </c>
      <c r="BX98">
        <v>1.15E-2</v>
      </c>
      <c r="BY98">
        <v>6.6888820816363053</v>
      </c>
      <c r="BZ98">
        <v>671.40381000850368</v>
      </c>
      <c r="CA98">
        <v>0.42399999999999999</v>
      </c>
      <c r="CB98">
        <v>1.0800000000000001E-2</v>
      </c>
      <c r="CC98">
        <v>19.602499999999964</v>
      </c>
      <c r="CD98" s="2">
        <v>45681</v>
      </c>
      <c r="CE98" t="s">
        <v>2200</v>
      </c>
      <c r="CF98">
        <v>7</v>
      </c>
      <c r="CG98">
        <v>0</v>
      </c>
      <c r="CH98">
        <v>5.9957334838115024</v>
      </c>
      <c r="CI98">
        <v>606.80236069123202</v>
      </c>
      <c r="CJ98">
        <v>0.42399999999999999</v>
      </c>
      <c r="CK98">
        <v>0</v>
      </c>
      <c r="CL98">
        <v>19.200300000000084</v>
      </c>
    </row>
    <row r="99" spans="1:90" x14ac:dyDescent="0.3">
      <c r="A99" s="2">
        <v>45681</v>
      </c>
      <c r="B99" t="s">
        <v>311</v>
      </c>
      <c r="C99">
        <v>1</v>
      </c>
      <c r="D99">
        <v>-5.0000000000000001E-4</v>
      </c>
      <c r="E99">
        <v>6.0011150781215559</v>
      </c>
      <c r="F99">
        <v>607.30392528092898</v>
      </c>
      <c r="G99">
        <v>0.42399999999999999</v>
      </c>
      <c r="H99">
        <v>1E-4</v>
      </c>
      <c r="I99">
        <v>19.398099999999999</v>
      </c>
      <c r="J99" s="2">
        <v>45681</v>
      </c>
      <c r="K99" t="s">
        <v>511</v>
      </c>
      <c r="L99">
        <v>1</v>
      </c>
      <c r="M99">
        <v>-5.9999999999999995E-4</v>
      </c>
      <c r="N99">
        <v>5.9957334838115024</v>
      </c>
      <c r="O99">
        <v>606.80236069123202</v>
      </c>
      <c r="P99">
        <v>0.42399999999999999</v>
      </c>
      <c r="Q99">
        <v>0</v>
      </c>
      <c r="R99">
        <v>19.801599999999979</v>
      </c>
      <c r="S99" s="2">
        <v>45681</v>
      </c>
      <c r="T99" t="s">
        <v>907</v>
      </c>
      <c r="U99">
        <v>3</v>
      </c>
      <c r="V99">
        <v>-4.0000000000000002E-4</v>
      </c>
      <c r="W99">
        <v>6.0061961861682249</v>
      </c>
      <c r="X99">
        <v>607.77748455087863</v>
      </c>
      <c r="Y99">
        <v>0.42399999999999999</v>
      </c>
      <c r="Z99">
        <v>2.0000000000000001E-4</v>
      </c>
      <c r="AA99">
        <v>19.398900000000026</v>
      </c>
      <c r="AB99" s="2">
        <v>45681</v>
      </c>
      <c r="AC99" t="s">
        <v>1107</v>
      </c>
      <c r="AD99">
        <v>3</v>
      </c>
      <c r="AE99">
        <v>-1.6999999999999999E-3</v>
      </c>
      <c r="AF99">
        <v>6.0058877242951896</v>
      </c>
      <c r="AG99">
        <v>607.74873590431173</v>
      </c>
      <c r="AH99">
        <v>0.42399999999999999</v>
      </c>
      <c r="AI99">
        <v>2.0000000000000001E-4</v>
      </c>
      <c r="AJ99">
        <v>19.403599999999983</v>
      </c>
      <c r="AK99" s="2">
        <v>45681</v>
      </c>
      <c r="AL99" t="s">
        <v>1407</v>
      </c>
      <c r="AM99">
        <v>4</v>
      </c>
      <c r="AN99">
        <v>-1.6000000000000001E-3</v>
      </c>
      <c r="AO99">
        <v>6.0058750776625001</v>
      </c>
      <c r="AP99">
        <v>607.74755723814508</v>
      </c>
      <c r="AQ99">
        <v>0.42399999999999999</v>
      </c>
      <c r="AR99">
        <v>2.0000000000000001E-4</v>
      </c>
      <c r="AS99">
        <v>19.399499999999989</v>
      </c>
      <c r="AT99" s="2">
        <v>45681</v>
      </c>
      <c r="AU99" t="s">
        <v>1607</v>
      </c>
      <c r="AV99">
        <v>5</v>
      </c>
      <c r="AW99">
        <v>-1.4E-3</v>
      </c>
      <c r="AX99">
        <v>6.0056810071974436</v>
      </c>
      <c r="AY99">
        <v>607.72946987080184</v>
      </c>
      <c r="AZ99">
        <v>0.42399999999999999</v>
      </c>
      <c r="BA99">
        <v>2.0000000000000001E-4</v>
      </c>
      <c r="BB99">
        <v>19.402299999999968</v>
      </c>
      <c r="BC99" s="2">
        <v>45681</v>
      </c>
      <c r="BD99" t="s">
        <v>1805</v>
      </c>
      <c r="BE99">
        <v>6</v>
      </c>
      <c r="BF99">
        <v>-1.2999999999999999E-3</v>
      </c>
      <c r="BG99">
        <v>6.0055730587196834</v>
      </c>
      <c r="BH99">
        <v>607.71940907267447</v>
      </c>
      <c r="BI99">
        <v>0.42399999999999999</v>
      </c>
      <c r="BJ99">
        <v>2.0000000000000001E-4</v>
      </c>
      <c r="BK99">
        <v>19.402399999999943</v>
      </c>
      <c r="BU99" s="2">
        <v>45681</v>
      </c>
      <c r="BV99" t="s">
        <v>2087</v>
      </c>
      <c r="BW99">
        <v>7</v>
      </c>
      <c r="BX99">
        <v>1.03E-2</v>
      </c>
      <c r="BY99">
        <v>6.6163052502174473</v>
      </c>
      <c r="BZ99">
        <v>664.63964932026613</v>
      </c>
      <c r="CA99">
        <v>0.42399999999999999</v>
      </c>
      <c r="CB99">
        <v>9.5999999999999992E-3</v>
      </c>
      <c r="CC99">
        <v>19.801899999999932</v>
      </c>
      <c r="CD99" s="2">
        <v>45681</v>
      </c>
      <c r="CE99" t="s">
        <v>2201</v>
      </c>
      <c r="CF99">
        <v>7</v>
      </c>
      <c r="CG99">
        <v>-1E-4</v>
      </c>
      <c r="CH99">
        <v>5.9957334838115024</v>
      </c>
      <c r="CI99">
        <v>606.80236069123202</v>
      </c>
      <c r="CJ99">
        <v>0.42399999999999999</v>
      </c>
      <c r="CK99">
        <v>0</v>
      </c>
      <c r="CL99">
        <v>19.401800000000094</v>
      </c>
    </row>
    <row r="100" spans="1:90" x14ac:dyDescent="0.3">
      <c r="A100" s="2">
        <v>45681</v>
      </c>
      <c r="B100" t="s">
        <v>312</v>
      </c>
      <c r="C100">
        <v>1</v>
      </c>
      <c r="D100">
        <v>-5.0000000000000001E-4</v>
      </c>
      <c r="E100">
        <v>5.9970725083888281</v>
      </c>
      <c r="F100">
        <v>606.92715778183879</v>
      </c>
      <c r="G100">
        <v>0.42399999999999999</v>
      </c>
      <c r="H100">
        <v>0</v>
      </c>
      <c r="I100">
        <v>19.599699999999984</v>
      </c>
      <c r="J100" s="2">
        <v>45681</v>
      </c>
      <c r="K100" t="s">
        <v>512</v>
      </c>
      <c r="L100">
        <v>1</v>
      </c>
      <c r="M100">
        <v>-5.9999999999999995E-4</v>
      </c>
      <c r="N100">
        <v>5.9984106474180328</v>
      </c>
      <c r="O100">
        <v>709.24917043997129</v>
      </c>
      <c r="P100">
        <v>0.42399999999999999</v>
      </c>
      <c r="Q100">
        <v>0</v>
      </c>
      <c r="R100">
        <v>20.001900000000006</v>
      </c>
      <c r="S100" s="2">
        <v>45681</v>
      </c>
      <c r="T100" t="s">
        <v>908</v>
      </c>
      <c r="U100">
        <v>3</v>
      </c>
      <c r="V100">
        <v>-1.1999999999999999E-3</v>
      </c>
      <c r="W100">
        <v>5.9982442912842089</v>
      </c>
      <c r="X100">
        <v>607.03636794768829</v>
      </c>
      <c r="Y100">
        <v>0.42399999999999999</v>
      </c>
      <c r="Z100">
        <v>0</v>
      </c>
      <c r="AA100">
        <v>19.601100000000031</v>
      </c>
      <c r="AB100" s="2">
        <v>45681</v>
      </c>
      <c r="AC100" t="s">
        <v>1108</v>
      </c>
      <c r="AD100">
        <v>3</v>
      </c>
      <c r="AE100">
        <v>-1.6999999999999999E-3</v>
      </c>
      <c r="AF100">
        <v>5.9982007084497084</v>
      </c>
      <c r="AG100">
        <v>607.03230602751273</v>
      </c>
      <c r="AH100">
        <v>0.42399999999999999</v>
      </c>
      <c r="AI100">
        <v>0</v>
      </c>
      <c r="AJ100">
        <v>19.601599999999962</v>
      </c>
      <c r="AK100" s="2">
        <v>45681</v>
      </c>
      <c r="AL100" t="s">
        <v>1408</v>
      </c>
      <c r="AM100">
        <v>4</v>
      </c>
      <c r="AN100">
        <v>-2.3999999999999998E-3</v>
      </c>
      <c r="AO100">
        <v>5.9980886497149521</v>
      </c>
      <c r="AP100">
        <v>607.02186215343352</v>
      </c>
      <c r="AQ100">
        <v>0.42399999999999999</v>
      </c>
      <c r="AR100">
        <v>0</v>
      </c>
      <c r="AS100">
        <v>19.601699999999994</v>
      </c>
      <c r="AT100" s="2">
        <v>45681</v>
      </c>
      <c r="AU100" t="s">
        <v>1608</v>
      </c>
      <c r="AV100">
        <v>5</v>
      </c>
      <c r="AW100">
        <v>-1.5E-3</v>
      </c>
      <c r="AX100">
        <v>5.9957334838115024</v>
      </c>
      <c r="AY100">
        <v>606.80236069123202</v>
      </c>
      <c r="AZ100">
        <v>0.42399999999999999</v>
      </c>
      <c r="BA100">
        <v>0</v>
      </c>
      <c r="BB100">
        <v>19.600799999999992</v>
      </c>
      <c r="BC100" s="2">
        <v>45681</v>
      </c>
      <c r="BD100" t="s">
        <v>1806</v>
      </c>
      <c r="BE100">
        <v>6</v>
      </c>
      <c r="BF100">
        <v>-1.6999999999999999E-3</v>
      </c>
      <c r="BG100">
        <v>5.9979843249292806</v>
      </c>
      <c r="BH100">
        <v>607.01213908340901</v>
      </c>
      <c r="BI100">
        <v>0.42399999999999999</v>
      </c>
      <c r="BJ100">
        <v>0</v>
      </c>
      <c r="BK100">
        <v>19.602899999999977</v>
      </c>
      <c r="BU100" s="2">
        <v>45681</v>
      </c>
      <c r="BV100" t="s">
        <v>2088</v>
      </c>
      <c r="BW100">
        <v>7</v>
      </c>
      <c r="BX100">
        <v>9.1999999999999998E-3</v>
      </c>
      <c r="BY100">
        <v>6.5465440076863324</v>
      </c>
      <c r="BZ100">
        <v>658.13790151636624</v>
      </c>
      <c r="CA100">
        <v>0.42399999999999999</v>
      </c>
      <c r="CB100">
        <v>8.6E-3</v>
      </c>
      <c r="CC100">
        <v>20.001300000000015</v>
      </c>
      <c r="CD100" s="2">
        <v>45681</v>
      </c>
      <c r="CE100" t="s">
        <v>2202</v>
      </c>
      <c r="CF100">
        <v>7</v>
      </c>
      <c r="CG100">
        <v>-5.9999999999999995E-4</v>
      </c>
      <c r="CH100">
        <v>5.9957334838115024</v>
      </c>
      <c r="CI100">
        <v>606.80236069123202</v>
      </c>
      <c r="CJ100">
        <v>0.42399999999999999</v>
      </c>
      <c r="CK100">
        <v>0</v>
      </c>
      <c r="CL100">
        <v>19.601800000000026</v>
      </c>
    </row>
    <row r="101" spans="1:90" x14ac:dyDescent="0.3">
      <c r="A101" s="2">
        <v>45681</v>
      </c>
      <c r="B101" t="s">
        <v>313</v>
      </c>
      <c r="C101">
        <v>1</v>
      </c>
      <c r="D101">
        <v>-5.0000000000000001E-4</v>
      </c>
      <c r="E101">
        <v>5.9957335240914063</v>
      </c>
      <c r="F101">
        <v>606.80236444531909</v>
      </c>
      <c r="G101">
        <v>0.42399999999999999</v>
      </c>
      <c r="H101">
        <v>0</v>
      </c>
      <c r="I101">
        <v>19.799299999999988</v>
      </c>
      <c r="J101" s="2">
        <v>45681</v>
      </c>
      <c r="K101" t="s">
        <v>513</v>
      </c>
      <c r="L101">
        <v>1</v>
      </c>
      <c r="M101">
        <v>-4.0000000000000002E-4</v>
      </c>
      <c r="N101">
        <v>6.0063705183171718</v>
      </c>
      <c r="O101">
        <v>710.00456218829959</v>
      </c>
      <c r="P101">
        <v>0.42399999999999999</v>
      </c>
      <c r="Q101">
        <v>2.0000000000000001E-4</v>
      </c>
      <c r="R101">
        <v>20.201100000000025</v>
      </c>
      <c r="S101" s="2">
        <v>45681</v>
      </c>
      <c r="T101" t="s">
        <v>909</v>
      </c>
      <c r="U101">
        <v>3</v>
      </c>
      <c r="V101">
        <v>-1.9E-3</v>
      </c>
      <c r="W101">
        <v>5.9957347727681478</v>
      </c>
      <c r="X101">
        <v>606.80248082199137</v>
      </c>
      <c r="Y101">
        <v>0.42399999999999999</v>
      </c>
      <c r="Z101">
        <v>0</v>
      </c>
      <c r="AA101">
        <v>19.799599999999998</v>
      </c>
      <c r="AB101" s="2">
        <v>45681</v>
      </c>
      <c r="AC101" t="s">
        <v>1109</v>
      </c>
      <c r="AD101">
        <v>3</v>
      </c>
      <c r="AE101">
        <v>-2.2000000000000001E-3</v>
      </c>
      <c r="AF101">
        <v>5.9957371090026212</v>
      </c>
      <c r="AG101">
        <v>606.8026985590443</v>
      </c>
      <c r="AH101">
        <v>0.42399999999999999</v>
      </c>
      <c r="AI101">
        <v>0</v>
      </c>
      <c r="AJ101">
        <v>19.801400000000001</v>
      </c>
      <c r="AK101" s="2">
        <v>45681</v>
      </c>
      <c r="AL101" t="s">
        <v>1409</v>
      </c>
      <c r="AM101">
        <v>4</v>
      </c>
      <c r="AN101">
        <v>-2.3999999999999998E-3</v>
      </c>
      <c r="AO101">
        <v>5.9957408953140279</v>
      </c>
      <c r="AP101">
        <v>606.80305144326746</v>
      </c>
      <c r="AQ101">
        <v>0.42399999999999999</v>
      </c>
      <c r="AR101">
        <v>0</v>
      </c>
      <c r="AS101">
        <v>19.800199999999961</v>
      </c>
      <c r="AT101" s="2">
        <v>45681</v>
      </c>
      <c r="AU101" t="s">
        <v>1609</v>
      </c>
      <c r="AV101">
        <v>5</v>
      </c>
      <c r="AW101">
        <v>-2.3E-3</v>
      </c>
      <c r="AX101">
        <v>5.9957334838115024</v>
      </c>
      <c r="AY101">
        <v>606.80236069123202</v>
      </c>
      <c r="AZ101">
        <v>0.42399999999999999</v>
      </c>
      <c r="BA101">
        <v>0</v>
      </c>
      <c r="BB101">
        <v>19.803299999999979</v>
      </c>
      <c r="BC101" s="2">
        <v>45681</v>
      </c>
      <c r="BD101" t="s">
        <v>1807</v>
      </c>
      <c r="BE101">
        <v>6</v>
      </c>
      <c r="BF101">
        <v>-2.3999999999999998E-3</v>
      </c>
      <c r="BG101">
        <v>5.9957525764843718</v>
      </c>
      <c r="BH101">
        <v>606.80414012834342</v>
      </c>
      <c r="BI101">
        <v>0.42399999999999999</v>
      </c>
      <c r="BJ101">
        <v>0</v>
      </c>
      <c r="BK101">
        <v>19.80359999999996</v>
      </c>
      <c r="BU101" s="2">
        <v>45681</v>
      </c>
      <c r="BV101" t="s">
        <v>2089</v>
      </c>
      <c r="BW101">
        <v>7</v>
      </c>
      <c r="BX101">
        <v>8.6E-3</v>
      </c>
      <c r="BY101">
        <v>6.4791361173880038</v>
      </c>
      <c r="BZ101">
        <v>651.85548614056199</v>
      </c>
      <c r="CA101">
        <v>0.42399999999999999</v>
      </c>
      <c r="CB101">
        <v>7.4999999999999997E-3</v>
      </c>
      <c r="CC101">
        <v>20.203199999999924</v>
      </c>
      <c r="CD101" s="2">
        <v>45681</v>
      </c>
      <c r="CE101" t="s">
        <v>2203</v>
      </c>
      <c r="CF101">
        <v>7</v>
      </c>
      <c r="CG101">
        <v>-6.9999999999999999E-4</v>
      </c>
      <c r="CH101">
        <v>5.9957334838115024</v>
      </c>
      <c r="CI101">
        <v>606.80236069123202</v>
      </c>
      <c r="CJ101">
        <v>0.42399999999999999</v>
      </c>
      <c r="CK101">
        <v>0</v>
      </c>
      <c r="CL101">
        <v>19.800799999999981</v>
      </c>
    </row>
    <row r="102" spans="1:90" x14ac:dyDescent="0.3">
      <c r="A102" s="2">
        <v>45681</v>
      </c>
      <c r="B102" t="s">
        <v>314</v>
      </c>
      <c r="C102">
        <v>1</v>
      </c>
      <c r="D102">
        <v>-5.0000000000000001E-4</v>
      </c>
      <c r="E102">
        <v>5.997046971030052</v>
      </c>
      <c r="F102">
        <v>709.11975755075196</v>
      </c>
      <c r="G102">
        <v>0.42399999999999999</v>
      </c>
      <c r="H102">
        <v>0</v>
      </c>
      <c r="I102">
        <v>19.998599999999982</v>
      </c>
      <c r="J102" s="2">
        <v>45681</v>
      </c>
      <c r="K102" t="s">
        <v>514</v>
      </c>
      <c r="L102">
        <v>1</v>
      </c>
      <c r="M102">
        <v>0</v>
      </c>
      <c r="N102">
        <v>6.0196534603111376</v>
      </c>
      <c r="O102">
        <v>711.26511338352702</v>
      </c>
      <c r="P102">
        <v>0.42399999999999999</v>
      </c>
      <c r="Q102">
        <v>4.0000000000000002E-4</v>
      </c>
      <c r="R102">
        <v>20.401199999999989</v>
      </c>
      <c r="S102" s="2">
        <v>45681</v>
      </c>
      <c r="T102" t="s">
        <v>910</v>
      </c>
      <c r="U102">
        <v>3</v>
      </c>
      <c r="V102">
        <v>-2E-3</v>
      </c>
      <c r="W102">
        <v>5.9985474378411814</v>
      </c>
      <c r="X102">
        <v>709.26215185112812</v>
      </c>
      <c r="Y102">
        <v>0.42399999999999999</v>
      </c>
      <c r="Z102">
        <v>0</v>
      </c>
      <c r="AA102">
        <v>20.00060000000002</v>
      </c>
      <c r="AB102" s="2">
        <v>45681</v>
      </c>
      <c r="AC102" t="s">
        <v>1110</v>
      </c>
      <c r="AD102">
        <v>3</v>
      </c>
      <c r="AE102">
        <v>-2.3999999999999998E-3</v>
      </c>
      <c r="AF102">
        <v>5.9986269502497791</v>
      </c>
      <c r="AG102">
        <v>709.26969757870404</v>
      </c>
      <c r="AH102">
        <v>0.42399999999999999</v>
      </c>
      <c r="AI102">
        <v>0</v>
      </c>
      <c r="AJ102">
        <v>20.002299999999991</v>
      </c>
      <c r="AK102" s="2">
        <v>45681</v>
      </c>
      <c r="AL102" t="s">
        <v>1410</v>
      </c>
      <c r="AM102">
        <v>4</v>
      </c>
      <c r="AN102">
        <v>-2.3999999999999998E-3</v>
      </c>
      <c r="AO102">
        <v>5.9986681967618187</v>
      </c>
      <c r="AP102">
        <v>709.27361187269662</v>
      </c>
      <c r="AQ102">
        <v>0.42399999999999999</v>
      </c>
      <c r="AR102">
        <v>0</v>
      </c>
      <c r="AS102">
        <v>19.999499999999955</v>
      </c>
      <c r="AT102" s="2">
        <v>45681</v>
      </c>
      <c r="AU102" t="s">
        <v>1610</v>
      </c>
      <c r="AV102">
        <v>5</v>
      </c>
      <c r="AW102">
        <v>-2.3E-3</v>
      </c>
      <c r="AX102">
        <v>5.9957334838115024</v>
      </c>
      <c r="AY102">
        <v>606.80236069123202</v>
      </c>
      <c r="AZ102">
        <v>0.42399999999999999</v>
      </c>
      <c r="BA102">
        <v>0</v>
      </c>
      <c r="BB102">
        <v>20.00139999999999</v>
      </c>
      <c r="BC102" s="2">
        <v>45681</v>
      </c>
      <c r="BD102" t="s">
        <v>1808</v>
      </c>
      <c r="BE102">
        <v>6</v>
      </c>
      <c r="BF102">
        <v>-2.3999999999999998E-3</v>
      </c>
      <c r="BG102">
        <v>5.9988820829878957</v>
      </c>
      <c r="BH102">
        <v>709.29390967555139</v>
      </c>
      <c r="BI102">
        <v>0.42399999999999999</v>
      </c>
      <c r="BJ102">
        <v>0</v>
      </c>
      <c r="BK102">
        <v>20.004000000000019</v>
      </c>
      <c r="BU102" s="2">
        <v>45681</v>
      </c>
      <c r="BV102" t="s">
        <v>2090</v>
      </c>
      <c r="BW102">
        <v>7</v>
      </c>
      <c r="BX102">
        <v>7.7999999999999996E-3</v>
      </c>
      <c r="BY102">
        <v>6.4159670183097859</v>
      </c>
      <c r="BZ102">
        <v>645.96812610647203</v>
      </c>
      <c r="CA102">
        <v>0.42399999999999999</v>
      </c>
      <c r="CB102">
        <v>6.4999999999999997E-3</v>
      </c>
      <c r="CC102">
        <v>20.402699999999982</v>
      </c>
      <c r="CD102" s="2">
        <v>45681</v>
      </c>
      <c r="CE102" t="s">
        <v>2204</v>
      </c>
      <c r="CF102">
        <v>7</v>
      </c>
      <c r="CG102">
        <v>-6.9999999999999999E-4</v>
      </c>
      <c r="CH102">
        <v>5.9957334838115024</v>
      </c>
      <c r="CI102">
        <v>606.80236069123202</v>
      </c>
      <c r="CJ102">
        <v>0.42399999999999999</v>
      </c>
      <c r="CK102">
        <v>0</v>
      </c>
      <c r="CL102">
        <v>20.00139999999999</v>
      </c>
    </row>
    <row r="103" spans="1:90" x14ac:dyDescent="0.3">
      <c r="A103" s="2">
        <v>45681</v>
      </c>
      <c r="B103" t="s">
        <v>315</v>
      </c>
      <c r="C103">
        <v>1</v>
      </c>
      <c r="D103">
        <v>-2.9999999999999997E-4</v>
      </c>
      <c r="E103">
        <v>6.0010315795300153</v>
      </c>
      <c r="F103">
        <v>709.4978968973985</v>
      </c>
      <c r="G103">
        <v>0.42399999999999999</v>
      </c>
      <c r="H103">
        <v>1E-4</v>
      </c>
      <c r="I103">
        <v>20.198899999999981</v>
      </c>
      <c r="J103" s="2">
        <v>45681</v>
      </c>
      <c r="K103" t="s">
        <v>515</v>
      </c>
      <c r="L103">
        <v>1</v>
      </c>
      <c r="M103">
        <v>2.9999999999999997E-4</v>
      </c>
      <c r="N103">
        <v>6.0380933374367256</v>
      </c>
      <c r="O103">
        <v>713.01505772274527</v>
      </c>
      <c r="P103">
        <v>0.42399999999999999</v>
      </c>
      <c r="Q103">
        <v>6.9999999999999999E-4</v>
      </c>
      <c r="R103">
        <v>20.600499999999982</v>
      </c>
      <c r="S103" s="2">
        <v>45681</v>
      </c>
      <c r="T103" t="s">
        <v>911</v>
      </c>
      <c r="U103">
        <v>3</v>
      </c>
      <c r="V103">
        <v>-1.4E-3</v>
      </c>
      <c r="W103">
        <v>6.0066594892112546</v>
      </c>
      <c r="X103">
        <v>710.03198552614822</v>
      </c>
      <c r="Y103">
        <v>0.42399999999999999</v>
      </c>
      <c r="Z103">
        <v>2.0000000000000001E-4</v>
      </c>
      <c r="AA103">
        <v>20.200199999999995</v>
      </c>
      <c r="AB103" s="2">
        <v>45681</v>
      </c>
      <c r="AC103" t="s">
        <v>1111</v>
      </c>
      <c r="AD103">
        <v>3</v>
      </c>
      <c r="AE103">
        <v>-1.6000000000000001E-3</v>
      </c>
      <c r="AF103">
        <v>6.006811342061825</v>
      </c>
      <c r="AG103">
        <v>710.04639636166723</v>
      </c>
      <c r="AH103">
        <v>0.42399999999999999</v>
      </c>
      <c r="AI103">
        <v>2.0000000000000001E-4</v>
      </c>
      <c r="AJ103">
        <v>20.201799999999992</v>
      </c>
      <c r="AK103" s="2">
        <v>45681</v>
      </c>
      <c r="AL103" t="s">
        <v>1411</v>
      </c>
      <c r="AM103">
        <v>4</v>
      </c>
      <c r="AN103">
        <v>-1.1999999999999999E-3</v>
      </c>
      <c r="AO103">
        <v>6.0070019457519672</v>
      </c>
      <c r="AP103">
        <v>710.06448465186168</v>
      </c>
      <c r="AQ103">
        <v>0.42399999999999999</v>
      </c>
      <c r="AR103">
        <v>2.0000000000000001E-4</v>
      </c>
      <c r="AS103">
        <v>20.200999999999965</v>
      </c>
      <c r="AT103" s="2">
        <v>45681</v>
      </c>
      <c r="AU103" t="s">
        <v>1611</v>
      </c>
      <c r="AV103">
        <v>5</v>
      </c>
      <c r="AW103">
        <v>-2.3E-3</v>
      </c>
      <c r="AX103">
        <v>5.9957334838115024</v>
      </c>
      <c r="AY103">
        <v>606.80236069123202</v>
      </c>
      <c r="AZ103">
        <v>0.42399999999999999</v>
      </c>
      <c r="BA103">
        <v>0</v>
      </c>
      <c r="BB103">
        <v>20.203599999999994</v>
      </c>
      <c r="BC103" s="2">
        <v>45681</v>
      </c>
      <c r="BD103" t="s">
        <v>1809</v>
      </c>
      <c r="BE103">
        <v>6</v>
      </c>
      <c r="BF103">
        <v>-1.4E-3</v>
      </c>
      <c r="BG103">
        <v>6.0073383648332106</v>
      </c>
      <c r="BH103">
        <v>710.09641082267171</v>
      </c>
      <c r="BI103">
        <v>0.42399999999999999</v>
      </c>
      <c r="BJ103">
        <v>2.0000000000000001E-4</v>
      </c>
      <c r="BK103">
        <v>20.204100000000039</v>
      </c>
      <c r="BU103" s="2">
        <v>45681</v>
      </c>
      <c r="BV103" t="s">
        <v>2091</v>
      </c>
      <c r="BW103">
        <v>7</v>
      </c>
      <c r="BX103">
        <v>6.1000000000000004E-3</v>
      </c>
      <c r="BY103">
        <v>6.3556133053839359</v>
      </c>
      <c r="BZ103">
        <v>640.3431600617829</v>
      </c>
      <c r="CA103">
        <v>0.42399999999999999</v>
      </c>
      <c r="CB103">
        <v>5.5999999999999999E-3</v>
      </c>
      <c r="CC103">
        <v>20.605099999999993</v>
      </c>
      <c r="CD103" s="2">
        <v>45681</v>
      </c>
      <c r="CE103" t="s">
        <v>2205</v>
      </c>
      <c r="CF103">
        <v>7</v>
      </c>
      <c r="CG103">
        <v>-6.9999999999999999E-4</v>
      </c>
      <c r="CH103">
        <v>5.9957334838115024</v>
      </c>
      <c r="CI103">
        <v>606.80236069123202</v>
      </c>
      <c r="CJ103">
        <v>0.42399999999999999</v>
      </c>
      <c r="CK103">
        <v>0</v>
      </c>
      <c r="CL103">
        <v>20.266000000000076</v>
      </c>
    </row>
    <row r="104" spans="1:90" x14ac:dyDescent="0.3">
      <c r="A104" s="2">
        <v>45681</v>
      </c>
      <c r="B104" t="s">
        <v>316</v>
      </c>
      <c r="C104">
        <v>1</v>
      </c>
      <c r="D104">
        <v>1E-4</v>
      </c>
      <c r="E104">
        <v>6.0076301132019312</v>
      </c>
      <c r="F104">
        <v>710.12409774286334</v>
      </c>
      <c r="G104">
        <v>0.42399999999999999</v>
      </c>
      <c r="H104">
        <v>2.0000000000000001E-4</v>
      </c>
      <c r="I104">
        <v>20.398199999999974</v>
      </c>
      <c r="J104" s="2">
        <v>45681</v>
      </c>
      <c r="K104" t="s">
        <v>516</v>
      </c>
      <c r="L104">
        <v>1</v>
      </c>
      <c r="M104">
        <v>6.9999999999999999E-4</v>
      </c>
      <c r="N104">
        <v>6.0618828334490216</v>
      </c>
      <c r="O104">
        <v>715.27268089431232</v>
      </c>
      <c r="P104">
        <v>0.42399999999999999</v>
      </c>
      <c r="Q104">
        <v>1E-3</v>
      </c>
      <c r="R104">
        <v>20.801500000000004</v>
      </c>
      <c r="S104" s="2">
        <v>45681</v>
      </c>
      <c r="T104" t="s">
        <v>912</v>
      </c>
      <c r="U104">
        <v>3</v>
      </c>
      <c r="V104">
        <v>-5.9999999999999995E-4</v>
      </c>
      <c r="W104">
        <v>6.0199504838543163</v>
      </c>
      <c r="X104">
        <v>711.29330091777467</v>
      </c>
      <c r="Y104">
        <v>0.42399999999999999</v>
      </c>
      <c r="Z104">
        <v>4.0000000000000002E-4</v>
      </c>
      <c r="AA104">
        <v>20.398700000000019</v>
      </c>
      <c r="AB104" s="2">
        <v>45681</v>
      </c>
      <c r="AC104" t="s">
        <v>1112</v>
      </c>
      <c r="AD104">
        <v>3</v>
      </c>
      <c r="AE104">
        <v>-6.9999999999999999E-4</v>
      </c>
      <c r="AF104">
        <v>6.0202109339358474</v>
      </c>
      <c r="AG104">
        <v>711.31801763051192</v>
      </c>
      <c r="AH104">
        <v>0.42399999999999999</v>
      </c>
      <c r="AI104">
        <v>4.0000000000000002E-4</v>
      </c>
      <c r="AJ104">
        <v>20.400699999999972</v>
      </c>
      <c r="AK104" s="2">
        <v>45681</v>
      </c>
      <c r="AL104" t="s">
        <v>1412</v>
      </c>
      <c r="AM104">
        <v>4</v>
      </c>
      <c r="AN104">
        <v>-5.9999999999999995E-4</v>
      </c>
      <c r="AO104">
        <v>6.0205442106187794</v>
      </c>
      <c r="AP104">
        <v>711.34964558772219</v>
      </c>
      <c r="AQ104">
        <v>0.42399999999999999</v>
      </c>
      <c r="AR104">
        <v>4.0000000000000002E-4</v>
      </c>
      <c r="AS104">
        <v>20.400499999999965</v>
      </c>
      <c r="AT104" s="2">
        <v>45681</v>
      </c>
      <c r="AU104" t="s">
        <v>1612</v>
      </c>
      <c r="AV104">
        <v>5</v>
      </c>
      <c r="AW104">
        <v>-3.0000000000000001E-3</v>
      </c>
      <c r="AX104">
        <v>5.9957334838115024</v>
      </c>
      <c r="AY104">
        <v>606.80236069123202</v>
      </c>
      <c r="AZ104">
        <v>0.42399999999999999</v>
      </c>
      <c r="BA104">
        <v>0</v>
      </c>
      <c r="BB104">
        <v>20.403099999999995</v>
      </c>
      <c r="BC104" s="2">
        <v>45681</v>
      </c>
      <c r="BD104" t="s">
        <v>1810</v>
      </c>
      <c r="BE104">
        <v>6</v>
      </c>
      <c r="BF104">
        <v>-5.0000000000000001E-4</v>
      </c>
      <c r="BG104">
        <v>6.0209972795800812</v>
      </c>
      <c r="BH104">
        <v>711.39264183214971</v>
      </c>
      <c r="BI104">
        <v>0.42399999999999999</v>
      </c>
      <c r="BJ104">
        <v>4.0000000000000002E-4</v>
      </c>
      <c r="BK104">
        <v>20.403099999999995</v>
      </c>
      <c r="BU104" s="2">
        <v>45681</v>
      </c>
      <c r="BV104" t="s">
        <v>2092</v>
      </c>
      <c r="BW104">
        <v>7</v>
      </c>
      <c r="BX104">
        <v>5.3E-3</v>
      </c>
      <c r="BY104">
        <v>6.3005447820426257</v>
      </c>
      <c r="BZ104">
        <v>635.2107736863727</v>
      </c>
      <c r="CA104">
        <v>0.42399999999999999</v>
      </c>
      <c r="CB104">
        <v>4.7000000000000002E-3</v>
      </c>
      <c r="CC104">
        <v>20.802699999999959</v>
      </c>
    </row>
    <row r="105" spans="1:90" x14ac:dyDescent="0.3">
      <c r="A105" s="2">
        <v>45681</v>
      </c>
      <c r="B105" t="s">
        <v>317</v>
      </c>
      <c r="C105">
        <v>1</v>
      </c>
      <c r="D105">
        <v>2.0000000000000001E-4</v>
      </c>
      <c r="E105">
        <v>6.016893319548454</v>
      </c>
      <c r="F105">
        <v>711.00317602514826</v>
      </c>
      <c r="G105">
        <v>0.42399999999999999</v>
      </c>
      <c r="H105">
        <v>2.9999999999999997E-4</v>
      </c>
      <c r="I105">
        <v>20.59869999999998</v>
      </c>
      <c r="J105" s="2">
        <v>45681</v>
      </c>
      <c r="K105" t="s">
        <v>517</v>
      </c>
      <c r="L105">
        <v>1</v>
      </c>
      <c r="M105">
        <v>8.9999999999999998E-4</v>
      </c>
      <c r="N105">
        <v>6.0905055002538022</v>
      </c>
      <c r="O105">
        <v>717.98897197408587</v>
      </c>
      <c r="P105">
        <v>0.42399999999999999</v>
      </c>
      <c r="Q105">
        <v>1.5E-3</v>
      </c>
      <c r="R105">
        <v>21.000599999999991</v>
      </c>
      <c r="S105" s="2">
        <v>45681</v>
      </c>
      <c r="T105" t="s">
        <v>913</v>
      </c>
      <c r="U105">
        <v>3</v>
      </c>
      <c r="V105">
        <v>-4.0000000000000002E-4</v>
      </c>
      <c r="W105">
        <v>6.0385616561529316</v>
      </c>
      <c r="X105">
        <v>713.05950116891336</v>
      </c>
      <c r="Y105">
        <v>0.42399999999999999</v>
      </c>
      <c r="Z105">
        <v>6.9999999999999999E-4</v>
      </c>
      <c r="AA105">
        <v>20.598600000000033</v>
      </c>
      <c r="AB105" s="2">
        <v>45681</v>
      </c>
      <c r="AC105" t="s">
        <v>1113</v>
      </c>
      <c r="AD105">
        <v>3</v>
      </c>
      <c r="AE105">
        <v>-2.0000000000000001E-4</v>
      </c>
      <c r="AF105">
        <v>6.039061844870087</v>
      </c>
      <c r="AG105">
        <v>713.10696907817135</v>
      </c>
      <c r="AH105">
        <v>0.42399999999999999</v>
      </c>
      <c r="AI105">
        <v>6.9999999999999999E-4</v>
      </c>
      <c r="AJ105">
        <v>20.602100000000007</v>
      </c>
      <c r="AK105" s="2">
        <v>45681</v>
      </c>
      <c r="AL105" t="s">
        <v>1413</v>
      </c>
      <c r="AM105">
        <v>4</v>
      </c>
      <c r="AN105">
        <v>0</v>
      </c>
      <c r="AO105">
        <v>6.0394173616236548</v>
      </c>
      <c r="AP105">
        <v>713.14070761808489</v>
      </c>
      <c r="AQ105">
        <v>0.42399999999999999</v>
      </c>
      <c r="AR105">
        <v>6.9999999999999999E-4</v>
      </c>
      <c r="AS105">
        <v>20.601200000000006</v>
      </c>
      <c r="AT105" s="2">
        <v>45681</v>
      </c>
      <c r="AU105" t="s">
        <v>1613</v>
      </c>
      <c r="AV105">
        <v>5</v>
      </c>
      <c r="AW105">
        <v>-3.0000000000000001E-3</v>
      </c>
      <c r="AX105">
        <v>5.9957334838115024</v>
      </c>
      <c r="AY105">
        <v>606.80236069123202</v>
      </c>
      <c r="AZ105">
        <v>0.42399999999999999</v>
      </c>
      <c r="BA105">
        <v>0</v>
      </c>
      <c r="BB105">
        <v>20.612300000000005</v>
      </c>
      <c r="BC105" s="2">
        <v>45681</v>
      </c>
      <c r="BD105" t="s">
        <v>1811</v>
      </c>
      <c r="BE105">
        <v>6</v>
      </c>
      <c r="BF105">
        <v>-1E-4</v>
      </c>
      <c r="BG105">
        <v>6.0397909218255954</v>
      </c>
      <c r="BH105">
        <v>713.17615848124899</v>
      </c>
      <c r="BI105">
        <v>0.42399999999999999</v>
      </c>
      <c r="BJ105">
        <v>6.9999999999999999E-4</v>
      </c>
      <c r="BK105">
        <v>20.601599999999962</v>
      </c>
      <c r="BU105" s="2">
        <v>45681</v>
      </c>
      <c r="BV105" t="s">
        <v>2093</v>
      </c>
      <c r="BW105">
        <v>7</v>
      </c>
      <c r="BX105">
        <v>3.8E-3</v>
      </c>
      <c r="BY105">
        <v>6.2487407442563443</v>
      </c>
      <c r="BZ105">
        <v>630.38263736469128</v>
      </c>
      <c r="CA105">
        <v>0.42399999999999999</v>
      </c>
      <c r="CB105">
        <v>3.8999999999999998E-3</v>
      </c>
      <c r="CC105">
        <v>21.003499999999917</v>
      </c>
    </row>
    <row r="106" spans="1:90" x14ac:dyDescent="0.3">
      <c r="A106" s="2">
        <v>45681</v>
      </c>
      <c r="B106" t="s">
        <v>318</v>
      </c>
      <c r="C106">
        <v>1</v>
      </c>
      <c r="D106">
        <v>5.9999999999999995E-4</v>
      </c>
      <c r="E106">
        <v>6.0287720230770274</v>
      </c>
      <c r="F106">
        <v>712.13046499000984</v>
      </c>
      <c r="G106">
        <v>0.42399999999999999</v>
      </c>
      <c r="H106">
        <v>5.0000000000000001E-4</v>
      </c>
      <c r="I106">
        <v>20.799499999999995</v>
      </c>
      <c r="J106" s="2">
        <v>45681</v>
      </c>
      <c r="K106" t="s">
        <v>518</v>
      </c>
      <c r="L106">
        <v>1</v>
      </c>
      <c r="M106">
        <v>1.2999999999999999E-3</v>
      </c>
      <c r="N106">
        <v>6.1241672358978967</v>
      </c>
      <c r="O106">
        <v>721.18347068671039</v>
      </c>
      <c r="P106">
        <v>0.42399999999999999</v>
      </c>
      <c r="Q106">
        <v>2E-3</v>
      </c>
      <c r="R106">
        <v>21.20040000000003</v>
      </c>
      <c r="S106" s="2">
        <v>45681</v>
      </c>
      <c r="T106" t="s">
        <v>914</v>
      </c>
      <c r="U106">
        <v>3</v>
      </c>
      <c r="V106">
        <v>-2.0000000000000001E-4</v>
      </c>
      <c r="W106">
        <v>6.0625034469789174</v>
      </c>
      <c r="X106">
        <v>715.33157711829926</v>
      </c>
      <c r="Y106">
        <v>0.42399999999999999</v>
      </c>
      <c r="Z106">
        <v>1E-3</v>
      </c>
      <c r="AA106">
        <v>20.799900000000036</v>
      </c>
      <c r="AB106" s="2">
        <v>45681</v>
      </c>
      <c r="AC106" t="s">
        <v>1114</v>
      </c>
      <c r="AD106">
        <v>3</v>
      </c>
      <c r="AE106">
        <v>2.0000000000000001E-4</v>
      </c>
      <c r="AF106">
        <v>6.062646537606577</v>
      </c>
      <c r="AG106">
        <v>715.34515641886424</v>
      </c>
      <c r="AH106">
        <v>0.42399999999999999</v>
      </c>
      <c r="AI106">
        <v>1E-3</v>
      </c>
      <c r="AJ106">
        <v>20.799800000000005</v>
      </c>
      <c r="AK106" s="2">
        <v>45681</v>
      </c>
      <c r="AL106" t="s">
        <v>1414</v>
      </c>
      <c r="AM106">
        <v>4</v>
      </c>
      <c r="AN106">
        <v>1E-4</v>
      </c>
      <c r="AO106">
        <v>6.0635563734224203</v>
      </c>
      <c r="AP106">
        <v>715.43149983778767</v>
      </c>
      <c r="AQ106">
        <v>0.42399999999999999</v>
      </c>
      <c r="AR106">
        <v>1.1000000000000001E-3</v>
      </c>
      <c r="AS106">
        <v>20.802300000000002</v>
      </c>
      <c r="AT106" s="2">
        <v>45681</v>
      </c>
      <c r="AU106" t="s">
        <v>1614</v>
      </c>
      <c r="AV106">
        <v>5</v>
      </c>
      <c r="AW106">
        <v>-3.0000000000000001E-3</v>
      </c>
      <c r="AX106">
        <v>5.9957334838115024</v>
      </c>
      <c r="AY106">
        <v>606.80236069123202</v>
      </c>
      <c r="AZ106">
        <v>0.42399999999999999</v>
      </c>
      <c r="BA106">
        <v>0</v>
      </c>
      <c r="BB106">
        <v>20.800999999999988</v>
      </c>
      <c r="BC106" s="2">
        <v>45681</v>
      </c>
      <c r="BD106" t="s">
        <v>1812</v>
      </c>
      <c r="BE106">
        <v>6</v>
      </c>
      <c r="BF106">
        <v>1E-4</v>
      </c>
      <c r="BG106">
        <v>6.0644083891093166</v>
      </c>
      <c r="BH106">
        <v>715.51235612647417</v>
      </c>
      <c r="BI106">
        <v>0.42399999999999999</v>
      </c>
      <c r="BJ106">
        <v>1.1000000000000001E-3</v>
      </c>
      <c r="BK106">
        <v>20.805700000000002</v>
      </c>
      <c r="BU106" s="2">
        <v>45681</v>
      </c>
      <c r="BV106" t="s">
        <v>2094</v>
      </c>
      <c r="BW106">
        <v>7</v>
      </c>
      <c r="BX106">
        <v>3.0000000000000001E-3</v>
      </c>
      <c r="BY106">
        <v>6.2018513768832859</v>
      </c>
      <c r="BZ106">
        <v>626.01254832552229</v>
      </c>
      <c r="CA106">
        <v>0.42399999999999999</v>
      </c>
      <c r="CB106">
        <v>3.2000000000000002E-3</v>
      </c>
      <c r="CC106">
        <v>21.201799999999935</v>
      </c>
    </row>
    <row r="107" spans="1:90" x14ac:dyDescent="0.3">
      <c r="A107" s="2">
        <v>45681</v>
      </c>
      <c r="B107" t="s">
        <v>319</v>
      </c>
      <c r="C107">
        <v>1</v>
      </c>
      <c r="D107">
        <v>5.9999999999999995E-4</v>
      </c>
      <c r="E107">
        <v>6.0431125382092912</v>
      </c>
      <c r="F107">
        <v>713.49137987606173</v>
      </c>
      <c r="G107">
        <v>0.42399999999999999</v>
      </c>
      <c r="H107">
        <v>6.9999999999999999E-4</v>
      </c>
      <c r="I107">
        <v>20.999099999999999</v>
      </c>
      <c r="J107" s="2">
        <v>45681</v>
      </c>
      <c r="K107" t="s">
        <v>519</v>
      </c>
      <c r="L107">
        <v>1</v>
      </c>
      <c r="M107">
        <v>1.9E-3</v>
      </c>
      <c r="N107">
        <v>6.1628497131034061</v>
      </c>
      <c r="O107">
        <v>724.85443777351327</v>
      </c>
      <c r="P107">
        <v>0.42399999999999999</v>
      </c>
      <c r="Q107">
        <v>2.5999999999999999E-3</v>
      </c>
      <c r="R107">
        <v>21.401199999999989</v>
      </c>
      <c r="S107" s="2">
        <v>45681</v>
      </c>
      <c r="T107" t="s">
        <v>915</v>
      </c>
      <c r="U107">
        <v>3</v>
      </c>
      <c r="V107">
        <v>2.0000000000000001E-4</v>
      </c>
      <c r="W107">
        <v>6.0914726696336894</v>
      </c>
      <c r="X107">
        <v>718.08075634823717</v>
      </c>
      <c r="Y107">
        <v>0.42399999999999999</v>
      </c>
      <c r="Z107">
        <v>1.5E-3</v>
      </c>
      <c r="AA107">
        <v>21.000500000000045</v>
      </c>
      <c r="AB107" s="2">
        <v>45681</v>
      </c>
      <c r="AC107" t="s">
        <v>1115</v>
      </c>
      <c r="AD107">
        <v>3</v>
      </c>
      <c r="AE107">
        <v>8.0000000000000004E-4</v>
      </c>
      <c r="AF107">
        <v>6.0923156838699368</v>
      </c>
      <c r="AG107">
        <v>718.16075839925702</v>
      </c>
      <c r="AH107">
        <v>0.42399999999999999</v>
      </c>
      <c r="AI107">
        <v>1.5E-3</v>
      </c>
      <c r="AJ107">
        <v>21.004599999999982</v>
      </c>
      <c r="AK107" s="2">
        <v>45681</v>
      </c>
      <c r="AL107" t="s">
        <v>1415</v>
      </c>
      <c r="AM107">
        <v>4</v>
      </c>
      <c r="AN107">
        <v>8.0000000000000004E-4</v>
      </c>
      <c r="AO107">
        <v>6.0924152269390532</v>
      </c>
      <c r="AP107">
        <v>718.17020503651622</v>
      </c>
      <c r="AQ107">
        <v>0.42399999999999999</v>
      </c>
      <c r="AR107">
        <v>1.5E-3</v>
      </c>
      <c r="AS107">
        <v>21.000900000000001</v>
      </c>
      <c r="AT107" s="2">
        <v>45681</v>
      </c>
      <c r="AU107" t="s">
        <v>1615</v>
      </c>
      <c r="AV107">
        <v>5</v>
      </c>
      <c r="AW107">
        <v>-3.0000000000000001E-3</v>
      </c>
      <c r="AX107">
        <v>5.9957334838115024</v>
      </c>
      <c r="AY107">
        <v>606.80236069123202</v>
      </c>
      <c r="AZ107">
        <v>0.42399999999999999</v>
      </c>
      <c r="BA107">
        <v>0</v>
      </c>
      <c r="BB107">
        <v>21.004199999999969</v>
      </c>
      <c r="BC107" s="2">
        <v>45681</v>
      </c>
      <c r="BD107" t="s">
        <v>1813</v>
      </c>
      <c r="BE107">
        <v>6</v>
      </c>
      <c r="BF107">
        <v>6.9999999999999999E-4</v>
      </c>
      <c r="BG107">
        <v>6.0930186890562226</v>
      </c>
      <c r="BH107">
        <v>718.22747359143557</v>
      </c>
      <c r="BI107">
        <v>0.42399999999999999</v>
      </c>
      <c r="BJ107">
        <v>1.5E-3</v>
      </c>
      <c r="BK107">
        <v>21.001800000000003</v>
      </c>
      <c r="BU107" s="2">
        <v>45681</v>
      </c>
      <c r="BV107" t="s">
        <v>2095</v>
      </c>
      <c r="BW107">
        <v>7</v>
      </c>
      <c r="BX107">
        <v>2.3999999999999998E-3</v>
      </c>
      <c r="BY107">
        <v>6.1588659629850211</v>
      </c>
      <c r="BZ107">
        <v>622.00630775020397</v>
      </c>
      <c r="CA107">
        <v>0.42399999999999999</v>
      </c>
      <c r="CB107">
        <v>2.5000000000000001E-3</v>
      </c>
      <c r="CC107">
        <v>21.402799999999957</v>
      </c>
    </row>
    <row r="108" spans="1:90" x14ac:dyDescent="0.3">
      <c r="A108" s="2">
        <v>45681</v>
      </c>
      <c r="B108" t="s">
        <v>320</v>
      </c>
      <c r="C108">
        <v>1</v>
      </c>
      <c r="D108">
        <v>8.9999999999999998E-4</v>
      </c>
      <c r="E108">
        <v>6.0598940399675314</v>
      </c>
      <c r="F108">
        <v>715.08394439291862</v>
      </c>
      <c r="G108">
        <v>0.42399999999999999</v>
      </c>
      <c r="H108">
        <v>1E-3</v>
      </c>
      <c r="I108">
        <v>21.198399999999992</v>
      </c>
      <c r="J108" s="2">
        <v>45681</v>
      </c>
      <c r="K108" t="s">
        <v>520</v>
      </c>
      <c r="L108">
        <v>1</v>
      </c>
      <c r="M108">
        <v>2.5000000000000001E-3</v>
      </c>
      <c r="N108">
        <v>6.2061441768072916</v>
      </c>
      <c r="O108">
        <v>728.96308237901212</v>
      </c>
      <c r="P108">
        <v>0.42399999999999999</v>
      </c>
      <c r="Q108">
        <v>3.3E-3</v>
      </c>
      <c r="R108">
        <v>21.601500000000016</v>
      </c>
      <c r="S108" s="2">
        <v>45681</v>
      </c>
      <c r="T108" t="s">
        <v>916</v>
      </c>
      <c r="U108">
        <v>3</v>
      </c>
      <c r="V108">
        <v>6.9999999999999999E-4</v>
      </c>
      <c r="W108">
        <v>6.125417626596632</v>
      </c>
      <c r="X108">
        <v>721.30213276402037</v>
      </c>
      <c r="Y108">
        <v>0.42399999999999999</v>
      </c>
      <c r="Z108">
        <v>2E-3</v>
      </c>
      <c r="AA108">
        <v>21.201000000000022</v>
      </c>
      <c r="AB108" s="2">
        <v>45681</v>
      </c>
      <c r="AC108" t="s">
        <v>1116</v>
      </c>
      <c r="AD108">
        <v>3</v>
      </c>
      <c r="AE108">
        <v>1E-3</v>
      </c>
      <c r="AF108">
        <v>6.1256674371256841</v>
      </c>
      <c r="AG108">
        <v>721.32583978322748</v>
      </c>
      <c r="AH108">
        <v>0.42399999999999999</v>
      </c>
      <c r="AI108">
        <v>2E-3</v>
      </c>
      <c r="AJ108">
        <v>21.201199999999972</v>
      </c>
      <c r="AK108" s="2">
        <v>45681</v>
      </c>
      <c r="AL108" t="s">
        <v>1416</v>
      </c>
      <c r="AM108">
        <v>4</v>
      </c>
      <c r="AN108">
        <v>1E-3</v>
      </c>
      <c r="AO108">
        <v>6.1265644600658273</v>
      </c>
      <c r="AP108">
        <v>721.41096726024705</v>
      </c>
      <c r="AQ108">
        <v>0.42399999999999999</v>
      </c>
      <c r="AR108">
        <v>2E-3</v>
      </c>
      <c r="AS108">
        <v>21.201799999999992</v>
      </c>
      <c r="AT108" s="2">
        <v>45681</v>
      </c>
      <c r="AU108" t="s">
        <v>1616</v>
      </c>
      <c r="AV108">
        <v>5</v>
      </c>
      <c r="AW108">
        <v>-3.0000000000000001E-3</v>
      </c>
      <c r="AX108">
        <v>5.9957334838115024</v>
      </c>
      <c r="AY108">
        <v>606.80236069123202</v>
      </c>
      <c r="AZ108">
        <v>0.42399999999999999</v>
      </c>
      <c r="BA108">
        <v>0</v>
      </c>
      <c r="BB108">
        <v>21.201499999999953</v>
      </c>
      <c r="BC108" s="2">
        <v>45681</v>
      </c>
      <c r="BD108" t="s">
        <v>1814</v>
      </c>
      <c r="BE108">
        <v>6</v>
      </c>
      <c r="BF108">
        <v>8.9999999999999998E-4</v>
      </c>
      <c r="BG108">
        <v>6.1274393443030224</v>
      </c>
      <c r="BH108">
        <v>721.49399377435691</v>
      </c>
      <c r="BI108">
        <v>0.42399999999999999</v>
      </c>
      <c r="BJ108">
        <v>2E-3</v>
      </c>
      <c r="BK108">
        <v>21.203600000000051</v>
      </c>
      <c r="BU108" s="2">
        <v>45681</v>
      </c>
      <c r="BV108" t="s">
        <v>2096</v>
      </c>
      <c r="BW108">
        <v>7</v>
      </c>
      <c r="BX108">
        <v>2.3999999999999998E-3</v>
      </c>
      <c r="BY108">
        <v>6.1205737108292766</v>
      </c>
      <c r="BZ108">
        <v>618.43746984928862</v>
      </c>
      <c r="CA108">
        <v>0.42399999999999999</v>
      </c>
      <c r="CB108">
        <v>1.9E-3</v>
      </c>
      <c r="CC108">
        <v>21.603999999999928</v>
      </c>
    </row>
    <row r="109" spans="1:90" x14ac:dyDescent="0.3">
      <c r="A109" s="2">
        <v>45681</v>
      </c>
      <c r="B109" t="s">
        <v>321</v>
      </c>
      <c r="C109">
        <v>1</v>
      </c>
      <c r="D109">
        <v>8.9999999999999998E-4</v>
      </c>
      <c r="E109">
        <v>6.0791633075121663</v>
      </c>
      <c r="F109">
        <v>716.91259788290461</v>
      </c>
      <c r="G109">
        <v>0.42399999999999999</v>
      </c>
      <c r="H109">
        <v>1.2999999999999999E-3</v>
      </c>
      <c r="I109">
        <v>21.398499999999984</v>
      </c>
      <c r="J109" s="2">
        <v>45681</v>
      </c>
      <c r="K109" t="s">
        <v>521</v>
      </c>
      <c r="L109">
        <v>1</v>
      </c>
      <c r="M109">
        <v>3.0999999999999999E-3</v>
      </c>
      <c r="N109">
        <v>6.2539398929477423</v>
      </c>
      <c r="O109">
        <v>733.49889584074083</v>
      </c>
      <c r="P109">
        <v>0.42399999999999999</v>
      </c>
      <c r="Q109">
        <v>4.0000000000000001E-3</v>
      </c>
      <c r="R109">
        <v>21.801799999999986</v>
      </c>
      <c r="S109" s="2">
        <v>45681</v>
      </c>
      <c r="T109" t="s">
        <v>917</v>
      </c>
      <c r="U109">
        <v>3</v>
      </c>
      <c r="V109">
        <v>1.4E-3</v>
      </c>
      <c r="W109">
        <v>6.1636121197545606</v>
      </c>
      <c r="X109">
        <v>724.92679016470788</v>
      </c>
      <c r="Y109">
        <v>0.42399999999999999</v>
      </c>
      <c r="Z109">
        <v>2.5999999999999999E-3</v>
      </c>
      <c r="AA109">
        <v>21.398600000000044</v>
      </c>
      <c r="AB109" s="2">
        <v>45681</v>
      </c>
      <c r="AC109" t="s">
        <v>1117</v>
      </c>
      <c r="AD109">
        <v>3</v>
      </c>
      <c r="AE109">
        <v>1.2999999999999999E-3</v>
      </c>
      <c r="AF109">
        <v>6.1642880394947488</v>
      </c>
      <c r="AG109">
        <v>724.99093494805174</v>
      </c>
      <c r="AH109">
        <v>0.42399999999999999</v>
      </c>
      <c r="AI109">
        <v>2.5999999999999999E-3</v>
      </c>
      <c r="AJ109">
        <v>21.400699999999972</v>
      </c>
      <c r="AK109" s="2">
        <v>45681</v>
      </c>
      <c r="AL109" t="s">
        <v>1417</v>
      </c>
      <c r="AM109">
        <v>4</v>
      </c>
      <c r="AN109">
        <v>1.2999999999999999E-3</v>
      </c>
      <c r="AO109">
        <v>6.1651717629942926</v>
      </c>
      <c r="AP109">
        <v>725.0748003081585</v>
      </c>
      <c r="AQ109">
        <v>0.42399999999999999</v>
      </c>
      <c r="AR109">
        <v>2.5999999999999999E-3</v>
      </c>
      <c r="AS109">
        <v>21.400699999999972</v>
      </c>
      <c r="AT109" s="2">
        <v>45681</v>
      </c>
      <c r="AU109" t="s">
        <v>1617</v>
      </c>
      <c r="AV109">
        <v>5</v>
      </c>
      <c r="AW109">
        <v>-3.0000000000000001E-3</v>
      </c>
      <c r="AX109">
        <v>5.9957334838115024</v>
      </c>
      <c r="AY109">
        <v>606.80236069123202</v>
      </c>
      <c r="AZ109">
        <v>0.42399999999999999</v>
      </c>
      <c r="BA109">
        <v>0</v>
      </c>
      <c r="BB109">
        <v>21.403599999999983</v>
      </c>
      <c r="BC109" s="2">
        <v>45681</v>
      </c>
      <c r="BD109" t="s">
        <v>1815</v>
      </c>
      <c r="BE109">
        <v>6</v>
      </c>
      <c r="BF109">
        <v>1.1999999999999999E-3</v>
      </c>
      <c r="BG109">
        <v>6.1661094951977322</v>
      </c>
      <c r="BH109">
        <v>725.16379109426487</v>
      </c>
      <c r="BI109">
        <v>0.42399999999999999</v>
      </c>
      <c r="BJ109">
        <v>2.5999999999999999E-3</v>
      </c>
      <c r="BK109">
        <v>21.402199999999993</v>
      </c>
      <c r="BU109" s="2">
        <v>45681</v>
      </c>
      <c r="BV109" t="s">
        <v>2097</v>
      </c>
      <c r="BW109">
        <v>7</v>
      </c>
      <c r="BX109">
        <v>1E-3</v>
      </c>
      <c r="BY109">
        <v>6.0874510485472566</v>
      </c>
      <c r="BZ109">
        <v>615.35043772460438</v>
      </c>
      <c r="CA109">
        <v>0.42399999999999999</v>
      </c>
      <c r="CB109">
        <v>1.4E-3</v>
      </c>
      <c r="CC109">
        <v>21.803499999999985</v>
      </c>
    </row>
    <row r="110" spans="1:90" x14ac:dyDescent="0.3">
      <c r="A110" s="2">
        <v>45681</v>
      </c>
      <c r="B110" t="s">
        <v>322</v>
      </c>
      <c r="C110">
        <v>1</v>
      </c>
      <c r="D110">
        <v>1.1999999999999999E-3</v>
      </c>
      <c r="E110">
        <v>6.1008789828267034</v>
      </c>
      <c r="F110">
        <v>718.97341547025417</v>
      </c>
      <c r="G110">
        <v>0.42399999999999999</v>
      </c>
      <c r="H110">
        <v>1.6000000000000001E-3</v>
      </c>
      <c r="I110">
        <v>21.599599999999981</v>
      </c>
      <c r="J110" s="2">
        <v>45681</v>
      </c>
      <c r="K110" t="s">
        <v>522</v>
      </c>
      <c r="L110">
        <v>2</v>
      </c>
      <c r="M110">
        <v>4.3E-3</v>
      </c>
      <c r="N110">
        <v>6.3061745406704857</v>
      </c>
      <c r="O110">
        <v>738.45596390962908</v>
      </c>
      <c r="P110">
        <v>0.42399999999999999</v>
      </c>
      <c r="Q110">
        <v>4.7999999999999996E-3</v>
      </c>
      <c r="R110">
        <v>22.002500000000026</v>
      </c>
      <c r="S110" s="2">
        <v>45681</v>
      </c>
      <c r="T110" t="s">
        <v>918</v>
      </c>
      <c r="U110">
        <v>3</v>
      </c>
      <c r="V110">
        <v>2.5000000000000001E-3</v>
      </c>
      <c r="W110">
        <v>6.2071803978558977</v>
      </c>
      <c r="X110">
        <v>729.06141975652474</v>
      </c>
      <c r="Y110">
        <v>0.42399999999999999</v>
      </c>
      <c r="Z110">
        <v>3.3E-3</v>
      </c>
      <c r="AA110">
        <v>21.599800000000016</v>
      </c>
      <c r="AB110" s="2">
        <v>45681</v>
      </c>
      <c r="AC110" t="s">
        <v>1118</v>
      </c>
      <c r="AD110">
        <v>3</v>
      </c>
      <c r="AE110">
        <v>2.5000000000000001E-3</v>
      </c>
      <c r="AF110">
        <v>6.2080987891045636</v>
      </c>
      <c r="AG110">
        <v>729.14857508602313</v>
      </c>
      <c r="AH110">
        <v>0.42399999999999999</v>
      </c>
      <c r="AI110">
        <v>3.3E-3</v>
      </c>
      <c r="AJ110">
        <v>21.602599999999995</v>
      </c>
      <c r="AK110" s="2">
        <v>45681</v>
      </c>
      <c r="AL110" t="s">
        <v>1418</v>
      </c>
      <c r="AM110">
        <v>4</v>
      </c>
      <c r="AN110">
        <v>2.3999999999999998E-3</v>
      </c>
      <c r="AO110">
        <v>6.2088930252095897</v>
      </c>
      <c r="AP110">
        <v>729.22394809239006</v>
      </c>
      <c r="AQ110">
        <v>0.42399999999999999</v>
      </c>
      <c r="AR110">
        <v>3.3E-3</v>
      </c>
      <c r="AS110">
        <v>21.601699999999994</v>
      </c>
      <c r="AT110" s="2">
        <v>45681</v>
      </c>
      <c r="AU110" t="s">
        <v>1618</v>
      </c>
      <c r="AV110">
        <v>5</v>
      </c>
      <c r="AW110">
        <v>-3.0000000000000001E-3</v>
      </c>
      <c r="AX110">
        <v>5.9957334838115024</v>
      </c>
      <c r="AY110">
        <v>606.80236069123202</v>
      </c>
      <c r="AZ110">
        <v>0.42399999999999999</v>
      </c>
      <c r="BA110">
        <v>0</v>
      </c>
      <c r="BB110">
        <v>21.600999999999999</v>
      </c>
      <c r="BC110" s="2">
        <v>45681</v>
      </c>
      <c r="BD110" t="s">
        <v>1816</v>
      </c>
      <c r="BE110">
        <v>6</v>
      </c>
      <c r="BF110">
        <v>2.3999999999999998E-3</v>
      </c>
      <c r="BG110">
        <v>6.2094231782151672</v>
      </c>
      <c r="BH110">
        <v>729.2742596126194</v>
      </c>
      <c r="BI110">
        <v>0.42399999999999999</v>
      </c>
      <c r="BJ110">
        <v>3.3E-3</v>
      </c>
      <c r="BK110">
        <v>21.601099999999974</v>
      </c>
      <c r="BU110" s="2">
        <v>45681</v>
      </c>
      <c r="BV110" t="s">
        <v>2098</v>
      </c>
      <c r="BW110">
        <v>7</v>
      </c>
      <c r="BX110">
        <v>8.0000000000000004E-4</v>
      </c>
      <c r="BY110">
        <v>6.0593057424564094</v>
      </c>
      <c r="BZ110">
        <v>612.72729519693723</v>
      </c>
      <c r="CA110">
        <v>0.42399999999999999</v>
      </c>
      <c r="CB110">
        <v>1E-3</v>
      </c>
      <c r="CC110">
        <v>22.002700000000004</v>
      </c>
    </row>
    <row r="111" spans="1:90" x14ac:dyDescent="0.3">
      <c r="A111" s="2">
        <v>45681</v>
      </c>
      <c r="B111" t="s">
        <v>323</v>
      </c>
      <c r="C111">
        <v>1</v>
      </c>
      <c r="D111">
        <v>1.5E-3</v>
      </c>
      <c r="E111">
        <v>6.1247043630003732</v>
      </c>
      <c r="F111">
        <v>721.23444404873544</v>
      </c>
      <c r="G111">
        <v>0.42399999999999999</v>
      </c>
      <c r="H111">
        <v>2E-3</v>
      </c>
      <c r="I111">
        <v>21.799399999999991</v>
      </c>
      <c r="J111" s="2">
        <v>45681</v>
      </c>
      <c r="K111" t="s">
        <v>523</v>
      </c>
      <c r="L111">
        <v>2</v>
      </c>
      <c r="M111">
        <v>4.7000000000000002E-3</v>
      </c>
      <c r="N111">
        <v>6.3623557973909186</v>
      </c>
      <c r="O111">
        <v>743.78756517239833</v>
      </c>
      <c r="P111">
        <v>0.42399999999999999</v>
      </c>
      <c r="Q111">
        <v>5.7000000000000002E-3</v>
      </c>
      <c r="R111">
        <v>22.202500000000015</v>
      </c>
      <c r="S111" s="2">
        <v>45681</v>
      </c>
      <c r="T111" t="s">
        <v>919</v>
      </c>
      <c r="U111">
        <v>3</v>
      </c>
      <c r="V111">
        <v>3.0000000000000001E-3</v>
      </c>
      <c r="W111">
        <v>6.2549309445548014</v>
      </c>
      <c r="X111">
        <v>733.59294663825074</v>
      </c>
      <c r="Y111">
        <v>0.42399999999999999</v>
      </c>
      <c r="Z111">
        <v>4.0000000000000001E-3</v>
      </c>
      <c r="AA111">
        <v>21.799500000000023</v>
      </c>
      <c r="AB111" s="2">
        <v>45681</v>
      </c>
      <c r="AC111" t="s">
        <v>1119</v>
      </c>
      <c r="AD111">
        <v>3</v>
      </c>
      <c r="AE111">
        <v>3.3999999999999998E-3</v>
      </c>
      <c r="AF111">
        <v>6.2563150595068757</v>
      </c>
      <c r="AG111">
        <v>733.72429914720249</v>
      </c>
      <c r="AH111">
        <v>0.42399999999999999</v>
      </c>
      <c r="AI111">
        <v>4.0000000000000001E-3</v>
      </c>
      <c r="AJ111">
        <v>21.803799999999967</v>
      </c>
      <c r="AK111" s="2">
        <v>45681</v>
      </c>
      <c r="AL111" t="s">
        <v>1419</v>
      </c>
      <c r="AM111">
        <v>4</v>
      </c>
      <c r="AN111">
        <v>3.0999999999999999E-3</v>
      </c>
      <c r="AO111">
        <v>6.2562664030168804</v>
      </c>
      <c r="AP111">
        <v>733.71968164630186</v>
      </c>
      <c r="AQ111">
        <v>0.42399999999999999</v>
      </c>
      <c r="AR111">
        <v>4.0000000000000001E-3</v>
      </c>
      <c r="AS111">
        <v>21.79929999999996</v>
      </c>
      <c r="AT111" s="2">
        <v>45681</v>
      </c>
      <c r="AU111" t="s">
        <v>1619</v>
      </c>
      <c r="AV111">
        <v>5</v>
      </c>
      <c r="AW111">
        <v>-3.0000000000000001E-3</v>
      </c>
      <c r="AX111">
        <v>5.9957334838115024</v>
      </c>
      <c r="AY111">
        <v>606.80236069123202</v>
      </c>
      <c r="AZ111">
        <v>0.42399999999999999</v>
      </c>
      <c r="BA111">
        <v>0</v>
      </c>
      <c r="BB111">
        <v>21.801999999999964</v>
      </c>
      <c r="BC111" s="2">
        <v>45681</v>
      </c>
      <c r="BD111" t="s">
        <v>1817</v>
      </c>
      <c r="BE111">
        <v>6</v>
      </c>
      <c r="BF111">
        <v>3.0000000000000001E-3</v>
      </c>
      <c r="BG111">
        <v>6.2581277164945854</v>
      </c>
      <c r="BH111">
        <v>733.89632029533607</v>
      </c>
      <c r="BI111">
        <v>0.42399999999999999</v>
      </c>
      <c r="BJ111">
        <v>4.1000000000000003E-3</v>
      </c>
      <c r="BK111">
        <v>21.803700000000049</v>
      </c>
      <c r="BU111" s="2">
        <v>45681</v>
      </c>
      <c r="BV111" t="s">
        <v>2099</v>
      </c>
      <c r="BW111">
        <v>7</v>
      </c>
      <c r="BX111">
        <v>1E-4</v>
      </c>
      <c r="BY111">
        <v>6.036089675342831</v>
      </c>
      <c r="BZ111">
        <v>610.56355774195185</v>
      </c>
      <c r="CA111">
        <v>0.42399999999999999</v>
      </c>
      <c r="CB111">
        <v>5.9999999999999995E-4</v>
      </c>
      <c r="CC111">
        <v>22.203099999999949</v>
      </c>
    </row>
    <row r="112" spans="1:90" x14ac:dyDescent="0.3">
      <c r="A112" s="2">
        <v>45681</v>
      </c>
      <c r="B112" t="s">
        <v>324</v>
      </c>
      <c r="C112">
        <v>1</v>
      </c>
      <c r="D112">
        <v>2E-3</v>
      </c>
      <c r="E112">
        <v>6.1507644546653868</v>
      </c>
      <c r="F112">
        <v>723.70754674774525</v>
      </c>
      <c r="G112">
        <v>0.42399999999999999</v>
      </c>
      <c r="H112">
        <v>2.3999999999999998E-3</v>
      </c>
      <c r="I112">
        <v>21.99969999999999</v>
      </c>
      <c r="J112" s="2">
        <v>45681</v>
      </c>
      <c r="K112" t="s">
        <v>524</v>
      </c>
      <c r="L112">
        <v>2</v>
      </c>
      <c r="M112">
        <v>6.0000000000000001E-3</v>
      </c>
      <c r="N112">
        <v>6.4221626113692194</v>
      </c>
      <c r="O112">
        <v>749.46323181893888</v>
      </c>
      <c r="P112">
        <v>0.42399999999999999</v>
      </c>
      <c r="Q112">
        <v>6.6E-3</v>
      </c>
      <c r="R112">
        <v>22.401699999999977</v>
      </c>
      <c r="S112" s="2">
        <v>45681</v>
      </c>
      <c r="T112" t="s">
        <v>920</v>
      </c>
      <c r="U112">
        <v>3</v>
      </c>
      <c r="V112">
        <v>3.5999999999999999E-3</v>
      </c>
      <c r="W112">
        <v>6.3075852950508322</v>
      </c>
      <c r="X112">
        <v>738.58984450032403</v>
      </c>
      <c r="Y112">
        <v>0.42399999999999999</v>
      </c>
      <c r="Z112">
        <v>4.7999999999999996E-3</v>
      </c>
      <c r="AA112">
        <v>22.001400000000046</v>
      </c>
      <c r="AB112" s="2">
        <v>45681</v>
      </c>
      <c r="AC112" t="s">
        <v>1120</v>
      </c>
      <c r="AD112">
        <v>4</v>
      </c>
      <c r="AE112">
        <v>3.8E-3</v>
      </c>
      <c r="AF112">
        <v>6.3075963238552308</v>
      </c>
      <c r="AG112">
        <v>738.59089113386142</v>
      </c>
      <c r="AH112">
        <v>0.42399999999999999</v>
      </c>
      <c r="AI112">
        <v>4.7999999999999996E-3</v>
      </c>
      <c r="AJ112">
        <v>22.000200000000007</v>
      </c>
      <c r="AK112" s="2">
        <v>45681</v>
      </c>
      <c r="AL112" t="s">
        <v>1420</v>
      </c>
      <c r="AM112">
        <v>5</v>
      </c>
      <c r="AN112">
        <v>3.5999999999999999E-3</v>
      </c>
      <c r="AO112">
        <v>6.3088690154452154</v>
      </c>
      <c r="AP112">
        <v>738.71166956575087</v>
      </c>
      <c r="AQ112">
        <v>0.42399999999999999</v>
      </c>
      <c r="AR112">
        <v>4.8999999999999998E-3</v>
      </c>
      <c r="AS112">
        <v>22.000599999999963</v>
      </c>
      <c r="AT112" s="2">
        <v>45681</v>
      </c>
      <c r="AU112" t="s">
        <v>1620</v>
      </c>
      <c r="AV112">
        <v>5</v>
      </c>
      <c r="AW112">
        <v>-3.0000000000000001E-3</v>
      </c>
      <c r="AX112">
        <v>5.9957334838115024</v>
      </c>
      <c r="AY112">
        <v>606.80236069123202</v>
      </c>
      <c r="AZ112">
        <v>0.42399999999999999</v>
      </c>
      <c r="BA112">
        <v>0</v>
      </c>
      <c r="BB112">
        <v>22.003399999999999</v>
      </c>
      <c r="BC112" s="2">
        <v>45681</v>
      </c>
      <c r="BD112" t="s">
        <v>1818</v>
      </c>
      <c r="BE112">
        <v>6</v>
      </c>
      <c r="BF112">
        <v>3.3999999999999998E-3</v>
      </c>
      <c r="BG112">
        <v>6.3102388578268904</v>
      </c>
      <c r="BH112">
        <v>738.8416676077718</v>
      </c>
      <c r="BI112">
        <v>0.42399999999999999</v>
      </c>
      <c r="BJ112">
        <v>4.8999999999999998E-3</v>
      </c>
      <c r="BK112">
        <v>22.002600000000029</v>
      </c>
      <c r="BU112" s="2">
        <v>45681</v>
      </c>
      <c r="BV112" t="s">
        <v>2100</v>
      </c>
      <c r="BW112">
        <v>7</v>
      </c>
      <c r="BX112">
        <v>-5.0000000000000001E-4</v>
      </c>
      <c r="BY112">
        <v>6.0182198982011066</v>
      </c>
      <c r="BZ112">
        <v>608.89809451234316</v>
      </c>
      <c r="CA112">
        <v>0.42399999999999999</v>
      </c>
      <c r="CB112">
        <v>2.9999999999999997E-4</v>
      </c>
      <c r="CC112">
        <v>22.401399999999967</v>
      </c>
    </row>
    <row r="113" spans="1:81" x14ac:dyDescent="0.3">
      <c r="A113" s="2">
        <v>45681</v>
      </c>
      <c r="B113" t="s">
        <v>325</v>
      </c>
      <c r="C113">
        <v>1</v>
      </c>
      <c r="D113">
        <v>2.3999999999999998E-3</v>
      </c>
      <c r="E113">
        <v>6.3618004241046942</v>
      </c>
      <c r="F113">
        <v>743.73486024753549</v>
      </c>
      <c r="G113">
        <v>0.42399999999999999</v>
      </c>
      <c r="H113">
        <v>5.7000000000000002E-3</v>
      </c>
      <c r="I113">
        <v>22.19919999999999</v>
      </c>
      <c r="J113" s="2">
        <v>45681</v>
      </c>
      <c r="K113" t="s">
        <v>525</v>
      </c>
      <c r="L113">
        <v>2</v>
      </c>
      <c r="M113">
        <v>6.8999999999999999E-3</v>
      </c>
      <c r="N113">
        <v>6.4856066196159112</v>
      </c>
      <c r="O113">
        <v>755.48406820155003</v>
      </c>
      <c r="P113">
        <v>0.42399999999999999</v>
      </c>
      <c r="Q113">
        <v>7.6E-3</v>
      </c>
      <c r="R113">
        <v>22.601000000000028</v>
      </c>
      <c r="S113" s="2">
        <v>45681</v>
      </c>
      <c r="T113" t="s">
        <v>921</v>
      </c>
      <c r="U113">
        <v>3</v>
      </c>
      <c r="V113">
        <v>4.7999999999999996E-3</v>
      </c>
      <c r="W113">
        <v>6.363396802994373</v>
      </c>
      <c r="X113">
        <v>743.88635660416605</v>
      </c>
      <c r="Y113">
        <v>0.42399999999999999</v>
      </c>
      <c r="Z113">
        <v>5.7000000000000002E-3</v>
      </c>
      <c r="AA113">
        <v>22.199800000000039</v>
      </c>
      <c r="AB113" s="2">
        <v>45681</v>
      </c>
      <c r="AC113" t="s">
        <v>1121</v>
      </c>
      <c r="AD113">
        <v>4</v>
      </c>
      <c r="AE113">
        <v>4.7000000000000002E-3</v>
      </c>
      <c r="AF113">
        <v>6.3648237762047186</v>
      </c>
      <c r="AG113">
        <v>744.02177636182785</v>
      </c>
      <c r="AH113">
        <v>0.42399999999999999</v>
      </c>
      <c r="AI113">
        <v>5.7000000000000002E-3</v>
      </c>
      <c r="AJ113">
        <v>22.203499999999963</v>
      </c>
      <c r="AK113" s="2">
        <v>45681</v>
      </c>
      <c r="AL113" t="s">
        <v>1421</v>
      </c>
      <c r="AM113">
        <v>5</v>
      </c>
      <c r="AN113">
        <v>4.3E-3</v>
      </c>
      <c r="AO113">
        <v>6.3649300500882831</v>
      </c>
      <c r="AP113">
        <v>744.03186175337805</v>
      </c>
      <c r="AQ113">
        <v>0.42399999999999999</v>
      </c>
      <c r="AR113">
        <v>5.7000000000000002E-3</v>
      </c>
      <c r="AS113">
        <v>22.199599999999975</v>
      </c>
      <c r="AT113" s="2">
        <v>45681</v>
      </c>
      <c r="AU113" t="s">
        <v>1621</v>
      </c>
      <c r="AV113">
        <v>5</v>
      </c>
      <c r="AW113">
        <v>-3.0000000000000001E-3</v>
      </c>
      <c r="AX113">
        <v>5.9957334838115024</v>
      </c>
      <c r="AY113">
        <v>606.80236069123202</v>
      </c>
      <c r="AZ113">
        <v>0.42399999999999999</v>
      </c>
      <c r="BA113">
        <v>0</v>
      </c>
      <c r="BB113">
        <v>22.201099999999997</v>
      </c>
      <c r="BC113" s="2">
        <v>45681</v>
      </c>
      <c r="BD113" t="s">
        <v>1819</v>
      </c>
      <c r="BE113">
        <v>6</v>
      </c>
      <c r="BF113">
        <v>4.4999999999999997E-3</v>
      </c>
      <c r="BG113">
        <v>6.36671185075192</v>
      </c>
      <c r="BH113">
        <v>744.20095463635721</v>
      </c>
      <c r="BI113">
        <v>0.42399999999999999</v>
      </c>
      <c r="BJ113">
        <v>5.7999999999999996E-3</v>
      </c>
      <c r="BK113">
        <v>22.20270000000005</v>
      </c>
      <c r="BU113" s="2">
        <v>45681</v>
      </c>
      <c r="BV113" t="s">
        <v>2101</v>
      </c>
      <c r="BW113">
        <v>7</v>
      </c>
      <c r="BX113">
        <v>-5.9999999999999995E-4</v>
      </c>
      <c r="BY113">
        <v>6.0054282934978236</v>
      </c>
      <c r="BZ113">
        <v>607.7059169539973</v>
      </c>
      <c r="CA113">
        <v>0.42399999999999999</v>
      </c>
      <c r="CB113">
        <v>2.0000000000000001E-4</v>
      </c>
      <c r="CC113">
        <v>22.601400000000012</v>
      </c>
    </row>
    <row r="114" spans="1:81" x14ac:dyDescent="0.3">
      <c r="A114" s="2">
        <v>45681</v>
      </c>
      <c r="B114" t="s">
        <v>326</v>
      </c>
      <c r="C114">
        <v>1</v>
      </c>
      <c r="D114">
        <v>5.0000000000000001E-3</v>
      </c>
      <c r="E114">
        <v>6.4219996121277347</v>
      </c>
      <c r="F114">
        <v>749.44776319092205</v>
      </c>
      <c r="G114">
        <v>0.42399999999999999</v>
      </c>
      <c r="H114">
        <v>6.6E-3</v>
      </c>
      <c r="I114">
        <v>22.399799999999999</v>
      </c>
      <c r="J114" s="2">
        <v>45681</v>
      </c>
      <c r="K114" t="s">
        <v>526</v>
      </c>
      <c r="L114">
        <v>2</v>
      </c>
      <c r="M114">
        <v>8.0000000000000002E-3</v>
      </c>
      <c r="N114">
        <v>6.552400221728047</v>
      </c>
      <c r="O114">
        <v>761.82278104199168</v>
      </c>
      <c r="P114">
        <v>0.42399999999999999</v>
      </c>
      <c r="Q114">
        <v>8.6E-3</v>
      </c>
      <c r="R114">
        <v>22.800100000000015</v>
      </c>
      <c r="S114" s="2">
        <v>45681</v>
      </c>
      <c r="T114" t="s">
        <v>922</v>
      </c>
      <c r="U114">
        <v>3</v>
      </c>
      <c r="V114">
        <v>5.4999999999999997E-3</v>
      </c>
      <c r="W114">
        <v>6.4236547437290819</v>
      </c>
      <c r="X114">
        <v>749.60483517988996</v>
      </c>
      <c r="Y114">
        <v>0.42399999999999999</v>
      </c>
      <c r="Z114">
        <v>6.6E-3</v>
      </c>
      <c r="AA114">
        <v>22.400200000000041</v>
      </c>
      <c r="AB114" s="2">
        <v>45681</v>
      </c>
      <c r="AC114" t="s">
        <v>1122</v>
      </c>
      <c r="AD114">
        <v>4</v>
      </c>
      <c r="AE114">
        <v>5.7000000000000002E-3</v>
      </c>
      <c r="AF114">
        <v>5.9957334838115024</v>
      </c>
      <c r="AG114">
        <v>606.80236069123202</v>
      </c>
      <c r="AH114">
        <v>0.42399999999999999</v>
      </c>
      <c r="AI114">
        <v>0</v>
      </c>
      <c r="AJ114">
        <v>22.403599999999983</v>
      </c>
      <c r="AK114" s="2">
        <v>45681</v>
      </c>
      <c r="AL114" t="s">
        <v>1422</v>
      </c>
      <c r="AM114">
        <v>5</v>
      </c>
      <c r="AN114">
        <v>5.5999999999999999E-3</v>
      </c>
      <c r="AO114">
        <v>6.4251586347406953</v>
      </c>
      <c r="AP114">
        <v>749.74755443689207</v>
      </c>
      <c r="AQ114">
        <v>0.42399999999999999</v>
      </c>
      <c r="AR114">
        <v>6.7000000000000002E-3</v>
      </c>
      <c r="AS114">
        <v>22.399599999999964</v>
      </c>
      <c r="AT114" s="2">
        <v>45681</v>
      </c>
      <c r="AU114" t="s">
        <v>1622</v>
      </c>
      <c r="AV114">
        <v>5</v>
      </c>
      <c r="AW114">
        <v>-3.0000000000000001E-3</v>
      </c>
      <c r="AX114">
        <v>5.9957334838115024</v>
      </c>
      <c r="AY114">
        <v>606.80236069123202</v>
      </c>
      <c r="AZ114">
        <v>0.42399999999999999</v>
      </c>
      <c r="BA114">
        <v>0</v>
      </c>
      <c r="BB114">
        <v>22.400800000000004</v>
      </c>
      <c r="BC114" s="2">
        <v>45681</v>
      </c>
      <c r="BD114" t="s">
        <v>1820</v>
      </c>
      <c r="BE114">
        <v>6</v>
      </c>
      <c r="BF114">
        <v>5.4000000000000003E-3</v>
      </c>
      <c r="BG114">
        <v>6.4267683536180469</v>
      </c>
      <c r="BH114">
        <v>749.90031675835269</v>
      </c>
      <c r="BI114">
        <v>0.42399999999999999</v>
      </c>
      <c r="BJ114">
        <v>6.7000000000000002E-3</v>
      </c>
      <c r="BK114">
        <v>22.40179999999998</v>
      </c>
      <c r="BU114" s="2">
        <v>45681</v>
      </c>
      <c r="BV114" t="s">
        <v>2102</v>
      </c>
      <c r="BW114">
        <v>7</v>
      </c>
      <c r="BX114">
        <v>-5.9999999999999995E-4</v>
      </c>
      <c r="BY114">
        <v>5.9978020179816252</v>
      </c>
      <c r="BZ114">
        <v>606.99514807588753</v>
      </c>
      <c r="CA114">
        <v>0.42399999999999999</v>
      </c>
      <c r="CB114">
        <v>0</v>
      </c>
      <c r="CC114">
        <v>22.806799999999953</v>
      </c>
    </row>
    <row r="115" spans="1:81" x14ac:dyDescent="0.3">
      <c r="A115" s="2">
        <v>45681</v>
      </c>
      <c r="B115" t="s">
        <v>327</v>
      </c>
      <c r="C115">
        <v>1</v>
      </c>
      <c r="D115">
        <v>6.6E-3</v>
      </c>
      <c r="E115">
        <v>6.485068965401461</v>
      </c>
      <c r="F115">
        <v>755.43304481659868</v>
      </c>
      <c r="G115">
        <v>0.42399999999999999</v>
      </c>
      <c r="H115">
        <v>7.6E-3</v>
      </c>
      <c r="I115">
        <v>22.597899999999981</v>
      </c>
      <c r="S115" s="2">
        <v>45681</v>
      </c>
      <c r="T115" t="s">
        <v>923</v>
      </c>
      <c r="U115">
        <v>3</v>
      </c>
      <c r="V115">
        <v>6.1000000000000004E-3</v>
      </c>
      <c r="W115">
        <v>6.4871194309840234</v>
      </c>
      <c r="X115">
        <v>755.62763400038375</v>
      </c>
      <c r="Y115">
        <v>0.42399999999999999</v>
      </c>
      <c r="Z115">
        <v>7.6E-3</v>
      </c>
      <c r="AA115">
        <v>22.599300000000028</v>
      </c>
      <c r="AB115" s="2">
        <v>45681</v>
      </c>
      <c r="AC115" t="s">
        <v>1123</v>
      </c>
      <c r="AD115">
        <v>4</v>
      </c>
      <c r="AE115">
        <v>3.2000000000000002E-3</v>
      </c>
      <c r="AF115">
        <v>5.9957334838115024</v>
      </c>
      <c r="AG115">
        <v>606.80236069123202</v>
      </c>
      <c r="AH115">
        <v>0.42399999999999999</v>
      </c>
      <c r="AI115">
        <v>0</v>
      </c>
      <c r="AJ115">
        <v>22.600099999999998</v>
      </c>
      <c r="AK115" s="2">
        <v>45681</v>
      </c>
      <c r="AL115" t="s">
        <v>1423</v>
      </c>
      <c r="AM115">
        <v>5</v>
      </c>
      <c r="AN115">
        <v>6.3E-3</v>
      </c>
      <c r="AO115">
        <v>6.4889635119548528</v>
      </c>
      <c r="AP115">
        <v>755.80263728451553</v>
      </c>
      <c r="AQ115">
        <v>0.42399999999999999</v>
      </c>
      <c r="AR115">
        <v>7.7000000000000002E-3</v>
      </c>
      <c r="AS115">
        <v>22.599400000000003</v>
      </c>
      <c r="AT115" s="2">
        <v>45681</v>
      </c>
      <c r="AU115" t="s">
        <v>1623</v>
      </c>
      <c r="AV115">
        <v>5</v>
      </c>
      <c r="AW115">
        <v>-3.0000000000000001E-3</v>
      </c>
      <c r="AX115">
        <v>5.9957334838115024</v>
      </c>
      <c r="AY115">
        <v>606.80236069123202</v>
      </c>
      <c r="AZ115">
        <v>0.42399999999999999</v>
      </c>
      <c r="BA115">
        <v>0</v>
      </c>
      <c r="BB115">
        <v>22.602800000000002</v>
      </c>
      <c r="BC115" s="2">
        <v>45681</v>
      </c>
      <c r="BD115" t="s">
        <v>1821</v>
      </c>
      <c r="BE115">
        <v>6</v>
      </c>
      <c r="BF115">
        <v>6.4999999999999997E-3</v>
      </c>
      <c r="BG115">
        <v>6.4915735271723642</v>
      </c>
      <c r="BH115">
        <v>756.05032772865741</v>
      </c>
      <c r="BI115">
        <v>0.42399999999999999</v>
      </c>
      <c r="BJ115">
        <v>7.7000000000000002E-3</v>
      </c>
      <c r="BK115">
        <v>22.604299999999967</v>
      </c>
    </row>
    <row r="116" spans="1:81" x14ac:dyDescent="0.3">
      <c r="A116" s="2">
        <v>45681</v>
      </c>
      <c r="B116" t="s">
        <v>328</v>
      </c>
      <c r="C116">
        <v>1</v>
      </c>
      <c r="D116">
        <v>7.4000000000000003E-3</v>
      </c>
      <c r="E116">
        <v>6.5524363086247943</v>
      </c>
      <c r="F116">
        <v>761.82620568849302</v>
      </c>
      <c r="G116">
        <v>0.42399999999999999</v>
      </c>
      <c r="H116">
        <v>8.6E-3</v>
      </c>
      <c r="I116">
        <v>22.7988</v>
      </c>
      <c r="S116" s="2">
        <v>45681</v>
      </c>
      <c r="T116" t="s">
        <v>924</v>
      </c>
      <c r="U116">
        <v>3</v>
      </c>
      <c r="V116">
        <v>7.7999999999999996E-3</v>
      </c>
      <c r="W116">
        <v>6.5549656351630627</v>
      </c>
      <c r="X116">
        <v>762.06623877697473</v>
      </c>
      <c r="Y116">
        <v>0.42399999999999999</v>
      </c>
      <c r="Z116">
        <v>8.6999999999999994E-3</v>
      </c>
      <c r="AA116">
        <v>22.801300000000026</v>
      </c>
      <c r="AB116" s="2">
        <v>45681</v>
      </c>
      <c r="AC116" t="s">
        <v>1124</v>
      </c>
      <c r="AD116">
        <v>4</v>
      </c>
      <c r="AE116">
        <v>5.0000000000000001E-4</v>
      </c>
      <c r="AF116">
        <v>5.9957334838115024</v>
      </c>
      <c r="AG116">
        <v>606.80236069123202</v>
      </c>
      <c r="AH116">
        <v>0.42399999999999999</v>
      </c>
      <c r="AI116">
        <v>0</v>
      </c>
      <c r="AJ116">
        <v>22.800099999999986</v>
      </c>
      <c r="AK116" s="2">
        <v>45681</v>
      </c>
      <c r="AL116" t="s">
        <v>1424</v>
      </c>
      <c r="AM116">
        <v>5</v>
      </c>
      <c r="AN116">
        <v>7.4000000000000003E-3</v>
      </c>
      <c r="AO116">
        <v>6.5572200525328546</v>
      </c>
      <c r="AP116">
        <v>762.28018298536801</v>
      </c>
      <c r="AQ116">
        <v>0.42399999999999999</v>
      </c>
      <c r="AR116">
        <v>8.6999999999999994E-3</v>
      </c>
      <c r="AS116">
        <v>22.802300000000002</v>
      </c>
      <c r="AT116" s="2">
        <v>45681</v>
      </c>
      <c r="AU116" t="s">
        <v>1624</v>
      </c>
      <c r="AV116">
        <v>5</v>
      </c>
      <c r="AW116">
        <v>-3.0000000000000001E-3</v>
      </c>
      <c r="AX116">
        <v>5.9957334838115024</v>
      </c>
      <c r="AY116">
        <v>606.80236069123202</v>
      </c>
      <c r="AZ116">
        <v>0.42399999999999999</v>
      </c>
      <c r="BA116">
        <v>0</v>
      </c>
      <c r="BB116">
        <v>22.801299999999969</v>
      </c>
      <c r="BC116" s="2">
        <v>45681</v>
      </c>
      <c r="BD116" t="s">
        <v>1822</v>
      </c>
      <c r="BE116">
        <v>6</v>
      </c>
      <c r="BF116">
        <v>7.4999999999999997E-3</v>
      </c>
      <c r="BG116">
        <v>6.5586542025754726</v>
      </c>
      <c r="BH116">
        <v>762.41628382441252</v>
      </c>
      <c r="BI116">
        <v>0.42399999999999999</v>
      </c>
      <c r="BJ116">
        <v>8.6999999999999994E-3</v>
      </c>
      <c r="BK116">
        <v>22.803499999999985</v>
      </c>
    </row>
    <row r="117" spans="1:81" x14ac:dyDescent="0.3">
      <c r="A117" s="2">
        <v>45681</v>
      </c>
      <c r="B117" t="s">
        <v>329</v>
      </c>
      <c r="C117">
        <v>1</v>
      </c>
      <c r="D117">
        <v>8.8000000000000005E-3</v>
      </c>
      <c r="E117">
        <v>6.6228823912525936</v>
      </c>
      <c r="F117">
        <v>768.51153892987122</v>
      </c>
      <c r="G117">
        <v>0.42399999999999999</v>
      </c>
      <c r="H117">
        <v>9.7000000000000003E-3</v>
      </c>
      <c r="I117">
        <v>22.999499999999983</v>
      </c>
      <c r="S117" s="2">
        <v>45681</v>
      </c>
      <c r="T117" t="s">
        <v>925</v>
      </c>
      <c r="U117">
        <v>3</v>
      </c>
      <c r="V117">
        <v>8.3999999999999995E-3</v>
      </c>
      <c r="W117">
        <v>6.6245809082241891</v>
      </c>
      <c r="X117">
        <v>768.6727281904756</v>
      </c>
      <c r="Y117">
        <v>0.42399999999999999</v>
      </c>
      <c r="Z117">
        <v>9.7999999999999997E-3</v>
      </c>
      <c r="AA117">
        <v>22.999300000000005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I117"/>
  <sheetViews>
    <sheetView tabSelected="1" topLeftCell="D1" zoomScale="130" zoomScaleNormal="130" workbookViewId="0">
      <selection activeCell="K4" sqref="K4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9" width="12.109375" bestFit="1" customWidth="1"/>
    <col min="10" max="10" width="9.44140625" bestFit="1" customWidth="1"/>
    <col min="11" max="11" width="12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IF(COUNT(Resultados!A2,Resultados!J2,Resultados!S2,Resultados!AB2,Resultados!AK2,Resultados!AT2,Resultados!BC2,Resultados!BL2,Resultados!BU2,Resultados!CD2)=0, "", AVERAGE(ABS(Resultados!A2),ABS(Resultados!J2),ABS(Resultados!S2),ABS(Resultados!AB2),ABS(Resultados!AK2),ABS(Resultados!AT2),ABS(Resultados!BC2),ABS(Resultados!BL2),ABS(Resultados!BU2),ABS(Resultados!CD2)))</f>
        <v>45681</v>
      </c>
      <c r="B2" t="str">
        <f>IF(COUNT(Resultados!B2,Resultados!K2,Resultados!T2,Resultados!AC2,Resultados!AL2,Resultados!AU2,Resultados!BD2,Resultados!BM2,Resultados!BV2,Resultados!CE2)=0, "", AVERAGE(ABS(Resultados!B2),ABS(Resultados!K2),ABS(Resultados!T2),ABS(Resultados!AC2),ABS(Resultados!AL2),ABS(Resultados!AU2),ABS(Resultados!BD2),ABS(Resultados!BM2),ABS(Resultados!BV2),ABS(Resultados!CE2)))</f>
        <v/>
      </c>
      <c r="C2">
        <f>IF(COUNT(Resultados!C2,Resultados!L2,Resultados!U2,Resultados!AD2,Resultados!AM2,Resultados!AV2,Resultados!BE2,Resultados!BN2,Resultados!BW2,Resultados!CF2)=0, "", AVERAGE(ABS(Resultados!C2),ABS(Resultados!L2),ABS(Resultados!U2),ABS(Resultados!AD2),ABS(Resultados!AM2),ABS(Resultados!AV2),ABS(Resultados!BE2),ABS(Resultados!BN2),ABS(Resultados!BW2),ABS(Resultados!CF2)))</f>
        <v>3.9</v>
      </c>
      <c r="D2">
        <f>IF(COUNT(Resultados!D2,Resultados!M2,Resultados!V2,Resultados!AE2,Resultados!AN2,Resultados!AW2,Resultados!BF2,Resultados!BO2,Resultados!BX2,Resultados!CG2)=0, "", AVERAGE(ABS(Resultados!D2),ABS(Resultados!M2),ABS(Resultados!V2),ABS(Resultados!AE2),ABS(Resultados!AN2),ABS(Resultados!AW2),ABS(Resultados!BF2),ABS(Resultados!BO2),ABS(Resultados!BX2),ABS(Resultados!CG2)))</f>
        <v>1.72E-3</v>
      </c>
      <c r="E2">
        <f>IF(COUNT(Resultados!E2,Resultados!N2,Resultados!W2,Resultados!AF2,Resultados!AO2,Resultados!AX2,Resultados!BG2,Resultados!BP2,Resultados!BY2,Resultados!CH2)=0, "", AVERAGE(ABS(Resultados!E2),ABS(Resultados!N2),ABS(Resultados!W2),ABS(Resultados!AF2),ABS(Resultados!AO2),ABS(Resultados!AX2),ABS(Resultados!BG2),ABS(Resultados!BP2),ABS(Resultados!BY2),ABS(Resultados!CH2)))</f>
        <v>5.9983544324261455</v>
      </c>
      <c r="F2">
        <f>IF(COUNT(Resultados!F2,Resultados!O2,Resultados!X2,Resultados!AG2,Resultados!AP2,Resultados!AY2,Resultados!BH2,Resultados!BQ2,Resultados!BZ2,Resultados!CI2)=0, "", AVERAGE(ABS(Resultados!F2),ABS(Resultados!O2),ABS(Resultados!X2),ABS(Resultados!AG2),ABS(Resultados!AP2),ABS(Resultados!AY2),ABS(Resultados!BH2),ABS(Resultados!BQ2),ABS(Resultados!BZ2),ABS(Resultados!CI2)))</f>
        <v>699.02456094499337</v>
      </c>
      <c r="G2">
        <f>IF(COUNT(Resultados!G2,Resultados!P2,Resultados!Y2,Resultados!AH2,Resultados!AQ2,Resultados!AZ2,Resultados!BI2,Resultados!BR2,Resultados!CA2,Resultados!CJ2)=0, "", AVERAGE(ABS(Resultados!G2),ABS(Resultados!P2),ABS(Resultados!Y2),ABS(Resultados!AH2),ABS(Resultados!AQ2),ABS(Resultados!AZ2),ABS(Resultados!BI2),ABS(Resultados!BR2),ABS(Resultados!CA2),ABS(Resultados!CJ2)))</f>
        <v>0.42400000000000004</v>
      </c>
      <c r="H2">
        <f>IF(COUNT(Resultados!H2,Resultados!Q2,Resultados!Z2,Resultados!AI2,Resultados!AR2,Resultados!BA2,Resultados!BJ2,Resultados!BS2,Resultados!CB2,Resultados!CK2)=0, "", AVERAGE(ABS(Resultados!H2),ABS(Resultados!Q2),ABS(Resultados!Z2),ABS(Resultados!AI2),ABS(Resultados!AR2),ABS(Resultados!BA2),ABS(Resultados!BJ2),ABS(Resultados!BS2),ABS(Resultados!CB2),ABS(Resultados!CK2)))</f>
        <v>0</v>
      </c>
      <c r="I2">
        <f>IF(COUNT(Resultados!I2,Resultados!R2,Resultados!AA2,Resultados!AJ2,Resultados!AS2,Resultados!BB2,Resultados!BK2,Resultados!BT2,Resultados!CC2,Resultados!CL2)=0, "", AVERAGE(ABS(Resultados!I2),ABS(Resultados!R2),ABS(Resultados!AA2),ABS(Resultados!AJ2),ABS(Resultados!AS2),ABS(Resultados!BB2),ABS(Resultados!BK2),ABS(Resultados!BT2),ABS(Resultados!CC2),ABS(Resultados!CL2)))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IF(COUNT(Resultados!A3,Resultados!J3,Resultados!S3,Resultados!AB3,Resultados!AK3,Resultados!AT3,Resultados!BC3,Resultados!BL3,Resultados!BU3,Resultados!CD3)=0, "", AVERAGE(ABS(Resultados!A3),ABS(Resultados!J3),ABS(Resultados!S3),ABS(Resultados!AB3),ABS(Resultados!AK3),ABS(Resultados!AT3),ABS(Resultados!BC3),ABS(Resultados!BL3),ABS(Resultados!BU3),ABS(Resultados!CD3)))</f>
        <v>45681</v>
      </c>
      <c r="B3" t="str">
        <f>IF(COUNT(Resultados!B3,Resultados!K3,Resultados!T3,Resultados!AC3,Resultados!AL3,Resultados!AU3,Resultados!BD3,Resultados!BM3,Resultados!BV3,Resultados!CE3)=0, "", AVERAGE(ABS(Resultados!B3),ABS(Resultados!K3),ABS(Resultados!T3),ABS(Resultados!AC3),ABS(Resultados!AL3),ABS(Resultados!AU3),ABS(Resultados!BD3),ABS(Resultados!BM3),ABS(Resultados!BV3),ABS(Resultados!CE3)))</f>
        <v/>
      </c>
      <c r="C3">
        <f>IF(COUNT(Resultados!C3,Resultados!L3,Resultados!U3,Resultados!AD3,Resultados!AM3,Resultados!AV3,Resultados!BE3,Resultados!BN3,Resultados!BW3,Resultados!CF3)=0, "", AVERAGE(ABS(Resultados!C3),ABS(Resultados!L3),ABS(Resultados!U3),ABS(Resultados!AD3),ABS(Resultados!AM3),ABS(Resultados!AV3),ABS(Resultados!BE3),ABS(Resultados!BN3),ABS(Resultados!BW3),ABS(Resultados!CF3)))</f>
        <v>3.9</v>
      </c>
      <c r="D3">
        <f>IF(COUNT(Resultados!D3,Resultados!M3,Resultados!V3,Resultados!AE3,Resultados!AN3,Resultados!AW3,Resultados!BF3,Resultados!BO3,Resultados!BX3,Resultados!CG3)=0, "", AVERAGE(ABS(Resultados!D3),ABS(Resultados!M3),ABS(Resultados!V3),ABS(Resultados!AE3),ABS(Resultados!AN3),ABS(Resultados!AW3),ABS(Resultados!BF3),ABS(Resultados!BO3),ABS(Resultados!BX3),ABS(Resultados!CG3)))</f>
        <v>1.2799999999999999E-3</v>
      </c>
      <c r="E3">
        <f>IF(COUNT(Resultados!E3,Resultados!N3,Resultados!W3,Resultados!AF3,Resultados!AO3,Resultados!AX3,Resultados!BG3,Resultados!BP3,Resultados!BY3,Resultados!CH3)=0, "", AVERAGE(ABS(Resultados!E3),ABS(Resultados!N3),ABS(Resultados!W3),ABS(Resultados!AF3),ABS(Resultados!AO3),ABS(Resultados!AX3),ABS(Resultados!BG3),ABS(Resultados!BP3),ABS(Resultados!BY3),ABS(Resultados!CH3)))</f>
        <v>6.0418582253919917</v>
      </c>
      <c r="F3">
        <f>IF(COUNT(Resultados!F3,Resultados!O3,Resultados!X3,Resultados!AG3,Resultados!AP3,Resultados!AY3,Resultados!BH3,Resultados!BQ3,Resultados!BZ3,Resultados!CI3)=0, "", AVERAGE(ABS(Resultados!F3),ABS(Resultados!O3),ABS(Resultados!X3),ABS(Resultados!AG3),ABS(Resultados!AP3),ABS(Resultados!AY3),ABS(Resultados!BH3),ABS(Resultados!BQ3),ABS(Resultados!BZ3),ABS(Resultados!CI3)))</f>
        <v>713.37234558969999</v>
      </c>
      <c r="G3">
        <f>IF(COUNT(Resultados!G3,Resultados!P3,Resultados!Y3,Resultados!AH3,Resultados!AQ3,Resultados!AZ3,Resultados!BI3,Resultados!BR3,Resultados!CA3,Resultados!CJ3)=0, "", AVERAGE(ABS(Resultados!G3),ABS(Resultados!P3),ABS(Resultados!Y3),ABS(Resultados!AH3),ABS(Resultados!AQ3),ABS(Resultados!AZ3),ABS(Resultados!BI3),ABS(Resultados!BR3),ABS(Resultados!CA3),ABS(Resultados!CJ3)))</f>
        <v>0.42400000000000004</v>
      </c>
      <c r="H3">
        <f>IF(COUNT(Resultados!H3,Resultados!Q3,Resultados!Z3,Resultados!AI3,Resultados!AR3,Resultados!BA3,Resultados!BJ3,Resultados!BS3,Resultados!CB3,Resultados!CK3)=0, "", AVERAGE(ABS(Resultados!H3),ABS(Resultados!Q3),ABS(Resultados!Z3),ABS(Resultados!AI3),ABS(Resultados!AR3),ABS(Resultados!BA3),ABS(Resultados!BJ3),ABS(Resultados!BS3),ABS(Resultados!CB3),ABS(Resultados!CK3)))</f>
        <v>7.3999999999999999E-4</v>
      </c>
      <c r="I3">
        <f>IF(COUNT(Resultados!I3,Resultados!R3,Resultados!AA3,Resultados!AJ3,Resultados!AS3,Resultados!BB3,Resultados!BK3,Resultados!BT3,Resultados!CC3,Resultados!CL3)=0, "", AVERAGE(ABS(Resultados!I3),ABS(Resultados!R3),ABS(Resultados!AA3),ABS(Resultados!AJ3),ABS(Resultados!AS3),ABS(Resultados!BB3),ABS(Resultados!BK3),ABS(Resultados!BT3),ABS(Resultados!CC3),ABS(Resultados!CL3)))</f>
        <v>0.23991000000000895</v>
      </c>
    </row>
    <row r="4" spans="1:9" x14ac:dyDescent="0.3">
      <c r="A4">
        <f>IF(COUNT(Resultados!A4,Resultados!J4,Resultados!S4,Resultados!AB4,Resultados!AK4,Resultados!AT4,Resultados!BC4,Resultados!BL4,Resultados!BU4,Resultados!CD4)=0, "", AVERAGE(ABS(Resultados!A4),ABS(Resultados!J4),ABS(Resultados!S4),ABS(Resultados!AB4),ABS(Resultados!AK4),ABS(Resultados!AT4),ABS(Resultados!BC4),ABS(Resultados!BL4),ABS(Resultados!BU4),ABS(Resultados!CD4)))</f>
        <v>45681</v>
      </c>
      <c r="B4" t="str">
        <f>IF(COUNT(Resultados!B4,Resultados!K4,Resultados!T4,Resultados!AC4,Resultados!AL4,Resultados!AU4,Resultados!BD4,Resultados!BM4,Resultados!BV4,Resultados!CE4)=0, "", AVERAGE(ABS(Resultados!B4),ABS(Resultados!K4),ABS(Resultados!T4),ABS(Resultados!AC4),ABS(Resultados!AL4),ABS(Resultados!AU4),ABS(Resultados!BD4),ABS(Resultados!BM4),ABS(Resultados!BV4),ABS(Resultados!CE4)))</f>
        <v/>
      </c>
      <c r="C4">
        <f>IF(COUNT(Resultados!C4,Resultados!L4,Resultados!U4,Resultados!AD4,Resultados!AM4,Resultados!AV4,Resultados!BE4,Resultados!BN4,Resultados!BW4,Resultados!CF4)=0, "", AVERAGE(ABS(Resultados!C4),ABS(Resultados!L4),ABS(Resultados!U4),ABS(Resultados!AD4),ABS(Resultados!AM4),ABS(Resultados!AV4),ABS(Resultados!BE4),ABS(Resultados!BN4),ABS(Resultados!BW4),ABS(Resultados!CF4)))</f>
        <v>3.9</v>
      </c>
      <c r="D4">
        <f>IF(COUNT(Resultados!D4,Resultados!M4,Resultados!V4,Resultados!AE4,Resultados!AN4,Resultados!AW4,Resultados!BF4,Resultados!BO4,Resultados!BX4,Resultados!CG4)=0, "", AVERAGE(ABS(Resultados!D4),ABS(Resultados!M4),ABS(Resultados!V4),ABS(Resultados!AE4),ABS(Resultados!AN4),ABS(Resultados!AW4),ABS(Resultados!BF4),ABS(Resultados!BO4),ABS(Resultados!BX4),ABS(Resultados!CG4)))</f>
        <v>5.9000000000000003E-4</v>
      </c>
      <c r="E4">
        <f>IF(COUNT(Resultados!E4,Resultados!N4,Resultados!W4,Resultados!AF4,Resultados!AO4,Resultados!AX4,Resultados!BG4,Resultados!BP4,Resultados!BY4,Resultados!CH4)=0, "", AVERAGE(ABS(Resultados!E4),ABS(Resultados!N4),ABS(Resultados!W4),ABS(Resultados!AF4),ABS(Resultados!AO4),ABS(Resultados!AX4),ABS(Resultados!BG4),ABS(Resultados!BP4),ABS(Resultados!BY4),ABS(Resultados!CH4)))</f>
        <v>6.0484726843330821</v>
      </c>
      <c r="F4">
        <f>IF(COUNT(Resultados!F4,Resultados!O4,Resultados!X4,Resultados!AG4,Resultados!AP4,Resultados!AY4,Resultados!BH4,Resultados!BQ4,Resultados!BZ4,Resultados!CI4)=0, "", AVERAGE(ABS(Resultados!F4),ABS(Resultados!O4),ABS(Resultados!X4),ABS(Resultados!AG4),ABS(Resultados!AP4),ABS(Resultados!AY4),ABS(Resultados!BH4),ABS(Resultados!BQ4),ABS(Resultados!BZ4),ABS(Resultados!CI4)))</f>
        <v>703.72886712554919</v>
      </c>
      <c r="G4">
        <f>IF(COUNT(Resultados!G4,Resultados!P4,Resultados!Y4,Resultados!AH4,Resultados!AQ4,Resultados!AZ4,Resultados!BI4,Resultados!BR4,Resultados!CA4,Resultados!CJ4)=0, "", AVERAGE(ABS(Resultados!G4),ABS(Resultados!P4),ABS(Resultados!Y4),ABS(Resultados!AH4),ABS(Resultados!AQ4),ABS(Resultados!AZ4),ABS(Resultados!BI4),ABS(Resultados!BR4),ABS(Resultados!CA4),ABS(Resultados!CJ4)))</f>
        <v>0.42400000000000004</v>
      </c>
      <c r="H4">
        <f>IF(COUNT(Resultados!H4,Resultados!Q4,Resultados!Z4,Resultados!AI4,Resultados!AR4,Resultados!BA4,Resultados!BJ4,Resultados!BS4,Resultados!CB4,Resultados!CK4)=0, "", AVERAGE(ABS(Resultados!H4),ABS(Resultados!Q4),ABS(Resultados!Z4),ABS(Resultados!AI4),ABS(Resultados!AR4),ABS(Resultados!BA4),ABS(Resultados!BJ4),ABS(Resultados!BS4),ABS(Resultados!CB4),ABS(Resultados!CK4)))</f>
        <v>8.3000000000000001E-4</v>
      </c>
      <c r="I4">
        <f>IF(COUNT(Resultados!I4,Resultados!R4,Resultados!AA4,Resultados!AJ4,Resultados!AS4,Resultados!BB4,Resultados!BK4,Resultados!BT4,Resultados!CC4,Resultados!CL4)=0, "", AVERAGE(ABS(Resultados!I4),ABS(Resultados!R4),ABS(Resultados!AA4),ABS(Resultados!AJ4),ABS(Resultados!AS4),ABS(Resultados!BB4),ABS(Resultados!BK4),ABS(Resultados!BT4),ABS(Resultados!CC4),ABS(Resultados!CL4)))</f>
        <v>0.44016999999999767</v>
      </c>
    </row>
    <row r="5" spans="1:9" x14ac:dyDescent="0.3">
      <c r="A5">
        <f>IF(COUNT(Resultados!A5,Resultados!J5,Resultados!S5,Resultados!AB5,Resultados!AK5,Resultados!AT5,Resultados!BC5,Resultados!BL5,Resultados!BU5,Resultados!CD5)=0, "", AVERAGE(ABS(Resultados!A5),ABS(Resultados!J5),ABS(Resultados!S5),ABS(Resultados!AB5),ABS(Resultados!AK5),ABS(Resultados!AT5),ABS(Resultados!BC5),ABS(Resultados!BL5),ABS(Resultados!BU5),ABS(Resultados!CD5)))</f>
        <v>45681</v>
      </c>
      <c r="B5" t="str">
        <f>IF(COUNT(Resultados!B5,Resultados!K5,Resultados!T5,Resultados!AC5,Resultados!AL5,Resultados!AU5,Resultados!BD5,Resultados!BM5,Resultados!BV5,Resultados!CE5)=0, "", AVERAGE(ABS(Resultados!B5),ABS(Resultados!K5),ABS(Resultados!T5),ABS(Resultados!AC5),ABS(Resultados!AL5),ABS(Resultados!AU5),ABS(Resultados!BD5),ABS(Resultados!BM5),ABS(Resultados!BV5),ABS(Resultados!CE5)))</f>
        <v/>
      </c>
      <c r="C5">
        <f>IF(COUNT(Resultados!C5,Resultados!L5,Resultados!U5,Resultados!AD5,Resultados!AM5,Resultados!AV5,Resultados!BE5,Resultados!BN5,Resultados!BW5,Resultados!CF5)=0, "", AVERAGE(ABS(Resultados!C5),ABS(Resultados!L5),ABS(Resultados!U5),ABS(Resultados!AD5),ABS(Resultados!AM5),ABS(Resultados!AV5),ABS(Resultados!BE5),ABS(Resultados!BN5),ABS(Resultados!BW5),ABS(Resultados!CF5)))</f>
        <v>3.9</v>
      </c>
      <c r="D5">
        <f>IF(COUNT(Resultados!D5,Resultados!M5,Resultados!V5,Resultados!AE5,Resultados!AN5,Resultados!AW5,Resultados!BF5,Resultados!BO5,Resultados!BX5,Resultados!CG5)=0, "", AVERAGE(ABS(Resultados!D5),ABS(Resultados!M5),ABS(Resultados!V5),ABS(Resultados!AE5),ABS(Resultados!AN5),ABS(Resultados!AW5),ABS(Resultados!BF5),ABS(Resultados!BO5),ABS(Resultados!BX5),ABS(Resultados!CG5)))</f>
        <v>3.4000000000000008E-4</v>
      </c>
      <c r="E5">
        <f>IF(COUNT(Resultados!E5,Resultados!N5,Resultados!W5,Resultados!AF5,Resultados!AO5,Resultados!AX5,Resultados!BG5,Resultados!BP5,Resultados!BY5,Resultados!CH5)=0, "", AVERAGE(ABS(Resultados!E5),ABS(Resultados!N5),ABS(Resultados!W5),ABS(Resultados!AF5),ABS(Resultados!AO5),ABS(Resultados!AX5),ABS(Resultados!BG5),ABS(Resultados!BP5),ABS(Resultados!BY5),ABS(Resultados!CH5)))</f>
        <v>6.0602819173416522</v>
      </c>
      <c r="F5">
        <f>IF(COUNT(Resultados!F5,Resultados!O5,Resultados!X5,Resultados!AG5,Resultados!AP5,Resultados!AY5,Resultados!BH5,Resultados!BQ5,Resultados!BZ5,Resultados!CI5)=0, "", AVERAGE(ABS(Resultados!F5),ABS(Resultados!O5),ABS(Resultados!X5),ABS(Resultados!AG5),ABS(Resultados!AP5),ABS(Resultados!AY5),ABS(Resultados!BH5),ABS(Resultados!BQ5),ABS(Resultados!BZ5),ABS(Resultados!CI5)))</f>
        <v>704.85840436542583</v>
      </c>
      <c r="G5">
        <f>IF(COUNT(Resultados!G5,Resultados!P5,Resultados!Y5,Resultados!AH5,Resultados!AQ5,Resultados!AZ5,Resultados!BI5,Resultados!BR5,Resultados!CA5,Resultados!CJ5)=0, "", AVERAGE(ABS(Resultados!G5),ABS(Resultados!P5),ABS(Resultados!Y5),ABS(Resultados!AH5),ABS(Resultados!AQ5),ABS(Resultados!AZ5),ABS(Resultados!BI5),ABS(Resultados!BR5),ABS(Resultados!CA5),ABS(Resultados!CJ5)))</f>
        <v>0.42400000000000004</v>
      </c>
      <c r="H5">
        <f>IF(COUNT(Resultados!H5,Resultados!Q5,Resultados!Z5,Resultados!AI5,Resultados!AR5,Resultados!BA5,Resultados!BJ5,Resultados!BS5,Resultados!CB5,Resultados!CK5)=0, "", AVERAGE(ABS(Resultados!H5),ABS(Resultados!Q5),ABS(Resultados!Z5),ABS(Resultados!AI5),ABS(Resultados!AR5),ABS(Resultados!BA5),ABS(Resultados!BJ5),ABS(Resultados!BS5),ABS(Resultados!CB5),ABS(Resultados!CK5)))</f>
        <v>1.0199999999999999E-3</v>
      </c>
      <c r="I5">
        <f>IF(COUNT(Resultados!I5,Resultados!R5,Resultados!AA5,Resultados!AJ5,Resultados!AS5,Resultados!BB5,Resultados!BK5,Resultados!BT5,Resultados!CC5,Resultados!CL5)=0, "", AVERAGE(ABS(Resultados!I5),ABS(Resultados!R5),ABS(Resultados!AA5),ABS(Resultados!AJ5),ABS(Resultados!AS5),ABS(Resultados!BB5),ABS(Resultados!BK5),ABS(Resultados!BT5),ABS(Resultados!CC5),ABS(Resultados!CL5)))</f>
        <v>0.64152999999998883</v>
      </c>
    </row>
    <row r="6" spans="1:9" x14ac:dyDescent="0.3">
      <c r="A6">
        <f>IF(COUNT(Resultados!A6,Resultados!J6,Resultados!S6,Resultados!AB6,Resultados!AK6,Resultados!AT6,Resultados!BC6,Resultados!BL6,Resultados!BU6,Resultados!CD6)=0, "", AVERAGE(ABS(Resultados!A6),ABS(Resultados!J6),ABS(Resultados!S6),ABS(Resultados!AB6),ABS(Resultados!AK6),ABS(Resultados!AT6),ABS(Resultados!BC6),ABS(Resultados!BL6),ABS(Resultados!BU6),ABS(Resultados!CD6)))</f>
        <v>45681</v>
      </c>
      <c r="B6" t="str">
        <f>IF(COUNT(Resultados!B6,Resultados!K6,Resultados!T6,Resultados!AC6,Resultados!AL6,Resultados!AU6,Resultados!BD6,Resultados!BM6,Resultados!BV6,Resultados!CE6)=0, "", AVERAGE(ABS(Resultados!B6),ABS(Resultados!K6),ABS(Resultados!T6),ABS(Resultados!AC6),ABS(Resultados!AL6),ABS(Resultados!AU6),ABS(Resultados!BD6),ABS(Resultados!BM6),ABS(Resultados!BV6),ABS(Resultados!CE6)))</f>
        <v/>
      </c>
      <c r="C6">
        <f>IF(COUNT(Resultados!C6,Resultados!L6,Resultados!U6,Resultados!AD6,Resultados!AM6,Resultados!AV6,Resultados!BE6,Resultados!BN6,Resultados!BW6,Resultados!CF6)=0, "", AVERAGE(ABS(Resultados!C6),ABS(Resultados!L6),ABS(Resultados!U6),ABS(Resultados!AD6),ABS(Resultados!AM6),ABS(Resultados!AV6),ABS(Resultados!BE6),ABS(Resultados!BN6),ABS(Resultados!BW6),ABS(Resultados!CF6)))</f>
        <v>3.9</v>
      </c>
      <c r="D6">
        <f>IF(COUNT(Resultados!D6,Resultados!M6,Resultados!V6,Resultados!AE6,Resultados!AN6,Resultados!AW6,Resultados!BF6,Resultados!BO6,Resultados!BX6,Resultados!CG6)=0, "", AVERAGE(ABS(Resultados!D6),ABS(Resultados!M6),ABS(Resultados!V6),ABS(Resultados!AE6),ABS(Resultados!AN6),ABS(Resultados!AW6),ABS(Resultados!BF6),ABS(Resultados!BO6),ABS(Resultados!BX6),ABS(Resultados!CG6)))</f>
        <v>2.3000000000000001E-4</v>
      </c>
      <c r="E6">
        <f>IF(COUNT(Resultados!E6,Resultados!N6,Resultados!W6,Resultados!AF6,Resultados!AO6,Resultados!AX6,Resultados!BG6,Resultados!BP6,Resultados!BY6,Resultados!CH6)=0, "", AVERAGE(ABS(Resultados!E6),ABS(Resultados!N6),ABS(Resultados!W6),ABS(Resultados!AF6),ABS(Resultados!AO6),ABS(Resultados!AX6),ABS(Resultados!BG6),ABS(Resultados!BP6),ABS(Resultados!BY6),ABS(Resultados!CH6)))</f>
        <v>6.0769392680109604</v>
      </c>
      <c r="F6">
        <f>IF(COUNT(Resultados!F6,Resultados!O6,Resultados!X6,Resultados!AG6,Resultados!AP6,Resultados!AY6,Resultados!BH6,Resultados!BQ6,Resultados!BZ6,Resultados!CI6)=0, "", AVERAGE(ABS(Resultados!F6),ABS(Resultados!O6),ABS(Resultados!X6),ABS(Resultados!AG6),ABS(Resultados!AP6),ABS(Resultados!AY6),ABS(Resultados!BH6),ABS(Resultados!BQ6),ABS(Resultados!BZ6),ABS(Resultados!CI6)))</f>
        <v>706.44715819843361</v>
      </c>
      <c r="G6">
        <f>IF(COUNT(Resultados!G6,Resultados!P6,Resultados!Y6,Resultados!AH6,Resultados!AQ6,Resultados!AZ6,Resultados!BI6,Resultados!BR6,Resultados!CA6,Resultados!CJ6)=0, "", AVERAGE(ABS(Resultados!G6),ABS(Resultados!P6),ABS(Resultados!Y6),ABS(Resultados!AH6),ABS(Resultados!AQ6),ABS(Resultados!AZ6),ABS(Resultados!BI6),ABS(Resultados!BR6),ABS(Resultados!CA6),ABS(Resultados!CJ6)))</f>
        <v>0.42400000000000004</v>
      </c>
      <c r="H6">
        <f>IF(COUNT(Resultados!H6,Resultados!Q6,Resultados!Z6,Resultados!AI6,Resultados!AR6,Resultados!BA6,Resultados!BJ6,Resultados!BS6,Resultados!CB6,Resultados!CK6)=0, "", AVERAGE(ABS(Resultados!H6),ABS(Resultados!Q6),ABS(Resultados!Z6),ABS(Resultados!AI6),ABS(Resultados!AR6),ABS(Resultados!BA6),ABS(Resultados!BJ6),ABS(Resultados!BS6),ABS(Resultados!CB6),ABS(Resultados!CK6)))</f>
        <v>1.2600000000000001E-3</v>
      </c>
      <c r="I6">
        <f>IF(COUNT(Resultados!I6,Resultados!R6,Resultados!AA6,Resultados!AJ6,Resultados!AS6,Resultados!BB6,Resultados!BK6,Resultados!BT6,Resultados!CC6,Resultados!CL6)=0, "", AVERAGE(ABS(Resultados!I6),ABS(Resultados!R6),ABS(Resultados!AA6),ABS(Resultados!AJ6),ABS(Resultados!AS6),ABS(Resultados!BB6),ABS(Resultados!BK6),ABS(Resultados!BT6),ABS(Resultados!CC6),ABS(Resultados!CL6)))</f>
        <v>0.83976000000000683</v>
      </c>
    </row>
    <row r="7" spans="1:9" x14ac:dyDescent="0.3">
      <c r="A7">
        <f>IF(COUNT(Resultados!A7,Resultados!J7,Resultados!S7,Resultados!AB7,Resultados!AK7,Resultados!AT7,Resultados!BC7,Resultados!BL7,Resultados!BU7,Resultados!CD7)=0, "", AVERAGE(ABS(Resultados!A7),ABS(Resultados!J7),ABS(Resultados!S7),ABS(Resultados!AB7),ABS(Resultados!AK7),ABS(Resultados!AT7),ABS(Resultados!BC7),ABS(Resultados!BL7),ABS(Resultados!BU7),ABS(Resultados!CD7)))</f>
        <v>45681</v>
      </c>
      <c r="B7" t="str">
        <f>IF(COUNT(Resultados!B7,Resultados!K7,Resultados!T7,Resultados!AC7,Resultados!AL7,Resultados!AU7,Resultados!BD7,Resultados!BM7,Resultados!BV7,Resultados!CE7)=0, "", AVERAGE(ABS(Resultados!B7),ABS(Resultados!K7),ABS(Resultados!T7),ABS(Resultados!AC7),ABS(Resultados!AL7),ABS(Resultados!AU7),ABS(Resultados!BD7),ABS(Resultados!BM7),ABS(Resultados!BV7),ABS(Resultados!CE7)))</f>
        <v/>
      </c>
      <c r="C7">
        <f>IF(COUNT(Resultados!C7,Resultados!L7,Resultados!U7,Resultados!AD7,Resultados!AM7,Resultados!AV7,Resultados!BE7,Resultados!BN7,Resultados!BW7,Resultados!CF7)=0, "", AVERAGE(ABS(Resultados!C7),ABS(Resultados!L7),ABS(Resultados!U7),ABS(Resultados!AD7),ABS(Resultados!AM7),ABS(Resultados!AV7),ABS(Resultados!BE7),ABS(Resultados!BN7),ABS(Resultados!BW7),ABS(Resultados!CF7)))</f>
        <v>3.9</v>
      </c>
      <c r="D7">
        <f>IF(COUNT(Resultados!D7,Resultados!M7,Resultados!V7,Resultados!AE7,Resultados!AN7,Resultados!AW7,Resultados!BF7,Resultados!BO7,Resultados!BX7,Resultados!CG7)=0, "", AVERAGE(ABS(Resultados!D7),ABS(Resultados!M7),ABS(Resultados!V7),ABS(Resultados!AE7),ABS(Resultados!AN7),ABS(Resultados!AW7),ABS(Resultados!BF7),ABS(Resultados!BO7),ABS(Resultados!BX7),ABS(Resultados!CG7)))</f>
        <v>6.3000000000000003E-4</v>
      </c>
      <c r="E7">
        <f>IF(COUNT(Resultados!E7,Resultados!N7,Resultados!W7,Resultados!AF7,Resultados!AO7,Resultados!AX7,Resultados!BG7,Resultados!BP7,Resultados!BY7,Resultados!CH7)=0, "", AVERAGE(ABS(Resultados!E7),ABS(Resultados!N7),ABS(Resultados!W7),ABS(Resultados!AF7),ABS(Resultados!AO7),ABS(Resultados!AX7),ABS(Resultados!BG7),ABS(Resultados!BP7),ABS(Resultados!BY7),ABS(Resultados!CH7)))</f>
        <v>6.098764116324924</v>
      </c>
      <c r="F7">
        <f>IF(COUNT(Resultados!F7,Resultados!O7,Resultados!X7,Resultados!AG7,Resultados!AP7,Resultados!AY7,Resultados!BH7,Resultados!BQ7,Resultados!BZ7,Resultados!CI7)=0, "", AVERAGE(ABS(Resultados!F7),ABS(Resultados!O7),ABS(Resultados!X7),ABS(Resultados!AG7),ABS(Resultados!AP7),ABS(Resultados!AY7),ABS(Resultados!BH7),ABS(Resultados!BQ7),ABS(Resultados!BZ7),ABS(Resultados!CI7)))</f>
        <v>708.52567373253044</v>
      </c>
      <c r="G7">
        <f>IF(COUNT(Resultados!G7,Resultados!P7,Resultados!Y7,Resultados!AH7,Resultados!AQ7,Resultados!AZ7,Resultados!BI7,Resultados!BR7,Resultados!CA7,Resultados!CJ7)=0, "", AVERAGE(ABS(Resultados!G7),ABS(Resultados!P7),ABS(Resultados!Y7),ABS(Resultados!AH7),ABS(Resultados!AQ7),ABS(Resultados!AZ7),ABS(Resultados!BI7),ABS(Resultados!BR7),ABS(Resultados!CA7),ABS(Resultados!CJ7)))</f>
        <v>0.42400000000000004</v>
      </c>
      <c r="H7">
        <f>IF(COUNT(Resultados!H7,Resultados!Q7,Resultados!Z7,Resultados!AI7,Resultados!AR7,Resultados!BA7,Resultados!BJ7,Resultados!BS7,Resultados!CB7,Resultados!CK7)=0, "", AVERAGE(ABS(Resultados!H7),ABS(Resultados!Q7),ABS(Resultados!Z7),ABS(Resultados!AI7),ABS(Resultados!AR7),ABS(Resultados!BA7),ABS(Resultados!BJ7),ABS(Resultados!BS7),ABS(Resultados!CB7),ABS(Resultados!CK7)))</f>
        <v>1.6000000000000001E-3</v>
      </c>
      <c r="I7">
        <f>IF(COUNT(Resultados!I7,Resultados!R7,Resultados!AA7,Resultados!AJ7,Resultados!AS7,Resultados!BB7,Resultados!BK7,Resultados!BT7,Resultados!CC7,Resultados!CL7)=0, "", AVERAGE(ABS(Resultados!I7),ABS(Resultados!R7),ABS(Resultados!AA7),ABS(Resultados!AJ7),ABS(Resultados!AS7),ABS(Resultados!BB7),ABS(Resultados!BK7),ABS(Resultados!BT7),ABS(Resultados!CC7),ABS(Resultados!CL7)))</f>
        <v>1.0402999999999907</v>
      </c>
    </row>
    <row r="8" spans="1:9" x14ac:dyDescent="0.3">
      <c r="A8">
        <f>IF(COUNT(Resultados!A8,Resultados!J8,Resultados!S8,Resultados!AB8,Resultados!AK8,Resultados!AT8,Resultados!BC8,Resultados!BL8,Resultados!BU8,Resultados!CD8)=0, "", AVERAGE(ABS(Resultados!A8),ABS(Resultados!J8),ABS(Resultados!S8),ABS(Resultados!AB8),ABS(Resultados!AK8),ABS(Resultados!AT8),ABS(Resultados!BC8),ABS(Resultados!BL8),ABS(Resultados!BU8),ABS(Resultados!CD8)))</f>
        <v>45681</v>
      </c>
      <c r="B8" t="str">
        <f>IF(COUNT(Resultados!B8,Resultados!K8,Resultados!T8,Resultados!AC8,Resultados!AL8,Resultados!AU8,Resultados!BD8,Resultados!BM8,Resultados!BV8,Resultados!CE8)=0, "", AVERAGE(ABS(Resultados!B8),ABS(Resultados!K8),ABS(Resultados!T8),ABS(Resultados!AC8),ABS(Resultados!AL8),ABS(Resultados!AU8),ABS(Resultados!BD8),ABS(Resultados!BM8),ABS(Resultados!BV8),ABS(Resultados!CE8)))</f>
        <v/>
      </c>
      <c r="C8">
        <f>IF(COUNT(Resultados!C8,Resultados!L8,Resultados!U8,Resultados!AD8,Resultados!AM8,Resultados!AV8,Resultados!BE8,Resultados!BN8,Resultados!BW8,Resultados!CF8)=0, "", AVERAGE(ABS(Resultados!C8),ABS(Resultados!L8),ABS(Resultados!U8),ABS(Resultados!AD8),ABS(Resultados!AM8),ABS(Resultados!AV8),ABS(Resultados!BE8),ABS(Resultados!BN8),ABS(Resultados!BW8),ABS(Resultados!CF8)))</f>
        <v>3.9</v>
      </c>
      <c r="D8">
        <f>IF(COUNT(Resultados!D8,Resultados!M8,Resultados!V8,Resultados!AE8,Resultados!AN8,Resultados!AW8,Resultados!BF8,Resultados!BO8,Resultados!BX8,Resultados!CG8)=0, "", AVERAGE(ABS(Resultados!D8),ABS(Resultados!M8),ABS(Resultados!V8),ABS(Resultados!AE8),ABS(Resultados!AN8),ABS(Resultados!AW8),ABS(Resultados!BF8),ABS(Resultados!BO8),ABS(Resultados!BX8),ABS(Resultados!CG8)))</f>
        <v>9.7000000000000005E-4</v>
      </c>
      <c r="E8">
        <f>IF(COUNT(Resultados!E8,Resultados!N8,Resultados!W8,Resultados!AF8,Resultados!AO8,Resultados!AX8,Resultados!BG8,Resultados!BP8,Resultados!BY8,Resultados!CH8)=0, "", AVERAGE(ABS(Resultados!E8),ABS(Resultados!N8),ABS(Resultados!W8),ABS(Resultados!AF8),ABS(Resultados!AO8),ABS(Resultados!AX8),ABS(Resultados!BG8),ABS(Resultados!BP8),ABS(Resultados!BY8),ABS(Resultados!CH8)))</f>
        <v>6.1255070896629045</v>
      </c>
      <c r="F8">
        <f>IF(COUNT(Resultados!F8,Resultados!O8,Resultados!X8,Resultados!AG8,Resultados!AP8,Resultados!AY8,Resultados!BH8,Resultados!BQ8,Resultados!BZ8,Resultados!CI8)=0, "", AVERAGE(ABS(Resultados!F8),ABS(Resultados!O8),ABS(Resultados!X8),ABS(Resultados!AG8),ABS(Resultados!AP8),ABS(Resultados!AY8),ABS(Resultados!BH8),ABS(Resultados!BQ8),ABS(Resultados!BZ8),ABS(Resultados!CI8)))</f>
        <v>711.07005432159826</v>
      </c>
      <c r="G8">
        <f>IF(COUNT(Resultados!G8,Resultados!P8,Resultados!Y8,Resultados!AH8,Resultados!AQ8,Resultados!AZ8,Resultados!BI8,Resultados!BR8,Resultados!CA8,Resultados!CJ8)=0, "", AVERAGE(ABS(Resultados!G8),ABS(Resultados!P8),ABS(Resultados!Y8),ABS(Resultados!AH8),ABS(Resultados!AQ8),ABS(Resultados!AZ8),ABS(Resultados!BI8),ABS(Resultados!BR8),ABS(Resultados!CA8),ABS(Resultados!CJ8)))</f>
        <v>0.42400000000000004</v>
      </c>
      <c r="H8">
        <f>IF(COUNT(Resultados!H8,Resultados!Q8,Resultados!Z8,Resultados!AI8,Resultados!AR8,Resultados!BA8,Resultados!BJ8,Resultados!BS8,Resultados!CB8,Resultados!CK8)=0, "", AVERAGE(ABS(Resultados!H8),ABS(Resultados!Q8),ABS(Resultados!Z8),ABS(Resultados!AI8),ABS(Resultados!AR8),ABS(Resultados!BA8),ABS(Resultados!BJ8),ABS(Resultados!BS8),ABS(Resultados!CB8),ABS(Resultados!CK8)))</f>
        <v>2E-3</v>
      </c>
      <c r="I8">
        <f>IF(COUNT(Resultados!I8,Resultados!R8,Resultados!AA8,Resultados!AJ8,Resultados!AS8,Resultados!BB8,Resultados!BK8,Resultados!BT8,Resultados!CC8,Resultados!CL8)=0, "", AVERAGE(ABS(Resultados!I8),ABS(Resultados!R8),ABS(Resultados!AA8),ABS(Resultados!AJ8),ABS(Resultados!AS8),ABS(Resultados!BB8),ABS(Resultados!BK8),ABS(Resultados!BT8),ABS(Resultados!CC8),ABS(Resultados!CL8)))</f>
        <v>1.2402999999999935</v>
      </c>
    </row>
    <row r="9" spans="1:9" x14ac:dyDescent="0.3">
      <c r="A9">
        <f>IF(COUNT(Resultados!A9,Resultados!J9,Resultados!S9,Resultados!AB9,Resultados!AK9,Resultados!AT9,Resultados!BC9,Resultados!BL9,Resultados!BU9,Resultados!CD9)=0, "", AVERAGE(ABS(Resultados!A9),ABS(Resultados!J9),ABS(Resultados!S9),ABS(Resultados!AB9),ABS(Resultados!AK9),ABS(Resultados!AT9),ABS(Resultados!BC9),ABS(Resultados!BL9),ABS(Resultados!BU9),ABS(Resultados!CD9)))</f>
        <v>45681</v>
      </c>
      <c r="B9" t="str">
        <f>IF(COUNT(Resultados!B9,Resultados!K9,Resultados!T9,Resultados!AC9,Resultados!AL9,Resultados!AU9,Resultados!BD9,Resultados!BM9,Resultados!BV9,Resultados!CE9)=0, "", AVERAGE(ABS(Resultados!B9),ABS(Resultados!K9),ABS(Resultados!T9),ABS(Resultados!AC9),ABS(Resultados!AL9),ABS(Resultados!AU9),ABS(Resultados!BD9),ABS(Resultados!BM9),ABS(Resultados!BV9),ABS(Resultados!CE9)))</f>
        <v/>
      </c>
      <c r="C9">
        <f>IF(COUNT(Resultados!C9,Resultados!L9,Resultados!U9,Resultados!AD9,Resultados!AM9,Resultados!AV9,Resultados!BE9,Resultados!BN9,Resultados!BW9,Resultados!CF9)=0, "", AVERAGE(ABS(Resultados!C9),ABS(Resultados!L9),ABS(Resultados!U9),ABS(Resultados!AD9),ABS(Resultados!AM9),ABS(Resultados!AV9),ABS(Resultados!BE9),ABS(Resultados!BN9),ABS(Resultados!BW9),ABS(Resultados!CF9)))</f>
        <v>3.9</v>
      </c>
      <c r="D9">
        <f>IF(COUNT(Resultados!D9,Resultados!M9,Resultados!V9,Resultados!AE9,Resultados!AN9,Resultados!AW9,Resultados!BF9,Resultados!BO9,Resultados!BX9,Resultados!CG9)=0, "", AVERAGE(ABS(Resultados!D9),ABS(Resultados!M9),ABS(Resultados!V9),ABS(Resultados!AE9),ABS(Resultados!AN9),ABS(Resultados!AW9),ABS(Resultados!BF9),ABS(Resultados!BO9),ABS(Resultados!BX9),ABS(Resultados!CG9)))</f>
        <v>1.49E-3</v>
      </c>
      <c r="E9">
        <f>IF(COUNT(Resultados!E9,Resultados!N9,Resultados!W9,Resultados!AF9,Resultados!AO9,Resultados!AX9,Resultados!BG9,Resultados!BP9,Resultados!BY9,Resultados!CH9)=0, "", AVERAGE(ABS(Resultados!E9),ABS(Resultados!N9),ABS(Resultados!W9),ABS(Resultados!AF9),ABS(Resultados!AO9),ABS(Resultados!AX9),ABS(Resultados!BG9),ABS(Resultados!BP9),ABS(Resultados!BY9),ABS(Resultados!CH9)))</f>
        <v>6.1486856264038652</v>
      </c>
      <c r="F9">
        <f>IF(COUNT(Resultados!F9,Resultados!O9,Resultados!X9,Resultados!AG9,Resultados!AP9,Resultados!AY9,Resultados!BH9,Resultados!BQ9,Resultados!BZ9,Resultados!CI9)=0, "", AVERAGE(ABS(Resultados!F9),ABS(Resultados!O9),ABS(Resultados!X9),ABS(Resultados!AG9),ABS(Resultados!AP9),ABS(Resultados!AY9),ABS(Resultados!BH9),ABS(Resultados!BQ9),ABS(Resultados!BZ9),ABS(Resultados!CI9)))</f>
        <v>703.0418733196135</v>
      </c>
      <c r="G9">
        <f>IF(COUNT(Resultados!G9,Resultados!P9,Resultados!Y9,Resultados!AH9,Resultados!AQ9,Resultados!AZ9,Resultados!BI9,Resultados!BR9,Resultados!CA9,Resultados!CJ9)=0, "", AVERAGE(ABS(Resultados!G9),ABS(Resultados!P9),ABS(Resultados!Y9),ABS(Resultados!AH9),ABS(Resultados!AQ9),ABS(Resultados!AZ9),ABS(Resultados!BI9),ABS(Resultados!BR9),ABS(Resultados!CA9),ABS(Resultados!CJ9)))</f>
        <v>0.42400000000000004</v>
      </c>
      <c r="H9">
        <f>IF(COUNT(Resultados!H9,Resultados!Q9,Resultados!Z9,Resultados!AI9,Resultados!AR9,Resultados!BA9,Resultados!BJ9,Resultados!BS9,Resultados!CB9,Resultados!CK9)=0, "", AVERAGE(ABS(Resultados!H9),ABS(Resultados!Q9),ABS(Resultados!Z9),ABS(Resultados!AI9),ABS(Resultados!AR9),ABS(Resultados!BA9),ABS(Resultados!BJ9),ABS(Resultados!BS9),ABS(Resultados!CB9),ABS(Resultados!CK9)))</f>
        <v>2.3699999999999997E-3</v>
      </c>
      <c r="I9">
        <f>IF(COUNT(Resultados!I9,Resultados!R9,Resultados!AA9,Resultados!AJ9,Resultados!AS9,Resultados!BB9,Resultados!BK9,Resultados!BT9,Resultados!CC9,Resultados!CL9)=0, "", AVERAGE(ABS(Resultados!I9),ABS(Resultados!R9),ABS(Resultados!AA9),ABS(Resultados!AJ9),ABS(Resultados!AS9),ABS(Resultados!BB9),ABS(Resultados!BK9),ABS(Resultados!BT9),ABS(Resultados!CC9),ABS(Resultados!CL9)))</f>
        <v>1.4401699999999977</v>
      </c>
    </row>
    <row r="10" spans="1:9" x14ac:dyDescent="0.3">
      <c r="A10">
        <f>IF(COUNT(Resultados!A10,Resultados!J10,Resultados!S10,Resultados!AB10,Resultados!AK10,Resultados!AT10,Resultados!BC10,Resultados!BL10,Resultados!BU10,Resultados!CD10)=0, "", AVERAGE(ABS(Resultados!A10),ABS(Resultados!J10),ABS(Resultados!S10),ABS(Resultados!AB10),ABS(Resultados!AK10),ABS(Resultados!AT10),ABS(Resultados!BC10),ABS(Resultados!BL10),ABS(Resultados!BU10),ABS(Resultados!CD10)))</f>
        <v>45681</v>
      </c>
      <c r="B10" t="str">
        <f>IF(COUNT(Resultados!B10,Resultados!K10,Resultados!T10,Resultados!AC10,Resultados!AL10,Resultados!AU10,Resultados!BD10,Resultados!BM10,Resultados!BV10,Resultados!CE10)=0, "", AVERAGE(ABS(Resultados!B10),ABS(Resultados!K10),ABS(Resultados!T10),ABS(Resultados!AC10),ABS(Resultados!AL10),ABS(Resultados!AU10),ABS(Resultados!BD10),ABS(Resultados!BM10),ABS(Resultados!BV10),ABS(Resultados!CE10)))</f>
        <v/>
      </c>
      <c r="C10">
        <f>IF(COUNT(Resultados!C10,Resultados!L10,Resultados!U10,Resultados!AD10,Resultados!AM10,Resultados!AV10,Resultados!BE10,Resultados!BN10,Resultados!BW10,Resultados!CF10)=0, "", AVERAGE(ABS(Resultados!C10),ABS(Resultados!L10),ABS(Resultados!U10),ABS(Resultados!AD10),ABS(Resultados!AM10),ABS(Resultados!AV10),ABS(Resultados!BE10),ABS(Resultados!BN10),ABS(Resultados!BW10),ABS(Resultados!CF10)))</f>
        <v>3.9</v>
      </c>
      <c r="D10">
        <f>IF(COUNT(Resultados!D10,Resultados!M10,Resultados!V10,Resultados!AE10,Resultados!AN10,Resultados!AW10,Resultados!BF10,Resultados!BO10,Resultados!BX10,Resultados!CG10)=0, "", AVERAGE(ABS(Resultados!D10),ABS(Resultados!M10),ABS(Resultados!V10),ABS(Resultados!AE10),ABS(Resultados!AN10),ABS(Resultados!AW10),ABS(Resultados!BF10),ABS(Resultados!BO10),ABS(Resultados!BX10),ABS(Resultados!CG10)))</f>
        <v>1.8899999999999998E-3</v>
      </c>
      <c r="E10">
        <f>IF(COUNT(Resultados!E10,Resultados!N10,Resultados!W10,Resultados!AF10,Resultados!AO10,Resultados!AX10,Resultados!BG10,Resultados!BP10,Resultados!BY10,Resultados!CH10)=0, "", AVERAGE(ABS(Resultados!E10),ABS(Resultados!N10),ABS(Resultados!W10),ABS(Resultados!AF10),ABS(Resultados!AO10),ABS(Resultados!AX10),ABS(Resultados!BG10),ABS(Resultados!BP10),ABS(Resultados!BY10),ABS(Resultados!CH10)))</f>
        <v>6.1827960559798667</v>
      </c>
      <c r="F10">
        <f>IF(COUNT(Resultados!F10,Resultados!O10,Resultados!X10,Resultados!AG10,Resultados!AP10,Resultados!AY10,Resultados!BH10,Resultados!BQ10,Resultados!BZ10,Resultados!CI10)=0, "", AVERAGE(ABS(Resultados!F10),ABS(Resultados!O10),ABS(Resultados!X10),ABS(Resultados!AG10),ABS(Resultados!AP10),ABS(Resultados!AY10),ABS(Resultados!BH10),ABS(Resultados!BQ10),ABS(Resultados!BZ10),ABS(Resultados!CI10)))</f>
        <v>716.51724229214039</v>
      </c>
      <c r="G10">
        <f>IF(COUNT(Resultados!G10,Resultados!P10,Resultados!Y10,Resultados!AH10,Resultados!AQ10,Resultados!AZ10,Resultados!BI10,Resultados!BR10,Resultados!CA10,Resultados!CJ10)=0, "", AVERAGE(ABS(Resultados!G10),ABS(Resultados!P10),ABS(Resultados!Y10),ABS(Resultados!AH10),ABS(Resultados!AQ10),ABS(Resultados!AZ10),ABS(Resultados!BI10),ABS(Resultados!BR10),ABS(Resultados!CA10),ABS(Resultados!CJ10)))</f>
        <v>0.42400000000000004</v>
      </c>
      <c r="H10">
        <f>IF(COUNT(Resultados!H10,Resultados!Q10,Resultados!Z10,Resultados!AI10,Resultados!AR10,Resultados!BA10,Resultados!BJ10,Resultados!BS10,Resultados!CB10,Resultados!CK10)=0, "", AVERAGE(ABS(Resultados!H10),ABS(Resultados!Q10),ABS(Resultados!Z10),ABS(Resultados!AI10),ABS(Resultados!AR10),ABS(Resultados!BA10),ABS(Resultados!BJ10),ABS(Resultados!BS10),ABS(Resultados!CB10),ABS(Resultados!CK10)))</f>
        <v>2.9000000000000007E-3</v>
      </c>
      <c r="I10">
        <f>IF(COUNT(Resultados!I10,Resultados!R10,Resultados!AA10,Resultados!AJ10,Resultados!AS10,Resultados!BB10,Resultados!BK10,Resultados!BT10,Resultados!CC10,Resultados!CL10)=0, "", AVERAGE(ABS(Resultados!I10),ABS(Resultados!R10),ABS(Resultados!AA10),ABS(Resultados!AJ10),ABS(Resultados!AS10),ABS(Resultados!BB10),ABS(Resultados!BK10),ABS(Resultados!BT10),ABS(Resultados!CC10),ABS(Resultados!CL10)))</f>
        <v>1.6402200000000051</v>
      </c>
    </row>
    <row r="11" spans="1:9" x14ac:dyDescent="0.3">
      <c r="A11">
        <f>IF(COUNT(Resultados!A11,Resultados!J11,Resultados!S11,Resultados!AB11,Resultados!AK11,Resultados!AT11,Resultados!BC11,Resultados!BL11,Resultados!BU11,Resultados!CD11)=0, "", AVERAGE(ABS(Resultados!A11),ABS(Resultados!J11),ABS(Resultados!S11),ABS(Resultados!AB11),ABS(Resultados!AK11),ABS(Resultados!AT11),ABS(Resultados!BC11),ABS(Resultados!BL11),ABS(Resultados!BU11),ABS(Resultados!CD11)))</f>
        <v>45681</v>
      </c>
      <c r="B11" t="str">
        <f>IF(COUNT(Resultados!B11,Resultados!K11,Resultados!T11,Resultados!AC11,Resultados!AL11,Resultados!AU11,Resultados!BD11,Resultados!BM11,Resultados!BV11,Resultados!CE11)=0, "", AVERAGE(ABS(Resultados!B11),ABS(Resultados!K11),ABS(Resultados!T11),ABS(Resultados!AC11),ABS(Resultados!AL11),ABS(Resultados!AU11),ABS(Resultados!BD11),ABS(Resultados!BM11),ABS(Resultados!BV11),ABS(Resultados!CE11)))</f>
        <v/>
      </c>
      <c r="C11">
        <f>IF(COUNT(Resultados!C11,Resultados!L11,Resultados!U11,Resultados!AD11,Resultados!AM11,Resultados!AV11,Resultados!BE11,Resultados!BN11,Resultados!BW11,Resultados!CF11)=0, "", AVERAGE(ABS(Resultados!C11),ABS(Resultados!L11),ABS(Resultados!U11),ABS(Resultados!AD11),ABS(Resultados!AM11),ABS(Resultados!AV11),ABS(Resultados!BE11),ABS(Resultados!BN11),ABS(Resultados!BW11),ABS(Resultados!CF11)))</f>
        <v>3.9</v>
      </c>
      <c r="D11">
        <f>IF(COUNT(Resultados!D11,Resultados!M11,Resultados!V11,Resultados!AE11,Resultados!AN11,Resultados!AW11,Resultados!BF11,Resultados!BO11,Resultados!BX11,Resultados!CG11)=0, "", AVERAGE(ABS(Resultados!D11),ABS(Resultados!M11),ABS(Resultados!V11),ABS(Resultados!AE11),ABS(Resultados!AN11),ABS(Resultados!AW11),ABS(Resultados!BF11),ABS(Resultados!BO11),ABS(Resultados!BX11),ABS(Resultados!CG11)))</f>
        <v>2.47E-3</v>
      </c>
      <c r="E11">
        <f>IF(COUNT(Resultados!E11,Resultados!N11,Resultados!W11,Resultados!AF11,Resultados!AO11,Resultados!AX11,Resultados!BG11,Resultados!BP11,Resultados!BY11,Resultados!CH11)=0, "", AVERAGE(ABS(Resultados!E11),ABS(Resultados!N11),ABS(Resultados!W11),ABS(Resultados!AF11),ABS(Resultados!AO11),ABS(Resultados!AX11),ABS(Resultados!BG11),ABS(Resultados!BP11),ABS(Resultados!BY11),ABS(Resultados!CH11)))</f>
        <v>6.2212664679284391</v>
      </c>
      <c r="F11">
        <f>IF(COUNT(Resultados!F11,Resultados!O11,Resultados!X11,Resultados!AG11,Resultados!AP11,Resultados!AY11,Resultados!BH11,Resultados!BQ11,Resultados!BZ11,Resultados!CI11)=0, "", AVERAGE(ABS(Resultados!F11),ABS(Resultados!O11),ABS(Resultados!X11),ABS(Resultados!AG11),ABS(Resultados!AP11),ABS(Resultados!AY11),ABS(Resultados!BH11),ABS(Resultados!BQ11),ABS(Resultados!BZ11),ABS(Resultados!CI11)))</f>
        <v>720.17203455225228</v>
      </c>
      <c r="G11">
        <f>IF(COUNT(Resultados!G11,Resultados!P11,Resultados!Y11,Resultados!AH11,Resultados!AQ11,Resultados!AZ11,Resultados!BI11,Resultados!BR11,Resultados!CA11,Resultados!CJ11)=0, "", AVERAGE(ABS(Resultados!G11),ABS(Resultados!P11),ABS(Resultados!Y11),ABS(Resultados!AH11),ABS(Resultados!AQ11),ABS(Resultados!AZ11),ABS(Resultados!BI11),ABS(Resultados!BR11),ABS(Resultados!CA11),ABS(Resultados!CJ11)))</f>
        <v>0.42400000000000004</v>
      </c>
      <c r="H11">
        <f>IF(COUNT(Resultados!H11,Resultados!Q11,Resultados!Z11,Resultados!AI11,Resultados!AR11,Resultados!BA11,Resultados!BJ11,Resultados!BS11,Resultados!CB11,Resultados!CK11)=0, "", AVERAGE(ABS(Resultados!H11),ABS(Resultados!Q11),ABS(Resultados!Z11),ABS(Resultados!AI11),ABS(Resultados!AR11),ABS(Resultados!BA11),ABS(Resultados!BJ11),ABS(Resultados!BS11),ABS(Resultados!CB11),ABS(Resultados!CK11)))</f>
        <v>3.5100000000000001E-3</v>
      </c>
      <c r="I11">
        <f>IF(COUNT(Resultados!I11,Resultados!R11,Resultados!AA11,Resultados!AJ11,Resultados!AS11,Resultados!BB11,Resultados!BK11,Resultados!BT11,Resultados!CC11,Resultados!CL11)=0, "", AVERAGE(ABS(Resultados!I11),ABS(Resultados!R11),ABS(Resultados!AA11),ABS(Resultados!AJ11),ABS(Resultados!AS11),ABS(Resultados!BB11),ABS(Resultados!BK11),ABS(Resultados!BT11),ABS(Resultados!CC11),ABS(Resultados!CL11)))</f>
        <v>1.8404299999999894</v>
      </c>
    </row>
    <row r="12" spans="1:9" x14ac:dyDescent="0.3">
      <c r="A12">
        <f>IF(COUNT(Resultados!A12,Resultados!J12,Resultados!S12,Resultados!AB12,Resultados!AK12,Resultados!AT12,Resultados!BC12,Resultados!BL12,Resultados!BU12,Resultados!CD12)=0, "", AVERAGE(ABS(Resultados!A12),ABS(Resultados!J12),ABS(Resultados!S12),ABS(Resultados!AB12),ABS(Resultados!AK12),ABS(Resultados!AT12),ABS(Resultados!BC12),ABS(Resultados!BL12),ABS(Resultados!BU12),ABS(Resultados!CD12)))</f>
        <v>45681</v>
      </c>
      <c r="B12" t="str">
        <f>IF(COUNT(Resultados!B12,Resultados!K12,Resultados!T12,Resultados!AC12,Resultados!AL12,Resultados!AU12,Resultados!BD12,Resultados!BM12,Resultados!BV12,Resultados!CE12)=0, "", AVERAGE(ABS(Resultados!B12),ABS(Resultados!K12),ABS(Resultados!T12),ABS(Resultados!AC12),ABS(Resultados!AL12),ABS(Resultados!AU12),ABS(Resultados!BD12),ABS(Resultados!BM12),ABS(Resultados!BV12),ABS(Resultados!CE12)))</f>
        <v/>
      </c>
      <c r="C12">
        <f>IF(COUNT(Resultados!C12,Resultados!L12,Resultados!U12,Resultados!AD12,Resultados!AM12,Resultados!AV12,Resultados!BE12,Resultados!BN12,Resultados!BW12,Resultados!CF12)=0, "", AVERAGE(ABS(Resultados!C12),ABS(Resultados!L12),ABS(Resultados!U12),ABS(Resultados!AD12),ABS(Resultados!AM12),ABS(Resultados!AV12),ABS(Resultados!BE12),ABS(Resultados!BN12),ABS(Resultados!BW12),ABS(Resultados!CF12)))</f>
        <v>4.2</v>
      </c>
      <c r="D12">
        <f>IF(COUNT(Resultados!D12,Resultados!M12,Resultados!V12,Resultados!AE12,Resultados!AN12,Resultados!AW12,Resultados!BF12,Resultados!BO12,Resultados!BX12,Resultados!CG12)=0, "", AVERAGE(ABS(Resultados!D12),ABS(Resultados!M12),ABS(Resultados!V12),ABS(Resultados!AE12),ABS(Resultados!AN12),ABS(Resultados!AW12),ABS(Resultados!BF12),ABS(Resultados!BO12),ABS(Resultados!BX12),ABS(Resultados!CG12)))</f>
        <v>3.1200000000000004E-3</v>
      </c>
      <c r="E12">
        <f>IF(COUNT(Resultados!E12,Resultados!N12,Resultados!W12,Resultados!AF12,Resultados!AO12,Resultados!AX12,Resultados!BG12,Resultados!BP12,Resultados!BY12,Resultados!CH12)=0, "", AVERAGE(ABS(Resultados!E12),ABS(Resultados!N12),ABS(Resultados!W12),ABS(Resultados!AF12),ABS(Resultados!AO12),ABS(Resultados!AX12),ABS(Resultados!BG12),ABS(Resultados!BP12),ABS(Resultados!BY12),ABS(Resultados!CH12)))</f>
        <v>6.2639891951685156</v>
      </c>
      <c r="F12">
        <f>IF(COUNT(Resultados!F12,Resultados!O12,Resultados!X12,Resultados!AG12,Resultados!AP12,Resultados!AY12,Resultados!BH12,Resultados!BQ12,Resultados!BZ12,Resultados!CI12)=0, "", AVERAGE(ABS(Resultados!F12),ABS(Resultados!O12),ABS(Resultados!X12),ABS(Resultados!AG12),ABS(Resultados!AP12),ABS(Resultados!AY12),ABS(Resultados!BH12),ABS(Resultados!BQ12),ABS(Resultados!BZ12),ABS(Resultados!CI12)))</f>
        <v>724.22948540080256</v>
      </c>
      <c r="G12">
        <f>IF(COUNT(Resultados!G12,Resultados!P12,Resultados!Y12,Resultados!AH12,Resultados!AQ12,Resultados!AZ12,Resultados!BI12,Resultados!BR12,Resultados!CA12,Resultados!CJ12)=0, "", AVERAGE(ABS(Resultados!G12),ABS(Resultados!P12),ABS(Resultados!Y12),ABS(Resultados!AH12),ABS(Resultados!AQ12),ABS(Resultados!AZ12),ABS(Resultados!BI12),ABS(Resultados!BR12),ABS(Resultados!CA12),ABS(Resultados!CJ12)))</f>
        <v>0.42400000000000004</v>
      </c>
      <c r="H12">
        <f>IF(COUNT(Resultados!H12,Resultados!Q12,Resultados!Z12,Resultados!AI12,Resultados!AR12,Resultados!BA12,Resultados!BJ12,Resultados!BS12,Resultados!CB12,Resultados!CK12)=0, "", AVERAGE(ABS(Resultados!H12),ABS(Resultados!Q12),ABS(Resultados!Z12),ABS(Resultados!AI12),ABS(Resultados!AR12),ABS(Resultados!BA12),ABS(Resultados!BJ12),ABS(Resultados!BS12),ABS(Resultados!CB12),ABS(Resultados!CK12)))</f>
        <v>4.170000000000001E-3</v>
      </c>
      <c r="I12">
        <f>IF(COUNT(Resultados!I12,Resultados!R12,Resultados!AA12,Resultados!AJ12,Resultados!AS12,Resultados!BB12,Resultados!BK12,Resultados!BT12,Resultados!CC12,Resultados!CL12)=0, "", AVERAGE(ABS(Resultados!I12),ABS(Resultados!R12),ABS(Resultados!AA12),ABS(Resultados!AJ12),ABS(Resultados!AS12),ABS(Resultados!BB12),ABS(Resultados!BK12),ABS(Resultados!BT12),ABS(Resultados!CC12),ABS(Resultados!CL12)))</f>
        <v>2.0408799999999898</v>
      </c>
    </row>
    <row r="13" spans="1:9" x14ac:dyDescent="0.3">
      <c r="A13">
        <f>IF(COUNT(Resultados!A13,Resultados!J13,Resultados!S13,Resultados!AB13,Resultados!AK13,Resultados!AT13,Resultados!BC13,Resultados!BL13,Resultados!BU13,Resultados!CD13)=0, "", AVERAGE(ABS(Resultados!A13),ABS(Resultados!J13),ABS(Resultados!S13),ABS(Resultados!AB13),ABS(Resultados!AK13),ABS(Resultados!AT13),ABS(Resultados!BC13),ABS(Resultados!BL13),ABS(Resultados!BU13),ABS(Resultados!CD13)))</f>
        <v>45681</v>
      </c>
      <c r="B13" t="str">
        <f>IF(COUNT(Resultados!B13,Resultados!K13,Resultados!T13,Resultados!AC13,Resultados!AL13,Resultados!AU13,Resultados!BD13,Resultados!BM13,Resultados!BV13,Resultados!CE13)=0, "", AVERAGE(ABS(Resultados!B13),ABS(Resultados!K13),ABS(Resultados!T13),ABS(Resultados!AC13),ABS(Resultados!AL13),ABS(Resultados!AU13),ABS(Resultados!BD13),ABS(Resultados!BM13),ABS(Resultados!BV13),ABS(Resultados!CE13)))</f>
        <v/>
      </c>
      <c r="C13">
        <f>IF(COUNT(Resultados!C13,Resultados!L13,Resultados!U13,Resultados!AD13,Resultados!AM13,Resultados!AV13,Resultados!BE13,Resultados!BN13,Resultados!BW13,Resultados!CF13)=0, "", AVERAGE(ABS(Resultados!C13),ABS(Resultados!L13),ABS(Resultados!U13),ABS(Resultados!AD13),ABS(Resultados!AM13),ABS(Resultados!AV13),ABS(Resultados!BE13),ABS(Resultados!BN13),ABS(Resultados!BW13),ABS(Resultados!CF13)))</f>
        <v>4.2</v>
      </c>
      <c r="D13">
        <f>IF(COUNT(Resultados!D13,Resultados!M13,Resultados!V13,Resultados!AE13,Resultados!AN13,Resultados!AW13,Resultados!BF13,Resultados!BO13,Resultados!BX13,Resultados!CG13)=0, "", AVERAGE(ABS(Resultados!D13),ABS(Resultados!M13),ABS(Resultados!V13),ABS(Resultados!AE13),ABS(Resultados!AN13),ABS(Resultados!AW13),ABS(Resultados!BF13),ABS(Resultados!BO13),ABS(Resultados!BX13),ABS(Resultados!CG13)))</f>
        <v>3.8799999999999993E-3</v>
      </c>
      <c r="E13">
        <f>IF(COUNT(Resultados!E13,Resultados!N13,Resultados!W13,Resultados!AF13,Resultados!AO13,Resultados!AX13,Resultados!BG13,Resultados!BP13,Resultados!BY13,Resultados!CH13)=0, "", AVERAGE(ABS(Resultados!E13),ABS(Resultados!N13),ABS(Resultados!W13),ABS(Resultados!AF13),ABS(Resultados!AO13),ABS(Resultados!AX13),ABS(Resultados!BG13),ABS(Resultados!BP13),ABS(Resultados!BY13),ABS(Resultados!CH13)))</f>
        <v>6.3104962425495508</v>
      </c>
      <c r="F13">
        <f>IF(COUNT(Resultados!F13,Resultados!O13,Resultados!X13,Resultados!AG13,Resultados!AP13,Resultados!AY13,Resultados!BH13,Resultados!BQ13,Resultados!BZ13,Resultados!CI13)=0, "", AVERAGE(ABS(Resultados!F13),ABS(Resultados!O13),ABS(Resultados!X13),ABS(Resultados!AG13),ABS(Resultados!AP13),ABS(Resultados!AY13),ABS(Resultados!BH13),ABS(Resultados!BQ13),ABS(Resultados!BZ13),ABS(Resultados!CI13)))</f>
        <v>728.64517053981695</v>
      </c>
      <c r="G13">
        <f>IF(COUNT(Resultados!G13,Resultados!P13,Resultados!Y13,Resultados!AH13,Resultados!AQ13,Resultados!AZ13,Resultados!BI13,Resultados!BR13,Resultados!CA13,Resultados!CJ13)=0, "", AVERAGE(ABS(Resultados!G13),ABS(Resultados!P13),ABS(Resultados!Y13),ABS(Resultados!AH13),ABS(Resultados!AQ13),ABS(Resultados!AZ13),ABS(Resultados!BI13),ABS(Resultados!BR13),ABS(Resultados!CA13),ABS(Resultados!CJ13)))</f>
        <v>0.42400000000000004</v>
      </c>
      <c r="H13">
        <f>IF(COUNT(Resultados!H13,Resultados!Q13,Resultados!Z13,Resultados!AI13,Resultados!AR13,Resultados!BA13,Resultados!BJ13,Resultados!BS13,Resultados!CB13,Resultados!CK13)=0, "", AVERAGE(ABS(Resultados!H13),ABS(Resultados!Q13),ABS(Resultados!Z13),ABS(Resultados!AI13),ABS(Resultados!AR13),ABS(Resultados!BA13),ABS(Resultados!BJ13),ABS(Resultados!BS13),ABS(Resultados!CB13),ABS(Resultados!CK13)))</f>
        <v>4.8900000000000002E-3</v>
      </c>
      <c r="I13">
        <f>IF(COUNT(Resultados!I13,Resultados!R13,Resultados!AA13,Resultados!AJ13,Resultados!AS13,Resultados!BB13,Resultados!BK13,Resultados!BT13,Resultados!CC13,Resultados!CL13)=0, "", AVERAGE(ABS(Resultados!I13),ABS(Resultados!R13),ABS(Resultados!AA13),ABS(Resultados!AJ13),ABS(Resultados!AS13),ABS(Resultados!BB13),ABS(Resultados!BK13),ABS(Resultados!BT13),ABS(Resultados!CC13),ABS(Resultados!CL13)))</f>
        <v>2.2404800000000025</v>
      </c>
    </row>
    <row r="14" spans="1:9" x14ac:dyDescent="0.3">
      <c r="A14">
        <f>IF(COUNT(Resultados!A14,Resultados!J14,Resultados!S14,Resultados!AB14,Resultados!AK14,Resultados!AT14,Resultados!BC14,Resultados!BL14,Resultados!BU14,Resultados!CD14)=0, "", AVERAGE(ABS(Resultados!A14),ABS(Resultados!J14),ABS(Resultados!S14),ABS(Resultados!AB14),ABS(Resultados!AK14),ABS(Resultados!AT14),ABS(Resultados!BC14),ABS(Resultados!BL14),ABS(Resultados!BU14),ABS(Resultados!CD14)))</f>
        <v>45681</v>
      </c>
      <c r="B14" t="str">
        <f>IF(COUNT(Resultados!B14,Resultados!K14,Resultados!T14,Resultados!AC14,Resultados!AL14,Resultados!AU14,Resultados!BD14,Resultados!BM14,Resultados!BV14,Resultados!CE14)=0, "", AVERAGE(ABS(Resultados!B14),ABS(Resultados!K14),ABS(Resultados!T14),ABS(Resultados!AC14),ABS(Resultados!AL14),ABS(Resultados!AU14),ABS(Resultados!BD14),ABS(Resultados!BM14),ABS(Resultados!BV14),ABS(Resultados!CE14)))</f>
        <v/>
      </c>
      <c r="C14">
        <f>IF(COUNT(Resultados!C14,Resultados!L14,Resultados!U14,Resultados!AD14,Resultados!AM14,Resultados!AV14,Resultados!BE14,Resultados!BN14,Resultados!BW14,Resultados!CF14)=0, "", AVERAGE(ABS(Resultados!C14),ABS(Resultados!L14),ABS(Resultados!U14),ABS(Resultados!AD14),ABS(Resultados!AM14),ABS(Resultados!AV14),ABS(Resultados!BE14),ABS(Resultados!BN14),ABS(Resultados!BW14),ABS(Resultados!CF14)))</f>
        <v>4.2</v>
      </c>
      <c r="D14">
        <f>IF(COUNT(Resultados!D14,Resultados!M14,Resultados!V14,Resultados!AE14,Resultados!AN14,Resultados!AW14,Resultados!BF14,Resultados!BO14,Resultados!BX14,Resultados!CG14)=0, "", AVERAGE(ABS(Resultados!D14),ABS(Resultados!M14),ABS(Resultados!V14),ABS(Resultados!AE14),ABS(Resultados!AN14),ABS(Resultados!AW14),ABS(Resultados!BF14),ABS(Resultados!BO14),ABS(Resultados!BX14),ABS(Resultados!CG14)))</f>
        <v>4.7599999999999995E-3</v>
      </c>
      <c r="E14">
        <f>IF(COUNT(Resultados!E14,Resultados!N14,Resultados!W14,Resultados!AF14,Resultados!AO14,Resultados!AX14,Resultados!BG14,Resultados!BP14,Resultados!BY14,Resultados!CH14)=0, "", AVERAGE(ABS(Resultados!E14),ABS(Resultados!N14),ABS(Resultados!W14),ABS(Resultados!AF14),ABS(Resultados!AO14),ABS(Resultados!AX14),ABS(Resultados!BG14),ABS(Resultados!BP14),ABS(Resultados!BY14),ABS(Resultados!CH14)))</f>
        <v>6.36120329584611</v>
      </c>
      <c r="F14">
        <f>IF(COUNT(Resultados!F14,Resultados!O14,Resultados!X14,Resultados!AG14,Resultados!AP14,Resultados!AY14,Resultados!BH14,Resultados!BQ14,Resultados!BZ14,Resultados!CI14)=0, "", AVERAGE(ABS(Resultados!F14),ABS(Resultados!O14),ABS(Resultados!X14),ABS(Resultados!AG14),ABS(Resultados!AP14),ABS(Resultados!AY14),ABS(Resultados!BH14),ABS(Resultados!BQ14),ABS(Resultados!BZ14),ABS(Resultados!CI14)))</f>
        <v>733.45854615021619</v>
      </c>
      <c r="G14">
        <f>IF(COUNT(Resultados!G14,Resultados!P14,Resultados!Y14,Resultados!AH14,Resultados!AQ14,Resultados!AZ14,Resultados!BI14,Resultados!BR14,Resultados!CA14,Resultados!CJ14)=0, "", AVERAGE(ABS(Resultados!G14),ABS(Resultados!P14),ABS(Resultados!Y14),ABS(Resultados!AH14),ABS(Resultados!AQ14),ABS(Resultados!AZ14),ABS(Resultados!BI14),ABS(Resultados!BR14),ABS(Resultados!CA14),ABS(Resultados!CJ14)))</f>
        <v>0.42400000000000004</v>
      </c>
      <c r="H14">
        <f>IF(COUNT(Resultados!H14,Resultados!Q14,Resultados!Z14,Resultados!AI14,Resultados!AR14,Resultados!BA14,Resultados!BJ14,Resultados!BS14,Resultados!CB14,Resultados!CK14)=0, "", AVERAGE(ABS(Resultados!H14),ABS(Resultados!Q14),ABS(Resultados!Z14),ABS(Resultados!AI14),ABS(Resultados!AR14),ABS(Resultados!BA14),ABS(Resultados!BJ14),ABS(Resultados!BS14),ABS(Resultados!CB14),ABS(Resultados!CK14)))</f>
        <v>5.6699999999999997E-3</v>
      </c>
      <c r="I14">
        <f>IF(COUNT(Resultados!I14,Resultados!R14,Resultados!AA14,Resultados!AJ14,Resultados!AS14,Resultados!BB14,Resultados!BK14,Resultados!BT14,Resultados!CC14,Resultados!CL14)=0, "", AVERAGE(ABS(Resultados!I14),ABS(Resultados!R14),ABS(Resultados!AA14),ABS(Resultados!AJ14),ABS(Resultados!AS14),ABS(Resultados!BB14),ABS(Resultados!BK14),ABS(Resultados!BT14),ABS(Resultados!CC14),ABS(Resultados!CL14)))</f>
        <v>2.4413699999999978</v>
      </c>
    </row>
    <row r="15" spans="1:9" x14ac:dyDescent="0.3">
      <c r="A15">
        <f>IF(COUNT(Resultados!A15,Resultados!J15,Resultados!S15,Resultados!AB15,Resultados!AK15,Resultados!AT15,Resultados!BC15,Resultados!BL15,Resultados!BU15,Resultados!CD15)=0, "", AVERAGE(ABS(Resultados!A15),ABS(Resultados!J15),ABS(Resultados!S15),ABS(Resultados!AB15),ABS(Resultados!AK15),ABS(Resultados!AT15),ABS(Resultados!BC15),ABS(Resultados!BL15),ABS(Resultados!BU15),ABS(Resultados!CD15)))</f>
        <v>45681</v>
      </c>
      <c r="B15" t="str">
        <f>IF(COUNT(Resultados!B15,Resultados!K15,Resultados!T15,Resultados!AC15,Resultados!AL15,Resultados!AU15,Resultados!BD15,Resultados!BM15,Resultados!BV15,Resultados!CE15)=0, "", AVERAGE(ABS(Resultados!B15),ABS(Resultados!K15),ABS(Resultados!T15),ABS(Resultados!AC15),ABS(Resultados!AL15),ABS(Resultados!AU15),ABS(Resultados!BD15),ABS(Resultados!BM15),ABS(Resultados!BV15),ABS(Resultados!CE15)))</f>
        <v/>
      </c>
      <c r="C15">
        <f>IF(COUNT(Resultados!C15,Resultados!L15,Resultados!U15,Resultados!AD15,Resultados!AM15,Resultados!AV15,Resultados!BE15,Resultados!BN15,Resultados!BW15,Resultados!CF15)=0, "", AVERAGE(ABS(Resultados!C15),ABS(Resultados!L15),ABS(Resultados!U15),ABS(Resultados!AD15),ABS(Resultados!AM15),ABS(Resultados!AV15),ABS(Resultados!BE15),ABS(Resultados!BN15),ABS(Resultados!BW15),ABS(Resultados!CF15)))</f>
        <v>4.2</v>
      </c>
      <c r="D15">
        <f>IF(COUNT(Resultados!D15,Resultados!M15,Resultados!V15,Resultados!AE15,Resultados!AN15,Resultados!AW15,Resultados!BF15,Resultados!BO15,Resultados!BX15,Resultados!CG15)=0, "", AVERAGE(ABS(Resultados!D15),ABS(Resultados!M15),ABS(Resultados!V15),ABS(Resultados!AE15),ABS(Resultados!AN15),ABS(Resultados!AW15),ABS(Resultados!BF15),ABS(Resultados!BO15),ABS(Resultados!BX15),ABS(Resultados!CG15)))</f>
        <v>5.4099999999999999E-3</v>
      </c>
      <c r="E15">
        <f>IF(COUNT(Resultados!E15,Resultados!N15,Resultados!W15,Resultados!AF15,Resultados!AO15,Resultados!AX15,Resultados!BG15,Resultados!BP15,Resultados!BY15,Resultados!CH15)=0, "", AVERAGE(ABS(Resultados!E15),ABS(Resultados!N15),ABS(Resultados!W15),ABS(Resultados!AF15),ABS(Resultados!AO15),ABS(Resultados!AX15),ABS(Resultados!BG15),ABS(Resultados!BP15),ABS(Resultados!BY15),ABS(Resultados!CH15)))</f>
        <v>6.4149889004995346</v>
      </c>
      <c r="F15">
        <f>IF(COUNT(Resultados!F15,Resultados!O15,Resultados!X15,Resultados!AG15,Resultados!AP15,Resultados!AY15,Resultados!BH15,Resultados!BQ15,Resultados!BZ15,Resultados!CI15)=0, "", AVERAGE(ABS(Resultados!F15),ABS(Resultados!O15),ABS(Resultados!X15),ABS(Resultados!AG15),ABS(Resultados!AP15),ABS(Resultados!AY15),ABS(Resultados!BH15),ABS(Resultados!BQ15),ABS(Resultados!BZ15),ABS(Resultados!CI15)))</f>
        <v>738.56316762379026</v>
      </c>
      <c r="G15">
        <f>IF(COUNT(Resultados!G15,Resultados!P15,Resultados!Y15,Resultados!AH15,Resultados!AQ15,Resultados!AZ15,Resultados!BI15,Resultados!BR15,Resultados!CA15,Resultados!CJ15)=0, "", AVERAGE(ABS(Resultados!G15),ABS(Resultados!P15),ABS(Resultados!Y15),ABS(Resultados!AH15),ABS(Resultados!AQ15),ABS(Resultados!AZ15),ABS(Resultados!BI15),ABS(Resultados!BR15),ABS(Resultados!CA15),ABS(Resultados!CJ15)))</f>
        <v>0.42400000000000004</v>
      </c>
      <c r="H15">
        <f>IF(COUNT(Resultados!H15,Resultados!Q15,Resultados!Z15,Resultados!AI15,Resultados!AR15,Resultados!BA15,Resultados!BJ15,Resultados!BS15,Resultados!CB15,Resultados!CK15)=0, "", AVERAGE(ABS(Resultados!H15),ABS(Resultados!Q15),ABS(Resultados!Z15),ABS(Resultados!AI15),ABS(Resultados!AR15),ABS(Resultados!BA15),ABS(Resultados!BJ15),ABS(Resultados!BS15),ABS(Resultados!CB15),ABS(Resultados!CK15)))</f>
        <v>6.5099999999999993E-3</v>
      </c>
      <c r="I15">
        <f>IF(COUNT(Resultados!I15,Resultados!R15,Resultados!AA15,Resultados!AJ15,Resultados!AS15,Resultados!BB15,Resultados!BK15,Resultados!BT15,Resultados!CC15,Resultados!CL15)=0, "", AVERAGE(ABS(Resultados!I15),ABS(Resultados!R15),ABS(Resultados!AA15),ABS(Resultados!AJ15),ABS(Resultados!AS15),ABS(Resultados!BB15),ABS(Resultados!BK15),ABS(Resultados!BT15),ABS(Resultados!CC15),ABS(Resultados!CL15)))</f>
        <v>2.6404900000000082</v>
      </c>
    </row>
    <row r="16" spans="1:9" x14ac:dyDescent="0.3">
      <c r="A16">
        <f>IF(COUNT(Resultados!A16,Resultados!J16,Resultados!S16,Resultados!AB16,Resultados!AK16,Resultados!AT16,Resultados!BC16,Resultados!BL16,Resultados!BU16,Resultados!CD16)=0, "", AVERAGE(ABS(Resultados!A16),ABS(Resultados!J16),ABS(Resultados!S16),ABS(Resultados!AB16),ABS(Resultados!AK16),ABS(Resultados!AT16),ABS(Resultados!BC16),ABS(Resultados!BL16),ABS(Resultados!BU16),ABS(Resultados!CD16)))</f>
        <v>45681</v>
      </c>
      <c r="B16" t="str">
        <f>IF(COUNT(Resultados!B16,Resultados!K16,Resultados!T16,Resultados!AC16,Resultados!AL16,Resultados!AU16,Resultados!BD16,Resultados!BM16,Resultados!BV16,Resultados!CE16)=0, "", AVERAGE(ABS(Resultados!B16),ABS(Resultados!K16),ABS(Resultados!T16),ABS(Resultados!AC16),ABS(Resultados!AL16),ABS(Resultados!AU16),ABS(Resultados!BD16),ABS(Resultados!BM16),ABS(Resultados!BV16),ABS(Resultados!CE16)))</f>
        <v/>
      </c>
      <c r="C16">
        <f>IF(COUNT(Resultados!C16,Resultados!L16,Resultados!U16,Resultados!AD16,Resultados!AM16,Resultados!AV16,Resultados!BE16,Resultados!BN16,Resultados!BW16,Resultados!CF16)=0, "", AVERAGE(ABS(Resultados!C16),ABS(Resultados!L16),ABS(Resultados!U16),ABS(Resultados!AD16),ABS(Resultados!AM16),ABS(Resultados!AV16),ABS(Resultados!BE16),ABS(Resultados!BN16),ABS(Resultados!BW16),ABS(Resultados!CF16)))</f>
        <v>4.2</v>
      </c>
      <c r="D16">
        <f>IF(COUNT(Resultados!D16,Resultados!M16,Resultados!V16,Resultados!AE16,Resultados!AN16,Resultados!AW16,Resultados!BF16,Resultados!BO16,Resultados!BX16,Resultados!CG16)=0, "", AVERAGE(ABS(Resultados!D16),ABS(Resultados!M16),ABS(Resultados!V16),ABS(Resultados!AE16),ABS(Resultados!AN16),ABS(Resultados!AW16),ABS(Resultados!BF16),ABS(Resultados!BO16),ABS(Resultados!BX16),ABS(Resultados!CG16)))</f>
        <v>6.4900000000000001E-3</v>
      </c>
      <c r="E16">
        <f>IF(COUNT(Resultados!E16,Resultados!N16,Resultados!W16,Resultados!AF16,Resultados!AO16,Resultados!AX16,Resultados!BG16,Resultados!BP16,Resultados!BY16,Resultados!CH16)=0, "", AVERAGE(ABS(Resultados!E16),ABS(Resultados!N16),ABS(Resultados!W16),ABS(Resultados!AF16),ABS(Resultados!AO16),ABS(Resultados!AX16),ABS(Resultados!BG16),ABS(Resultados!BP16),ABS(Resultados!BY16),ABS(Resultados!CH16)))</f>
        <v>6.4726675358750381</v>
      </c>
      <c r="F16">
        <f>IF(COUNT(Resultados!F16,Resultados!O16,Resultados!X16,Resultados!AG16,Resultados!AP16,Resultados!AY16,Resultados!BH16,Resultados!BQ16,Resultados!BZ16,Resultados!CI16)=0, "", AVERAGE(ABS(Resultados!F16),ABS(Resultados!O16),ABS(Resultados!X16),ABS(Resultados!AG16),ABS(Resultados!AP16),ABS(Resultados!AY16),ABS(Resultados!BH16),ABS(Resultados!BQ16),ABS(Resultados!BZ16),ABS(Resultados!CI16)))</f>
        <v>754.25614915454116</v>
      </c>
      <c r="G16">
        <f>IF(COUNT(Resultados!G16,Resultados!P16,Resultados!Y16,Resultados!AH16,Resultados!AQ16,Resultados!AZ16,Resultados!BI16,Resultados!BR16,Resultados!CA16,Resultados!CJ16)=0, "", AVERAGE(ABS(Resultados!G16),ABS(Resultados!P16),ABS(Resultados!Y16),ABS(Resultados!AH16),ABS(Resultados!AQ16),ABS(Resultados!AZ16),ABS(Resultados!BI16),ABS(Resultados!BR16),ABS(Resultados!CA16),ABS(Resultados!CJ16)))</f>
        <v>0.42400000000000004</v>
      </c>
      <c r="H16">
        <f>IF(COUNT(Resultados!H16,Resultados!Q16,Resultados!Z16,Resultados!AI16,Resultados!AR16,Resultados!BA16,Resultados!BJ16,Resultados!BS16,Resultados!CB16,Resultados!CK16)=0, "", AVERAGE(ABS(Resultados!H16),ABS(Resultados!Q16),ABS(Resultados!Z16),ABS(Resultados!AI16),ABS(Resultados!AR16),ABS(Resultados!BA16),ABS(Resultados!BJ16),ABS(Resultados!BS16),ABS(Resultados!CB16),ABS(Resultados!CK16)))</f>
        <v>7.3999999999999995E-3</v>
      </c>
      <c r="I16">
        <f>IF(COUNT(Resultados!I16,Resultados!R16,Resultados!AA16,Resultados!AJ16,Resultados!AS16,Resultados!BB16,Resultados!BK16,Resultados!BT16,Resultados!CC16,Resultados!CL16)=0, "", AVERAGE(ABS(Resultados!I16),ABS(Resultados!R16),ABS(Resultados!AA16),ABS(Resultados!AJ16),ABS(Resultados!AS16),ABS(Resultados!BB16),ABS(Resultados!BK16),ABS(Resultados!BT16),ABS(Resultados!CC16),ABS(Resultados!CL16)))</f>
        <v>2.8408400000000058</v>
      </c>
    </row>
    <row r="17" spans="1:9" x14ac:dyDescent="0.3">
      <c r="A17">
        <f>IF(COUNT(Resultados!A17,Resultados!J17,Resultados!S17,Resultados!AB17,Resultados!AK17,Resultados!AT17,Resultados!BC17,Resultados!BL17,Resultados!BU17,Resultados!CD17)=0, "", AVERAGE(ABS(Resultados!A17),ABS(Resultados!J17),ABS(Resultados!S17),ABS(Resultados!AB17),ABS(Resultados!AK17),ABS(Resultados!AT17),ABS(Resultados!BC17),ABS(Resultados!BL17),ABS(Resultados!BU17),ABS(Resultados!CD17)))</f>
        <v>45681</v>
      </c>
      <c r="B17" t="str">
        <f>IF(COUNT(Resultados!B17,Resultados!K17,Resultados!T17,Resultados!AC17,Resultados!AL17,Resultados!AU17,Resultados!BD17,Resultados!BM17,Resultados!BV17,Resultados!CE17)=0, "", AVERAGE(ABS(Resultados!B17),ABS(Resultados!K17),ABS(Resultados!T17),ABS(Resultados!AC17),ABS(Resultados!AL17),ABS(Resultados!AU17),ABS(Resultados!BD17),ABS(Resultados!BM17),ABS(Resultados!BV17),ABS(Resultados!CE17)))</f>
        <v/>
      </c>
      <c r="C17">
        <f>IF(COUNT(Resultados!C17,Resultados!L17,Resultados!U17,Resultados!AD17,Resultados!AM17,Resultados!AV17,Resultados!BE17,Resultados!BN17,Resultados!BW17,Resultados!CF17)=0, "", AVERAGE(ABS(Resultados!C17),ABS(Resultados!L17),ABS(Resultados!U17),ABS(Resultados!AD17),ABS(Resultados!AM17),ABS(Resultados!AV17),ABS(Resultados!BE17),ABS(Resultados!BN17),ABS(Resultados!BW17),ABS(Resultados!CF17)))</f>
        <v>4.2</v>
      </c>
      <c r="D17">
        <f>IF(COUNT(Resultados!D17,Resultados!M17,Resultados!V17,Resultados!AE17,Resultados!AN17,Resultados!AW17,Resultados!BF17,Resultados!BO17,Resultados!BX17,Resultados!CG17)=0, "", AVERAGE(ABS(Resultados!D17),ABS(Resultados!M17),ABS(Resultados!V17),ABS(Resultados!AE17),ABS(Resultados!AN17),ABS(Resultados!AW17),ABS(Resultados!BF17),ABS(Resultados!BO17),ABS(Resultados!BX17),ABS(Resultados!CG17)))</f>
        <v>7.2799999999999991E-3</v>
      </c>
      <c r="E17">
        <f>IF(COUNT(Resultados!E17,Resultados!N17,Resultados!W17,Resultados!AF17,Resultados!AO17,Resultados!AX17,Resultados!BG17,Resultados!BP17,Resultados!BY17,Resultados!CH17)=0, "", AVERAGE(ABS(Resultados!E17),ABS(Resultados!N17),ABS(Resultados!W17),ABS(Resultados!AF17),ABS(Resultados!AO17),ABS(Resultados!AX17),ABS(Resultados!BG17),ABS(Resultados!BP17),ABS(Resultados!BY17),ABS(Resultados!CH17)))</f>
        <v>6.5330863345602026</v>
      </c>
      <c r="F17">
        <f>IF(COUNT(Resultados!F17,Resultados!O17,Resultados!X17,Resultados!AG17,Resultados!AP17,Resultados!AY17,Resultados!BH17,Resultados!BQ17,Resultados!BZ17,Resultados!CI17)=0, "", AVERAGE(ABS(Resultados!F17),ABS(Resultados!O17),ABS(Resultados!X17),ABS(Resultados!AG17),ABS(Resultados!AP17),ABS(Resultados!AY17),ABS(Resultados!BH17),ABS(Resultados!BQ17),ABS(Resultados!BZ17),ABS(Resultados!CI17)))</f>
        <v>759.98989314976325</v>
      </c>
      <c r="G17">
        <f>IF(COUNT(Resultados!G17,Resultados!P17,Resultados!Y17,Resultados!AH17,Resultados!AQ17,Resultados!AZ17,Resultados!BI17,Resultados!BR17,Resultados!CA17,Resultados!CJ17)=0, "", AVERAGE(ABS(Resultados!G17),ABS(Resultados!P17),ABS(Resultados!Y17),ABS(Resultados!AH17),ABS(Resultados!AQ17),ABS(Resultados!AZ17),ABS(Resultados!BI17),ABS(Resultados!BR17),ABS(Resultados!CA17),ABS(Resultados!CJ17)))</f>
        <v>0.42400000000000004</v>
      </c>
      <c r="H17">
        <f>IF(COUNT(Resultados!H17,Resultados!Q17,Resultados!Z17,Resultados!AI17,Resultados!AR17,Resultados!BA17,Resultados!BJ17,Resultados!BS17,Resultados!CB17,Resultados!CK17)=0, "", AVERAGE(ABS(Resultados!H17),ABS(Resultados!Q17),ABS(Resultados!Z17),ABS(Resultados!AI17),ABS(Resultados!AR17),ABS(Resultados!BA17),ABS(Resultados!BJ17),ABS(Resultados!BS17),ABS(Resultados!CB17),ABS(Resultados!CK17)))</f>
        <v>8.3400000000000019E-3</v>
      </c>
      <c r="I17">
        <f>IF(COUNT(Resultados!I17,Resultados!R17,Resultados!AA17,Resultados!AJ17,Resultados!AS17,Resultados!BB17,Resultados!BK17,Resultados!BT17,Resultados!CC17,Resultados!CL17)=0, "", AVERAGE(ABS(Resultados!I17),ABS(Resultados!R17),ABS(Resultados!AA17),ABS(Resultados!AJ17),ABS(Resultados!AS17),ABS(Resultados!BB17),ABS(Resultados!BK17),ABS(Resultados!BT17),ABS(Resultados!CC17),ABS(Resultados!CL17)))</f>
        <v>3.0402899999999904</v>
      </c>
    </row>
    <row r="18" spans="1:9" x14ac:dyDescent="0.3">
      <c r="A18">
        <f>IF(COUNT(Resultados!A18,Resultados!J18,Resultados!S18,Resultados!AB18,Resultados!AK18,Resultados!AT18,Resultados!BC18,Resultados!BL18,Resultados!BU18,Resultados!CD18)=0, "", AVERAGE(ABS(Resultados!A18),ABS(Resultados!J18),ABS(Resultados!S18),ABS(Resultados!AB18),ABS(Resultados!AK18),ABS(Resultados!AT18),ABS(Resultados!BC18),ABS(Resultados!BL18),ABS(Resultados!BU18),ABS(Resultados!CD18)))</f>
        <v>45681</v>
      </c>
      <c r="B18" t="str">
        <f>IF(COUNT(Resultados!B18,Resultados!K18,Resultados!T18,Resultados!AC18,Resultados!AL18,Resultados!AU18,Resultados!BD18,Resultados!BM18,Resultados!BV18,Resultados!CE18)=0, "", AVERAGE(ABS(Resultados!B18),ABS(Resultados!K18),ABS(Resultados!T18),ABS(Resultados!AC18),ABS(Resultados!AL18),ABS(Resultados!AU18),ABS(Resultados!BD18),ABS(Resultados!BM18),ABS(Resultados!BV18),ABS(Resultados!CE18)))</f>
        <v/>
      </c>
      <c r="C18">
        <f>IF(COUNT(Resultados!C18,Resultados!L18,Resultados!U18,Resultados!AD18,Resultados!AM18,Resultados!AV18,Resultados!BE18,Resultados!BN18,Resultados!BW18,Resultados!CF18)=0, "", AVERAGE(ABS(Resultados!C18),ABS(Resultados!L18),ABS(Resultados!U18),ABS(Resultados!AD18),ABS(Resultados!AM18),ABS(Resultados!AV18),ABS(Resultados!BE18),ABS(Resultados!BN18),ABS(Resultados!BW18),ABS(Resultados!CF18)))</f>
        <v>4.2</v>
      </c>
      <c r="D18">
        <f>IF(COUNT(Resultados!D18,Resultados!M18,Resultados!V18,Resultados!AE18,Resultados!AN18,Resultados!AW18,Resultados!BF18,Resultados!BO18,Resultados!BX18,Resultados!CG18)=0, "", AVERAGE(ABS(Resultados!D18),ABS(Resultados!M18),ABS(Resultados!V18),ABS(Resultados!AE18),ABS(Resultados!AN18),ABS(Resultados!AW18),ABS(Resultados!BF18),ABS(Resultados!BO18),ABS(Resultados!BX18),ABS(Resultados!CG18)))</f>
        <v>8.2400000000000008E-3</v>
      </c>
      <c r="E18">
        <f>IF(COUNT(Resultados!E18,Resultados!N18,Resultados!W18,Resultados!AF18,Resultados!AO18,Resultados!AX18,Resultados!BG18,Resultados!BP18,Resultados!BY18,Resultados!CH18)=0, "", AVERAGE(ABS(Resultados!E18),ABS(Resultados!N18),ABS(Resultados!W18),ABS(Resultados!AF18),ABS(Resultados!AO18),ABS(Resultados!AX18),ABS(Resultados!BG18),ABS(Resultados!BP18),ABS(Resultados!BY18),ABS(Resultados!CH18)))</f>
        <v>6.5968610269098518</v>
      </c>
      <c r="F18">
        <f>IF(COUNT(Resultados!F18,Resultados!O18,Resultados!X18,Resultados!AG18,Resultados!AP18,Resultados!AY18,Resultados!BH18,Resultados!BQ18,Resultados!BZ18,Resultados!CI18)=0, "", AVERAGE(ABS(Resultados!F18),ABS(Resultados!O18),ABS(Resultados!X18),ABS(Resultados!AG18),ABS(Resultados!AP18),ABS(Resultados!AY18),ABS(Resultados!BH18),ABS(Resultados!BQ18),ABS(Resultados!BZ18),ABS(Resultados!CI18)))</f>
        <v>766.04211145374506</v>
      </c>
      <c r="G18">
        <f>IF(COUNT(Resultados!G18,Resultados!P18,Resultados!Y18,Resultados!AH18,Resultados!AQ18,Resultados!AZ18,Resultados!BI18,Resultados!BR18,Resultados!CA18,Resultados!CJ18)=0, "", AVERAGE(ABS(Resultados!G18),ABS(Resultados!P18),ABS(Resultados!Y18),ABS(Resultados!AH18),ABS(Resultados!AQ18),ABS(Resultados!AZ18),ABS(Resultados!BI18),ABS(Resultados!BR18),ABS(Resultados!CA18),ABS(Resultados!CJ18)))</f>
        <v>0.42400000000000004</v>
      </c>
      <c r="H18">
        <f>IF(COUNT(Resultados!H18,Resultados!Q18,Resultados!Z18,Resultados!AI18,Resultados!AR18,Resultados!BA18,Resultados!BJ18,Resultados!BS18,Resultados!CB18,Resultados!CK18)=0, "", AVERAGE(ABS(Resultados!H18),ABS(Resultados!Q18),ABS(Resultados!Z18),ABS(Resultados!AI18),ABS(Resultados!AR18),ABS(Resultados!BA18),ABS(Resultados!BJ18),ABS(Resultados!BS18),ABS(Resultados!CB18),ABS(Resultados!CK18)))</f>
        <v>9.3399999999999976E-3</v>
      </c>
      <c r="I18">
        <f>IF(COUNT(Resultados!I18,Resultados!R18,Resultados!AA18,Resultados!AJ18,Resultados!AS18,Resultados!BB18,Resultados!BK18,Resultados!BT18,Resultados!CC18,Resultados!CL18)=0, "", AVERAGE(ABS(Resultados!I18),ABS(Resultados!R18),ABS(Resultados!AA18),ABS(Resultados!AJ18),ABS(Resultados!AS18),ABS(Resultados!BB18),ABS(Resultados!BK18),ABS(Resultados!BT18),ABS(Resultados!CC18),ABS(Resultados!CL18)))</f>
        <v>3.2407699999999777</v>
      </c>
    </row>
    <row r="19" spans="1:9" x14ac:dyDescent="0.3">
      <c r="A19">
        <f>IF(COUNT(Resultados!A19,Resultados!J19,Resultados!S19,Resultados!AB19,Resultados!AK19,Resultados!AT19,Resultados!BC19,Resultados!BL19,Resultados!BU19,Resultados!CD19)=0, "", AVERAGE(ABS(Resultados!A19),ABS(Resultados!J19),ABS(Resultados!S19),ABS(Resultados!AB19),ABS(Resultados!AK19),ABS(Resultados!AT19),ABS(Resultados!BC19),ABS(Resultados!BL19),ABS(Resultados!BU19),ABS(Resultados!CD19)))</f>
        <v>45681</v>
      </c>
      <c r="B19" t="str">
        <f>IF(COUNT(Resultados!B19,Resultados!K19,Resultados!T19,Resultados!AC19,Resultados!AL19,Resultados!AU19,Resultados!BD19,Resultados!BM19,Resultados!BV19,Resultados!CE19)=0, "", AVERAGE(ABS(Resultados!B19),ABS(Resultados!K19),ABS(Resultados!T19),ABS(Resultados!AC19),ABS(Resultados!AL19),ABS(Resultados!AU19),ABS(Resultados!BD19),ABS(Resultados!BM19),ABS(Resultados!BV19),ABS(Resultados!CE19)))</f>
        <v/>
      </c>
      <c r="C19">
        <f>IF(COUNT(Resultados!C19,Resultados!L19,Resultados!U19,Resultados!AD19,Resultados!AM19,Resultados!AV19,Resultados!BE19,Resultados!BN19,Resultados!BW19,Resultados!CF19)=0, "", AVERAGE(ABS(Resultados!C19),ABS(Resultados!L19),ABS(Resultados!U19),ABS(Resultados!AD19),ABS(Resultados!AM19),ABS(Resultados!AV19),ABS(Resultados!BE19),ABS(Resultados!BN19),ABS(Resultados!BW19),ABS(Resultados!CF19)))</f>
        <v>4.2</v>
      </c>
      <c r="D19">
        <f>IF(COUNT(Resultados!D19,Resultados!M19,Resultados!V19,Resultados!AE19,Resultados!AN19,Resultados!AW19,Resultados!BF19,Resultados!BO19,Resultados!BX19,Resultados!CG19)=0, "", AVERAGE(ABS(Resultados!D19),ABS(Resultados!M19),ABS(Resultados!V19),ABS(Resultados!AE19),ABS(Resultados!AN19),ABS(Resultados!AW19),ABS(Resultados!BF19),ABS(Resultados!BO19),ABS(Resultados!BX19),ABS(Resultados!CG19)))</f>
        <v>9.2800000000000001E-3</v>
      </c>
      <c r="E19">
        <f>IF(COUNT(Resultados!E19,Resultados!N19,Resultados!W19,Resultados!AF19,Resultados!AO19,Resultados!AX19,Resultados!BG19,Resultados!BP19,Resultados!BY19,Resultados!CH19)=0, "", AVERAGE(ABS(Resultados!E19),ABS(Resultados!N19),ABS(Resultados!W19),ABS(Resultados!AF19),ABS(Resultados!AO19),ABS(Resultados!AX19),ABS(Resultados!BG19),ABS(Resultados!BP19),ABS(Resultados!BY19),ABS(Resultados!CH19)))</f>
        <v>6.6629553939027346</v>
      </c>
      <c r="F19">
        <f>IF(COUNT(Resultados!F19,Resultados!O19,Resultados!X19,Resultados!AG19,Resultados!AP19,Resultados!AY19,Resultados!BH19,Resultados!BQ19,Resultados!BZ19,Resultados!CI19)=0, "", AVERAGE(ABS(Resultados!F19),ABS(Resultados!O19),ABS(Resultados!X19),ABS(Resultados!AG19),ABS(Resultados!AP19),ABS(Resultados!AY19),ABS(Resultados!BH19),ABS(Resultados!BQ19),ABS(Resultados!BZ19),ABS(Resultados!CI19)))</f>
        <v>772.31446688136953</v>
      </c>
      <c r="G19">
        <f>IF(COUNT(Resultados!G19,Resultados!P19,Resultados!Y19,Resultados!AH19,Resultados!AQ19,Resultados!AZ19,Resultados!BI19,Resultados!BR19,Resultados!CA19,Resultados!CJ19)=0, "", AVERAGE(ABS(Resultados!G19),ABS(Resultados!P19),ABS(Resultados!Y19),ABS(Resultados!AH19),ABS(Resultados!AQ19),ABS(Resultados!AZ19),ABS(Resultados!BI19),ABS(Resultados!BR19),ABS(Resultados!CA19),ABS(Resultados!CJ19)))</f>
        <v>0.42400000000000004</v>
      </c>
      <c r="H19">
        <f>IF(COUNT(Resultados!H19,Resultados!Q19,Resultados!Z19,Resultados!AI19,Resultados!AR19,Resultados!BA19,Resultados!BJ19,Resultados!BS19,Resultados!CB19,Resultados!CK19)=0, "", AVERAGE(ABS(Resultados!H19),ABS(Resultados!Q19),ABS(Resultados!Z19),ABS(Resultados!AI19),ABS(Resultados!AR19),ABS(Resultados!BA19),ABS(Resultados!BJ19),ABS(Resultados!BS19),ABS(Resultados!CB19),ABS(Resultados!CK19)))</f>
        <v>1.0360000000000001E-2</v>
      </c>
      <c r="I19">
        <f>IF(COUNT(Resultados!I19,Resultados!R19,Resultados!AA19,Resultados!AJ19,Resultados!AS19,Resultados!BB19,Resultados!BK19,Resultados!BT19,Resultados!CC19,Resultados!CL19)=0, "", AVERAGE(ABS(Resultados!I19),ABS(Resultados!R19),ABS(Resultados!AA19),ABS(Resultados!AJ19),ABS(Resultados!AS19),ABS(Resultados!BB19),ABS(Resultados!BK19),ABS(Resultados!BT19),ABS(Resultados!CC19),ABS(Resultados!CL19)))</f>
        <v>3.4400599999999857</v>
      </c>
    </row>
    <row r="20" spans="1:9" x14ac:dyDescent="0.3">
      <c r="A20">
        <f>IF(COUNT(Resultados!A20,Resultados!J20,Resultados!S20,Resultados!AB20,Resultados!AK20,Resultados!AT20,Resultados!BC20,Resultados!BL20,Resultados!BU20,Resultados!CD20)=0, "", AVERAGE(ABS(Resultados!A20),ABS(Resultados!J20),ABS(Resultados!S20),ABS(Resultados!AB20),ABS(Resultados!AK20),ABS(Resultados!AT20),ABS(Resultados!BC20),ABS(Resultados!BL20),ABS(Resultados!BU20),ABS(Resultados!CD20)))</f>
        <v>45681</v>
      </c>
      <c r="B20" t="str">
        <f>IF(COUNT(Resultados!B20,Resultados!K20,Resultados!T20,Resultados!AC20,Resultados!AL20,Resultados!AU20,Resultados!BD20,Resultados!BM20,Resultados!BV20,Resultados!CE20)=0, "", AVERAGE(ABS(Resultados!B20),ABS(Resultados!K20),ABS(Resultados!T20),ABS(Resultados!AC20),ABS(Resultados!AL20),ABS(Resultados!AU20),ABS(Resultados!BD20),ABS(Resultados!BM20),ABS(Resultados!BV20),ABS(Resultados!CE20)))</f>
        <v/>
      </c>
      <c r="C20">
        <f>IF(COUNT(Resultados!C20,Resultados!L20,Resultados!U20,Resultados!AD20,Resultados!AM20,Resultados!AV20,Resultados!BE20,Resultados!BN20,Resultados!BW20,Resultados!CF20)=0, "", AVERAGE(ABS(Resultados!C20),ABS(Resultados!L20),ABS(Resultados!U20),ABS(Resultados!AD20),ABS(Resultados!AM20),ABS(Resultados!AV20),ABS(Resultados!BE20),ABS(Resultados!BN20),ABS(Resultados!BW20),ABS(Resultados!CF20)))</f>
        <v>4.2</v>
      </c>
      <c r="D20">
        <f>IF(COUNT(Resultados!D20,Resultados!M20,Resultados!V20,Resultados!AE20,Resultados!AN20,Resultados!AW20,Resultados!BF20,Resultados!BO20,Resultados!BX20,Resultados!CG20)=0, "", AVERAGE(ABS(Resultados!D20),ABS(Resultados!M20),ABS(Resultados!V20),ABS(Resultados!AE20),ABS(Resultados!AN20),ABS(Resultados!AW20),ABS(Resultados!BF20),ABS(Resultados!BO20),ABS(Resultados!BX20),ABS(Resultados!CG20)))</f>
        <v>1.0240000000000003E-2</v>
      </c>
      <c r="E20">
        <f>IF(COUNT(Resultados!E20,Resultados!N20,Resultados!W20,Resultados!AF20,Resultados!AO20,Resultados!AX20,Resultados!BG20,Resultados!BP20,Resultados!BY20,Resultados!CH20)=0, "", AVERAGE(ABS(Resultados!E20),ABS(Resultados!N20),ABS(Resultados!W20),ABS(Resultados!AF20),ABS(Resultados!AO20),ABS(Resultados!AX20),ABS(Resultados!BG20),ABS(Resultados!BP20),ABS(Resultados!BY20),ABS(Resultados!CH20)))</f>
        <v>6.7316627814623287</v>
      </c>
      <c r="F20">
        <f>IF(COUNT(Resultados!F20,Resultados!O20,Resultados!X20,Resultados!AG20,Resultados!AP20,Resultados!AY20,Resultados!BH20,Resultados!BQ20,Resultados!BZ20,Resultados!CI20)=0, "", AVERAGE(ABS(Resultados!F20),ABS(Resultados!O20),ABS(Resultados!X20),ABS(Resultados!AG20),ABS(Resultados!AP20),ABS(Resultados!AY20),ABS(Resultados!BH20),ABS(Resultados!BQ20),ABS(Resultados!BZ20),ABS(Resultados!CI20)))</f>
        <v>778.83479796077506</v>
      </c>
      <c r="G20">
        <f>IF(COUNT(Resultados!G20,Resultados!P20,Resultados!Y20,Resultados!AH20,Resultados!AQ20,Resultados!AZ20,Resultados!BI20,Resultados!BR20,Resultados!CA20,Resultados!CJ20)=0, "", AVERAGE(ABS(Resultados!G20),ABS(Resultados!P20),ABS(Resultados!Y20),ABS(Resultados!AH20),ABS(Resultados!AQ20),ABS(Resultados!AZ20),ABS(Resultados!BI20),ABS(Resultados!BR20),ABS(Resultados!CA20),ABS(Resultados!CJ20)))</f>
        <v>0.42400000000000004</v>
      </c>
      <c r="H20">
        <f>IF(COUNT(Resultados!H20,Resultados!Q20,Resultados!Z20,Resultados!AI20,Resultados!AR20,Resultados!BA20,Resultados!BJ20,Resultados!BS20,Resultados!CB20,Resultados!CK20)=0, "", AVERAGE(ABS(Resultados!H20),ABS(Resultados!Q20),ABS(Resultados!Z20),ABS(Resultados!AI20),ABS(Resultados!AR20),ABS(Resultados!BA20),ABS(Resultados!BJ20),ABS(Resultados!BS20),ABS(Resultados!CB20),ABS(Resultados!CK20)))</f>
        <v>1.1439999999999999E-2</v>
      </c>
      <c r="I20">
        <f>IF(COUNT(Resultados!I20,Resultados!R20,Resultados!AA20,Resultados!AJ20,Resultados!AS20,Resultados!BB20,Resultados!BK20,Resultados!BT20,Resultados!CC20,Resultados!CL20)=0, "", AVERAGE(ABS(Resultados!I20),ABS(Resultados!R20),ABS(Resultados!AA20),ABS(Resultados!AJ20),ABS(Resultados!AS20),ABS(Resultados!BB20),ABS(Resultados!BK20),ABS(Resultados!BT20),ABS(Resultados!CC20),ABS(Resultados!CL20)))</f>
        <v>3.6400399999999848</v>
      </c>
    </row>
    <row r="21" spans="1:9" x14ac:dyDescent="0.3">
      <c r="A21">
        <f>IF(COUNT(Resultados!A21,Resultados!J21,Resultados!S21,Resultados!AB21,Resultados!AK21,Resultados!AT21,Resultados!BC21,Resultados!BL21,Resultados!BU21,Resultados!CD21)=0, "", AVERAGE(ABS(Resultados!A21),ABS(Resultados!J21),ABS(Resultados!S21),ABS(Resultados!AB21),ABS(Resultados!AK21),ABS(Resultados!AT21),ABS(Resultados!BC21),ABS(Resultados!BL21),ABS(Resultados!BU21),ABS(Resultados!CD21)))</f>
        <v>45681</v>
      </c>
      <c r="B21" t="str">
        <f>IF(COUNT(Resultados!B21,Resultados!K21,Resultados!T21,Resultados!AC21,Resultados!AL21,Resultados!AU21,Resultados!BD21,Resultados!BM21,Resultados!BV21,Resultados!CE21)=0, "", AVERAGE(ABS(Resultados!B21),ABS(Resultados!K21),ABS(Resultados!T21),ABS(Resultados!AC21),ABS(Resultados!AL21),ABS(Resultados!AU21),ABS(Resultados!BD21),ABS(Resultados!BM21),ABS(Resultados!BV21),ABS(Resultados!CE21)))</f>
        <v/>
      </c>
      <c r="C21">
        <f>IF(COUNT(Resultados!C21,Resultados!L21,Resultados!U21,Resultados!AD21,Resultados!AM21,Resultados!AV21,Resultados!BE21,Resultados!BN21,Resultados!BW21,Resultados!CF21)=0, "", AVERAGE(ABS(Resultados!C21),ABS(Resultados!L21),ABS(Resultados!U21),ABS(Resultados!AD21),ABS(Resultados!AM21),ABS(Resultados!AV21),ABS(Resultados!BE21),ABS(Resultados!BN21),ABS(Resultados!BW21),ABS(Resultados!CF21)))</f>
        <v>4.2</v>
      </c>
      <c r="D21">
        <f>IF(COUNT(Resultados!D21,Resultados!M21,Resultados!V21,Resultados!AE21,Resultados!AN21,Resultados!AW21,Resultados!BF21,Resultados!BO21,Resultados!BX21,Resultados!CG21)=0, "", AVERAGE(ABS(Resultados!D21),ABS(Resultados!M21),ABS(Resultados!V21),ABS(Resultados!AE21),ABS(Resultados!AN21),ABS(Resultados!AW21),ABS(Resultados!BF21),ABS(Resultados!BO21),ABS(Resultados!BX21),ABS(Resultados!CG21)))</f>
        <v>1.1130000000000001E-2</v>
      </c>
      <c r="E21">
        <f>IF(COUNT(Resultados!E21,Resultados!N21,Resultados!W21,Resultados!AF21,Resultados!AO21,Resultados!AX21,Resultados!BG21,Resultados!BP21,Resultados!BY21,Resultados!CH21)=0, "", AVERAGE(ABS(Resultados!E21),ABS(Resultados!N21),ABS(Resultados!W21),ABS(Resultados!AF21),ABS(Resultados!AO21),ABS(Resultados!AX21),ABS(Resultados!BG21),ABS(Resultados!BP21),ABS(Resultados!BY21),ABS(Resultados!CH21)))</f>
        <v>6.8027931730201328</v>
      </c>
      <c r="F21">
        <f>IF(COUNT(Resultados!F21,Resultados!O21,Resultados!X21,Resultados!AG21,Resultados!AP21,Resultados!AY21,Resultados!BH21,Resultados!BQ21,Resultados!BZ21,Resultados!CI21)=0, "", AVERAGE(ABS(Resultados!F21),ABS(Resultados!O21),ABS(Resultados!X21),ABS(Resultados!AG21),ABS(Resultados!AP21),ABS(Resultados!AY21),ABS(Resultados!BH21),ABS(Resultados!BQ21),ABS(Resultados!BZ21),ABS(Resultados!CI21)))</f>
        <v>785.58507211961069</v>
      </c>
      <c r="G21">
        <f>IF(COUNT(Resultados!G21,Resultados!P21,Resultados!Y21,Resultados!AH21,Resultados!AQ21,Resultados!AZ21,Resultados!BI21,Resultados!BR21,Resultados!CA21,Resultados!CJ21)=0, "", AVERAGE(ABS(Resultados!G21),ABS(Resultados!P21),ABS(Resultados!Y21),ABS(Resultados!AH21),ABS(Resultados!AQ21),ABS(Resultados!AZ21),ABS(Resultados!BI21),ABS(Resultados!BR21),ABS(Resultados!CA21),ABS(Resultados!CJ21)))</f>
        <v>0.42400000000000004</v>
      </c>
      <c r="H21">
        <f>IF(COUNT(Resultados!H21,Resultados!Q21,Resultados!Z21,Resultados!AI21,Resultados!AR21,Resultados!BA21,Resultados!BJ21,Resultados!BS21,Resultados!CB21,Resultados!CK21)=0, "", AVERAGE(ABS(Resultados!H21),ABS(Resultados!Q21),ABS(Resultados!Z21),ABS(Resultados!AI21),ABS(Resultados!AR21),ABS(Resultados!BA21),ABS(Resultados!BJ21),ABS(Resultados!BS21),ABS(Resultados!CB21),ABS(Resultados!CK21)))</f>
        <v>1.252E-2</v>
      </c>
      <c r="I21">
        <f>IF(COUNT(Resultados!I21,Resultados!R21,Resultados!AA21,Resultados!AJ21,Resultados!AS21,Resultados!BB21,Resultados!BK21,Resultados!BT21,Resultados!CC21,Resultados!CL21)=0, "", AVERAGE(ABS(Resultados!I21),ABS(Resultados!R21),ABS(Resultados!AA21),ABS(Resultados!AJ21),ABS(Resultados!AS21),ABS(Resultados!BB21),ABS(Resultados!BK21),ABS(Resultados!BT21),ABS(Resultados!CC21),ABS(Resultados!CL21)))</f>
        <v>3.8405400000000043</v>
      </c>
    </row>
    <row r="22" spans="1:9" x14ac:dyDescent="0.3">
      <c r="A22">
        <f>IF(COUNT(Resultados!A22,Resultados!J22,Resultados!S22,Resultados!AB22,Resultados!AK22,Resultados!AT22,Resultados!BC22,Resultados!BL22,Resultados!BU22,Resultados!CD22)=0, "", AVERAGE(ABS(Resultados!A22),ABS(Resultados!J22),ABS(Resultados!S22),ABS(Resultados!AB22),ABS(Resultados!AK22),ABS(Resultados!AT22),ABS(Resultados!BC22),ABS(Resultados!BL22),ABS(Resultados!BU22),ABS(Resultados!CD22)))</f>
        <v>45681</v>
      </c>
      <c r="B22" t="str">
        <f>IF(COUNT(Resultados!B22,Resultados!K22,Resultados!T22,Resultados!AC22,Resultados!AL22,Resultados!AU22,Resultados!BD22,Resultados!BM22,Resultados!BV22,Resultados!CE22)=0, "", AVERAGE(ABS(Resultados!B22),ABS(Resultados!K22),ABS(Resultados!T22),ABS(Resultados!AC22),ABS(Resultados!AL22),ABS(Resultados!AU22),ABS(Resultados!BD22),ABS(Resultados!BM22),ABS(Resultados!BV22),ABS(Resultados!CE22)))</f>
        <v/>
      </c>
      <c r="C22">
        <f>IF(COUNT(Resultados!C22,Resultados!L22,Resultados!U22,Resultados!AD22,Resultados!AM22,Resultados!AV22,Resultados!BE22,Resultados!BN22,Resultados!BW22,Resultados!CF22)=0, "", AVERAGE(ABS(Resultados!C22),ABS(Resultados!L22),ABS(Resultados!U22),ABS(Resultados!AD22),ABS(Resultados!AM22),ABS(Resultados!AV22),ABS(Resultados!BE22),ABS(Resultados!BN22),ABS(Resultados!BW22),ABS(Resultados!CF22)))</f>
        <v>4.2</v>
      </c>
      <c r="D22">
        <f>IF(COUNT(Resultados!D22,Resultados!M22,Resultados!V22,Resultados!AE22,Resultados!AN22,Resultados!AW22,Resultados!BF22,Resultados!BO22,Resultados!BX22,Resultados!CG22)=0, "", AVERAGE(ABS(Resultados!D22),ABS(Resultados!M22),ABS(Resultados!V22),ABS(Resultados!AE22),ABS(Resultados!AN22),ABS(Resultados!AW22),ABS(Resultados!BF22),ABS(Resultados!BO22),ABS(Resultados!BX22),ABS(Resultados!CG22)))</f>
        <v>1.2299999999999998E-2</v>
      </c>
      <c r="E22">
        <f>IF(COUNT(Resultados!E22,Resultados!N22,Resultados!W22,Resultados!AF22,Resultados!AO22,Resultados!AX22,Resultados!BG22,Resultados!BP22,Resultados!BY22,Resultados!CH22)=0, "", AVERAGE(ABS(Resultados!E22),ABS(Resultados!N22),ABS(Resultados!W22),ABS(Resultados!AF22),ABS(Resultados!AO22),ABS(Resultados!AX22),ABS(Resultados!BG22),ABS(Resultados!BP22),ABS(Resultados!BY22),ABS(Resultados!CH22)))</f>
        <v>6.8755520689151393</v>
      </c>
      <c r="F22">
        <f>IF(COUNT(Resultados!F22,Resultados!O22,Resultados!X22,Resultados!AG22,Resultados!AP22,Resultados!AY22,Resultados!BH22,Resultados!BQ22,Resultados!BZ22,Resultados!CI22)=0, "", AVERAGE(ABS(Resultados!F22),ABS(Resultados!O22),ABS(Resultados!X22),ABS(Resultados!AG22),ABS(Resultados!AP22),ABS(Resultados!AY22),ABS(Resultados!BH22),ABS(Resultados!BQ22),ABS(Resultados!BZ22),ABS(Resultados!CI22)))</f>
        <v>792.48989134004682</v>
      </c>
      <c r="G22">
        <f>IF(COUNT(Resultados!G22,Resultados!P22,Resultados!Y22,Resultados!AH22,Resultados!AQ22,Resultados!AZ22,Resultados!BI22,Resultados!BR22,Resultados!CA22,Resultados!CJ22)=0, "", AVERAGE(ABS(Resultados!G22),ABS(Resultados!P22),ABS(Resultados!Y22),ABS(Resultados!AH22),ABS(Resultados!AQ22),ABS(Resultados!AZ22),ABS(Resultados!BI22),ABS(Resultados!BR22),ABS(Resultados!CA22),ABS(Resultados!CJ22)))</f>
        <v>0.42400000000000004</v>
      </c>
      <c r="H22">
        <f>IF(COUNT(Resultados!H22,Resultados!Q22,Resultados!Z22,Resultados!AI22,Resultados!AR22,Resultados!BA22,Resultados!BJ22,Resultados!BS22,Resultados!CB22,Resultados!CK22)=0, "", AVERAGE(ABS(Resultados!H22),ABS(Resultados!Q22),ABS(Resultados!Z22),ABS(Resultados!AI22),ABS(Resultados!AR22),ABS(Resultados!BA22),ABS(Resultados!BJ22),ABS(Resultados!BS22),ABS(Resultados!CB22),ABS(Resultados!CK22)))</f>
        <v>1.3680000000000001E-2</v>
      </c>
      <c r="I22">
        <f>IF(COUNT(Resultados!I22,Resultados!R22,Resultados!AA22,Resultados!AJ22,Resultados!AS22,Resultados!BB22,Resultados!BK22,Resultados!BT22,Resultados!CC22,Resultados!CL22)=0, "", AVERAGE(ABS(Resultados!I22),ABS(Resultados!R22),ABS(Resultados!AA22),ABS(Resultados!AJ22),ABS(Resultados!AS22),ABS(Resultados!BB22),ABS(Resultados!BK22),ABS(Resultados!BT22),ABS(Resultados!CC22),ABS(Resultados!CL22)))</f>
        <v>4.040609999999992</v>
      </c>
    </row>
    <row r="23" spans="1:9" x14ac:dyDescent="0.3">
      <c r="A23">
        <f>IF(COUNT(Resultados!A23,Resultados!J23,Resultados!S23,Resultados!AB23,Resultados!AK23,Resultados!AT23,Resultados!BC23,Resultados!BL23,Resultados!BU23,Resultados!CD23)=0, "", AVERAGE(ABS(Resultados!A23),ABS(Resultados!J23),ABS(Resultados!S23),ABS(Resultados!AB23),ABS(Resultados!AK23),ABS(Resultados!AT23),ABS(Resultados!BC23),ABS(Resultados!BL23),ABS(Resultados!BU23),ABS(Resultados!CD23)))</f>
        <v>45681</v>
      </c>
      <c r="B23" t="str">
        <f>IF(COUNT(Resultados!B23,Resultados!K23,Resultados!T23,Resultados!AC23,Resultados!AL23,Resultados!AU23,Resultados!BD23,Resultados!BM23,Resultados!BV23,Resultados!CE23)=0, "", AVERAGE(ABS(Resultados!B23),ABS(Resultados!K23),ABS(Resultados!T23),ABS(Resultados!AC23),ABS(Resultados!AL23),ABS(Resultados!AU23),ABS(Resultados!BD23),ABS(Resultados!BM23),ABS(Resultados!BV23),ABS(Resultados!CE23)))</f>
        <v/>
      </c>
      <c r="C23">
        <f>IF(COUNT(Resultados!C23,Resultados!L23,Resultados!U23,Resultados!AD23,Resultados!AM23,Resultados!AV23,Resultados!BE23,Resultados!BN23,Resultados!BW23,Resultados!CF23)=0, "", AVERAGE(ABS(Resultados!C23),ABS(Resultados!L23),ABS(Resultados!U23),ABS(Resultados!AD23),ABS(Resultados!AM23),ABS(Resultados!AV23),ABS(Resultados!BE23),ABS(Resultados!BN23),ABS(Resultados!BW23),ABS(Resultados!CF23)))</f>
        <v>4.2</v>
      </c>
      <c r="D23">
        <f>IF(COUNT(Resultados!D23,Resultados!M23,Resultados!V23,Resultados!AE23,Resultados!AN23,Resultados!AW23,Resultados!BF23,Resultados!BO23,Resultados!BX23,Resultados!CG23)=0, "", AVERAGE(ABS(Resultados!D23),ABS(Resultados!M23),ABS(Resultados!V23),ABS(Resultados!AE23),ABS(Resultados!AN23),ABS(Resultados!AW23),ABS(Resultados!BF23),ABS(Resultados!BO23),ABS(Resultados!BX23),ABS(Resultados!CG23)))</f>
        <v>1.3559999999999999E-2</v>
      </c>
      <c r="E23">
        <f>IF(COUNT(Resultados!E23,Resultados!N23,Resultados!W23,Resultados!AF23,Resultados!AO23,Resultados!AX23,Resultados!BG23,Resultados!BP23,Resultados!BY23,Resultados!CH23)=0, "", AVERAGE(ABS(Resultados!E23),ABS(Resultados!N23),ABS(Resultados!W23),ABS(Resultados!AF23),ABS(Resultados!AO23),ABS(Resultados!AX23),ABS(Resultados!BG23),ABS(Resultados!BP23),ABS(Resultados!BY23),ABS(Resultados!CH23)))</f>
        <v>6.9497251575824492</v>
      </c>
      <c r="F23">
        <f>IF(COUNT(Resultados!F23,Resultados!O23,Resultados!X23,Resultados!AG23,Resultados!AP23,Resultados!AY23,Resultados!BH23,Resultados!BQ23,Resultados!BZ23,Resultados!CI23)=0, "", AVERAGE(ABS(Resultados!F23),ABS(Resultados!O23),ABS(Resultados!X23),ABS(Resultados!AG23),ABS(Resultados!AP23),ABS(Resultados!AY23),ABS(Resultados!BH23),ABS(Resultados!BQ23),ABS(Resultados!BZ23),ABS(Resultados!CI23)))</f>
        <v>799.52891745457441</v>
      </c>
      <c r="G23">
        <f>IF(COUNT(Resultados!G23,Resultados!P23,Resultados!Y23,Resultados!AH23,Resultados!AQ23,Resultados!AZ23,Resultados!BI23,Resultados!BR23,Resultados!CA23,Resultados!CJ23)=0, "", AVERAGE(ABS(Resultados!G23),ABS(Resultados!P23),ABS(Resultados!Y23),ABS(Resultados!AH23),ABS(Resultados!AQ23),ABS(Resultados!AZ23),ABS(Resultados!BI23),ABS(Resultados!BR23),ABS(Resultados!CA23),ABS(Resultados!CJ23)))</f>
        <v>0.42400000000000004</v>
      </c>
      <c r="H23">
        <f>IF(COUNT(Resultados!H23,Resultados!Q23,Resultados!Z23,Resultados!AI23,Resultados!AR23,Resultados!BA23,Resultados!BJ23,Resultados!BS23,Resultados!CB23,Resultados!CK23)=0, "", AVERAGE(ABS(Resultados!H23),ABS(Resultados!Q23),ABS(Resultados!Z23),ABS(Resultados!AI23),ABS(Resultados!AR23),ABS(Resultados!BA23),ABS(Resultados!BJ23),ABS(Resultados!BS23),ABS(Resultados!CB23),ABS(Resultados!CK23)))</f>
        <v>1.4830000000000001E-2</v>
      </c>
      <c r="I23">
        <f>IF(COUNT(Resultados!I23,Resultados!R23,Resultados!AA23,Resultados!AJ23,Resultados!AS23,Resultados!BB23,Resultados!BK23,Resultados!BT23,Resultados!CC23,Resultados!CL23)=0, "", AVERAGE(ABS(Resultados!I23),ABS(Resultados!R23),ABS(Resultados!AA23),ABS(Resultados!AJ23),ABS(Resultados!AS23),ABS(Resultados!BB23),ABS(Resultados!BK23),ABS(Resultados!BT23),ABS(Resultados!CC23),ABS(Resultados!CL23)))</f>
        <v>4.2400899999999977</v>
      </c>
    </row>
    <row r="24" spans="1:9" x14ac:dyDescent="0.3">
      <c r="A24">
        <f>IF(COUNT(Resultados!A24,Resultados!J24,Resultados!S24,Resultados!AB24,Resultados!AK24,Resultados!AT24,Resultados!BC24,Resultados!BL24,Resultados!BU24,Resultados!CD24)=0, "", AVERAGE(ABS(Resultados!A24),ABS(Resultados!J24),ABS(Resultados!S24),ABS(Resultados!AB24),ABS(Resultados!AK24),ABS(Resultados!AT24),ABS(Resultados!BC24),ABS(Resultados!BL24),ABS(Resultados!BU24),ABS(Resultados!CD24)))</f>
        <v>45681</v>
      </c>
      <c r="B24" t="str">
        <f>IF(COUNT(Resultados!B24,Resultados!K24,Resultados!T24,Resultados!AC24,Resultados!AL24,Resultados!AU24,Resultados!BD24,Resultados!BM24,Resultados!BV24,Resultados!CE24)=0, "", AVERAGE(ABS(Resultados!B24),ABS(Resultados!K24),ABS(Resultados!T24),ABS(Resultados!AC24),ABS(Resultados!AL24),ABS(Resultados!AU24),ABS(Resultados!BD24),ABS(Resultados!BM24),ABS(Resultados!BV24),ABS(Resultados!CE24)))</f>
        <v/>
      </c>
      <c r="C24">
        <f>IF(COUNT(Resultados!C24,Resultados!L24,Resultados!U24,Resultados!AD24,Resultados!AM24,Resultados!AV24,Resultados!BE24,Resultados!BN24,Resultados!BW24,Resultados!CF24)=0, "", AVERAGE(ABS(Resultados!C24),ABS(Resultados!L24),ABS(Resultados!U24),ABS(Resultados!AD24),ABS(Resultados!AM24),ABS(Resultados!AV24),ABS(Resultados!BE24),ABS(Resultados!BN24),ABS(Resultados!BW24),ABS(Resultados!CF24)))</f>
        <v>4.2</v>
      </c>
      <c r="D24">
        <f>IF(COUNT(Resultados!D24,Resultados!M24,Resultados!V24,Resultados!AE24,Resultados!AN24,Resultados!AW24,Resultados!BF24,Resultados!BO24,Resultados!BX24,Resultados!CG24)=0, "", AVERAGE(ABS(Resultados!D24),ABS(Resultados!M24),ABS(Resultados!V24),ABS(Resultados!AE24),ABS(Resultados!AN24),ABS(Resultados!AW24),ABS(Resultados!BF24),ABS(Resultados!BO24),ABS(Resultados!BX24),ABS(Resultados!CG24)))</f>
        <v>1.4650000000000002E-2</v>
      </c>
      <c r="E24">
        <f>IF(COUNT(Resultados!E24,Resultados!N24,Resultados!W24,Resultados!AF24,Resultados!AO24,Resultados!AX24,Resultados!BG24,Resultados!BP24,Resultados!BY24,Resultados!CH24)=0, "", AVERAGE(ABS(Resultados!E24),ABS(Resultados!N24),ABS(Resultados!W24),ABS(Resultados!AF24),ABS(Resultados!AO24),ABS(Resultados!AX24),ABS(Resultados!BG24),ABS(Resultados!BP24),ABS(Resultados!BY24),ABS(Resultados!CH24)))</f>
        <v>7.0255379902361481</v>
      </c>
      <c r="F24">
        <f>IF(COUNT(Resultados!F24,Resultados!O24,Resultados!X24,Resultados!AG24,Resultados!AP24,Resultados!AY24,Resultados!BH24,Resultados!BQ24,Resultados!BZ24,Resultados!CI24)=0, "", AVERAGE(ABS(Resultados!F24),ABS(Resultados!O24),ABS(Resultados!X24),ABS(Resultados!AG24),ABS(Resultados!AP24),ABS(Resultados!AY24),ABS(Resultados!BH24),ABS(Resultados!BQ24),ABS(Resultados!BZ24),ABS(Resultados!CI24)))</f>
        <v>806.7235552734104</v>
      </c>
      <c r="G24">
        <f>IF(COUNT(Resultados!G24,Resultados!P24,Resultados!Y24,Resultados!AH24,Resultados!AQ24,Resultados!AZ24,Resultados!BI24,Resultados!BR24,Resultados!CA24,Resultados!CJ24)=0, "", AVERAGE(ABS(Resultados!G24),ABS(Resultados!P24),ABS(Resultados!Y24),ABS(Resultados!AH24),ABS(Resultados!AQ24),ABS(Resultados!AZ24),ABS(Resultados!BI24),ABS(Resultados!BR24),ABS(Resultados!CA24),ABS(Resultados!CJ24)))</f>
        <v>0.42400000000000004</v>
      </c>
      <c r="H24">
        <f>IF(COUNT(Resultados!H24,Resultados!Q24,Resultados!Z24,Resultados!AI24,Resultados!AR24,Resultados!BA24,Resultados!BJ24,Resultados!BS24,Resultados!CB24,Resultados!CK24)=0, "", AVERAGE(ABS(Resultados!H24),ABS(Resultados!Q24),ABS(Resultados!Z24),ABS(Resultados!AI24),ABS(Resultados!AR24),ABS(Resultados!BA24),ABS(Resultados!BJ24),ABS(Resultados!BS24),ABS(Resultados!CB24),ABS(Resultados!CK24)))</f>
        <v>1.5999999999999997E-2</v>
      </c>
      <c r="I24">
        <f>IF(COUNT(Resultados!I24,Resultados!R24,Resultados!AA24,Resultados!AJ24,Resultados!AS24,Resultados!BB24,Resultados!BK24,Resultados!BT24,Resultados!CC24,Resultados!CL24)=0, "", AVERAGE(ABS(Resultados!I24),ABS(Resultados!R24),ABS(Resultados!AA24),ABS(Resultados!AJ24),ABS(Resultados!AS24),ABS(Resultados!BB24),ABS(Resultados!BK24),ABS(Resultados!BT24),ABS(Resultados!CC24),ABS(Resultados!CL24)))</f>
        <v>4.4403199999999945</v>
      </c>
    </row>
    <row r="25" spans="1:9" x14ac:dyDescent="0.3">
      <c r="A25">
        <f>IF(COUNT(Resultados!A25,Resultados!J25,Resultados!S25,Resultados!AB25,Resultados!AK25,Resultados!AT25,Resultados!BC25,Resultados!BL25,Resultados!BU25,Resultados!CD25)=0, "", AVERAGE(ABS(Resultados!A25),ABS(Resultados!J25),ABS(Resultados!S25),ABS(Resultados!AB25),ABS(Resultados!AK25),ABS(Resultados!AT25),ABS(Resultados!BC25),ABS(Resultados!BL25),ABS(Resultados!BU25),ABS(Resultados!CD25)))</f>
        <v>45681</v>
      </c>
      <c r="B25" t="str">
        <f>IF(COUNT(Resultados!B25,Resultados!K25,Resultados!T25,Resultados!AC25,Resultados!AL25,Resultados!AU25,Resultados!BD25,Resultados!BM25,Resultados!BV25,Resultados!CE25)=0, "", AVERAGE(ABS(Resultados!B25),ABS(Resultados!K25),ABS(Resultados!T25),ABS(Resultados!AC25),ABS(Resultados!AL25),ABS(Resultados!AU25),ABS(Resultados!BD25),ABS(Resultados!BM25),ABS(Resultados!BV25),ABS(Resultados!CE25)))</f>
        <v/>
      </c>
      <c r="C25">
        <f>IF(COUNT(Resultados!C25,Resultados!L25,Resultados!U25,Resultados!AD25,Resultados!AM25,Resultados!AV25,Resultados!BE25,Resultados!BN25,Resultados!BW25,Resultados!CF25)=0, "", AVERAGE(ABS(Resultados!C25),ABS(Resultados!L25),ABS(Resultados!U25),ABS(Resultados!AD25),ABS(Resultados!AM25),ABS(Resultados!AV25),ABS(Resultados!BE25),ABS(Resultados!BN25),ABS(Resultados!BW25),ABS(Resultados!CF25)))</f>
        <v>4.2</v>
      </c>
      <c r="D25">
        <f>IF(COUNT(Resultados!D25,Resultados!M25,Resultados!V25,Resultados!AE25,Resultados!AN25,Resultados!AW25,Resultados!BF25,Resultados!BO25,Resultados!BX25,Resultados!CG25)=0, "", AVERAGE(ABS(Resultados!D25),ABS(Resultados!M25),ABS(Resultados!V25),ABS(Resultados!AE25),ABS(Resultados!AN25),ABS(Resultados!AW25),ABS(Resultados!BF25),ABS(Resultados!BO25),ABS(Resultados!BX25),ABS(Resultados!CG25)))</f>
        <v>1.5879999999999998E-2</v>
      </c>
      <c r="E25">
        <f>IF(COUNT(Resultados!E25,Resultados!N25,Resultados!W25,Resultados!AF25,Resultados!AO25,Resultados!AX25,Resultados!BG25,Resultados!BP25,Resultados!BY25,Resultados!CH25)=0, "", AVERAGE(ABS(Resultados!E25),ABS(Resultados!N25),ABS(Resultados!W25),ABS(Resultados!AF25),ABS(Resultados!AO25),ABS(Resultados!AX25),ABS(Resultados!BG25),ABS(Resultados!BP25),ABS(Resultados!BY25),ABS(Resultados!CH25)))</f>
        <v>7.1022290319871901</v>
      </c>
      <c r="F25">
        <f>IF(COUNT(Resultados!F25,Resultados!O25,Resultados!X25,Resultados!AG25,Resultados!AP25,Resultados!AY25,Resultados!BH25,Resultados!BQ25,Resultados!BZ25,Resultados!CI25)=0, "", AVERAGE(ABS(Resultados!F25),ABS(Resultados!O25),ABS(Resultados!X25),ABS(Resultados!AG25),ABS(Resultados!AP25),ABS(Resultados!AY25),ABS(Resultados!BH25),ABS(Resultados!BQ25),ABS(Resultados!BZ25),ABS(Resultados!CI25)))</f>
        <v>814.00153513558428</v>
      </c>
      <c r="G25">
        <f>IF(COUNT(Resultados!G25,Resultados!P25,Resultados!Y25,Resultados!AH25,Resultados!AQ25,Resultados!AZ25,Resultados!BI25,Resultados!BR25,Resultados!CA25,Resultados!CJ25)=0, "", AVERAGE(ABS(Resultados!G25),ABS(Resultados!P25),ABS(Resultados!Y25),ABS(Resultados!AH25),ABS(Resultados!AQ25),ABS(Resultados!AZ25),ABS(Resultados!BI25),ABS(Resultados!BR25),ABS(Resultados!CA25),ABS(Resultados!CJ25)))</f>
        <v>0.42400000000000004</v>
      </c>
      <c r="H25">
        <f>IF(COUNT(Resultados!H25,Resultados!Q25,Resultados!Z25,Resultados!AI25,Resultados!AR25,Resultados!BA25,Resultados!BJ25,Resultados!BS25,Resultados!CB25,Resultados!CK25)=0, "", AVERAGE(ABS(Resultados!H25),ABS(Resultados!Q25),ABS(Resultados!Z25),ABS(Resultados!AI25),ABS(Resultados!AR25),ABS(Resultados!BA25),ABS(Resultados!BJ25),ABS(Resultados!BS25),ABS(Resultados!CB25),ABS(Resultados!CK25)))</f>
        <v>1.72E-2</v>
      </c>
      <c r="I25">
        <f>IF(COUNT(Resultados!I25,Resultados!R25,Resultados!AA25,Resultados!AJ25,Resultados!AS25,Resultados!BB25,Resultados!BK25,Resultados!BT25,Resultados!CC25,Resultados!CL25)=0, "", AVERAGE(ABS(Resultados!I25),ABS(Resultados!R25),ABS(Resultados!AA25),ABS(Resultados!AJ25),ABS(Resultados!AS25),ABS(Resultados!BB25),ABS(Resultados!BK25),ABS(Resultados!BT25),ABS(Resultados!CC25),ABS(Resultados!CL25)))</f>
        <v>4.6404200000000033</v>
      </c>
    </row>
    <row r="26" spans="1:9" x14ac:dyDescent="0.3">
      <c r="A26">
        <f>IF(COUNT(Resultados!A26,Resultados!J26,Resultados!S26,Resultados!AB26,Resultados!AK26,Resultados!AT26,Resultados!BC26,Resultados!BL26,Resultados!BU26,Resultados!CD26)=0, "", AVERAGE(ABS(Resultados!A26),ABS(Resultados!J26),ABS(Resultados!S26),ABS(Resultados!AB26),ABS(Resultados!AK26),ABS(Resultados!AT26),ABS(Resultados!BC26),ABS(Resultados!BL26),ABS(Resultados!BU26),ABS(Resultados!CD26)))</f>
        <v>45681</v>
      </c>
      <c r="B26" t="str">
        <f>IF(COUNT(Resultados!B26,Resultados!K26,Resultados!T26,Resultados!AC26,Resultados!AL26,Resultados!AU26,Resultados!BD26,Resultados!BM26,Resultados!BV26,Resultados!CE26)=0, "", AVERAGE(ABS(Resultados!B26),ABS(Resultados!K26),ABS(Resultados!T26),ABS(Resultados!AC26),ABS(Resultados!AL26),ABS(Resultados!AU26),ABS(Resultados!BD26),ABS(Resultados!BM26),ABS(Resultados!BV26),ABS(Resultados!CE26)))</f>
        <v/>
      </c>
      <c r="C26">
        <f>IF(COUNT(Resultados!C26,Resultados!L26,Resultados!U26,Resultados!AD26,Resultados!AM26,Resultados!AV26,Resultados!BE26,Resultados!BN26,Resultados!BW26,Resultados!CF26)=0, "", AVERAGE(ABS(Resultados!C26),ABS(Resultados!L26),ABS(Resultados!U26),ABS(Resultados!AD26),ABS(Resultados!AM26),ABS(Resultados!AV26),ABS(Resultados!BE26),ABS(Resultados!BN26),ABS(Resultados!BW26),ABS(Resultados!CF26)))</f>
        <v>4.3</v>
      </c>
      <c r="D26">
        <f>IF(COUNT(Resultados!D26,Resultados!M26,Resultados!V26,Resultados!AE26,Resultados!AN26,Resultados!AW26,Resultados!BF26,Resultados!BO26,Resultados!BX26,Resultados!CG26)=0, "", AVERAGE(ABS(Resultados!D26),ABS(Resultados!M26),ABS(Resultados!V26),ABS(Resultados!AE26),ABS(Resultados!AN26),ABS(Resultados!AW26),ABS(Resultados!BF26),ABS(Resultados!BO26),ABS(Resultados!BX26),ABS(Resultados!CG26)))</f>
        <v>1.6930000000000001E-2</v>
      </c>
      <c r="E26">
        <f>IF(COUNT(Resultados!E26,Resultados!N26,Resultados!W26,Resultados!AF26,Resultados!AO26,Resultados!AX26,Resultados!BG26,Resultados!BP26,Resultados!BY26,Resultados!CH26)=0, "", AVERAGE(ABS(Resultados!E26),ABS(Resultados!N26),ABS(Resultados!W26),ABS(Resultados!AF26),ABS(Resultados!AO26),ABS(Resultados!AX26),ABS(Resultados!BG26),ABS(Resultados!BP26),ABS(Resultados!BY26),ABS(Resultados!CH26)))</f>
        <v>7.1796406236438699</v>
      </c>
      <c r="F26">
        <f>IF(COUNT(Resultados!F26,Resultados!O26,Resultados!X26,Resultados!AG26,Resultados!AP26,Resultados!AY26,Resultados!BH26,Resultados!BQ26,Resultados!BZ26,Resultados!CI26)=0, "", AVERAGE(ABS(Resultados!F26),ABS(Resultados!O26),ABS(Resultados!X26),ABS(Resultados!AG26),ABS(Resultados!AP26),ABS(Resultados!AY26),ABS(Resultados!BH26),ABS(Resultados!BQ26),ABS(Resultados!BZ26),ABS(Resultados!CI26)))</f>
        <v>821.34789518380308</v>
      </c>
      <c r="G26">
        <f>IF(COUNT(Resultados!G26,Resultados!P26,Resultados!Y26,Resultados!AH26,Resultados!AQ26,Resultados!AZ26,Resultados!BI26,Resultados!BR26,Resultados!CA26,Resultados!CJ26)=0, "", AVERAGE(ABS(Resultados!G26),ABS(Resultados!P26),ABS(Resultados!Y26),ABS(Resultados!AH26),ABS(Resultados!AQ26),ABS(Resultados!AZ26),ABS(Resultados!BI26),ABS(Resultados!BR26),ABS(Resultados!CA26),ABS(Resultados!CJ26)))</f>
        <v>0.42400000000000004</v>
      </c>
      <c r="H26">
        <f>IF(COUNT(Resultados!H26,Resultados!Q26,Resultados!Z26,Resultados!AI26,Resultados!AR26,Resultados!BA26,Resultados!BJ26,Resultados!BS26,Resultados!CB26,Resultados!CK26)=0, "", AVERAGE(ABS(Resultados!H26),ABS(Resultados!Q26),ABS(Resultados!Z26),ABS(Resultados!AI26),ABS(Resultados!AR26),ABS(Resultados!BA26),ABS(Resultados!BJ26),ABS(Resultados!BS26),ABS(Resultados!CB26),ABS(Resultados!CK26)))</f>
        <v>1.8390000000000004E-2</v>
      </c>
      <c r="I26">
        <f>IF(COUNT(Resultados!I26,Resultados!R26,Resultados!AA26,Resultados!AJ26,Resultados!AS26,Resultados!BB26,Resultados!BK26,Resultados!BT26,Resultados!CC26,Resultados!CL26)=0, "", AVERAGE(ABS(Resultados!I26),ABS(Resultados!R26),ABS(Resultados!AA26),ABS(Resultados!AJ26),ABS(Resultados!AS26),ABS(Resultados!BB26),ABS(Resultados!BK26),ABS(Resultados!BT26),ABS(Resultados!CC26),ABS(Resultados!CL26)))</f>
        <v>4.8405299999999958</v>
      </c>
    </row>
    <row r="27" spans="1:9" x14ac:dyDescent="0.3">
      <c r="A27">
        <f>IF(COUNT(Resultados!A27,Resultados!J27,Resultados!S27,Resultados!AB27,Resultados!AK27,Resultados!AT27,Resultados!BC27,Resultados!BL27,Resultados!BU27,Resultados!CD27)=0, "", AVERAGE(ABS(Resultados!A27),ABS(Resultados!J27),ABS(Resultados!S27),ABS(Resultados!AB27),ABS(Resultados!AK27),ABS(Resultados!AT27),ABS(Resultados!BC27),ABS(Resultados!BL27),ABS(Resultados!BU27),ABS(Resultados!CD27)))</f>
        <v>45681</v>
      </c>
      <c r="B27" t="str">
        <f>IF(COUNT(Resultados!B27,Resultados!K27,Resultados!T27,Resultados!AC27,Resultados!AL27,Resultados!AU27,Resultados!BD27,Resultados!BM27,Resultados!BV27,Resultados!CE27)=0, "", AVERAGE(ABS(Resultados!B27),ABS(Resultados!K27),ABS(Resultados!T27),ABS(Resultados!AC27),ABS(Resultados!AL27),ABS(Resultados!AU27),ABS(Resultados!BD27),ABS(Resultados!BM27),ABS(Resultados!BV27),ABS(Resultados!CE27)))</f>
        <v/>
      </c>
      <c r="C27">
        <f>IF(COUNT(Resultados!C27,Resultados!L27,Resultados!U27,Resultados!AD27,Resultados!AM27,Resultados!AV27,Resultados!BE27,Resultados!BN27,Resultados!BW27,Resultados!CF27)=0, "", AVERAGE(ABS(Resultados!C27),ABS(Resultados!L27),ABS(Resultados!U27),ABS(Resultados!AD27),ABS(Resultados!AM27),ABS(Resultados!AV27),ABS(Resultados!BE27),ABS(Resultados!BN27),ABS(Resultados!BW27),ABS(Resultados!CF27)))</f>
        <v>4.3</v>
      </c>
      <c r="D27">
        <f>IF(COUNT(Resultados!D27,Resultados!M27,Resultados!V27,Resultados!AE27,Resultados!AN27,Resultados!AW27,Resultados!BF27,Resultados!BO27,Resultados!BX27,Resultados!CG27)=0, "", AVERAGE(ABS(Resultados!D27),ABS(Resultados!M27),ABS(Resultados!V27),ABS(Resultados!AE27),ABS(Resultados!AN27),ABS(Resultados!AW27),ABS(Resultados!BF27),ABS(Resultados!BO27),ABS(Resultados!BX27),ABS(Resultados!CG27)))</f>
        <v>1.8330000000000003E-2</v>
      </c>
      <c r="E27">
        <f>IF(COUNT(Resultados!E27,Resultados!N27,Resultados!W27,Resultados!AF27,Resultados!AO27,Resultados!AX27,Resultados!BG27,Resultados!BP27,Resultados!BY27,Resultados!CH27)=0, "", AVERAGE(ABS(Resultados!E27),ABS(Resultados!N27),ABS(Resultados!W27),ABS(Resultados!AF27),ABS(Resultados!AO27),ABS(Resultados!AX27),ABS(Resultados!BG27),ABS(Resultados!BP27),ABS(Resultados!BY27),ABS(Resultados!CH27)))</f>
        <v>7.2573765229704907</v>
      </c>
      <c r="F27">
        <f>IF(COUNT(Resultados!F27,Resultados!O27,Resultados!X27,Resultados!AG27,Resultados!AP27,Resultados!AY27,Resultados!BH27,Resultados!BQ27,Resultados!BZ27,Resultados!CI27)=0, "", AVERAGE(ABS(Resultados!F27),ABS(Resultados!O27),ABS(Resultados!X27),ABS(Resultados!AG27),ABS(Resultados!AP27),ABS(Resultados!AY27),ABS(Resultados!BH27),ABS(Resultados!BQ27),ABS(Resultados!BZ27),ABS(Resultados!CI27)))</f>
        <v>828.72503202989958</v>
      </c>
      <c r="G27">
        <f>IF(COUNT(Resultados!G27,Resultados!P27,Resultados!Y27,Resultados!AH27,Resultados!AQ27,Resultados!AZ27,Resultados!BI27,Resultados!BR27,Resultados!CA27,Resultados!CJ27)=0, "", AVERAGE(ABS(Resultados!G27),ABS(Resultados!P27),ABS(Resultados!Y27),ABS(Resultados!AH27),ABS(Resultados!AQ27),ABS(Resultados!AZ27),ABS(Resultados!BI27),ABS(Resultados!BR27),ABS(Resultados!CA27),ABS(Resultados!CJ27)))</f>
        <v>0.42400000000000004</v>
      </c>
      <c r="H27">
        <f>IF(COUNT(Resultados!H27,Resultados!Q27,Resultados!Z27,Resultados!AI27,Resultados!AR27,Resultados!BA27,Resultados!BJ27,Resultados!BS27,Resultados!CB27,Resultados!CK27)=0, "", AVERAGE(ABS(Resultados!H27),ABS(Resultados!Q27),ABS(Resultados!Z27),ABS(Resultados!AI27),ABS(Resultados!AR27),ABS(Resultados!BA27),ABS(Resultados!BJ27),ABS(Resultados!BS27),ABS(Resultados!CB27),ABS(Resultados!CK27)))</f>
        <v>1.9609999999999999E-2</v>
      </c>
      <c r="I27">
        <f>IF(COUNT(Resultados!I27,Resultados!R27,Resultados!AA27,Resultados!AJ27,Resultados!AS27,Resultados!BB27,Resultados!BK27,Resultados!BT27,Resultados!CC27,Resultados!CL27)=0, "", AVERAGE(ABS(Resultados!I27),ABS(Resultados!R27),ABS(Resultados!AA27),ABS(Resultados!AJ27),ABS(Resultados!AS27),ABS(Resultados!BB27),ABS(Resultados!BK27),ABS(Resultados!BT27),ABS(Resultados!CC27),ABS(Resultados!CL27)))</f>
        <v>5.0402899999999988</v>
      </c>
    </row>
    <row r="28" spans="1:9" x14ac:dyDescent="0.3">
      <c r="A28">
        <f>IF(COUNT(Resultados!A28,Resultados!J28,Resultados!S28,Resultados!AB28,Resultados!AK28,Resultados!AT28,Resultados!BC28,Resultados!BL28,Resultados!BU28,Resultados!CD28)=0, "", AVERAGE(ABS(Resultados!A28),ABS(Resultados!J28),ABS(Resultados!S28),ABS(Resultados!AB28),ABS(Resultados!AK28),ABS(Resultados!AT28),ABS(Resultados!BC28),ABS(Resultados!BL28),ABS(Resultados!BU28),ABS(Resultados!CD28)))</f>
        <v>45681</v>
      </c>
      <c r="B28" t="str">
        <f>IF(COUNT(Resultados!B28,Resultados!K28,Resultados!T28,Resultados!AC28,Resultados!AL28,Resultados!AU28,Resultados!BD28,Resultados!BM28,Resultados!BV28,Resultados!CE28)=0, "", AVERAGE(ABS(Resultados!B28),ABS(Resultados!K28),ABS(Resultados!T28),ABS(Resultados!AC28),ABS(Resultados!AL28),ABS(Resultados!AU28),ABS(Resultados!BD28),ABS(Resultados!BM28),ABS(Resultados!BV28),ABS(Resultados!CE28)))</f>
        <v/>
      </c>
      <c r="C28">
        <f>IF(COUNT(Resultados!C28,Resultados!L28,Resultados!U28,Resultados!AD28,Resultados!AM28,Resultados!AV28,Resultados!BE28,Resultados!BN28,Resultados!BW28,Resultados!CF28)=0, "", AVERAGE(ABS(Resultados!C28),ABS(Resultados!L28),ABS(Resultados!U28),ABS(Resultados!AD28),ABS(Resultados!AM28),ABS(Resultados!AV28),ABS(Resultados!BE28),ABS(Resultados!BN28),ABS(Resultados!BW28),ABS(Resultados!CF28)))</f>
        <v>4.3</v>
      </c>
      <c r="D28">
        <f>IF(COUNT(Resultados!D28,Resultados!M28,Resultados!V28,Resultados!AE28,Resultados!AN28,Resultados!AW28,Resultados!BF28,Resultados!BO28,Resultados!BX28,Resultados!CG28)=0, "", AVERAGE(ABS(Resultados!D28),ABS(Resultados!M28),ABS(Resultados!V28),ABS(Resultados!AE28),ABS(Resultados!AN28),ABS(Resultados!AW28),ABS(Resultados!BF28),ABS(Resultados!BO28),ABS(Resultados!BX28),ABS(Resultados!CG28)))</f>
        <v>1.9569999999999997E-2</v>
      </c>
      <c r="E28">
        <f>IF(COUNT(Resultados!E28,Resultados!N28,Resultados!W28,Resultados!AF28,Resultados!AO28,Resultados!AX28,Resultados!BG28,Resultados!BP28,Resultados!BY28,Resultados!CH28)=0, "", AVERAGE(ABS(Resultados!E28),ABS(Resultados!N28),ABS(Resultados!W28),ABS(Resultados!AF28),ABS(Resultados!AO28),ABS(Resultados!AX28),ABS(Resultados!BG28),ABS(Resultados!BP28),ABS(Resultados!BY28),ABS(Resultados!CH28)))</f>
        <v>7.3352462073710623</v>
      </c>
      <c r="F28">
        <f>IF(COUNT(Resultados!F28,Resultados!O28,Resultados!X28,Resultados!AG28,Resultados!AP28,Resultados!AY28,Resultados!BH28,Resultados!BQ28,Resultados!BZ28,Resultados!CI28)=0, "", AVERAGE(ABS(Resultados!F28),ABS(Resultados!O28),ABS(Resultados!X28),ABS(Resultados!AG28),ABS(Resultados!AP28),ABS(Resultados!AY28),ABS(Resultados!BH28),ABS(Resultados!BQ28),ABS(Resultados!BZ28),ABS(Resultados!CI28)))</f>
        <v>836.11486507951372</v>
      </c>
      <c r="G28">
        <f>IF(COUNT(Resultados!G28,Resultados!P28,Resultados!Y28,Resultados!AH28,Resultados!AQ28,Resultados!AZ28,Resultados!BI28,Resultados!BR28,Resultados!CA28,Resultados!CJ28)=0, "", AVERAGE(ABS(Resultados!G28),ABS(Resultados!P28),ABS(Resultados!Y28),ABS(Resultados!AH28),ABS(Resultados!AQ28),ABS(Resultados!AZ28),ABS(Resultados!BI28),ABS(Resultados!BR28),ABS(Resultados!CA28),ABS(Resultados!CJ28)))</f>
        <v>0.42400000000000004</v>
      </c>
      <c r="H28">
        <f>IF(COUNT(Resultados!H28,Resultados!Q28,Resultados!Z28,Resultados!AI28,Resultados!AR28,Resultados!BA28,Resultados!BJ28,Resultados!BS28,Resultados!CB28,Resultados!CK28)=0, "", AVERAGE(ABS(Resultados!H28),ABS(Resultados!Q28),ABS(Resultados!Z28),ABS(Resultados!AI28),ABS(Resultados!AR28),ABS(Resultados!BA28),ABS(Resultados!BJ28),ABS(Resultados!BS28),ABS(Resultados!CB28),ABS(Resultados!CK28)))</f>
        <v>2.0810000000000002E-2</v>
      </c>
      <c r="I28">
        <f>IF(COUNT(Resultados!I28,Resultados!R28,Resultados!AA28,Resultados!AJ28,Resultados!AS28,Resultados!BB28,Resultados!BK28,Resultados!BT28,Resultados!CC28,Resultados!CL28)=0, "", AVERAGE(ABS(Resultados!I28),ABS(Resultados!R28),ABS(Resultados!AA28),ABS(Resultados!AJ28),ABS(Resultados!AS28),ABS(Resultados!BB28),ABS(Resultados!BK28),ABS(Resultados!BT28),ABS(Resultados!CC28),ABS(Resultados!CL28)))</f>
        <v>5.2404599999999872</v>
      </c>
    </row>
    <row r="29" spans="1:9" x14ac:dyDescent="0.3">
      <c r="A29">
        <f>IF(COUNT(Resultados!A29,Resultados!J29,Resultados!S29,Resultados!AB29,Resultados!AK29,Resultados!AT29,Resultados!BC29,Resultados!BL29,Resultados!BU29,Resultados!CD29)=0, "", AVERAGE(ABS(Resultados!A29),ABS(Resultados!J29),ABS(Resultados!S29),ABS(Resultados!AB29),ABS(Resultados!AK29),ABS(Resultados!AT29),ABS(Resultados!BC29),ABS(Resultados!BL29),ABS(Resultados!BU29),ABS(Resultados!CD29)))</f>
        <v>45681</v>
      </c>
      <c r="B29" t="str">
        <f>IF(COUNT(Resultados!B29,Resultados!K29,Resultados!T29,Resultados!AC29,Resultados!AL29,Resultados!AU29,Resultados!BD29,Resultados!BM29,Resultados!BV29,Resultados!CE29)=0, "", AVERAGE(ABS(Resultados!B29),ABS(Resultados!K29),ABS(Resultados!T29),ABS(Resultados!AC29),ABS(Resultados!AL29),ABS(Resultados!AU29),ABS(Resultados!BD29),ABS(Resultados!BM29),ABS(Resultados!BV29),ABS(Resultados!CE29)))</f>
        <v/>
      </c>
      <c r="C29">
        <f>IF(COUNT(Resultados!C29,Resultados!L29,Resultados!U29,Resultados!AD29,Resultados!AM29,Resultados!AV29,Resultados!BE29,Resultados!BN29,Resultados!BW29,Resultados!CF29)=0, "", AVERAGE(ABS(Resultados!C29),ABS(Resultados!L29),ABS(Resultados!U29),ABS(Resultados!AD29),ABS(Resultados!AM29),ABS(Resultados!AV29),ABS(Resultados!BE29),ABS(Resultados!BN29),ABS(Resultados!BW29),ABS(Resultados!CF29)))</f>
        <v>4.3</v>
      </c>
      <c r="D29">
        <f>IF(COUNT(Resultados!D29,Resultados!M29,Resultados!V29,Resultados!AE29,Resultados!AN29,Resultados!AW29,Resultados!BF29,Resultados!BO29,Resultados!BX29,Resultados!CG29)=0, "", AVERAGE(ABS(Resultados!D29),ABS(Resultados!M29),ABS(Resultados!V29),ABS(Resultados!AE29),ABS(Resultados!AN29),ABS(Resultados!AW29),ABS(Resultados!BF29),ABS(Resultados!BO29),ABS(Resultados!BX29),ABS(Resultados!CG29)))</f>
        <v>2.0810000000000002E-2</v>
      </c>
      <c r="E29">
        <f>IF(COUNT(Resultados!E29,Resultados!N29,Resultados!W29,Resultados!AF29,Resultados!AO29,Resultados!AX29,Resultados!BG29,Resultados!BP29,Resultados!BY29,Resultados!CH29)=0, "", AVERAGE(ABS(Resultados!E29),ABS(Resultados!N29),ABS(Resultados!W29),ABS(Resultados!AF29),ABS(Resultados!AO29),ABS(Resultados!AX29),ABS(Resultados!BG29),ABS(Resultados!BP29),ABS(Resultados!BY29),ABS(Resultados!CH29)))</f>
        <v>7.4130028059794686</v>
      </c>
      <c r="F29">
        <f>IF(COUNT(Resultados!F29,Resultados!O29,Resultados!X29,Resultados!AG29,Resultados!AP29,Resultados!AY29,Resultados!BH29,Resultados!BQ29,Resultados!BZ29,Resultados!CI29)=0, "", AVERAGE(ABS(Resultados!F29),ABS(Resultados!O29),ABS(Resultados!X29),ABS(Resultados!AG29),ABS(Resultados!AP29),ABS(Resultados!AY29),ABS(Resultados!BH29),ABS(Resultados!BQ29),ABS(Resultados!BZ29),ABS(Resultados!CI29)))</f>
        <v>843.49396628745183</v>
      </c>
      <c r="G29">
        <f>IF(COUNT(Resultados!G29,Resultados!P29,Resultados!Y29,Resultados!AH29,Resultados!AQ29,Resultados!AZ29,Resultados!BI29,Resultados!BR29,Resultados!CA29,Resultados!CJ29)=0, "", AVERAGE(ABS(Resultados!G29),ABS(Resultados!P29),ABS(Resultados!Y29),ABS(Resultados!AH29),ABS(Resultados!AQ29),ABS(Resultados!AZ29),ABS(Resultados!BI29),ABS(Resultados!BR29),ABS(Resultados!CA29),ABS(Resultados!CJ29)))</f>
        <v>0.42400000000000004</v>
      </c>
      <c r="H29">
        <f>IF(COUNT(Resultados!H29,Resultados!Q29,Resultados!Z29,Resultados!AI29,Resultados!AR29,Resultados!BA29,Resultados!BJ29,Resultados!BS29,Resultados!CB29,Resultados!CK29)=0, "", AVERAGE(ABS(Resultados!H29),ABS(Resultados!Q29),ABS(Resultados!Z29),ABS(Resultados!AI29),ABS(Resultados!AR29),ABS(Resultados!BA29),ABS(Resultados!BJ29),ABS(Resultados!BS29),ABS(Resultados!CB29),ABS(Resultados!CK29)))</f>
        <v>2.2030000000000001E-2</v>
      </c>
      <c r="I29">
        <f>IF(COUNT(Resultados!I29,Resultados!R29,Resultados!AA29,Resultados!AJ29,Resultados!AS29,Resultados!BB29,Resultados!BK29,Resultados!BT29,Resultados!CC29,Resultados!CL29)=0, "", AVERAGE(ABS(Resultados!I29),ABS(Resultados!R29),ABS(Resultados!AA29),ABS(Resultados!AJ29),ABS(Resultados!AS29),ABS(Resultados!BB29),ABS(Resultados!BK29),ABS(Resultados!BT29),ABS(Resultados!CC29),ABS(Resultados!CL29)))</f>
        <v>5.4406400000000072</v>
      </c>
    </row>
    <row r="30" spans="1:9" x14ac:dyDescent="0.3">
      <c r="A30">
        <f>IF(COUNT(Resultados!A30,Resultados!J30,Resultados!S30,Resultados!AB30,Resultados!AK30,Resultados!AT30,Resultados!BC30,Resultados!BL30,Resultados!BU30,Resultados!CD30)=0, "", AVERAGE(ABS(Resultados!A30),ABS(Resultados!J30),ABS(Resultados!S30),ABS(Resultados!AB30),ABS(Resultados!AK30),ABS(Resultados!AT30),ABS(Resultados!BC30),ABS(Resultados!BL30),ABS(Resultados!BU30),ABS(Resultados!CD30)))</f>
        <v>45681</v>
      </c>
      <c r="B30" t="str">
        <f>IF(COUNT(Resultados!B30,Resultados!K30,Resultados!T30,Resultados!AC30,Resultados!AL30,Resultados!AU30,Resultados!BD30,Resultados!BM30,Resultados!BV30,Resultados!CE30)=0, "", AVERAGE(ABS(Resultados!B30),ABS(Resultados!K30),ABS(Resultados!T30),ABS(Resultados!AC30),ABS(Resultados!AL30),ABS(Resultados!AU30),ABS(Resultados!BD30),ABS(Resultados!BM30),ABS(Resultados!BV30),ABS(Resultados!CE30)))</f>
        <v/>
      </c>
      <c r="C30">
        <f>IF(COUNT(Resultados!C30,Resultados!L30,Resultados!U30,Resultados!AD30,Resultados!AM30,Resultados!AV30,Resultados!BE30,Resultados!BN30,Resultados!BW30,Resultados!CF30)=0, "", AVERAGE(ABS(Resultados!C30),ABS(Resultados!L30),ABS(Resultados!U30),ABS(Resultados!AD30),ABS(Resultados!AM30),ABS(Resultados!AV30),ABS(Resultados!BE30),ABS(Resultados!BN30),ABS(Resultados!BW30),ABS(Resultados!CF30)))</f>
        <v>4.3</v>
      </c>
      <c r="D30">
        <f>IF(COUNT(Resultados!D30,Resultados!M30,Resultados!V30,Resultados!AE30,Resultados!AN30,Resultados!AW30,Resultados!BF30,Resultados!BO30,Resultados!BX30,Resultados!CG30)=0, "", AVERAGE(ABS(Resultados!D30),ABS(Resultados!M30),ABS(Resultados!V30),ABS(Resultados!AE30),ABS(Resultados!AN30),ABS(Resultados!AW30),ABS(Resultados!BF30),ABS(Resultados!BO30),ABS(Resultados!BX30),ABS(Resultados!CG30)))</f>
        <v>2.1850000000000001E-2</v>
      </c>
      <c r="E30">
        <f>IF(COUNT(Resultados!E30,Resultados!N30,Resultados!W30,Resultados!AF30,Resultados!AO30,Resultados!AX30,Resultados!BG30,Resultados!BP30,Resultados!BY30,Resultados!CH30)=0, "", AVERAGE(ABS(Resultados!E30),ABS(Resultados!N30),ABS(Resultados!W30),ABS(Resultados!AF30),ABS(Resultados!AO30),ABS(Resultados!AX30),ABS(Resultados!BG30),ABS(Resultados!BP30),ABS(Resultados!BY30),ABS(Resultados!CH30)))</f>
        <v>7.4902498089493239</v>
      </c>
      <c r="F30">
        <f>IF(COUNT(Resultados!F30,Resultados!O30,Resultados!X30,Resultados!AG30,Resultados!AP30,Resultados!AY30,Resultados!BH30,Resultados!BQ30,Resultados!BZ30,Resultados!CI30)=0, "", AVERAGE(ABS(Resultados!F30),ABS(Resultados!O30),ABS(Resultados!X30),ABS(Resultados!AG30),ABS(Resultados!AP30),ABS(Resultados!AY30),ABS(Resultados!BH30),ABS(Resultados!BQ30),ABS(Resultados!BZ30),ABS(Resultados!CI30)))</f>
        <v>850.82470686929082</v>
      </c>
      <c r="G30">
        <f>IF(COUNT(Resultados!G30,Resultados!P30,Resultados!Y30,Resultados!AH30,Resultados!AQ30,Resultados!AZ30,Resultados!BI30,Resultados!BR30,Resultados!CA30,Resultados!CJ30)=0, "", AVERAGE(ABS(Resultados!G30),ABS(Resultados!P30),ABS(Resultados!Y30),ABS(Resultados!AH30),ABS(Resultados!AQ30),ABS(Resultados!AZ30),ABS(Resultados!BI30),ABS(Resultados!BR30),ABS(Resultados!CA30),ABS(Resultados!CJ30)))</f>
        <v>0.42400000000000004</v>
      </c>
      <c r="H30">
        <f>IF(COUNT(Resultados!H30,Resultados!Q30,Resultados!Z30,Resultados!AI30,Resultados!AR30,Resultados!BA30,Resultados!BJ30,Resultados!BS30,Resultados!CB30,Resultados!CK30)=0, "", AVERAGE(ABS(Resultados!H30),ABS(Resultados!Q30),ABS(Resultados!Z30),ABS(Resultados!AI30),ABS(Resultados!AR30),ABS(Resultados!BA30),ABS(Resultados!BJ30),ABS(Resultados!BS30),ABS(Resultados!CB30),ABS(Resultados!CK30)))</f>
        <v>2.3219999999999998E-2</v>
      </c>
      <c r="I30">
        <f>IF(COUNT(Resultados!I30,Resultados!R30,Resultados!AA30,Resultados!AJ30,Resultados!AS30,Resultados!BB30,Resultados!BK30,Resultados!BT30,Resultados!CC30,Resultados!CL30)=0, "", AVERAGE(ABS(Resultados!I30),ABS(Resultados!R30),ABS(Resultados!AA30),ABS(Resultados!AJ30),ABS(Resultados!AS30),ABS(Resultados!BB30),ABS(Resultados!BK30),ABS(Resultados!BT30),ABS(Resultados!CC30),ABS(Resultados!CL30)))</f>
        <v>5.6410000000000107</v>
      </c>
    </row>
    <row r="31" spans="1:9" x14ac:dyDescent="0.3">
      <c r="A31">
        <f>IF(COUNT(Resultados!A31,Resultados!J31,Resultados!S31,Resultados!AB31,Resultados!AK31,Resultados!AT31,Resultados!BC31,Resultados!BL31,Resultados!BU31,Resultados!CD31)=0, "", AVERAGE(ABS(Resultados!A31),ABS(Resultados!J31),ABS(Resultados!S31),ABS(Resultados!AB31),ABS(Resultados!AK31),ABS(Resultados!AT31),ABS(Resultados!BC31),ABS(Resultados!BL31),ABS(Resultados!BU31),ABS(Resultados!CD31)))</f>
        <v>45681</v>
      </c>
      <c r="B31" t="str">
        <f>IF(COUNT(Resultados!B31,Resultados!K31,Resultados!T31,Resultados!AC31,Resultados!AL31,Resultados!AU31,Resultados!BD31,Resultados!BM31,Resultados!BV31,Resultados!CE31)=0, "", AVERAGE(ABS(Resultados!B31),ABS(Resultados!K31),ABS(Resultados!T31),ABS(Resultados!AC31),ABS(Resultados!AL31),ABS(Resultados!AU31),ABS(Resultados!BD31),ABS(Resultados!BM31),ABS(Resultados!BV31),ABS(Resultados!CE31)))</f>
        <v/>
      </c>
      <c r="C31">
        <f>IF(COUNT(Resultados!C31,Resultados!L31,Resultados!U31,Resultados!AD31,Resultados!AM31,Resultados!AV31,Resultados!BE31,Resultados!BN31,Resultados!BW31,Resultados!CF31)=0, "", AVERAGE(ABS(Resultados!C31),ABS(Resultados!L31),ABS(Resultados!U31),ABS(Resultados!AD31),ABS(Resultados!AM31),ABS(Resultados!AV31),ABS(Resultados!BE31),ABS(Resultados!BN31),ABS(Resultados!BW31),ABS(Resultados!CF31)))</f>
        <v>4.3</v>
      </c>
      <c r="D31">
        <f>IF(COUNT(Resultados!D31,Resultados!M31,Resultados!V31,Resultados!AE31,Resultados!AN31,Resultados!AW31,Resultados!BF31,Resultados!BO31,Resultados!BX31,Resultados!CG31)=0, "", AVERAGE(ABS(Resultados!D31),ABS(Resultados!M31),ABS(Resultados!V31),ABS(Resultados!AE31),ABS(Resultados!AN31),ABS(Resultados!AW31),ABS(Resultados!BF31),ABS(Resultados!BO31),ABS(Resultados!BX31),ABS(Resultados!CG31)))</f>
        <v>2.3230000000000001E-2</v>
      </c>
      <c r="E31">
        <f>IF(COUNT(Resultados!E31,Resultados!N31,Resultados!W31,Resultados!AF31,Resultados!AO31,Resultados!AX31,Resultados!BG31,Resultados!BP31,Resultados!BY31,Resultados!CH31)=0, "", AVERAGE(ABS(Resultados!E31),ABS(Resultados!N31),ABS(Resultados!W31),ABS(Resultados!AF31),ABS(Resultados!AO31),ABS(Resultados!AX31),ABS(Resultados!BG31),ABS(Resultados!BP31),ABS(Resultados!BY31),ABS(Resultados!CH31)))</f>
        <v>7.5662795481807139</v>
      </c>
      <c r="F31">
        <f>IF(COUNT(Resultados!F31,Resultados!O31,Resultados!X31,Resultados!AG31,Resultados!AP31,Resultados!AY31,Resultados!BH31,Resultados!BQ31,Resultados!BZ31,Resultados!CI31)=0, "", AVERAGE(ABS(Resultados!F31),ABS(Resultados!O31),ABS(Resultados!X31),ABS(Resultados!AG31),ABS(Resultados!AP31),ABS(Resultados!AY31),ABS(Resultados!BH31),ABS(Resultados!BQ31),ABS(Resultados!BZ31),ABS(Resultados!CI31)))</f>
        <v>858.03992912234992</v>
      </c>
      <c r="G31">
        <f>IF(COUNT(Resultados!G31,Resultados!P31,Resultados!Y31,Resultados!AH31,Resultados!AQ31,Resultados!AZ31,Resultados!BI31,Resultados!BR31,Resultados!CA31,Resultados!CJ31)=0, "", AVERAGE(ABS(Resultados!G31),ABS(Resultados!P31),ABS(Resultados!Y31),ABS(Resultados!AH31),ABS(Resultados!AQ31),ABS(Resultados!AZ31),ABS(Resultados!BI31),ABS(Resultados!BR31),ABS(Resultados!CA31),ABS(Resultados!CJ31)))</f>
        <v>0.42400000000000004</v>
      </c>
      <c r="H31">
        <f>IF(COUNT(Resultados!H31,Resultados!Q31,Resultados!Z31,Resultados!AI31,Resultados!AR31,Resultados!BA31,Resultados!BJ31,Resultados!BS31,Resultados!CB31,Resultados!CK31)=0, "", AVERAGE(ABS(Resultados!H31),ABS(Resultados!Q31),ABS(Resultados!Z31),ABS(Resultados!AI31),ABS(Resultados!AR31),ABS(Resultados!BA31),ABS(Resultados!BJ31),ABS(Resultados!BS31),ABS(Resultados!CB31),ABS(Resultados!CK31)))</f>
        <v>2.4409999999999998E-2</v>
      </c>
      <c r="I31">
        <f>IF(COUNT(Resultados!I31,Resultados!R31,Resultados!AA31,Resultados!AJ31,Resultados!AS31,Resultados!BB31,Resultados!BK31,Resultados!BT31,Resultados!CC31,Resultados!CL31)=0, "", AVERAGE(ABS(Resultados!I31),ABS(Resultados!R31),ABS(Resultados!AA31),ABS(Resultados!AJ31),ABS(Resultados!AS31),ABS(Resultados!BB31),ABS(Resultados!BK31),ABS(Resultados!BT31),ABS(Resultados!CC31),ABS(Resultados!CL31)))</f>
        <v>5.8402299999999938</v>
      </c>
    </row>
    <row r="32" spans="1:9" x14ac:dyDescent="0.3">
      <c r="A32">
        <f>IF(COUNT(Resultados!A32,Resultados!J32,Resultados!S32,Resultados!AB32,Resultados!AK32,Resultados!AT32,Resultados!BC32,Resultados!BL32,Resultados!BU32,Resultados!CD32)=0, "", AVERAGE(ABS(Resultados!A32),ABS(Resultados!J32),ABS(Resultados!S32),ABS(Resultados!AB32),ABS(Resultados!AK32),ABS(Resultados!AT32),ABS(Resultados!BC32),ABS(Resultados!BL32),ABS(Resultados!BU32),ABS(Resultados!CD32)))</f>
        <v>45681</v>
      </c>
      <c r="B32" t="str">
        <f>IF(COUNT(Resultados!B32,Resultados!K32,Resultados!T32,Resultados!AC32,Resultados!AL32,Resultados!AU32,Resultados!BD32,Resultados!BM32,Resultados!BV32,Resultados!CE32)=0, "", AVERAGE(ABS(Resultados!B32),ABS(Resultados!K32),ABS(Resultados!T32),ABS(Resultados!AC32),ABS(Resultados!AL32),ABS(Resultados!AU32),ABS(Resultados!BD32),ABS(Resultados!BM32),ABS(Resultados!BV32),ABS(Resultados!CE32)))</f>
        <v/>
      </c>
      <c r="C32">
        <f>IF(COUNT(Resultados!C32,Resultados!L32,Resultados!U32,Resultados!AD32,Resultados!AM32,Resultados!AV32,Resultados!BE32,Resultados!BN32,Resultados!BW32,Resultados!CF32)=0, "", AVERAGE(ABS(Resultados!C32),ABS(Resultados!L32),ABS(Resultados!U32),ABS(Resultados!AD32),ABS(Resultados!AM32),ABS(Resultados!AV32),ABS(Resultados!BE32),ABS(Resultados!BN32),ABS(Resultados!BW32),ABS(Resultados!CF32)))</f>
        <v>4.3</v>
      </c>
      <c r="D32">
        <f>IF(COUNT(Resultados!D32,Resultados!M32,Resultados!V32,Resultados!AE32,Resultados!AN32,Resultados!AW32,Resultados!BF32,Resultados!BO32,Resultados!BX32,Resultados!CG32)=0, "", AVERAGE(ABS(Resultados!D32),ABS(Resultados!M32),ABS(Resultados!V32),ABS(Resultados!AE32),ABS(Resultados!AN32),ABS(Resultados!AW32),ABS(Resultados!BF32),ABS(Resultados!BO32),ABS(Resultados!BX32),ABS(Resultados!CG32)))</f>
        <v>2.435E-2</v>
      </c>
      <c r="E32">
        <f>IF(COUNT(Resultados!E32,Resultados!N32,Resultados!W32,Resultados!AF32,Resultados!AO32,Resultados!AX32,Resultados!BG32,Resultados!BP32,Resultados!BY32,Resultados!CH32)=0, "", AVERAGE(ABS(Resultados!E32),ABS(Resultados!N32),ABS(Resultados!W32),ABS(Resultados!AF32),ABS(Resultados!AO32),ABS(Resultados!AX32),ABS(Resultados!BG32),ABS(Resultados!BP32),ABS(Resultados!BY32),ABS(Resultados!CH32)))</f>
        <v>7.6414886957083299</v>
      </c>
      <c r="F32">
        <f>IF(COUNT(Resultados!F32,Resultados!O32,Resultados!X32,Resultados!AG32,Resultados!AP32,Resultados!AY32,Resultados!BH32,Resultados!BQ32,Resultados!BZ32,Resultados!CI32)=0, "", AVERAGE(ABS(Resultados!F32),ABS(Resultados!O32),ABS(Resultados!X32),ABS(Resultados!AG32),ABS(Resultados!AP32),ABS(Resultados!AY32),ABS(Resultados!BH32),ABS(Resultados!BQ32),ABS(Resultados!BZ32),ABS(Resultados!CI32)))</f>
        <v>865.17727722272048</v>
      </c>
      <c r="G32">
        <f>IF(COUNT(Resultados!G32,Resultados!P32,Resultados!Y32,Resultados!AH32,Resultados!AQ32,Resultados!AZ32,Resultados!BI32,Resultados!BR32,Resultados!CA32,Resultados!CJ32)=0, "", AVERAGE(ABS(Resultados!G32),ABS(Resultados!P32),ABS(Resultados!Y32),ABS(Resultados!AH32),ABS(Resultados!AQ32),ABS(Resultados!AZ32),ABS(Resultados!BI32),ABS(Resultados!BR32),ABS(Resultados!CA32),ABS(Resultados!CJ32)))</f>
        <v>0.42400000000000004</v>
      </c>
      <c r="H32">
        <f>IF(COUNT(Resultados!H32,Resultados!Q32,Resultados!Z32,Resultados!AI32,Resultados!AR32,Resultados!BA32,Resultados!BJ32,Resultados!BS32,Resultados!CB32,Resultados!CK32)=0, "", AVERAGE(ABS(Resultados!H32),ABS(Resultados!Q32),ABS(Resultados!Z32),ABS(Resultados!AI32),ABS(Resultados!AR32),ABS(Resultados!BA32),ABS(Resultados!BJ32),ABS(Resultados!BS32),ABS(Resultados!CB32),ABS(Resultados!CK32)))</f>
        <v>2.5569999999999999E-2</v>
      </c>
      <c r="I32">
        <f>IF(COUNT(Resultados!I32,Resultados!R32,Resultados!AA32,Resultados!AJ32,Resultados!AS32,Resultados!BB32,Resultados!BK32,Resultados!BT32,Resultados!CC32,Resultados!CL32)=0, "", AVERAGE(ABS(Resultados!I32),ABS(Resultados!R32),ABS(Resultados!AA32),ABS(Resultados!AJ32),ABS(Resultados!AS32),ABS(Resultados!BB32),ABS(Resultados!BK32),ABS(Resultados!BT32),ABS(Resultados!CC32),ABS(Resultados!CL32)))</f>
        <v>6.0404600000000102</v>
      </c>
    </row>
    <row r="33" spans="1:9" x14ac:dyDescent="0.3">
      <c r="A33">
        <f>IF(COUNT(Resultados!A33,Resultados!J33,Resultados!S33,Resultados!AB33,Resultados!AK33,Resultados!AT33,Resultados!BC33,Resultados!BL33,Resultados!BU33,Resultados!CD33)=0, "", AVERAGE(ABS(Resultados!A33),ABS(Resultados!J33),ABS(Resultados!S33),ABS(Resultados!AB33),ABS(Resultados!AK33),ABS(Resultados!AT33),ABS(Resultados!BC33),ABS(Resultados!BL33),ABS(Resultados!BU33),ABS(Resultados!CD33)))</f>
        <v>45681</v>
      </c>
      <c r="B33" t="str">
        <f>IF(COUNT(Resultados!B33,Resultados!K33,Resultados!T33,Resultados!AC33,Resultados!AL33,Resultados!AU33,Resultados!BD33,Resultados!BM33,Resultados!BV33,Resultados!CE33)=0, "", AVERAGE(ABS(Resultados!B33),ABS(Resultados!K33),ABS(Resultados!T33),ABS(Resultados!AC33),ABS(Resultados!AL33),ABS(Resultados!AU33),ABS(Resultados!BD33),ABS(Resultados!BM33),ABS(Resultados!BV33),ABS(Resultados!CE33)))</f>
        <v/>
      </c>
      <c r="C33">
        <f>IF(COUNT(Resultados!C33,Resultados!L33,Resultados!U33,Resultados!AD33,Resultados!AM33,Resultados!AV33,Resultados!BE33,Resultados!BN33,Resultados!BW33,Resultados!CF33)=0, "", AVERAGE(ABS(Resultados!C33),ABS(Resultados!L33),ABS(Resultados!U33),ABS(Resultados!AD33),ABS(Resultados!AM33),ABS(Resultados!AV33),ABS(Resultados!BE33),ABS(Resultados!BN33),ABS(Resultados!BW33),ABS(Resultados!CF33)))</f>
        <v>4.3</v>
      </c>
      <c r="D33">
        <f>IF(COUNT(Resultados!D33,Resultados!M33,Resultados!V33,Resultados!AE33,Resultados!AN33,Resultados!AW33,Resultados!BF33,Resultados!BO33,Resultados!BX33,Resultados!CG33)=0, "", AVERAGE(ABS(Resultados!D33),ABS(Resultados!M33),ABS(Resultados!V33),ABS(Resultados!AE33),ABS(Resultados!AN33),ABS(Resultados!AW33),ABS(Resultados!BF33),ABS(Resultados!BO33),ABS(Resultados!BX33),ABS(Resultados!CG33)))</f>
        <v>2.5659999999999999E-2</v>
      </c>
      <c r="E33">
        <f>IF(COUNT(Resultados!E33,Resultados!N33,Resultados!W33,Resultados!AF33,Resultados!AO33,Resultados!AX33,Resultados!BG33,Resultados!BP33,Resultados!BY33,Resultados!CH33)=0, "", AVERAGE(ABS(Resultados!E33),ABS(Resultados!N33),ABS(Resultados!W33),ABS(Resultados!AF33),ABS(Resultados!AO33),ABS(Resultados!AX33),ABS(Resultados!BG33),ABS(Resultados!BP33),ABS(Resultados!BY33),ABS(Resultados!CH33)))</f>
        <v>7.7153613710969919</v>
      </c>
      <c r="F33">
        <f>IF(COUNT(Resultados!F33,Resultados!O33,Resultados!X33,Resultados!AG33,Resultados!AP33,Resultados!AY33,Resultados!BH33,Resultados!BQ33,Resultados!BZ33,Resultados!CI33)=0, "", AVERAGE(ABS(Resultados!F33),ABS(Resultados!O33),ABS(Resultados!X33),ABS(Resultados!AG33),ABS(Resultados!AP33),ABS(Resultados!AY33),ABS(Resultados!BH33),ABS(Resultados!BQ33),ABS(Resultados!BZ33),ABS(Resultados!CI33)))</f>
        <v>872.18779411710477</v>
      </c>
      <c r="G33">
        <f>IF(COUNT(Resultados!G33,Resultados!P33,Resultados!Y33,Resultados!AH33,Resultados!AQ33,Resultados!AZ33,Resultados!BI33,Resultados!BR33,Resultados!CA33,Resultados!CJ33)=0, "", AVERAGE(ABS(Resultados!G33),ABS(Resultados!P33),ABS(Resultados!Y33),ABS(Resultados!AH33),ABS(Resultados!AQ33),ABS(Resultados!AZ33),ABS(Resultados!BI33),ABS(Resultados!BR33),ABS(Resultados!CA33),ABS(Resultados!CJ33)))</f>
        <v>0.42400000000000004</v>
      </c>
      <c r="H33">
        <f>IF(COUNT(Resultados!H33,Resultados!Q33,Resultados!Z33,Resultados!AI33,Resultados!AR33,Resultados!BA33,Resultados!BJ33,Resultados!BS33,Resultados!CB33,Resultados!CK33)=0, "", AVERAGE(ABS(Resultados!H33),ABS(Resultados!Q33),ABS(Resultados!Z33),ABS(Resultados!AI33),ABS(Resultados!AR33),ABS(Resultados!BA33),ABS(Resultados!BJ33),ABS(Resultados!BS33),ABS(Resultados!CB33),ABS(Resultados!CK33)))</f>
        <v>2.6720000000000001E-2</v>
      </c>
      <c r="I33">
        <f>IF(COUNT(Resultados!I33,Resultados!R33,Resultados!AA33,Resultados!AJ33,Resultados!AS33,Resultados!BB33,Resultados!BK33,Resultados!BT33,Resultados!CC33,Resultados!CL33)=0, "", AVERAGE(ABS(Resultados!I33),ABS(Resultados!R33),ABS(Resultados!AA33),ABS(Resultados!AJ33),ABS(Resultados!AS33),ABS(Resultados!BB33),ABS(Resultados!BK33),ABS(Resultados!BT33),ABS(Resultados!CC33),ABS(Resultados!CL33)))</f>
        <v>6.2407199999999987</v>
      </c>
    </row>
    <row r="34" spans="1:9" x14ac:dyDescent="0.3">
      <c r="A34">
        <f>IF(COUNT(Resultados!A34,Resultados!J34,Resultados!S34,Resultados!AB34,Resultados!AK34,Resultados!AT34,Resultados!BC34,Resultados!BL34,Resultados!BU34,Resultados!CD34)=0, "", AVERAGE(ABS(Resultados!A34),ABS(Resultados!J34),ABS(Resultados!S34),ABS(Resultados!AB34),ABS(Resultados!AK34),ABS(Resultados!AT34),ABS(Resultados!BC34),ABS(Resultados!BL34),ABS(Resultados!BU34),ABS(Resultados!CD34)))</f>
        <v>45681</v>
      </c>
      <c r="B34" t="str">
        <f>IF(COUNT(Resultados!B34,Resultados!K34,Resultados!T34,Resultados!AC34,Resultados!AL34,Resultados!AU34,Resultados!BD34,Resultados!BM34,Resultados!BV34,Resultados!CE34)=0, "", AVERAGE(ABS(Resultados!B34),ABS(Resultados!K34),ABS(Resultados!T34),ABS(Resultados!AC34),ABS(Resultados!AL34),ABS(Resultados!AU34),ABS(Resultados!BD34),ABS(Resultados!BM34),ABS(Resultados!BV34),ABS(Resultados!CE34)))</f>
        <v/>
      </c>
      <c r="C34">
        <f>IF(COUNT(Resultados!C34,Resultados!L34,Resultados!U34,Resultados!AD34,Resultados!AM34,Resultados!AV34,Resultados!BE34,Resultados!BN34,Resultados!BW34,Resultados!CF34)=0, "", AVERAGE(ABS(Resultados!C34),ABS(Resultados!L34),ABS(Resultados!U34),ABS(Resultados!AD34),ABS(Resultados!AM34),ABS(Resultados!AV34),ABS(Resultados!BE34),ABS(Resultados!BN34),ABS(Resultados!BW34),ABS(Resultados!CF34)))</f>
        <v>4.3</v>
      </c>
      <c r="D34">
        <f>IF(COUNT(Resultados!D34,Resultados!M34,Resultados!V34,Resultados!AE34,Resultados!AN34,Resultados!AW34,Resultados!BF34,Resultados!BO34,Resultados!BX34,Resultados!CG34)=0, "", AVERAGE(ABS(Resultados!D34),ABS(Resultados!M34),ABS(Resultados!V34),ABS(Resultados!AE34),ABS(Resultados!AN34),ABS(Resultados!AW34),ABS(Resultados!BF34),ABS(Resultados!BO34),ABS(Resultados!BX34),ABS(Resultados!CG34)))</f>
        <v>2.666E-2</v>
      </c>
      <c r="E34">
        <f>IF(COUNT(Resultados!E34,Resultados!N34,Resultados!W34,Resultados!AF34,Resultados!AO34,Resultados!AX34,Resultados!BG34,Resultados!BP34,Resultados!BY34,Resultados!CH34)=0, "", AVERAGE(ABS(Resultados!E34),ABS(Resultados!N34),ABS(Resultados!W34),ABS(Resultados!AF34),ABS(Resultados!AO34),ABS(Resultados!AX34),ABS(Resultados!BG34),ABS(Resultados!BP34),ABS(Resultados!BY34),ABS(Resultados!CH34)))</f>
        <v>7.7875633448075092</v>
      </c>
      <c r="F34">
        <f>IF(COUNT(Resultados!F34,Resultados!O34,Resultados!X34,Resultados!AG34,Resultados!AP34,Resultados!AY34,Resultados!BH34,Resultados!BQ34,Resultados!BZ34,Resultados!CI34)=0, "", AVERAGE(ABS(Resultados!F34),ABS(Resultados!O34),ABS(Resultados!X34),ABS(Resultados!AG34),ABS(Resultados!AP34),ABS(Resultados!AY34),ABS(Resultados!BH34),ABS(Resultados!BQ34),ABS(Resultados!BZ34),ABS(Resultados!CI34)))</f>
        <v>879.03976142223269</v>
      </c>
      <c r="G34">
        <f>IF(COUNT(Resultados!G34,Resultados!P34,Resultados!Y34,Resultados!AH34,Resultados!AQ34,Resultados!AZ34,Resultados!BI34,Resultados!BR34,Resultados!CA34,Resultados!CJ34)=0, "", AVERAGE(ABS(Resultados!G34),ABS(Resultados!P34),ABS(Resultados!Y34),ABS(Resultados!AH34),ABS(Resultados!AQ34),ABS(Resultados!AZ34),ABS(Resultados!BI34),ABS(Resultados!BR34),ABS(Resultados!CA34),ABS(Resultados!CJ34)))</f>
        <v>0.42400000000000004</v>
      </c>
      <c r="H34">
        <f>IF(COUNT(Resultados!H34,Resultados!Q34,Resultados!Z34,Resultados!AI34,Resultados!AR34,Resultados!BA34,Resultados!BJ34,Resultados!BS34,Resultados!CB34,Resultados!CK34)=0, "", AVERAGE(ABS(Resultados!H34),ABS(Resultados!Q34),ABS(Resultados!Z34),ABS(Resultados!AI34),ABS(Resultados!AR34),ABS(Resultados!BA34),ABS(Resultados!BJ34),ABS(Resultados!BS34),ABS(Resultados!CB34),ABS(Resultados!CK34)))</f>
        <v>2.7850000000000003E-2</v>
      </c>
      <c r="I34">
        <f>IF(COUNT(Resultados!I34,Resultados!R34,Resultados!AA34,Resultados!AJ34,Resultados!AS34,Resultados!BB34,Resultados!BK34,Resultados!BT34,Resultados!CC34,Resultados!CL34)=0, "", AVERAGE(ABS(Resultados!I34),ABS(Resultados!R34),ABS(Resultados!AA34),ABS(Resultados!AJ34),ABS(Resultados!AS34),ABS(Resultados!BB34),ABS(Resultados!BK34),ABS(Resultados!BT34),ABS(Resultados!CC34),ABS(Resultados!CL34)))</f>
        <v>6.4413199999999957</v>
      </c>
    </row>
    <row r="35" spans="1:9" x14ac:dyDescent="0.3">
      <c r="A35">
        <f>IF(COUNT(Resultados!A35,Resultados!J35,Resultados!S35,Resultados!AB35,Resultados!AK35,Resultados!AT35,Resultados!BC35,Resultados!BL35,Resultados!BU35,Resultados!CD35)=0, "", AVERAGE(ABS(Resultados!A35),ABS(Resultados!J35),ABS(Resultados!S35),ABS(Resultados!AB35),ABS(Resultados!AK35),ABS(Resultados!AT35),ABS(Resultados!BC35),ABS(Resultados!BL35),ABS(Resultados!BU35),ABS(Resultados!CD35)))</f>
        <v>45681</v>
      </c>
      <c r="B35" t="str">
        <f>IF(COUNT(Resultados!B35,Resultados!K35,Resultados!T35,Resultados!AC35,Resultados!AL35,Resultados!AU35,Resultados!BD35,Resultados!BM35,Resultados!BV35,Resultados!CE35)=0, "", AVERAGE(ABS(Resultados!B35),ABS(Resultados!K35),ABS(Resultados!T35),ABS(Resultados!AC35),ABS(Resultados!AL35),ABS(Resultados!AU35),ABS(Resultados!BD35),ABS(Resultados!BM35),ABS(Resultados!BV35),ABS(Resultados!CE35)))</f>
        <v/>
      </c>
      <c r="C35">
        <f>IF(COUNT(Resultados!C35,Resultados!L35,Resultados!U35,Resultados!AD35,Resultados!AM35,Resultados!AV35,Resultados!BE35,Resultados!BN35,Resultados!BW35,Resultados!CF35)=0, "", AVERAGE(ABS(Resultados!C35),ABS(Resultados!L35),ABS(Resultados!U35),ABS(Resultados!AD35),ABS(Resultados!AM35),ABS(Resultados!AV35),ABS(Resultados!BE35),ABS(Resultados!BN35),ABS(Resultados!BW35),ABS(Resultados!CF35)))</f>
        <v>4.3</v>
      </c>
      <c r="D35">
        <f>IF(COUNT(Resultados!D35,Resultados!M35,Resultados!V35,Resultados!AE35,Resultados!AN35,Resultados!AW35,Resultados!BF35,Resultados!BO35,Resultados!BX35,Resultados!CG35)=0, "", AVERAGE(ABS(Resultados!D35),ABS(Resultados!M35),ABS(Resultados!V35),ABS(Resultados!AE35),ABS(Resultados!AN35),ABS(Resultados!AW35),ABS(Resultados!BF35),ABS(Resultados!BO35),ABS(Resultados!BX35),ABS(Resultados!CG35)))</f>
        <v>2.7720000000000002E-2</v>
      </c>
      <c r="E35">
        <f>IF(COUNT(Resultados!E35,Resultados!N35,Resultados!W35,Resultados!AF35,Resultados!AO35,Resultados!AX35,Resultados!BG35,Resultados!BP35,Resultados!BY35,Resultados!CH35)=0, "", AVERAGE(ABS(Resultados!E35),ABS(Resultados!N35),ABS(Resultados!W35),ABS(Resultados!AF35),ABS(Resultados!AO35),ABS(Resultados!AX35),ABS(Resultados!BG35),ABS(Resultados!BP35),ABS(Resultados!BY35),ABS(Resultados!CH35)))</f>
        <v>7.8573331022243735</v>
      </c>
      <c r="F35">
        <f>IF(COUNT(Resultados!F35,Resultados!O35,Resultados!X35,Resultados!AG35,Resultados!AP35,Resultados!AY35,Resultados!BH35,Resultados!BQ35,Resultados!BZ35,Resultados!CI35)=0, "", AVERAGE(ABS(Resultados!F35),ABS(Resultados!O35),ABS(Resultados!X35),ABS(Resultados!AG35),ABS(Resultados!AP35),ABS(Resultados!AY35),ABS(Resultados!BH35),ABS(Resultados!BQ35),ABS(Resultados!BZ35),ABS(Resultados!CI35)))</f>
        <v>885.6609114010929</v>
      </c>
      <c r="G35">
        <f>IF(COUNT(Resultados!G35,Resultados!P35,Resultados!Y35,Resultados!AH35,Resultados!AQ35,Resultados!AZ35,Resultados!BI35,Resultados!BR35,Resultados!CA35,Resultados!CJ35)=0, "", AVERAGE(ABS(Resultados!G35),ABS(Resultados!P35),ABS(Resultados!Y35),ABS(Resultados!AH35),ABS(Resultados!AQ35),ABS(Resultados!AZ35),ABS(Resultados!BI35),ABS(Resultados!BR35),ABS(Resultados!CA35),ABS(Resultados!CJ35)))</f>
        <v>0.42400000000000004</v>
      </c>
      <c r="H35">
        <f>IF(COUNT(Resultados!H35,Resultados!Q35,Resultados!Z35,Resultados!AI35,Resultados!AR35,Resultados!BA35,Resultados!BJ35,Resultados!BS35,Resultados!CB35,Resultados!CK35)=0, "", AVERAGE(ABS(Resultados!H35),ABS(Resultados!Q35),ABS(Resultados!Z35),ABS(Resultados!AI35),ABS(Resultados!AR35),ABS(Resultados!BA35),ABS(Resultados!BJ35),ABS(Resultados!BS35),ABS(Resultados!CB35),ABS(Resultados!CK35)))</f>
        <v>2.8929999999999994E-2</v>
      </c>
      <c r="I35">
        <f>IF(COUNT(Resultados!I35,Resultados!R35,Resultados!AA35,Resultados!AJ35,Resultados!AS35,Resultados!BB35,Resultados!BK35,Resultados!BT35,Resultados!CC35,Resultados!CL35)=0, "", AVERAGE(ABS(Resultados!I35),ABS(Resultados!R35),ABS(Resultados!AA35),ABS(Resultados!AJ35),ABS(Resultados!AS35),ABS(Resultados!BB35),ABS(Resultados!BK35),ABS(Resultados!BT35),ABS(Resultados!CC35),ABS(Resultados!CL35)))</f>
        <v>6.6407599999999976</v>
      </c>
    </row>
    <row r="36" spans="1:9" x14ac:dyDescent="0.3">
      <c r="A36">
        <f>IF(COUNT(Resultados!A36,Resultados!J36,Resultados!S36,Resultados!AB36,Resultados!AK36,Resultados!AT36,Resultados!BC36,Resultados!BL36,Resultados!BU36,Resultados!CD36)=0, "", AVERAGE(ABS(Resultados!A36),ABS(Resultados!J36),ABS(Resultados!S36),ABS(Resultados!AB36),ABS(Resultados!AK36),ABS(Resultados!AT36),ABS(Resultados!BC36),ABS(Resultados!BL36),ABS(Resultados!BU36),ABS(Resultados!CD36)))</f>
        <v>45681</v>
      </c>
      <c r="B36" t="str">
        <f>IF(COUNT(Resultados!B36,Resultados!K36,Resultados!T36,Resultados!AC36,Resultados!AL36,Resultados!AU36,Resultados!BD36,Resultados!BM36,Resultados!BV36,Resultados!CE36)=0, "", AVERAGE(ABS(Resultados!B36),ABS(Resultados!K36),ABS(Resultados!T36),ABS(Resultados!AC36),ABS(Resultados!AL36),ABS(Resultados!AU36),ABS(Resultados!BD36),ABS(Resultados!BM36),ABS(Resultados!BV36),ABS(Resultados!CE36)))</f>
        <v/>
      </c>
      <c r="C36">
        <f>IF(COUNT(Resultados!C36,Resultados!L36,Resultados!U36,Resultados!AD36,Resultados!AM36,Resultados!AV36,Resultados!BE36,Resultados!BN36,Resultados!BW36,Resultados!CF36)=0, "", AVERAGE(ABS(Resultados!C36),ABS(Resultados!L36),ABS(Resultados!U36),ABS(Resultados!AD36),ABS(Resultados!AM36),ABS(Resultados!AV36),ABS(Resultados!BE36),ABS(Resultados!BN36),ABS(Resultados!BW36),ABS(Resultados!CF36)))</f>
        <v>4.3</v>
      </c>
      <c r="D36">
        <f>IF(COUNT(Resultados!D36,Resultados!M36,Resultados!V36,Resultados!AE36,Resultados!AN36,Resultados!AW36,Resultados!BF36,Resultados!BO36,Resultados!BX36,Resultados!CG36)=0, "", AVERAGE(ABS(Resultados!D36),ABS(Resultados!M36),ABS(Resultados!V36),ABS(Resultados!AE36),ABS(Resultados!AN36),ABS(Resultados!AW36),ABS(Resultados!BF36),ABS(Resultados!BO36),ABS(Resultados!BX36),ABS(Resultados!CG36)))</f>
        <v>2.8949999999999997E-2</v>
      </c>
      <c r="E36">
        <f>IF(COUNT(Resultados!E36,Resultados!N36,Resultados!W36,Resultados!AF36,Resultados!AO36,Resultados!AX36,Resultados!BG36,Resultados!BP36,Resultados!BY36,Resultados!CH36)=0, "", AVERAGE(ABS(Resultados!E36),ABS(Resultados!N36),ABS(Resultados!W36),ABS(Resultados!AF36),ABS(Resultados!AO36),ABS(Resultados!AX36),ABS(Resultados!BG36),ABS(Resultados!BP36),ABS(Resultados!BY36),ABS(Resultados!CH36)))</f>
        <v>7.9253796089538922</v>
      </c>
      <c r="F36">
        <f>IF(COUNT(Resultados!F36,Resultados!O36,Resultados!X36,Resultados!AG36,Resultados!AP36,Resultados!AY36,Resultados!BH36,Resultados!BQ36,Resultados!BZ36,Resultados!CI36)=0, "", AVERAGE(ABS(Resultados!F36),ABS(Resultados!O36),ABS(Resultados!X36),ABS(Resultados!AG36),ABS(Resultados!AP36),ABS(Resultados!AY36),ABS(Resultados!BH36),ABS(Resultados!BQ36),ABS(Resultados!BZ36),ABS(Resultados!CI36)))</f>
        <v>892.11852488972454</v>
      </c>
      <c r="G36">
        <f>IF(COUNT(Resultados!G36,Resultados!P36,Resultados!Y36,Resultados!AH36,Resultados!AQ36,Resultados!AZ36,Resultados!BI36,Resultados!BR36,Resultados!CA36,Resultados!CJ36)=0, "", AVERAGE(ABS(Resultados!G36),ABS(Resultados!P36),ABS(Resultados!Y36),ABS(Resultados!AH36),ABS(Resultados!AQ36),ABS(Resultados!AZ36),ABS(Resultados!BI36),ABS(Resultados!BR36),ABS(Resultados!CA36),ABS(Resultados!CJ36)))</f>
        <v>0.42400000000000004</v>
      </c>
      <c r="H36">
        <f>IF(COUNT(Resultados!H36,Resultados!Q36,Resultados!Z36,Resultados!AI36,Resultados!AR36,Resultados!BA36,Resultados!BJ36,Resultados!BS36,Resultados!CB36,Resultados!CK36)=0, "", AVERAGE(ABS(Resultados!H36),ABS(Resultados!Q36),ABS(Resultados!Z36),ABS(Resultados!AI36),ABS(Resultados!AR36),ABS(Resultados!BA36),ABS(Resultados!BJ36),ABS(Resultados!BS36),ABS(Resultados!CB36),ABS(Resultados!CK36)))</f>
        <v>2.9969999999999997E-2</v>
      </c>
      <c r="I36">
        <f>IF(COUNT(Resultados!I36,Resultados!R36,Resultados!AA36,Resultados!AJ36,Resultados!AS36,Resultados!BB36,Resultados!BK36,Resultados!BT36,Resultados!CC36,Resultados!CL36)=0, "", AVERAGE(ABS(Resultados!I36),ABS(Resultados!R36),ABS(Resultados!AA36),ABS(Resultados!AJ36),ABS(Resultados!AS36),ABS(Resultados!BB36),ABS(Resultados!BK36),ABS(Resultados!BT36),ABS(Resultados!CC36),ABS(Resultados!CL36)))</f>
        <v>6.8416699999999961</v>
      </c>
    </row>
    <row r="37" spans="1:9" x14ac:dyDescent="0.3">
      <c r="A37">
        <f>IF(COUNT(Resultados!A37,Resultados!J37,Resultados!S37,Resultados!AB37,Resultados!AK37,Resultados!AT37,Resultados!BC37,Resultados!BL37,Resultados!BU37,Resultados!CD37)=0, "", AVERAGE(ABS(Resultados!A37),ABS(Resultados!J37),ABS(Resultados!S37),ABS(Resultados!AB37),ABS(Resultados!AK37),ABS(Resultados!AT37),ABS(Resultados!BC37),ABS(Resultados!BL37),ABS(Resultados!BU37),ABS(Resultados!CD37)))</f>
        <v>45681</v>
      </c>
      <c r="B37" t="str">
        <f>IF(COUNT(Resultados!B37,Resultados!K37,Resultados!T37,Resultados!AC37,Resultados!AL37,Resultados!AU37,Resultados!BD37,Resultados!BM37,Resultados!BV37,Resultados!CE37)=0, "", AVERAGE(ABS(Resultados!B37),ABS(Resultados!K37),ABS(Resultados!T37),ABS(Resultados!AC37),ABS(Resultados!AL37),ABS(Resultados!AU37),ABS(Resultados!BD37),ABS(Resultados!BM37),ABS(Resultados!BV37),ABS(Resultados!CE37)))</f>
        <v/>
      </c>
      <c r="C37">
        <f>IF(COUNT(Resultados!C37,Resultados!L37,Resultados!U37,Resultados!AD37,Resultados!AM37,Resultados!AV37,Resultados!BE37,Resultados!BN37,Resultados!BW37,Resultados!CF37)=0, "", AVERAGE(ABS(Resultados!C37),ABS(Resultados!L37),ABS(Resultados!U37),ABS(Resultados!AD37),ABS(Resultados!AM37),ABS(Resultados!AV37),ABS(Resultados!BE37),ABS(Resultados!BN37),ABS(Resultados!BW37),ABS(Resultados!CF37)))</f>
        <v>4.3</v>
      </c>
      <c r="D37">
        <f>IF(COUNT(Resultados!D37,Resultados!M37,Resultados!V37,Resultados!AE37,Resultados!AN37,Resultados!AW37,Resultados!BF37,Resultados!BO37,Resultados!BX37,Resultados!CG37)=0, "", AVERAGE(ABS(Resultados!D37),ABS(Resultados!M37),ABS(Resultados!V37),ABS(Resultados!AE37),ABS(Resultados!AN37),ABS(Resultados!AW37),ABS(Resultados!BF37),ABS(Resultados!BO37),ABS(Resultados!BX37),ABS(Resultados!CG37)))</f>
        <v>3.0010000000000002E-2</v>
      </c>
      <c r="E37">
        <f>IF(COUNT(Resultados!E37,Resultados!N37,Resultados!W37,Resultados!AF37,Resultados!AO37,Resultados!AX37,Resultados!BG37,Resultados!BP37,Resultados!BY37,Resultados!CH37)=0, "", AVERAGE(ABS(Resultados!E37),ABS(Resultados!N37),ABS(Resultados!W37),ABS(Resultados!AF37),ABS(Resultados!AO37),ABS(Resultados!AX37),ABS(Resultados!BG37),ABS(Resultados!BP37),ABS(Resultados!BY37),ABS(Resultados!CH37)))</f>
        <v>7.9902412240366045</v>
      </c>
      <c r="F37">
        <f>IF(COUNT(Resultados!F37,Resultados!O37,Resultados!X37,Resultados!AG37,Resultados!AP37,Resultados!AY37,Resultados!BH37,Resultados!BQ37,Resultados!BZ37,Resultados!CI37)=0, "", AVERAGE(ABS(Resultados!F37),ABS(Resultados!O37),ABS(Resultados!X37),ABS(Resultados!AG37),ABS(Resultados!AP37),ABS(Resultados!AY37),ABS(Resultados!BH37),ABS(Resultados!BQ37),ABS(Resultados!BZ37),ABS(Resultados!CI37)))</f>
        <v>898.27389216107383</v>
      </c>
      <c r="G37">
        <f>IF(COUNT(Resultados!G37,Resultados!P37,Resultados!Y37,Resultados!AH37,Resultados!AQ37,Resultados!AZ37,Resultados!BI37,Resultados!BR37,Resultados!CA37,Resultados!CJ37)=0, "", AVERAGE(ABS(Resultados!G37),ABS(Resultados!P37),ABS(Resultados!Y37),ABS(Resultados!AH37),ABS(Resultados!AQ37),ABS(Resultados!AZ37),ABS(Resultados!BI37),ABS(Resultados!BR37),ABS(Resultados!CA37),ABS(Resultados!CJ37)))</f>
        <v>0.42400000000000004</v>
      </c>
      <c r="H37">
        <f>IF(COUNT(Resultados!H37,Resultados!Q37,Resultados!Z37,Resultados!AI37,Resultados!AR37,Resultados!BA37,Resultados!BJ37,Resultados!BS37,Resultados!CB37,Resultados!CK37)=0, "", AVERAGE(ABS(Resultados!H37),ABS(Resultados!Q37),ABS(Resultados!Z37),ABS(Resultados!AI37),ABS(Resultados!AR37),ABS(Resultados!BA37),ABS(Resultados!BJ37),ABS(Resultados!BS37),ABS(Resultados!CB37),ABS(Resultados!CK37)))</f>
        <v>3.0999999999999993E-2</v>
      </c>
      <c r="I37">
        <f>IF(COUNT(Resultados!I37,Resultados!R37,Resultados!AA37,Resultados!AJ37,Resultados!AS37,Resultados!BB37,Resultados!BK37,Resultados!BT37,Resultados!CC37,Resultados!CL37)=0, "", AVERAGE(ABS(Resultados!I37),ABS(Resultados!R37),ABS(Resultados!AA37),ABS(Resultados!AJ37),ABS(Resultados!AS37),ABS(Resultados!BB37),ABS(Resultados!BK37),ABS(Resultados!BT37),ABS(Resultados!CC37),ABS(Resultados!CL37)))</f>
        <v>7.0406700000000004</v>
      </c>
    </row>
    <row r="38" spans="1:9" x14ac:dyDescent="0.3">
      <c r="A38">
        <f>IF(COUNT(Resultados!A38,Resultados!J38,Resultados!S38,Resultados!AB38,Resultados!AK38,Resultados!AT38,Resultados!BC38,Resultados!BL38,Resultados!BU38,Resultados!CD38)=0, "", AVERAGE(ABS(Resultados!A38),ABS(Resultados!J38),ABS(Resultados!S38),ABS(Resultados!AB38),ABS(Resultados!AK38),ABS(Resultados!AT38),ABS(Resultados!BC38),ABS(Resultados!BL38),ABS(Resultados!BU38),ABS(Resultados!CD38)))</f>
        <v>45681</v>
      </c>
      <c r="B38" t="str">
        <f>IF(COUNT(Resultados!B38,Resultados!K38,Resultados!T38,Resultados!AC38,Resultados!AL38,Resultados!AU38,Resultados!BD38,Resultados!BM38,Resultados!BV38,Resultados!CE38)=0, "", AVERAGE(ABS(Resultados!B38),ABS(Resultados!K38),ABS(Resultados!T38),ABS(Resultados!AC38),ABS(Resultados!AL38),ABS(Resultados!AU38),ABS(Resultados!BD38),ABS(Resultados!BM38),ABS(Resultados!BV38),ABS(Resultados!CE38)))</f>
        <v/>
      </c>
      <c r="C38">
        <f>IF(COUNT(Resultados!C38,Resultados!L38,Resultados!U38,Resultados!AD38,Resultados!AM38,Resultados!AV38,Resultados!BE38,Resultados!BN38,Resultados!BW38,Resultados!CF38)=0, "", AVERAGE(ABS(Resultados!C38),ABS(Resultados!L38),ABS(Resultados!U38),ABS(Resultados!AD38),ABS(Resultados!AM38),ABS(Resultados!AV38),ABS(Resultados!BE38),ABS(Resultados!BN38),ABS(Resultados!BW38),ABS(Resultados!CF38)))</f>
        <v>4.3</v>
      </c>
      <c r="D38">
        <f>IF(COUNT(Resultados!D38,Resultados!M38,Resultados!V38,Resultados!AE38,Resultados!AN38,Resultados!AW38,Resultados!BF38,Resultados!BO38,Resultados!BX38,Resultados!CG38)=0, "", AVERAGE(ABS(Resultados!D38),ABS(Resultados!M38),ABS(Resultados!V38),ABS(Resultados!AE38),ABS(Resultados!AN38),ABS(Resultados!AW38),ABS(Resultados!BF38),ABS(Resultados!BO38),ABS(Resultados!BX38),ABS(Resultados!CG38)))</f>
        <v>3.0930000000000003E-2</v>
      </c>
      <c r="E38">
        <f>IF(COUNT(Resultados!E38,Resultados!N38,Resultados!W38,Resultados!AF38,Resultados!AO38,Resultados!AX38,Resultados!BG38,Resultados!BP38,Resultados!BY38,Resultados!CH38)=0, "", AVERAGE(ABS(Resultados!E38),ABS(Resultados!N38),ABS(Resultados!W38),ABS(Resultados!AF38),ABS(Resultados!AO38),ABS(Resultados!AX38),ABS(Resultados!BG38),ABS(Resultados!BP38),ABS(Resultados!BY38),ABS(Resultados!CH38)))</f>
        <v>8.0524990276042807</v>
      </c>
      <c r="F38">
        <f>IF(COUNT(Resultados!F38,Resultados!O38,Resultados!X38,Resultados!AG38,Resultados!AP38,Resultados!AY38,Resultados!BH38,Resultados!BQ38,Resultados!BZ38,Resultados!CI38)=0, "", AVERAGE(ABS(Resultados!F38),ABS(Resultados!O38),ABS(Resultados!X38),ABS(Resultados!AG38),ABS(Resultados!AP38),ABS(Resultados!AY38),ABS(Resultados!BH38),ABS(Resultados!BQ38),ABS(Resultados!BZ38),ABS(Resultados!CI38)))</f>
        <v>904.1821577196464</v>
      </c>
      <c r="G38">
        <f>IF(COUNT(Resultados!G38,Resultados!P38,Resultados!Y38,Resultados!AH38,Resultados!AQ38,Resultados!AZ38,Resultados!BI38,Resultados!BR38,Resultados!CA38,Resultados!CJ38)=0, "", AVERAGE(ABS(Resultados!G38),ABS(Resultados!P38),ABS(Resultados!Y38),ABS(Resultados!AH38),ABS(Resultados!AQ38),ABS(Resultados!AZ38),ABS(Resultados!BI38),ABS(Resultados!BR38),ABS(Resultados!CA38),ABS(Resultados!CJ38)))</f>
        <v>0.42400000000000004</v>
      </c>
      <c r="H38">
        <f>IF(COUNT(Resultados!H38,Resultados!Q38,Resultados!Z38,Resultados!AI38,Resultados!AR38,Resultados!BA38,Resultados!BJ38,Resultados!BS38,Resultados!CB38,Resultados!CK38)=0, "", AVERAGE(ABS(Resultados!H38),ABS(Resultados!Q38),ABS(Resultados!Z38),ABS(Resultados!AI38),ABS(Resultados!AR38),ABS(Resultados!BA38),ABS(Resultados!BJ38),ABS(Resultados!BS38),ABS(Resultados!CB38),ABS(Resultados!CK38)))</f>
        <v>3.1969999999999998E-2</v>
      </c>
      <c r="I38">
        <f>IF(COUNT(Resultados!I38,Resultados!R38,Resultados!AA38,Resultados!AJ38,Resultados!AS38,Resultados!BB38,Resultados!BK38,Resultados!BT38,Resultados!CC38,Resultados!CL38)=0, "", AVERAGE(ABS(Resultados!I38),ABS(Resultados!R38),ABS(Resultados!AA38),ABS(Resultados!AJ38),ABS(Resultados!AS38),ABS(Resultados!BB38),ABS(Resultados!BK38),ABS(Resultados!BT38),ABS(Resultados!CC38),ABS(Resultados!CL38)))</f>
        <v>7.2401899999999983</v>
      </c>
    </row>
    <row r="39" spans="1:9" x14ac:dyDescent="0.3">
      <c r="A39">
        <f>IF(COUNT(Resultados!A39,Resultados!J39,Resultados!S39,Resultados!AB39,Resultados!AK39,Resultados!AT39,Resultados!BC39,Resultados!BL39,Resultados!BU39,Resultados!CD39)=0, "", AVERAGE(ABS(Resultados!A39),ABS(Resultados!J39),ABS(Resultados!S39),ABS(Resultados!AB39),ABS(Resultados!AK39),ABS(Resultados!AT39),ABS(Resultados!BC39),ABS(Resultados!BL39),ABS(Resultados!BU39),ABS(Resultados!CD39)))</f>
        <v>45681</v>
      </c>
      <c r="B39" t="str">
        <f>IF(COUNT(Resultados!B39,Resultados!K39,Resultados!T39,Resultados!AC39,Resultados!AL39,Resultados!AU39,Resultados!BD39,Resultados!BM39,Resultados!BV39,Resultados!CE39)=0, "", AVERAGE(ABS(Resultados!B39),ABS(Resultados!K39),ABS(Resultados!T39),ABS(Resultados!AC39),ABS(Resultados!AL39),ABS(Resultados!AU39),ABS(Resultados!BD39),ABS(Resultados!BM39),ABS(Resultados!BV39),ABS(Resultados!CE39)))</f>
        <v/>
      </c>
      <c r="C39">
        <f>IF(COUNT(Resultados!C39,Resultados!L39,Resultados!U39,Resultados!AD39,Resultados!AM39,Resultados!AV39,Resultados!BE39,Resultados!BN39,Resultados!BW39,Resultados!CF39)=0, "", AVERAGE(ABS(Resultados!C39),ABS(Resultados!L39),ABS(Resultados!U39),ABS(Resultados!AD39),ABS(Resultados!AM39),ABS(Resultados!AV39),ABS(Resultados!BE39),ABS(Resultados!BN39),ABS(Resultados!BW39),ABS(Resultados!CF39)))</f>
        <v>4.3</v>
      </c>
      <c r="D39">
        <f>IF(COUNT(Resultados!D39,Resultados!M39,Resultados!V39,Resultados!AE39,Resultados!AN39,Resultados!AW39,Resultados!BF39,Resultados!BO39,Resultados!BX39,Resultados!CG39)=0, "", AVERAGE(ABS(Resultados!D39),ABS(Resultados!M39),ABS(Resultados!V39),ABS(Resultados!AE39),ABS(Resultados!AN39),ABS(Resultados!AW39),ABS(Resultados!BF39),ABS(Resultados!BO39),ABS(Resultados!BX39),ABS(Resultados!CG39)))</f>
        <v>3.1770000000000007E-2</v>
      </c>
      <c r="E39">
        <f>IF(COUNT(Resultados!E39,Resultados!N39,Resultados!W39,Resultados!AF39,Resultados!AO39,Resultados!AX39,Resultados!BG39,Resultados!BP39,Resultados!BY39,Resultados!CH39)=0, "", AVERAGE(ABS(Resultados!E39),ABS(Resultados!N39),ABS(Resultados!W39),ABS(Resultados!AF39),ABS(Resultados!AO39),ABS(Resultados!AX39),ABS(Resultados!BG39),ABS(Resultados!BP39),ABS(Resultados!BY39),ABS(Resultados!CH39)))</f>
        <v>8.1119703145369879</v>
      </c>
      <c r="F39">
        <f>IF(COUNT(Resultados!F39,Resultados!O39,Resultados!X39,Resultados!AG39,Resultados!AP39,Resultados!AY39,Resultados!BH39,Resultados!BQ39,Resultados!BZ39,Resultados!CI39)=0, "", AVERAGE(ABS(Resultados!F39),ABS(Resultados!O39),ABS(Resultados!X39),ABS(Resultados!AG39),ABS(Resultados!AP39),ABS(Resultados!AY39),ABS(Resultados!BH39),ABS(Resultados!BQ39),ABS(Resultados!BZ39),ABS(Resultados!CI39)))</f>
        <v>909.82598284956043</v>
      </c>
      <c r="G39">
        <f>IF(COUNT(Resultados!G39,Resultados!P39,Resultados!Y39,Resultados!AH39,Resultados!AQ39,Resultados!AZ39,Resultados!BI39,Resultados!BR39,Resultados!CA39,Resultados!CJ39)=0, "", AVERAGE(ABS(Resultados!G39),ABS(Resultados!P39),ABS(Resultados!Y39),ABS(Resultados!AH39),ABS(Resultados!AQ39),ABS(Resultados!AZ39),ABS(Resultados!BI39),ABS(Resultados!BR39),ABS(Resultados!CA39),ABS(Resultados!CJ39)))</f>
        <v>0.42400000000000004</v>
      </c>
      <c r="H39">
        <f>IF(COUNT(Resultados!H39,Resultados!Q39,Resultados!Z39,Resultados!AI39,Resultados!AR39,Resultados!BA39,Resultados!BJ39,Resultados!BS39,Resultados!CB39,Resultados!CK39)=0, "", AVERAGE(ABS(Resultados!H39),ABS(Resultados!Q39),ABS(Resultados!Z39),ABS(Resultados!AI39),ABS(Resultados!AR39),ABS(Resultados!BA39),ABS(Resultados!BJ39),ABS(Resultados!BS39),ABS(Resultados!CB39),ABS(Resultados!CK39)))</f>
        <v>3.2889999999999989E-2</v>
      </c>
      <c r="I39">
        <f>IF(COUNT(Resultados!I39,Resultados!R39,Resultados!AA39,Resultados!AJ39,Resultados!AS39,Resultados!BB39,Resultados!BK39,Resultados!BT39,Resultados!CC39,Resultados!CL39)=0, "", AVERAGE(ABS(Resultados!I39),ABS(Resultados!R39),ABS(Resultados!AA39),ABS(Resultados!AJ39),ABS(Resultados!AS39),ABS(Resultados!BB39),ABS(Resultados!BK39),ABS(Resultados!BT39),ABS(Resultados!CC39),ABS(Resultados!CL39)))</f>
        <v>7.4406199999999787</v>
      </c>
    </row>
    <row r="40" spans="1:9" x14ac:dyDescent="0.3">
      <c r="A40">
        <f>IF(COUNT(Resultados!A40,Resultados!J40,Resultados!S40,Resultados!AB40,Resultados!AK40,Resultados!AT40,Resultados!BC40,Resultados!BL40,Resultados!BU40,Resultados!CD40)=0, "", AVERAGE(ABS(Resultados!A40),ABS(Resultados!J40),ABS(Resultados!S40),ABS(Resultados!AB40),ABS(Resultados!AK40),ABS(Resultados!AT40),ABS(Resultados!BC40),ABS(Resultados!BL40),ABS(Resultados!BU40),ABS(Resultados!CD40)))</f>
        <v>45681</v>
      </c>
      <c r="B40" t="str">
        <f>IF(COUNT(Resultados!B40,Resultados!K40,Resultados!T40,Resultados!AC40,Resultados!AL40,Resultados!AU40,Resultados!BD40,Resultados!BM40,Resultados!BV40,Resultados!CE40)=0, "", AVERAGE(ABS(Resultados!B40),ABS(Resultados!K40),ABS(Resultados!T40),ABS(Resultados!AC40),ABS(Resultados!AL40),ABS(Resultados!AU40),ABS(Resultados!BD40),ABS(Resultados!BM40),ABS(Resultados!BV40),ABS(Resultados!CE40)))</f>
        <v/>
      </c>
      <c r="C40">
        <f>IF(COUNT(Resultados!C40,Resultados!L40,Resultados!U40,Resultados!AD40,Resultados!AM40,Resultados!AV40,Resultados!BE40,Resultados!BN40,Resultados!BW40,Resultados!CF40)=0, "", AVERAGE(ABS(Resultados!C40),ABS(Resultados!L40),ABS(Resultados!U40),ABS(Resultados!AD40),ABS(Resultados!AM40),ABS(Resultados!AV40),ABS(Resultados!BE40),ABS(Resultados!BN40),ABS(Resultados!BW40),ABS(Resultados!CF40)))</f>
        <v>4.3</v>
      </c>
      <c r="D40">
        <f>IF(COUNT(Resultados!D40,Resultados!M40,Resultados!V40,Resultados!AE40,Resultados!AN40,Resultados!AW40,Resultados!BF40,Resultados!BO40,Resultados!BX40,Resultados!CG40)=0, "", AVERAGE(ABS(Resultados!D40),ABS(Resultados!M40),ABS(Resultados!V40),ABS(Resultados!AE40),ABS(Resultados!AN40),ABS(Resultados!AW40),ABS(Resultados!BF40),ABS(Resultados!BO40),ABS(Resultados!BX40),ABS(Resultados!CG40)))</f>
        <v>3.286E-2</v>
      </c>
      <c r="E40">
        <f>IF(COUNT(Resultados!E40,Resultados!N40,Resultados!W40,Resultados!AF40,Resultados!AO40,Resultados!AX40,Resultados!BG40,Resultados!BP40,Resultados!BY40,Resultados!CH40)=0, "", AVERAGE(ABS(Resultados!E40),ABS(Resultados!N40),ABS(Resultados!W40),ABS(Resultados!AF40),ABS(Resultados!AO40),ABS(Resultados!AX40),ABS(Resultados!BG40),ABS(Resultados!BP40),ABS(Resultados!BY40),ABS(Resultados!CH40)))</f>
        <v>8.167993640400308</v>
      </c>
      <c r="F40">
        <f>IF(COUNT(Resultados!F40,Resultados!O40,Resultados!X40,Resultados!AG40,Resultados!AP40,Resultados!AY40,Resultados!BH40,Resultados!BQ40,Resultados!BZ40,Resultados!CI40)=0, "", AVERAGE(ABS(Resultados!F40),ABS(Resultados!O40),ABS(Resultados!X40),ABS(Resultados!AG40),ABS(Resultados!AP40),ABS(Resultados!AY40),ABS(Resultados!BH40),ABS(Resultados!BQ40),ABS(Resultados!BZ40),ABS(Resultados!CI40)))</f>
        <v>915.14259647398944</v>
      </c>
      <c r="G40">
        <f>IF(COUNT(Resultados!G40,Resultados!P40,Resultados!Y40,Resultados!AH40,Resultados!AQ40,Resultados!AZ40,Resultados!BI40,Resultados!BR40,Resultados!CA40,Resultados!CJ40)=0, "", AVERAGE(ABS(Resultados!G40),ABS(Resultados!P40),ABS(Resultados!Y40),ABS(Resultados!AH40),ABS(Resultados!AQ40),ABS(Resultados!AZ40),ABS(Resultados!BI40),ABS(Resultados!BR40),ABS(Resultados!CA40),ABS(Resultados!CJ40)))</f>
        <v>0.42400000000000004</v>
      </c>
      <c r="H40">
        <f>IF(COUNT(Resultados!H40,Resultados!Q40,Resultados!Z40,Resultados!AI40,Resultados!AR40,Resultados!BA40,Resultados!BJ40,Resultados!BS40,Resultados!CB40,Resultados!CK40)=0, "", AVERAGE(ABS(Resultados!H40),ABS(Resultados!Q40),ABS(Resultados!Z40),ABS(Resultados!AI40),ABS(Resultados!AR40),ABS(Resultados!BA40),ABS(Resultados!BJ40),ABS(Resultados!BS40),ABS(Resultados!CB40),ABS(Resultados!CK40)))</f>
        <v>3.3740000000000006E-2</v>
      </c>
      <c r="I40">
        <f>IF(COUNT(Resultados!I40,Resultados!R40,Resultados!AA40,Resultados!AJ40,Resultados!AS40,Resultados!BB40,Resultados!BK40,Resultados!BT40,Resultados!CC40,Resultados!CL40)=0, "", AVERAGE(ABS(Resultados!I40),ABS(Resultados!R40),ABS(Resultados!AA40),ABS(Resultados!AJ40),ABS(Resultados!AS40),ABS(Resultados!BB40),ABS(Resultados!BK40),ABS(Resultados!BT40),ABS(Resultados!CC40),ABS(Resultados!CL40)))</f>
        <v>7.6407000000000007</v>
      </c>
    </row>
    <row r="41" spans="1:9" x14ac:dyDescent="0.3">
      <c r="A41">
        <f>IF(COUNT(Resultados!A41,Resultados!J41,Resultados!S41,Resultados!AB41,Resultados!AK41,Resultados!AT41,Resultados!BC41,Resultados!BL41,Resultados!BU41,Resultados!CD41)=0, "", AVERAGE(ABS(Resultados!A41),ABS(Resultados!J41),ABS(Resultados!S41),ABS(Resultados!AB41),ABS(Resultados!AK41),ABS(Resultados!AT41),ABS(Resultados!BC41),ABS(Resultados!BL41),ABS(Resultados!BU41),ABS(Resultados!CD41)))</f>
        <v>45681</v>
      </c>
      <c r="B41" t="str">
        <f>IF(COUNT(Resultados!B41,Resultados!K41,Resultados!T41,Resultados!AC41,Resultados!AL41,Resultados!AU41,Resultados!BD41,Resultados!BM41,Resultados!BV41,Resultados!CE41)=0, "", AVERAGE(ABS(Resultados!B41),ABS(Resultados!K41),ABS(Resultados!T41),ABS(Resultados!AC41),ABS(Resultados!AL41),ABS(Resultados!AU41),ABS(Resultados!BD41),ABS(Resultados!BM41),ABS(Resultados!BV41),ABS(Resultados!CE41)))</f>
        <v/>
      </c>
      <c r="C41">
        <f>IF(COUNT(Resultados!C41,Resultados!L41,Resultados!U41,Resultados!AD41,Resultados!AM41,Resultados!AV41,Resultados!BE41,Resultados!BN41,Resultados!BW41,Resultados!CF41)=0, "", AVERAGE(ABS(Resultados!C41),ABS(Resultados!L41),ABS(Resultados!U41),ABS(Resultados!AD41),ABS(Resultados!AM41),ABS(Resultados!AV41),ABS(Resultados!BE41),ABS(Resultados!BN41),ABS(Resultados!BW41),ABS(Resultados!CF41)))</f>
        <v>4.3</v>
      </c>
      <c r="D41">
        <f>IF(COUNT(Resultados!D41,Resultados!M41,Resultados!V41,Resultados!AE41,Resultados!AN41,Resultados!AW41,Resultados!BF41,Resultados!BO41,Resultados!BX41,Resultados!CG41)=0, "", AVERAGE(ABS(Resultados!D41),ABS(Resultados!M41),ABS(Resultados!V41),ABS(Resultados!AE41),ABS(Resultados!AN41),ABS(Resultados!AW41),ABS(Resultados!BF41),ABS(Resultados!BO41),ABS(Resultados!BX41),ABS(Resultados!CG41)))</f>
        <v>3.3779999999999998E-2</v>
      </c>
      <c r="E41">
        <f>IF(COUNT(Resultados!E41,Resultados!N41,Resultados!W41,Resultados!AF41,Resultados!AO41,Resultados!AX41,Resultados!BG41,Resultados!BP41,Resultados!BY41,Resultados!CH41)=0, "", AVERAGE(ABS(Resultados!E41),ABS(Resultados!N41),ABS(Resultados!W41),ABS(Resultados!AF41),ABS(Resultados!AO41),ABS(Resultados!AX41),ABS(Resultados!BG41),ABS(Resultados!BP41),ABS(Resultados!BY41),ABS(Resultados!CH41)))</f>
        <v>8.2207799310783791</v>
      </c>
      <c r="F41">
        <f>IF(COUNT(Resultados!F41,Resultados!O41,Resultados!X41,Resultados!AG41,Resultados!AP41,Resultados!AY41,Resultados!BH41,Resultados!BQ41,Resultados!BZ41,Resultados!CI41)=0, "", AVERAGE(ABS(Resultados!F41),ABS(Resultados!O41),ABS(Resultados!X41),ABS(Resultados!AG41),ABS(Resultados!AP41),ABS(Resultados!AY41),ABS(Resultados!BH41),ABS(Resultados!BQ41),ABS(Resultados!BZ41),ABS(Resultados!CI41)))</f>
        <v>920.15201545933814</v>
      </c>
      <c r="G41">
        <f>IF(COUNT(Resultados!G41,Resultados!P41,Resultados!Y41,Resultados!AH41,Resultados!AQ41,Resultados!AZ41,Resultados!BI41,Resultados!BR41,Resultados!CA41,Resultados!CJ41)=0, "", AVERAGE(ABS(Resultados!G41),ABS(Resultados!P41),ABS(Resultados!Y41),ABS(Resultados!AH41),ABS(Resultados!AQ41),ABS(Resultados!AZ41),ABS(Resultados!BI41),ABS(Resultados!BR41),ABS(Resultados!CA41),ABS(Resultados!CJ41)))</f>
        <v>0.42400000000000004</v>
      </c>
      <c r="H41">
        <f>IF(COUNT(Resultados!H41,Resultados!Q41,Resultados!Z41,Resultados!AI41,Resultados!AR41,Resultados!BA41,Resultados!BJ41,Resultados!BS41,Resultados!CB41,Resultados!CK41)=0, "", AVERAGE(ABS(Resultados!H41),ABS(Resultados!Q41),ABS(Resultados!Z41),ABS(Resultados!AI41),ABS(Resultados!AR41),ABS(Resultados!BA41),ABS(Resultados!BJ41),ABS(Resultados!BS41),ABS(Resultados!CB41),ABS(Resultados!CK41)))</f>
        <v>3.456E-2</v>
      </c>
      <c r="I41">
        <f>IF(COUNT(Resultados!I41,Resultados!R41,Resultados!AA41,Resultados!AJ41,Resultados!AS41,Resultados!BB41,Resultados!BK41,Resultados!BT41,Resultados!CC41,Resultados!CL41)=0, "", AVERAGE(ABS(Resultados!I41),ABS(Resultados!R41),ABS(Resultados!AA41),ABS(Resultados!AJ41),ABS(Resultados!AS41),ABS(Resultados!BB41),ABS(Resultados!BK41),ABS(Resultados!BT41),ABS(Resultados!CC41),ABS(Resultados!CL41)))</f>
        <v>7.8416799999999851</v>
      </c>
    </row>
    <row r="42" spans="1:9" x14ac:dyDescent="0.3">
      <c r="A42">
        <f>IF(COUNT(Resultados!A42,Resultados!J42,Resultados!S42,Resultados!AB42,Resultados!AK42,Resultados!AT42,Resultados!BC42,Resultados!BL42,Resultados!BU42,Resultados!CD42)=0, "", AVERAGE(ABS(Resultados!A42),ABS(Resultados!J42),ABS(Resultados!S42),ABS(Resultados!AB42),ABS(Resultados!AK42),ABS(Resultados!AT42),ABS(Resultados!BC42),ABS(Resultados!BL42),ABS(Resultados!BU42),ABS(Resultados!CD42)))</f>
        <v>45681</v>
      </c>
      <c r="B42" t="str">
        <f>IF(COUNT(Resultados!B42,Resultados!K42,Resultados!T42,Resultados!AC42,Resultados!AL42,Resultados!AU42,Resultados!BD42,Resultados!BM42,Resultados!BV42,Resultados!CE42)=0, "", AVERAGE(ABS(Resultados!B42),ABS(Resultados!K42),ABS(Resultados!T42),ABS(Resultados!AC42),ABS(Resultados!AL42),ABS(Resultados!AU42),ABS(Resultados!BD42),ABS(Resultados!BM42),ABS(Resultados!BV42),ABS(Resultados!CE42)))</f>
        <v/>
      </c>
      <c r="C42">
        <f>IF(COUNT(Resultados!C42,Resultados!L42,Resultados!U42,Resultados!AD42,Resultados!AM42,Resultados!AV42,Resultados!BE42,Resultados!BN42,Resultados!BW42,Resultados!CF42)=0, "", AVERAGE(ABS(Resultados!C42),ABS(Resultados!L42),ABS(Resultados!U42),ABS(Resultados!AD42),ABS(Resultados!AM42),ABS(Resultados!AV42),ABS(Resultados!BE42),ABS(Resultados!BN42),ABS(Resultados!BW42),ABS(Resultados!CF42)))</f>
        <v>4.3</v>
      </c>
      <c r="D42">
        <f>IF(COUNT(Resultados!D42,Resultados!M42,Resultados!V42,Resultados!AE42,Resultados!AN42,Resultados!AW42,Resultados!BF42,Resultados!BO42,Resultados!BX42,Resultados!CG42)=0, "", AVERAGE(ABS(Resultados!D42),ABS(Resultados!M42),ABS(Resultados!V42),ABS(Resultados!AE42),ABS(Resultados!AN42),ABS(Resultados!AW42),ABS(Resultados!BF42),ABS(Resultados!BO42),ABS(Resultados!BX42),ABS(Resultados!CG42)))</f>
        <v>3.4689999999999999E-2</v>
      </c>
      <c r="E42">
        <f>IF(COUNT(Resultados!E42,Resultados!N42,Resultados!W42,Resultados!AF42,Resultados!AO42,Resultados!AX42,Resultados!BG42,Resultados!BP42,Resultados!BY42,Resultados!CH42)=0, "", AVERAGE(ABS(Resultados!E42),ABS(Resultados!N42),ABS(Resultados!W42),ABS(Resultados!AF42),ABS(Resultados!AO42),ABS(Resultados!AX42),ABS(Resultados!BG42),ABS(Resultados!BP42),ABS(Resultados!BY42),ABS(Resultados!CH42)))</f>
        <v>8.2693964011109031</v>
      </c>
      <c r="F42">
        <f>IF(COUNT(Resultados!F42,Resultados!O42,Resultados!X42,Resultados!AG42,Resultados!AP42,Resultados!AY42,Resultados!BH42,Resultados!BQ42,Resultados!BZ42,Resultados!CI42)=0, "", AVERAGE(ABS(Resultados!F42),ABS(Resultados!O42),ABS(Resultados!X42),ABS(Resultados!AG42),ABS(Resultados!AP42),ABS(Resultados!AY42),ABS(Resultados!BH42),ABS(Resultados!BQ42),ABS(Resultados!BZ42),ABS(Resultados!CI42)))</f>
        <v>924.7657184654247</v>
      </c>
      <c r="G42">
        <f>IF(COUNT(Resultados!G42,Resultados!P42,Resultados!Y42,Resultados!AH42,Resultados!AQ42,Resultados!AZ42,Resultados!BI42,Resultados!BR42,Resultados!CA42,Resultados!CJ42)=0, "", AVERAGE(ABS(Resultados!G42),ABS(Resultados!P42),ABS(Resultados!Y42),ABS(Resultados!AH42),ABS(Resultados!AQ42),ABS(Resultados!AZ42),ABS(Resultados!BI42),ABS(Resultados!BR42),ABS(Resultados!CA42),ABS(Resultados!CJ42)))</f>
        <v>0.42400000000000004</v>
      </c>
      <c r="H42">
        <f>IF(COUNT(Resultados!H42,Resultados!Q42,Resultados!Z42,Resultados!AI42,Resultados!AR42,Resultados!BA42,Resultados!BJ42,Resultados!BS42,Resultados!CB42,Resultados!CK42)=0, "", AVERAGE(ABS(Resultados!H42),ABS(Resultados!Q42),ABS(Resultados!Z42),ABS(Resultados!AI42),ABS(Resultados!AR42),ABS(Resultados!BA42),ABS(Resultados!BJ42),ABS(Resultados!BS42),ABS(Resultados!CB42),ABS(Resultados!CK42)))</f>
        <v>3.533E-2</v>
      </c>
      <c r="I42">
        <f>IF(COUNT(Resultados!I42,Resultados!R42,Resultados!AA42,Resultados!AJ42,Resultados!AS42,Resultados!BB42,Resultados!BK42,Resultados!BT42,Resultados!CC42,Resultados!CL42)=0, "", AVERAGE(ABS(Resultados!I42),ABS(Resultados!R42),ABS(Resultados!AA42),ABS(Resultados!AJ42),ABS(Resultados!AS42),ABS(Resultados!BB42),ABS(Resultados!BK42),ABS(Resultados!BT42),ABS(Resultados!CC42),ABS(Resultados!CL42)))</f>
        <v>8.0408199999999823</v>
      </c>
    </row>
    <row r="43" spans="1:9" x14ac:dyDescent="0.3">
      <c r="A43">
        <f>IF(COUNT(Resultados!A43,Resultados!J43,Resultados!S43,Resultados!AB43,Resultados!AK43,Resultados!AT43,Resultados!BC43,Resultados!BL43,Resultados!BU43,Resultados!CD43)=0, "", AVERAGE(ABS(Resultados!A43),ABS(Resultados!J43),ABS(Resultados!S43),ABS(Resultados!AB43),ABS(Resultados!AK43),ABS(Resultados!AT43),ABS(Resultados!BC43),ABS(Resultados!BL43),ABS(Resultados!BU43),ABS(Resultados!CD43)))</f>
        <v>45681</v>
      </c>
      <c r="B43" t="str">
        <f>IF(COUNT(Resultados!B43,Resultados!K43,Resultados!T43,Resultados!AC43,Resultados!AL43,Resultados!AU43,Resultados!BD43,Resultados!BM43,Resultados!BV43,Resultados!CE43)=0, "", AVERAGE(ABS(Resultados!B43),ABS(Resultados!K43),ABS(Resultados!T43),ABS(Resultados!AC43),ABS(Resultados!AL43),ABS(Resultados!AU43),ABS(Resultados!BD43),ABS(Resultados!BM43),ABS(Resultados!BV43),ABS(Resultados!CE43)))</f>
        <v/>
      </c>
      <c r="C43">
        <f>IF(COUNT(Resultados!C43,Resultados!L43,Resultados!U43,Resultados!AD43,Resultados!AM43,Resultados!AV43,Resultados!BE43,Resultados!BN43,Resultados!BW43,Resultados!CF43)=0, "", AVERAGE(ABS(Resultados!C43),ABS(Resultados!L43),ABS(Resultados!U43),ABS(Resultados!AD43),ABS(Resultados!AM43),ABS(Resultados!AV43),ABS(Resultados!BE43),ABS(Resultados!BN43),ABS(Resultados!BW43),ABS(Resultados!CF43)))</f>
        <v>4.3</v>
      </c>
      <c r="D43">
        <f>IF(COUNT(Resultados!D43,Resultados!M43,Resultados!V43,Resultados!AE43,Resultados!AN43,Resultados!AW43,Resultados!BF43,Resultados!BO43,Resultados!BX43,Resultados!CG43)=0, "", AVERAGE(ABS(Resultados!D43),ABS(Resultados!M43),ABS(Resultados!V43),ABS(Resultados!AE43),ABS(Resultados!AN43),ABS(Resultados!AW43),ABS(Resultados!BF43),ABS(Resultados!BO43),ABS(Resultados!BX43),ABS(Resultados!CG43)))</f>
        <v>3.5430000000000003E-2</v>
      </c>
      <c r="E43">
        <f>IF(COUNT(Resultados!E43,Resultados!N43,Resultados!W43,Resultados!AF43,Resultados!AO43,Resultados!AX43,Resultados!BG43,Resultados!BP43,Resultados!BY43,Resultados!CH43)=0, "", AVERAGE(ABS(Resultados!E43),ABS(Resultados!N43),ABS(Resultados!W43),ABS(Resultados!AF43),ABS(Resultados!AO43),ABS(Resultados!AX43),ABS(Resultados!BG43),ABS(Resultados!BP43),ABS(Resultados!BY43),ABS(Resultados!CH43)))</f>
        <v>8.3143602284394618</v>
      </c>
      <c r="F43">
        <f>IF(COUNT(Resultados!F43,Resultados!O43,Resultados!X43,Resultados!AG43,Resultados!AP43,Resultados!AY43,Resultados!BH43,Resultados!BQ43,Resultados!BZ43,Resultados!CI43)=0, "", AVERAGE(ABS(Resultados!F43),ABS(Resultados!O43),ABS(Resultados!X43),ABS(Resultados!AG43),ABS(Resultados!AP43),ABS(Resultados!AY43),ABS(Resultados!BH43),ABS(Resultados!BQ43),ABS(Resultados!BZ43),ABS(Resultados!CI43)))</f>
        <v>929.03278567890482</v>
      </c>
      <c r="G43">
        <f>IF(COUNT(Resultados!G43,Resultados!P43,Resultados!Y43,Resultados!AH43,Resultados!AQ43,Resultados!AZ43,Resultados!BI43,Resultados!BR43,Resultados!CA43,Resultados!CJ43)=0, "", AVERAGE(ABS(Resultados!G43),ABS(Resultados!P43),ABS(Resultados!Y43),ABS(Resultados!AH43),ABS(Resultados!AQ43),ABS(Resultados!AZ43),ABS(Resultados!BI43),ABS(Resultados!BR43),ABS(Resultados!CA43),ABS(Resultados!CJ43)))</f>
        <v>0.42400000000000004</v>
      </c>
      <c r="H43">
        <f>IF(COUNT(Resultados!H43,Resultados!Q43,Resultados!Z43,Resultados!AI43,Resultados!AR43,Resultados!BA43,Resultados!BJ43,Resultados!BS43,Resultados!CB43,Resultados!CK43)=0, "", AVERAGE(ABS(Resultados!H43),ABS(Resultados!Q43),ABS(Resultados!Z43),ABS(Resultados!AI43),ABS(Resultados!AR43),ABS(Resultados!BA43),ABS(Resultados!BJ43),ABS(Resultados!BS43),ABS(Resultados!CB43),ABS(Resultados!CK43)))</f>
        <v>3.6029999999999993E-2</v>
      </c>
      <c r="I43">
        <f>IF(COUNT(Resultados!I43,Resultados!R43,Resultados!AA43,Resultados!AJ43,Resultados!AS43,Resultados!BB43,Resultados!BK43,Resultados!BT43,Resultados!CC43,Resultados!CL43)=0, "", AVERAGE(ABS(Resultados!I43),ABS(Resultados!R43),ABS(Resultados!AA43),ABS(Resultados!AJ43),ABS(Resultados!AS43),ABS(Resultados!BB43),ABS(Resultados!BK43),ABS(Resultados!BT43),ABS(Resultados!CC43),ABS(Resultados!CL43)))</f>
        <v>8.2408099999999909</v>
      </c>
    </row>
    <row r="44" spans="1:9" x14ac:dyDescent="0.3">
      <c r="A44">
        <f>IF(COUNT(Resultados!A44,Resultados!J44,Resultados!S44,Resultados!AB44,Resultados!AK44,Resultados!AT44,Resultados!BC44,Resultados!BL44,Resultados!BU44,Resultados!CD44)=0, "", AVERAGE(ABS(Resultados!A44),ABS(Resultados!J44),ABS(Resultados!S44),ABS(Resultados!AB44),ABS(Resultados!AK44),ABS(Resultados!AT44),ABS(Resultados!BC44),ABS(Resultados!BL44),ABS(Resultados!BU44),ABS(Resultados!CD44)))</f>
        <v>45681</v>
      </c>
      <c r="B44" t="str">
        <f>IF(COUNT(Resultados!B44,Resultados!K44,Resultados!T44,Resultados!AC44,Resultados!AL44,Resultados!AU44,Resultados!BD44,Resultados!BM44,Resultados!BV44,Resultados!CE44)=0, "", AVERAGE(ABS(Resultados!B44),ABS(Resultados!K44),ABS(Resultados!T44),ABS(Resultados!AC44),ABS(Resultados!AL44),ABS(Resultados!AU44),ABS(Resultados!BD44),ABS(Resultados!BM44),ABS(Resultados!BV44),ABS(Resultados!CE44)))</f>
        <v/>
      </c>
      <c r="C44">
        <f>IF(COUNT(Resultados!C44,Resultados!L44,Resultados!U44,Resultados!AD44,Resultados!AM44,Resultados!AV44,Resultados!BE44,Resultados!BN44,Resultados!BW44,Resultados!CF44)=0, "", AVERAGE(ABS(Resultados!C44),ABS(Resultados!L44),ABS(Resultados!U44),ABS(Resultados!AD44),ABS(Resultados!AM44),ABS(Resultados!AV44),ABS(Resultados!BE44),ABS(Resultados!BN44),ABS(Resultados!BW44),ABS(Resultados!CF44)))</f>
        <v>4.3</v>
      </c>
      <c r="D44">
        <f>IF(COUNT(Resultados!D44,Resultados!M44,Resultados!V44,Resultados!AE44,Resultados!AN44,Resultados!AW44,Resultados!BF44,Resultados!BO44,Resultados!BX44,Resultados!CG44)=0, "", AVERAGE(ABS(Resultados!D44),ABS(Resultados!M44),ABS(Resultados!V44),ABS(Resultados!AE44),ABS(Resultados!AN44),ABS(Resultados!AW44),ABS(Resultados!BF44),ABS(Resultados!BO44),ABS(Resultados!BX44),ABS(Resultados!CG44)))</f>
        <v>3.6150000000000002E-2</v>
      </c>
      <c r="E44">
        <f>IF(COUNT(Resultados!E44,Resultados!N44,Resultados!W44,Resultados!AF44,Resultados!AO44,Resultados!AX44,Resultados!BG44,Resultados!BP44,Resultados!BY44,Resultados!CH44)=0, "", AVERAGE(ABS(Resultados!E44),ABS(Resultados!N44),ABS(Resultados!W44),ABS(Resultados!AF44),ABS(Resultados!AO44),ABS(Resultados!AX44),ABS(Resultados!BG44),ABS(Resultados!BP44),ABS(Resultados!BY44),ABS(Resultados!CH44)))</f>
        <v>8.3551399625520801</v>
      </c>
      <c r="F44">
        <f>IF(COUNT(Resultados!F44,Resultados!O44,Resultados!X44,Resultados!AG44,Resultados!AP44,Resultados!AY44,Resultados!BH44,Resultados!BQ44,Resultados!BZ44,Resultados!CI44)=0, "", AVERAGE(ABS(Resultados!F44),ABS(Resultados!O44),ABS(Resultados!X44),ABS(Resultados!AG44),ABS(Resultados!AP44),ABS(Resultados!AY44),ABS(Resultados!BH44),ABS(Resultados!BQ44),ABS(Resultados!BZ44),ABS(Resultados!CI44)))</f>
        <v>932.90278244619219</v>
      </c>
      <c r="G44">
        <f>IF(COUNT(Resultados!G44,Resultados!P44,Resultados!Y44,Resultados!AH44,Resultados!AQ44,Resultados!AZ44,Resultados!BI44,Resultados!BR44,Resultados!CA44,Resultados!CJ44)=0, "", AVERAGE(ABS(Resultados!G44),ABS(Resultados!P44),ABS(Resultados!Y44),ABS(Resultados!AH44),ABS(Resultados!AQ44),ABS(Resultados!AZ44),ABS(Resultados!BI44),ABS(Resultados!BR44),ABS(Resultados!CA44),ABS(Resultados!CJ44)))</f>
        <v>0.42400000000000004</v>
      </c>
      <c r="H44">
        <f>IF(COUNT(Resultados!H44,Resultados!Q44,Resultados!Z44,Resultados!AI44,Resultados!AR44,Resultados!BA44,Resultados!BJ44,Resultados!BS44,Resultados!CB44,Resultados!CK44)=0, "", AVERAGE(ABS(Resultados!H44),ABS(Resultados!Q44),ABS(Resultados!Z44),ABS(Resultados!AI44),ABS(Resultados!AR44),ABS(Resultados!BA44),ABS(Resultados!BJ44),ABS(Resultados!BS44),ABS(Resultados!CB44),ABS(Resultados!CK44)))</f>
        <v>3.6650000000000002E-2</v>
      </c>
      <c r="I44">
        <f>IF(COUNT(Resultados!I44,Resultados!R44,Resultados!AA44,Resultados!AJ44,Resultados!AS44,Resultados!BB44,Resultados!BK44,Resultados!BT44,Resultados!CC44,Resultados!CL44)=0, "", AVERAGE(ABS(Resultados!I44),ABS(Resultados!R44),ABS(Resultados!AA44),ABS(Resultados!AJ44),ABS(Resultados!AS44),ABS(Resultados!BB44),ABS(Resultados!BK44),ABS(Resultados!BT44),ABS(Resultados!CC44),ABS(Resultados!CL44)))</f>
        <v>8.4405899999999949</v>
      </c>
    </row>
    <row r="45" spans="1:9" x14ac:dyDescent="0.3">
      <c r="A45">
        <f>IF(COUNT(Resultados!A45,Resultados!J45,Resultados!S45,Resultados!AB45,Resultados!AK45,Resultados!AT45,Resultados!BC45,Resultados!BL45,Resultados!BU45,Resultados!CD45)=0, "", AVERAGE(ABS(Resultados!A45),ABS(Resultados!J45),ABS(Resultados!S45),ABS(Resultados!AB45),ABS(Resultados!AK45),ABS(Resultados!AT45),ABS(Resultados!BC45),ABS(Resultados!BL45),ABS(Resultados!BU45),ABS(Resultados!CD45)))</f>
        <v>45681</v>
      </c>
      <c r="B45" t="str">
        <f>IF(COUNT(Resultados!B45,Resultados!K45,Resultados!T45,Resultados!AC45,Resultados!AL45,Resultados!AU45,Resultados!BD45,Resultados!BM45,Resultados!BV45,Resultados!CE45)=0, "", AVERAGE(ABS(Resultados!B45),ABS(Resultados!K45),ABS(Resultados!T45),ABS(Resultados!AC45),ABS(Resultados!AL45),ABS(Resultados!AU45),ABS(Resultados!BD45),ABS(Resultados!BM45),ABS(Resultados!BV45),ABS(Resultados!CE45)))</f>
        <v/>
      </c>
      <c r="C45">
        <f>IF(COUNT(Resultados!C45,Resultados!L45,Resultados!U45,Resultados!AD45,Resultados!AM45,Resultados!AV45,Resultados!BE45,Resultados!BN45,Resultados!BW45,Resultados!CF45)=0, "", AVERAGE(ABS(Resultados!C45),ABS(Resultados!L45),ABS(Resultados!U45),ABS(Resultados!AD45),ABS(Resultados!AM45),ABS(Resultados!AV45),ABS(Resultados!BE45),ABS(Resultados!BN45),ABS(Resultados!BW45),ABS(Resultados!CF45)))</f>
        <v>4.3</v>
      </c>
      <c r="D45">
        <f>IF(COUNT(Resultados!D45,Resultados!M45,Resultados!V45,Resultados!AE45,Resultados!AN45,Resultados!AW45,Resultados!BF45,Resultados!BO45,Resultados!BX45,Resultados!CG45)=0, "", AVERAGE(ABS(Resultados!D45),ABS(Resultados!M45),ABS(Resultados!V45),ABS(Resultados!AE45),ABS(Resultados!AN45),ABS(Resultados!AW45),ABS(Resultados!BF45),ABS(Resultados!BO45),ABS(Resultados!BX45),ABS(Resultados!CG45)))</f>
        <v>3.6889999999999999E-2</v>
      </c>
      <c r="E45">
        <f>IF(COUNT(Resultados!E45,Resultados!N45,Resultados!W45,Resultados!AF45,Resultados!AO45,Resultados!AX45,Resultados!BG45,Resultados!BP45,Resultados!BY45,Resultados!CH45)=0, "", AVERAGE(ABS(Resultados!E45),ABS(Resultados!N45),ABS(Resultados!W45),ABS(Resultados!AF45),ABS(Resultados!AO45),ABS(Resultados!AX45),ABS(Resultados!BG45),ABS(Resultados!BP45),ABS(Resultados!BY45),ABS(Resultados!CH45)))</f>
        <v>8.3916605508129347</v>
      </c>
      <c r="F45">
        <f>IF(COUNT(Resultados!F45,Resultados!O45,Resultados!X45,Resultados!AG45,Resultados!AP45,Resultados!AY45,Resultados!BH45,Resultados!BQ45,Resultados!BZ45,Resultados!CI45)=0, "", AVERAGE(ABS(Resultados!F45),ABS(Resultados!O45),ABS(Resultados!X45),ABS(Resultados!AG45),ABS(Resultados!AP45),ABS(Resultados!AY45),ABS(Resultados!BH45),ABS(Resultados!BQ45),ABS(Resultados!BZ45),ABS(Resultados!CI45)))</f>
        <v>936.3685862721477</v>
      </c>
      <c r="G45">
        <f>IF(COUNT(Resultados!G45,Resultados!P45,Resultados!Y45,Resultados!AH45,Resultados!AQ45,Resultados!AZ45,Resultados!BI45,Resultados!BR45,Resultados!CA45,Resultados!CJ45)=0, "", AVERAGE(ABS(Resultados!G45),ABS(Resultados!P45),ABS(Resultados!Y45),ABS(Resultados!AH45),ABS(Resultados!AQ45),ABS(Resultados!AZ45),ABS(Resultados!BI45),ABS(Resultados!BR45),ABS(Resultados!CA45),ABS(Resultados!CJ45)))</f>
        <v>0.42400000000000004</v>
      </c>
      <c r="H45">
        <f>IF(COUNT(Resultados!H45,Resultados!Q45,Resultados!Z45,Resultados!AI45,Resultados!AR45,Resultados!BA45,Resultados!BJ45,Resultados!BS45,Resultados!CB45,Resultados!CK45)=0, "", AVERAGE(ABS(Resultados!H45),ABS(Resultados!Q45),ABS(Resultados!Z45),ABS(Resultados!AI45),ABS(Resultados!AR45),ABS(Resultados!BA45),ABS(Resultados!BJ45),ABS(Resultados!BS45),ABS(Resultados!CB45),ABS(Resultados!CK45)))</f>
        <v>3.7230000000000006E-2</v>
      </c>
      <c r="I45">
        <f>IF(COUNT(Resultados!I45,Resultados!R45,Resultados!AA45,Resultados!AJ45,Resultados!AS45,Resultados!BB45,Resultados!BK45,Resultados!BT45,Resultados!CC45,Resultados!CL45)=0, "", AVERAGE(ABS(Resultados!I45),ABS(Resultados!R45),ABS(Resultados!AA45),ABS(Resultados!AJ45),ABS(Resultados!AS45),ABS(Resultados!BB45),ABS(Resultados!BK45),ABS(Resultados!BT45),ABS(Resultados!CC45),ABS(Resultados!CL45)))</f>
        <v>8.6404200000000007</v>
      </c>
    </row>
    <row r="46" spans="1:9" x14ac:dyDescent="0.3">
      <c r="A46">
        <f>IF(COUNT(Resultados!A46,Resultados!J46,Resultados!S46,Resultados!AB46,Resultados!AK46,Resultados!AT46,Resultados!BC46,Resultados!BL46,Resultados!BU46,Resultados!CD46)=0, "", AVERAGE(ABS(Resultados!A46),ABS(Resultados!J46),ABS(Resultados!S46),ABS(Resultados!AB46),ABS(Resultados!AK46),ABS(Resultados!AT46),ABS(Resultados!BC46),ABS(Resultados!BL46),ABS(Resultados!BU46),ABS(Resultados!CD46)))</f>
        <v>45681</v>
      </c>
      <c r="B46" t="str">
        <f>IF(COUNT(Resultados!B46,Resultados!K46,Resultados!T46,Resultados!AC46,Resultados!AL46,Resultados!AU46,Resultados!BD46,Resultados!BM46,Resultados!BV46,Resultados!CE46)=0, "", AVERAGE(ABS(Resultados!B46),ABS(Resultados!K46),ABS(Resultados!T46),ABS(Resultados!AC46),ABS(Resultados!AL46),ABS(Resultados!AU46),ABS(Resultados!BD46),ABS(Resultados!BM46),ABS(Resultados!BV46),ABS(Resultados!CE46)))</f>
        <v/>
      </c>
      <c r="C46">
        <f>IF(COUNT(Resultados!C46,Resultados!L46,Resultados!U46,Resultados!AD46,Resultados!AM46,Resultados!AV46,Resultados!BE46,Resultados!BN46,Resultados!BW46,Resultados!CF46)=0, "", AVERAGE(ABS(Resultados!C46),ABS(Resultados!L46),ABS(Resultados!U46),ABS(Resultados!AD46),ABS(Resultados!AM46),ABS(Resultados!AV46),ABS(Resultados!BE46),ABS(Resultados!BN46),ABS(Resultados!BW46),ABS(Resultados!CF46)))</f>
        <v>4.3</v>
      </c>
      <c r="D46">
        <f>IF(COUNT(Resultados!D46,Resultados!M46,Resultados!V46,Resultados!AE46,Resultados!AN46,Resultados!AW46,Resultados!BF46,Resultados!BO46,Resultados!BX46,Resultados!CG46)=0, "", AVERAGE(ABS(Resultados!D46),ABS(Resultados!M46),ABS(Resultados!V46),ABS(Resultados!AE46),ABS(Resultados!AN46),ABS(Resultados!AW46),ABS(Resultados!BF46),ABS(Resultados!BO46),ABS(Resultados!BX46),ABS(Resultados!CG46)))</f>
        <v>3.7760000000000002E-2</v>
      </c>
      <c r="E46">
        <f>IF(COUNT(Resultados!E46,Resultados!N46,Resultados!W46,Resultados!AF46,Resultados!AO46,Resultados!AX46,Resultados!BG46,Resultados!BP46,Resultados!BY46,Resultados!CH46)=0, "", AVERAGE(ABS(Resultados!E46),ABS(Resultados!N46),ABS(Resultados!W46),ABS(Resultados!AF46),ABS(Resultados!AO46),ABS(Resultados!AX46),ABS(Resultados!BG46),ABS(Resultados!BP46),ABS(Resultados!BY46),ABS(Resultados!CH46)))</f>
        <v>8.4239736907426526</v>
      </c>
      <c r="F46">
        <f>IF(COUNT(Resultados!F46,Resultados!O46,Resultados!X46,Resultados!AG46,Resultados!AP46,Resultados!AY46,Resultados!BH46,Resultados!BQ46,Resultados!BZ46,Resultados!CI46)=0, "", AVERAGE(ABS(Resultados!F46),ABS(Resultados!O46),ABS(Resultados!X46),ABS(Resultados!AG46),ABS(Resultados!AP46),ABS(Resultados!AY46),ABS(Resultados!BH46),ABS(Resultados!BQ46),ABS(Resultados!BZ46),ABS(Resultados!CI46)))</f>
        <v>939.43510325147781</v>
      </c>
      <c r="G46">
        <f>IF(COUNT(Resultados!G46,Resultados!P46,Resultados!Y46,Resultados!AH46,Resultados!AQ46,Resultados!AZ46,Resultados!BI46,Resultados!BR46,Resultados!CA46,Resultados!CJ46)=0, "", AVERAGE(ABS(Resultados!G46),ABS(Resultados!P46),ABS(Resultados!Y46),ABS(Resultados!AH46),ABS(Resultados!AQ46),ABS(Resultados!AZ46),ABS(Resultados!BI46),ABS(Resultados!BR46),ABS(Resultados!CA46),ABS(Resultados!CJ46)))</f>
        <v>0.42400000000000004</v>
      </c>
      <c r="H46">
        <f>IF(COUNT(Resultados!H46,Resultados!Q46,Resultados!Z46,Resultados!AI46,Resultados!AR46,Resultados!BA46,Resultados!BJ46,Resultados!BS46,Resultados!CB46,Resultados!CK46)=0, "", AVERAGE(ABS(Resultados!H46),ABS(Resultados!Q46),ABS(Resultados!Z46),ABS(Resultados!AI46),ABS(Resultados!AR46),ABS(Resultados!BA46),ABS(Resultados!BJ46),ABS(Resultados!BS46),ABS(Resultados!CB46),ABS(Resultados!CK46)))</f>
        <v>3.773E-2</v>
      </c>
      <c r="I46">
        <f>IF(COUNT(Resultados!I46,Resultados!R46,Resultados!AA46,Resultados!AJ46,Resultados!AS46,Resultados!BB46,Resultados!BK46,Resultados!BT46,Resultados!CC46,Resultados!CL46)=0, "", AVERAGE(ABS(Resultados!I46),ABS(Resultados!R46),ABS(Resultados!AA46),ABS(Resultados!AJ46),ABS(Resultados!AS46),ABS(Resultados!BB46),ABS(Resultados!BK46),ABS(Resultados!BT46),ABS(Resultados!CC46),ABS(Resultados!CL46)))</f>
        <v>8.8409500000000101</v>
      </c>
    </row>
    <row r="47" spans="1:9" x14ac:dyDescent="0.3">
      <c r="A47">
        <f>IF(COUNT(Resultados!A47,Resultados!J47,Resultados!S47,Resultados!AB47,Resultados!AK47,Resultados!AT47,Resultados!BC47,Resultados!BL47,Resultados!BU47,Resultados!CD47)=0, "", AVERAGE(ABS(Resultados!A47),ABS(Resultados!J47),ABS(Resultados!S47),ABS(Resultados!AB47),ABS(Resultados!AK47),ABS(Resultados!AT47),ABS(Resultados!BC47),ABS(Resultados!BL47),ABS(Resultados!BU47),ABS(Resultados!CD47)))</f>
        <v>45681</v>
      </c>
      <c r="B47" t="str">
        <f>IF(COUNT(Resultados!B47,Resultados!K47,Resultados!T47,Resultados!AC47,Resultados!AL47,Resultados!AU47,Resultados!BD47,Resultados!BM47,Resultados!BV47,Resultados!CE47)=0, "", AVERAGE(ABS(Resultados!B47),ABS(Resultados!K47),ABS(Resultados!T47),ABS(Resultados!AC47),ABS(Resultados!AL47),ABS(Resultados!AU47),ABS(Resultados!BD47),ABS(Resultados!BM47),ABS(Resultados!BV47),ABS(Resultados!CE47)))</f>
        <v/>
      </c>
      <c r="C47">
        <f>IF(COUNT(Resultados!C47,Resultados!L47,Resultados!U47,Resultados!AD47,Resultados!AM47,Resultados!AV47,Resultados!BE47,Resultados!BN47,Resultados!BW47,Resultados!CF47)=0, "", AVERAGE(ABS(Resultados!C47),ABS(Resultados!L47),ABS(Resultados!U47),ABS(Resultados!AD47),ABS(Resultados!AM47),ABS(Resultados!AV47),ABS(Resultados!BE47),ABS(Resultados!BN47),ABS(Resultados!BW47),ABS(Resultados!CF47)))</f>
        <v>4.3</v>
      </c>
      <c r="D47">
        <f>IF(COUNT(Resultados!D47,Resultados!M47,Resultados!V47,Resultados!AE47,Resultados!AN47,Resultados!AW47,Resultados!BF47,Resultados!BO47,Resultados!BX47,Resultados!CG47)=0, "", AVERAGE(ABS(Resultados!D47),ABS(Resultados!M47),ABS(Resultados!V47),ABS(Resultados!AE47),ABS(Resultados!AN47),ABS(Resultados!AW47),ABS(Resultados!BF47),ABS(Resultados!BO47),ABS(Resultados!BX47),ABS(Resultados!CG47)))</f>
        <v>3.8519999999999999E-2</v>
      </c>
      <c r="E47">
        <f>IF(COUNT(Resultados!E47,Resultados!N47,Resultados!W47,Resultados!AF47,Resultados!AO47,Resultados!AX47,Resultados!BG47,Resultados!BP47,Resultados!BY47,Resultados!CH47)=0, "", AVERAGE(ABS(Resultados!E47),ABS(Resultados!N47),ABS(Resultados!W47),ABS(Resultados!AF47),ABS(Resultados!AO47),ABS(Resultados!AX47),ABS(Resultados!BG47),ABS(Resultados!BP47),ABS(Resultados!BY47),ABS(Resultados!CH47)))</f>
        <v>8.4516880625204429</v>
      </c>
      <c r="F47">
        <f>IF(COUNT(Resultados!F47,Resultados!O47,Resultados!X47,Resultados!AG47,Resultados!AP47,Resultados!AY47,Resultados!BH47,Resultados!BQ47,Resultados!BZ47,Resultados!CI47)=0, "", AVERAGE(ABS(Resultados!F47),ABS(Resultados!O47),ABS(Resultados!X47),ABS(Resultados!AG47),ABS(Resultados!AP47),ABS(Resultados!AY47),ABS(Resultados!BH47),ABS(Resultados!BQ47),ABS(Resultados!BZ47),ABS(Resultados!CI47)))</f>
        <v>942.06519713319017</v>
      </c>
      <c r="G47">
        <f>IF(COUNT(Resultados!G47,Resultados!P47,Resultados!Y47,Resultados!AH47,Resultados!AQ47,Resultados!AZ47,Resultados!BI47,Resultados!BR47,Resultados!CA47,Resultados!CJ47)=0, "", AVERAGE(ABS(Resultados!G47),ABS(Resultados!P47),ABS(Resultados!Y47),ABS(Resultados!AH47),ABS(Resultados!AQ47),ABS(Resultados!AZ47),ABS(Resultados!BI47),ABS(Resultados!BR47),ABS(Resultados!CA47),ABS(Resultados!CJ47)))</f>
        <v>0.42400000000000004</v>
      </c>
      <c r="H47">
        <f>IF(COUNT(Resultados!H47,Resultados!Q47,Resultados!Z47,Resultados!AI47,Resultados!AR47,Resultados!BA47,Resultados!BJ47,Resultados!BS47,Resultados!CB47,Resultados!CK47)=0, "", AVERAGE(ABS(Resultados!H47),ABS(Resultados!Q47),ABS(Resultados!Z47),ABS(Resultados!AI47),ABS(Resultados!AR47),ABS(Resultados!BA47),ABS(Resultados!BJ47),ABS(Resultados!BS47),ABS(Resultados!CB47),ABS(Resultados!CK47)))</f>
        <v>3.8179999999999999E-2</v>
      </c>
      <c r="I47">
        <f>IF(COUNT(Resultados!I47,Resultados!R47,Resultados!AA47,Resultados!AJ47,Resultados!AS47,Resultados!BB47,Resultados!BK47,Resultados!BT47,Resultados!CC47,Resultados!CL47)=0, "", AVERAGE(ABS(Resultados!I47),ABS(Resultados!R47),ABS(Resultados!AA47),ABS(Resultados!AJ47),ABS(Resultados!AS47),ABS(Resultados!BB47),ABS(Resultados!BK47),ABS(Resultados!BT47),ABS(Resultados!CC47),ABS(Resultados!CL47)))</f>
        <v>9.0412799999999898</v>
      </c>
    </row>
    <row r="48" spans="1:9" x14ac:dyDescent="0.3">
      <c r="A48">
        <f>IF(COUNT(Resultados!A48,Resultados!J48,Resultados!S48,Resultados!AB48,Resultados!AK48,Resultados!AT48,Resultados!BC48,Resultados!BL48,Resultados!BU48,Resultados!CD48)=0, "", AVERAGE(ABS(Resultados!A48),ABS(Resultados!J48),ABS(Resultados!S48),ABS(Resultados!AB48),ABS(Resultados!AK48),ABS(Resultados!AT48),ABS(Resultados!BC48),ABS(Resultados!BL48),ABS(Resultados!BU48),ABS(Resultados!CD48)))</f>
        <v>45681</v>
      </c>
      <c r="B48" t="str">
        <f>IF(COUNT(Resultados!B48,Resultados!K48,Resultados!T48,Resultados!AC48,Resultados!AL48,Resultados!AU48,Resultados!BD48,Resultados!BM48,Resultados!BV48,Resultados!CE48)=0, "", AVERAGE(ABS(Resultados!B48),ABS(Resultados!K48),ABS(Resultados!T48),ABS(Resultados!AC48),ABS(Resultados!AL48),ABS(Resultados!AU48),ABS(Resultados!BD48),ABS(Resultados!BM48),ABS(Resultados!BV48),ABS(Resultados!CE48)))</f>
        <v/>
      </c>
      <c r="C48">
        <f>IF(COUNT(Resultados!C48,Resultados!L48,Resultados!U48,Resultados!AD48,Resultados!AM48,Resultados!AV48,Resultados!BE48,Resultados!BN48,Resultados!BW48,Resultados!CF48)=0, "", AVERAGE(ABS(Resultados!C48),ABS(Resultados!L48),ABS(Resultados!U48),ABS(Resultados!AD48),ABS(Resultados!AM48),ABS(Resultados!AV48),ABS(Resultados!BE48),ABS(Resultados!BN48),ABS(Resultados!BW48),ABS(Resultados!CF48)))</f>
        <v>4.3</v>
      </c>
      <c r="D48">
        <f>IF(COUNT(Resultados!D48,Resultados!M48,Resultados!V48,Resultados!AE48,Resultados!AN48,Resultados!AW48,Resultados!BF48,Resultados!BO48,Resultados!BX48,Resultados!CG48)=0, "", AVERAGE(ABS(Resultados!D48),ABS(Resultados!M48),ABS(Resultados!V48),ABS(Resultados!AE48),ABS(Resultados!AN48),ABS(Resultados!AW48),ABS(Resultados!BF48),ABS(Resultados!BO48),ABS(Resultados!BX48),ABS(Resultados!CG48)))</f>
        <v>3.9019999999999999E-2</v>
      </c>
      <c r="E48">
        <f>IF(COUNT(Resultados!E48,Resultados!N48,Resultados!W48,Resultados!AF48,Resultados!AO48,Resultados!AX48,Resultados!BG48,Resultados!BP48,Resultados!BY48,Resultados!CH48)=0, "", AVERAGE(ABS(Resultados!E48),ABS(Resultados!N48),ABS(Resultados!W48),ABS(Resultados!AF48),ABS(Resultados!AO48),ABS(Resultados!AX48),ABS(Resultados!BG48),ABS(Resultados!BP48),ABS(Resultados!BY48),ABS(Resultados!CH48)))</f>
        <v>8.474750387289756</v>
      </c>
      <c r="F48">
        <f>IF(COUNT(Resultados!F48,Resultados!O48,Resultados!X48,Resultados!AG48,Resultados!AP48,Resultados!AY48,Resultados!BH48,Resultados!BQ48,Resultados!BZ48,Resultados!CI48)=0, "", AVERAGE(ABS(Resultados!F48),ABS(Resultados!O48),ABS(Resultados!X48),ABS(Resultados!AG48),ABS(Resultados!AP48),ABS(Resultados!AY48),ABS(Resultados!BH48),ABS(Resultados!BQ48),ABS(Resultados!BZ48),ABS(Resultados!CI48)))</f>
        <v>944.25381175379766</v>
      </c>
      <c r="G48">
        <f>IF(COUNT(Resultados!G48,Resultados!P48,Resultados!Y48,Resultados!AH48,Resultados!AQ48,Resultados!AZ48,Resultados!BI48,Resultados!BR48,Resultados!CA48,Resultados!CJ48)=0, "", AVERAGE(ABS(Resultados!G48),ABS(Resultados!P48),ABS(Resultados!Y48),ABS(Resultados!AH48),ABS(Resultados!AQ48),ABS(Resultados!AZ48),ABS(Resultados!BI48),ABS(Resultados!BR48),ABS(Resultados!CA48),ABS(Resultados!CJ48)))</f>
        <v>0.42400000000000004</v>
      </c>
      <c r="H48">
        <f>IF(COUNT(Resultados!H48,Resultados!Q48,Resultados!Z48,Resultados!AI48,Resultados!AR48,Resultados!BA48,Resultados!BJ48,Resultados!BS48,Resultados!CB48,Resultados!CK48)=0, "", AVERAGE(ABS(Resultados!H48),ABS(Resultados!Q48),ABS(Resultados!Z48),ABS(Resultados!AI48),ABS(Resultados!AR48),ABS(Resultados!BA48),ABS(Resultados!BJ48),ABS(Resultados!BS48),ABS(Resultados!CB48),ABS(Resultados!CK48)))</f>
        <v>3.8489999999999996E-2</v>
      </c>
      <c r="I48">
        <f>IF(COUNT(Resultados!I48,Resultados!R48,Resultados!AA48,Resultados!AJ48,Resultados!AS48,Resultados!BB48,Resultados!BK48,Resultados!BT48,Resultados!CC48,Resultados!CL48)=0, "", AVERAGE(ABS(Resultados!I48),ABS(Resultados!R48),ABS(Resultados!AA48),ABS(Resultados!AJ48),ABS(Resultados!AS48),ABS(Resultados!BB48),ABS(Resultados!BK48),ABS(Resultados!BT48),ABS(Resultados!CC48),ABS(Resultados!CL48)))</f>
        <v>9.2410599999999956</v>
      </c>
    </row>
    <row r="49" spans="1:9" x14ac:dyDescent="0.3">
      <c r="A49">
        <f>IF(COUNT(Resultados!A49,Resultados!J49,Resultados!S49,Resultados!AB49,Resultados!AK49,Resultados!AT49,Resultados!BC49,Resultados!BL49,Resultados!BU49,Resultados!CD49)=0, "", AVERAGE(ABS(Resultados!A49),ABS(Resultados!J49),ABS(Resultados!S49),ABS(Resultados!AB49),ABS(Resultados!AK49),ABS(Resultados!AT49),ABS(Resultados!BC49),ABS(Resultados!BL49),ABS(Resultados!BU49),ABS(Resultados!CD49)))</f>
        <v>45681</v>
      </c>
      <c r="B49" t="str">
        <f>IF(COUNT(Resultados!B49,Resultados!K49,Resultados!T49,Resultados!AC49,Resultados!AL49,Resultados!AU49,Resultados!BD49,Resultados!BM49,Resultados!BV49,Resultados!CE49)=0, "", AVERAGE(ABS(Resultados!B49),ABS(Resultados!K49),ABS(Resultados!T49),ABS(Resultados!AC49),ABS(Resultados!AL49),ABS(Resultados!AU49),ABS(Resultados!BD49),ABS(Resultados!BM49),ABS(Resultados!BV49),ABS(Resultados!CE49)))</f>
        <v/>
      </c>
      <c r="C49">
        <f>IF(COUNT(Resultados!C49,Resultados!L49,Resultados!U49,Resultados!AD49,Resultados!AM49,Resultados!AV49,Resultados!BE49,Resultados!BN49,Resultados!BW49,Resultados!CF49)=0, "", AVERAGE(ABS(Resultados!C49),ABS(Resultados!L49),ABS(Resultados!U49),ABS(Resultados!AD49),ABS(Resultados!AM49),ABS(Resultados!AV49),ABS(Resultados!BE49),ABS(Resultados!BN49),ABS(Resultados!BW49),ABS(Resultados!CF49)))</f>
        <v>4.3</v>
      </c>
      <c r="D49">
        <f>IF(COUNT(Resultados!D49,Resultados!M49,Resultados!V49,Resultados!AE49,Resultados!AN49,Resultados!AW49,Resultados!BF49,Resultados!BO49,Resultados!BX49,Resultados!CG49)=0, "", AVERAGE(ABS(Resultados!D49),ABS(Resultados!M49),ABS(Resultados!V49),ABS(Resultados!AE49),ABS(Resultados!AN49),ABS(Resultados!AW49),ABS(Resultados!BF49),ABS(Resultados!BO49),ABS(Resultados!BX49),ABS(Resultados!CG49)))</f>
        <v>3.9510000000000003E-2</v>
      </c>
      <c r="E49">
        <f>IF(COUNT(Resultados!E49,Resultados!N49,Resultados!W49,Resultados!AF49,Resultados!AO49,Resultados!AX49,Resultados!BG49,Resultados!BP49,Resultados!BY49,Resultados!CH49)=0, "", AVERAGE(ABS(Resultados!E49),ABS(Resultados!N49),ABS(Resultados!W49),ABS(Resultados!AF49),ABS(Resultados!AO49),ABS(Resultados!AX49),ABS(Resultados!BG49),ABS(Resultados!BP49),ABS(Resultados!BY49),ABS(Resultados!CH49)))</f>
        <v>8.4931054804815282</v>
      </c>
      <c r="F49">
        <f>IF(COUNT(Resultados!F49,Resultados!O49,Resultados!X49,Resultados!AG49,Resultados!AP49,Resultados!AY49,Resultados!BH49,Resultados!BQ49,Resultados!BZ49,Resultados!CI49)=0, "", AVERAGE(ABS(Resultados!F49),ABS(Resultados!O49),ABS(Resultados!X49),ABS(Resultados!AG49),ABS(Resultados!AP49),ABS(Resultados!AY49),ABS(Resultados!BH49),ABS(Resultados!BQ49),ABS(Resultados!BZ49),ABS(Resultados!CI49)))</f>
        <v>945.99571009769681</v>
      </c>
      <c r="G49">
        <f>IF(COUNT(Resultados!G49,Resultados!P49,Resultados!Y49,Resultados!AH49,Resultados!AQ49,Resultados!AZ49,Resultados!BI49,Resultados!BR49,Resultados!CA49,Resultados!CJ49)=0, "", AVERAGE(ABS(Resultados!G49),ABS(Resultados!P49),ABS(Resultados!Y49),ABS(Resultados!AH49),ABS(Resultados!AQ49),ABS(Resultados!AZ49),ABS(Resultados!BI49),ABS(Resultados!BR49),ABS(Resultados!CA49),ABS(Resultados!CJ49)))</f>
        <v>0.42400000000000004</v>
      </c>
      <c r="H49">
        <f>IF(COUNT(Resultados!H49,Resultados!Q49,Resultados!Z49,Resultados!AI49,Resultados!AR49,Resultados!BA49,Resultados!BJ49,Resultados!BS49,Resultados!CB49,Resultados!CK49)=0, "", AVERAGE(ABS(Resultados!H49),ABS(Resultados!Q49),ABS(Resultados!Z49),ABS(Resultados!AI49),ABS(Resultados!AR49),ABS(Resultados!BA49),ABS(Resultados!BJ49),ABS(Resultados!BS49),ABS(Resultados!CB49),ABS(Resultados!CK49)))</f>
        <v>3.8789999999999998E-2</v>
      </c>
      <c r="I49">
        <f>IF(COUNT(Resultados!I49,Resultados!R49,Resultados!AA49,Resultados!AJ49,Resultados!AS49,Resultados!BB49,Resultados!BK49,Resultados!BT49,Resultados!CC49,Resultados!CL49)=0, "", AVERAGE(ABS(Resultados!I49),ABS(Resultados!R49),ABS(Resultados!AA49),ABS(Resultados!AJ49),ABS(Resultados!AS49),ABS(Resultados!BB49),ABS(Resultados!BK49),ABS(Resultados!BT49),ABS(Resultados!CC49),ABS(Resultados!CL49)))</f>
        <v>9.4414400000000036</v>
      </c>
    </row>
    <row r="50" spans="1:9" x14ac:dyDescent="0.3">
      <c r="A50">
        <f>IF(COUNT(Resultados!A50,Resultados!J50,Resultados!S50,Resultados!AB50,Resultados!AK50,Resultados!AT50,Resultados!BC50,Resultados!BL50,Resultados!BU50,Resultados!CD50)=0, "", AVERAGE(ABS(Resultados!A50),ABS(Resultados!J50),ABS(Resultados!S50),ABS(Resultados!AB50),ABS(Resultados!AK50),ABS(Resultados!AT50),ABS(Resultados!BC50),ABS(Resultados!BL50),ABS(Resultados!BU50),ABS(Resultados!CD50)))</f>
        <v>45681</v>
      </c>
      <c r="B50" t="str">
        <f>IF(COUNT(Resultados!B50,Resultados!K50,Resultados!T50,Resultados!AC50,Resultados!AL50,Resultados!AU50,Resultados!BD50,Resultados!BM50,Resultados!BV50,Resultados!CE50)=0, "", AVERAGE(ABS(Resultados!B50),ABS(Resultados!K50),ABS(Resultados!T50),ABS(Resultados!AC50),ABS(Resultados!AL50),ABS(Resultados!AU50),ABS(Resultados!BD50),ABS(Resultados!BM50),ABS(Resultados!BV50),ABS(Resultados!CE50)))</f>
        <v/>
      </c>
      <c r="C50">
        <f>IF(COUNT(Resultados!C50,Resultados!L50,Resultados!U50,Resultados!AD50,Resultados!AM50,Resultados!AV50,Resultados!BE50,Resultados!BN50,Resultados!BW50,Resultados!CF50)=0, "", AVERAGE(ABS(Resultados!C50),ABS(Resultados!L50),ABS(Resultados!U50),ABS(Resultados!AD50),ABS(Resultados!AM50),ABS(Resultados!AV50),ABS(Resultados!BE50),ABS(Resultados!BN50),ABS(Resultados!BW50),ABS(Resultados!CF50)))</f>
        <v>4.3</v>
      </c>
      <c r="D50">
        <f>IF(COUNT(Resultados!D50,Resultados!M50,Resultados!V50,Resultados!AE50,Resultados!AN50,Resultados!AW50,Resultados!BF50,Resultados!BO50,Resultados!BX50,Resultados!CG50)=0, "", AVERAGE(ABS(Resultados!D50),ABS(Resultados!M50),ABS(Resultados!V50),ABS(Resultados!AE50),ABS(Resultados!AN50),ABS(Resultados!AW50),ABS(Resultados!BF50),ABS(Resultados!BO50),ABS(Resultados!BX50),ABS(Resultados!CG50)))</f>
        <v>3.9719999999999991E-2</v>
      </c>
      <c r="E50">
        <f>IF(COUNT(Resultados!E50,Resultados!N50,Resultados!W50,Resultados!AF50,Resultados!AO50,Resultados!AX50,Resultados!BG50,Resultados!BP50,Resultados!BY50,Resultados!CH50)=0, "", AVERAGE(ABS(Resultados!E50),ABS(Resultados!N50),ABS(Resultados!W50),ABS(Resultados!AF50),ABS(Resultados!AO50),ABS(Resultados!AX50),ABS(Resultados!BG50),ABS(Resultados!BP50),ABS(Resultados!BY50),ABS(Resultados!CH50)))</f>
        <v>8.5066074131728389</v>
      </c>
      <c r="F50">
        <f>IF(COUNT(Resultados!F50,Resultados!O50,Resultados!X50,Resultados!AG50,Resultados!AP50,Resultados!AY50,Resultados!BH50,Resultados!BQ50,Resultados!BZ50,Resultados!CI50)=0, "", AVERAGE(ABS(Resultados!F50),ABS(Resultados!O50),ABS(Resultados!X50),ABS(Resultados!AG50),ABS(Resultados!AP50),ABS(Resultados!AY50),ABS(Resultados!BH50),ABS(Resultados!BQ50),ABS(Resultados!BZ50),ABS(Resultados!CI50)))</f>
        <v>947.27704351010254</v>
      </c>
      <c r="G50">
        <f>IF(COUNT(Resultados!G50,Resultados!P50,Resultados!Y50,Resultados!AH50,Resultados!AQ50,Resultados!AZ50,Resultados!BI50,Resultados!BR50,Resultados!CA50,Resultados!CJ50)=0, "", AVERAGE(ABS(Resultados!G50),ABS(Resultados!P50),ABS(Resultados!Y50),ABS(Resultados!AH50),ABS(Resultados!AQ50),ABS(Resultados!AZ50),ABS(Resultados!BI50),ABS(Resultados!BR50),ABS(Resultados!CA50),ABS(Resultados!CJ50)))</f>
        <v>0.42400000000000004</v>
      </c>
      <c r="H50">
        <f>IF(COUNT(Resultados!H50,Resultados!Q50,Resultados!Z50,Resultados!AI50,Resultados!AR50,Resultados!BA50,Resultados!BJ50,Resultados!BS50,Resultados!CB50,Resultados!CK50)=0, "", AVERAGE(ABS(Resultados!H50),ABS(Resultados!Q50),ABS(Resultados!Z50),ABS(Resultados!AI50),ABS(Resultados!AR50),ABS(Resultados!BA50),ABS(Resultados!BJ50),ABS(Resultados!BS50),ABS(Resultados!CB50),ABS(Resultados!CK50)))</f>
        <v>3.9039999999999998E-2</v>
      </c>
      <c r="I50">
        <f>IF(COUNT(Resultados!I50,Resultados!R50,Resultados!AA50,Resultados!AJ50,Resultados!AS50,Resultados!BB50,Resultados!BK50,Resultados!BT50,Resultados!CC50,Resultados!CL50)=0, "", AVERAGE(ABS(Resultados!I50),ABS(Resultados!R50),ABS(Resultados!AA50),ABS(Resultados!AJ50),ABS(Resultados!AS50),ABS(Resultados!BB50),ABS(Resultados!BK50),ABS(Resultados!BT50),ABS(Resultados!CC50),ABS(Resultados!CL50)))</f>
        <v>9.6410299999999829</v>
      </c>
    </row>
    <row r="51" spans="1:9" x14ac:dyDescent="0.3">
      <c r="A51">
        <f>IF(COUNT(Resultados!A51,Resultados!J51,Resultados!S51,Resultados!AB51,Resultados!AK51,Resultados!AT51,Resultados!BC51,Resultados!BL51,Resultados!BU51,Resultados!CD51)=0, "", AVERAGE(ABS(Resultados!A51),ABS(Resultados!J51),ABS(Resultados!S51),ABS(Resultados!AB51),ABS(Resultados!AK51),ABS(Resultados!AT51),ABS(Resultados!BC51),ABS(Resultados!BL51),ABS(Resultados!BU51),ABS(Resultados!CD51)))</f>
        <v>45681</v>
      </c>
      <c r="B51" t="str">
        <f>IF(COUNT(Resultados!B51,Resultados!K51,Resultados!T51,Resultados!AC51,Resultados!AL51,Resultados!AU51,Resultados!BD51,Resultados!BM51,Resultados!BV51,Resultados!CE51)=0, "", AVERAGE(ABS(Resultados!B51),ABS(Resultados!K51),ABS(Resultados!T51),ABS(Resultados!AC51),ABS(Resultados!AL51),ABS(Resultados!AU51),ABS(Resultados!BD51),ABS(Resultados!BM51),ABS(Resultados!BV51),ABS(Resultados!CE51)))</f>
        <v/>
      </c>
      <c r="C51">
        <f>IF(COUNT(Resultados!C51,Resultados!L51,Resultados!U51,Resultados!AD51,Resultados!AM51,Resultados!AV51,Resultados!BE51,Resultados!BN51,Resultados!BW51,Resultados!CF51)=0, "", AVERAGE(ABS(Resultados!C51),ABS(Resultados!L51),ABS(Resultados!U51),ABS(Resultados!AD51),ABS(Resultados!AM51),ABS(Resultados!AV51),ABS(Resultados!BE51),ABS(Resultados!BN51),ABS(Resultados!BW51),ABS(Resultados!CF51)))</f>
        <v>4.3</v>
      </c>
      <c r="D51">
        <f>IF(COUNT(Resultados!D51,Resultados!M51,Resultados!V51,Resultados!AE51,Resultados!AN51,Resultados!AW51,Resultados!BF51,Resultados!BO51,Resultados!BX51,Resultados!CG51)=0, "", AVERAGE(ABS(Resultados!D51),ABS(Resultados!M51),ABS(Resultados!V51),ABS(Resultados!AE51),ABS(Resultados!AN51),ABS(Resultados!AW51),ABS(Resultados!BF51),ABS(Resultados!BO51),ABS(Resultados!BX51),ABS(Resultados!CG51)))</f>
        <v>3.9890000000000002E-2</v>
      </c>
      <c r="E51">
        <f>IF(COUNT(Resultados!E51,Resultados!N51,Resultados!W51,Resultados!AF51,Resultados!AO51,Resultados!AX51,Resultados!BG51,Resultados!BP51,Resultados!BY51,Resultados!CH51)=0, "", AVERAGE(ABS(Resultados!E51),ABS(Resultados!N51),ABS(Resultados!W51),ABS(Resultados!AF51),ABS(Resultados!AO51),ABS(Resultados!AX51),ABS(Resultados!BG51),ABS(Resultados!BP51),ABS(Resultados!BY51),ABS(Resultados!CH51)))</f>
        <v>8.515305855530567</v>
      </c>
      <c r="F51">
        <f>IF(COUNT(Resultados!F51,Resultados!O51,Resultados!X51,Resultados!AG51,Resultados!AP51,Resultados!AY51,Resultados!BH51,Resultados!BQ51,Resultados!BZ51,Resultados!CI51)=0, "", AVERAGE(ABS(Resultados!F51),ABS(Resultados!O51),ABS(Resultados!X51),ABS(Resultados!AG51),ABS(Resultados!AP51),ABS(Resultados!AY51),ABS(Resultados!BH51),ABS(Resultados!BQ51),ABS(Resultados!BZ51),ABS(Resultados!CI51)))</f>
        <v>948.10252568985084</v>
      </c>
      <c r="G51">
        <f>IF(COUNT(Resultados!G51,Resultados!P51,Resultados!Y51,Resultados!AH51,Resultados!AQ51,Resultados!AZ51,Resultados!BI51,Resultados!BR51,Resultados!CA51,Resultados!CJ51)=0, "", AVERAGE(ABS(Resultados!G51),ABS(Resultados!P51),ABS(Resultados!Y51),ABS(Resultados!AH51),ABS(Resultados!AQ51),ABS(Resultados!AZ51),ABS(Resultados!BI51),ABS(Resultados!BR51),ABS(Resultados!CA51),ABS(Resultados!CJ51)))</f>
        <v>0.42400000000000004</v>
      </c>
      <c r="H51">
        <f>IF(COUNT(Resultados!H51,Resultados!Q51,Resultados!Z51,Resultados!AI51,Resultados!AR51,Resultados!BA51,Resultados!BJ51,Resultados!BS51,Resultados!CB51,Resultados!CK51)=0, "", AVERAGE(ABS(Resultados!H51),ABS(Resultados!Q51),ABS(Resultados!Z51),ABS(Resultados!AI51),ABS(Resultados!AR51),ABS(Resultados!BA51),ABS(Resultados!BJ51),ABS(Resultados!BS51),ABS(Resultados!CB51),ABS(Resultados!CK51)))</f>
        <v>3.9150000000000004E-2</v>
      </c>
      <c r="I51">
        <f>IF(COUNT(Resultados!I51,Resultados!R51,Resultados!AA51,Resultados!AJ51,Resultados!AS51,Resultados!BB51,Resultados!BK51,Resultados!BT51,Resultados!CC51,Resultados!CL51)=0, "", AVERAGE(ABS(Resultados!I51),ABS(Resultados!R51),ABS(Resultados!AA51),ABS(Resultados!AJ51),ABS(Resultados!AS51),ABS(Resultados!BB51),ABS(Resultados!BK51),ABS(Resultados!BT51),ABS(Resultados!CC51),ABS(Resultados!CL51)))</f>
        <v>9.8412499999999916</v>
      </c>
    </row>
    <row r="52" spans="1:9" x14ac:dyDescent="0.3">
      <c r="A52">
        <f>IF(COUNT(Resultados!A52,Resultados!J52,Resultados!S52,Resultados!AB52,Resultados!AK52,Resultados!AT52,Resultados!BC52,Resultados!BL52,Resultados!BU52,Resultados!CD52)=0, "", AVERAGE(ABS(Resultados!A52),ABS(Resultados!J52),ABS(Resultados!S52),ABS(Resultados!AB52),ABS(Resultados!AK52),ABS(Resultados!AT52),ABS(Resultados!BC52),ABS(Resultados!BL52),ABS(Resultados!BU52),ABS(Resultados!CD52)))</f>
        <v>45681</v>
      </c>
      <c r="B52" t="str">
        <f>IF(COUNT(Resultados!B52,Resultados!K52,Resultados!T52,Resultados!AC52,Resultados!AL52,Resultados!AU52,Resultados!BD52,Resultados!BM52,Resultados!BV52,Resultados!CE52)=0, "", AVERAGE(ABS(Resultados!B52),ABS(Resultados!K52),ABS(Resultados!T52),ABS(Resultados!AC52),ABS(Resultados!AL52),ABS(Resultados!AU52),ABS(Resultados!BD52),ABS(Resultados!BM52),ABS(Resultados!BV52),ABS(Resultados!CE52)))</f>
        <v/>
      </c>
      <c r="C52">
        <f>IF(COUNT(Resultados!C52,Resultados!L52,Resultados!U52,Resultados!AD52,Resultados!AM52,Resultados!AV52,Resultados!BE52,Resultados!BN52,Resultados!BW52,Resultados!CF52)=0, "", AVERAGE(ABS(Resultados!C52),ABS(Resultados!L52),ABS(Resultados!U52),ABS(Resultados!AD52),ABS(Resultados!AM52),ABS(Resultados!AV52),ABS(Resultados!BE52),ABS(Resultados!BN52),ABS(Resultados!BW52),ABS(Resultados!CF52)))</f>
        <v>4.3</v>
      </c>
      <c r="D52">
        <f>IF(COUNT(Resultados!D52,Resultados!M52,Resultados!V52,Resultados!AE52,Resultados!AN52,Resultados!AW52,Resultados!BF52,Resultados!BO52,Resultados!BX52,Resultados!CG52)=0, "", AVERAGE(ABS(Resultados!D52),ABS(Resultados!M52),ABS(Resultados!V52),ABS(Resultados!AE52),ABS(Resultados!AN52),ABS(Resultados!AW52),ABS(Resultados!BF52),ABS(Resultados!BO52),ABS(Resultados!BX52),ABS(Resultados!CG52)))</f>
        <v>4.002E-2</v>
      </c>
      <c r="E52">
        <f>IF(COUNT(Resultados!E52,Resultados!N52,Resultados!W52,Resultados!AF52,Resultados!AO52,Resultados!AX52,Resultados!BG52,Resultados!BP52,Resultados!BY52,Resultados!CH52)=0, "", AVERAGE(ABS(Resultados!E52),ABS(Resultados!N52),ABS(Resultados!W52),ABS(Resultados!AF52),ABS(Resultados!AO52),ABS(Resultados!AX52),ABS(Resultados!BG52),ABS(Resultados!BP52),ABS(Resultados!BY52),ABS(Resultados!CH52)))</f>
        <v>8.5191508130112403</v>
      </c>
      <c r="F52">
        <f>IF(COUNT(Resultados!F52,Resultados!O52,Resultados!X52,Resultados!AG52,Resultados!AP52,Resultados!AY52,Resultados!BH52,Resultados!BQ52,Resultados!BZ52,Resultados!CI52)=0, "", AVERAGE(ABS(Resultados!F52),ABS(Resultados!O52),ABS(Resultados!X52),ABS(Resultados!AG52),ABS(Resultados!AP52),ABS(Resultados!AY52),ABS(Resultados!BH52),ABS(Resultados!BQ52),ABS(Resultados!BZ52),ABS(Resultados!CI52)))</f>
        <v>852.59218466886637</v>
      </c>
      <c r="G52">
        <f>IF(COUNT(Resultados!G52,Resultados!P52,Resultados!Y52,Resultados!AH52,Resultados!AQ52,Resultados!AZ52,Resultados!BI52,Resultados!BR52,Resultados!CA52,Resultados!CJ52)=0, "", AVERAGE(ABS(Resultados!G52),ABS(Resultados!P52),ABS(Resultados!Y52),ABS(Resultados!AH52),ABS(Resultados!AQ52),ABS(Resultados!AZ52),ABS(Resultados!BI52),ABS(Resultados!BR52),ABS(Resultados!CA52),ABS(Resultados!CJ52)))</f>
        <v>0.42400000000000004</v>
      </c>
      <c r="H52">
        <f>IF(COUNT(Resultados!H52,Resultados!Q52,Resultados!Z52,Resultados!AI52,Resultados!AR52,Resultados!BA52,Resultados!BJ52,Resultados!BS52,Resultados!CB52,Resultados!CK52)=0, "", AVERAGE(ABS(Resultados!H52),ABS(Resultados!Q52),ABS(Resultados!Z52),ABS(Resultados!AI52),ABS(Resultados!AR52),ABS(Resultados!BA52),ABS(Resultados!BJ52),ABS(Resultados!BS52),ABS(Resultados!CB52),ABS(Resultados!CK52)))</f>
        <v>3.9239999999999997E-2</v>
      </c>
      <c r="I52">
        <f>IF(COUNT(Resultados!I52,Resultados!R52,Resultados!AA52,Resultados!AJ52,Resultados!AS52,Resultados!BB52,Resultados!BK52,Resultados!BT52,Resultados!CC52,Resultados!CL52)=0, "", AVERAGE(ABS(Resultados!I52),ABS(Resultados!R52),ABS(Resultados!AA52),ABS(Resultados!AJ52),ABS(Resultados!AS52),ABS(Resultados!BB52),ABS(Resultados!BK52),ABS(Resultados!BT52),ABS(Resultados!CC52),ABS(Resultados!CL52)))</f>
        <v>10.041259999999991</v>
      </c>
    </row>
    <row r="53" spans="1:9" x14ac:dyDescent="0.3">
      <c r="A53">
        <f>IF(COUNT(Resultados!A53,Resultados!J53,Resultados!S53,Resultados!AB53,Resultados!AK53,Resultados!AT53,Resultados!BC53,Resultados!BL53,Resultados!BU53,Resultados!CD53)=0, "", AVERAGE(ABS(Resultados!A53),ABS(Resultados!J53),ABS(Resultados!S53),ABS(Resultados!AB53),ABS(Resultados!AK53),ABS(Resultados!AT53),ABS(Resultados!BC53),ABS(Resultados!BL53),ABS(Resultados!BU53),ABS(Resultados!CD53)))</f>
        <v>45681</v>
      </c>
      <c r="B53" t="str">
        <f>IF(COUNT(Resultados!B53,Resultados!K53,Resultados!T53,Resultados!AC53,Resultados!AL53,Resultados!AU53,Resultados!BD53,Resultados!BM53,Resultados!BV53,Resultados!CE53)=0, "", AVERAGE(ABS(Resultados!B53),ABS(Resultados!K53),ABS(Resultados!T53),ABS(Resultados!AC53),ABS(Resultados!AL53),ABS(Resultados!AU53),ABS(Resultados!BD53),ABS(Resultados!BM53),ABS(Resultados!BV53),ABS(Resultados!CE53)))</f>
        <v/>
      </c>
      <c r="C53">
        <f>IF(COUNT(Resultados!C53,Resultados!L53,Resultados!U53,Resultados!AD53,Resultados!AM53,Resultados!AV53,Resultados!BE53,Resultados!BN53,Resultados!BW53,Resultados!CF53)=0, "", AVERAGE(ABS(Resultados!C53),ABS(Resultados!L53),ABS(Resultados!U53),ABS(Resultados!AD53),ABS(Resultados!AM53),ABS(Resultados!AV53),ABS(Resultados!BE53),ABS(Resultados!BN53),ABS(Resultados!BW53),ABS(Resultados!CF53)))</f>
        <v>4.3</v>
      </c>
      <c r="D53">
        <f>IF(COUNT(Resultados!D53,Resultados!M53,Resultados!V53,Resultados!AE53,Resultados!AN53,Resultados!AW53,Resultados!BF53,Resultados!BO53,Resultados!BX53,Resultados!CG53)=0, "", AVERAGE(ABS(Resultados!D53),ABS(Resultados!M53),ABS(Resultados!V53),ABS(Resultados!AE53),ABS(Resultados!AN53),ABS(Resultados!AW53),ABS(Resultados!BF53),ABS(Resultados!BO53),ABS(Resultados!BX53),ABS(Resultados!CG53)))</f>
        <v>3.9359999999999999E-2</v>
      </c>
      <c r="E53">
        <f>IF(COUNT(Resultados!E53,Resultados!N53,Resultados!W53,Resultados!AF53,Resultados!AO53,Resultados!AX53,Resultados!BG53,Resultados!BP53,Resultados!BY53,Resultados!CH53)=0, "", AVERAGE(ABS(Resultados!E53),ABS(Resultados!N53),ABS(Resultados!W53),ABS(Resultados!AF53),ABS(Resultados!AO53),ABS(Resultados!AX53),ABS(Resultados!BG53),ABS(Resultados!BP53),ABS(Resultados!BY53),ABS(Resultados!CH53)))</f>
        <v>8.5180828436029152</v>
      </c>
      <c r="F53">
        <f>IF(COUNT(Resultados!F53,Resultados!O53,Resultados!X53,Resultados!AG53,Resultados!AP53,Resultados!AY53,Resultados!BH53,Resultados!BQ53,Resultados!BZ53,Resultados!CI53)=0, "", AVERAGE(ABS(Resultados!F53),ABS(Resultados!O53),ABS(Resultados!X53),ABS(Resultados!AG53),ABS(Resultados!AP53),ABS(Resultados!AY53),ABS(Resultados!BH53),ABS(Resultados!BQ53),ABS(Resultados!BZ53),ABS(Resultados!CI53)))</f>
        <v>852.50273610628335</v>
      </c>
      <c r="G53">
        <f>IF(COUNT(Resultados!G53,Resultados!P53,Resultados!Y53,Resultados!AH53,Resultados!AQ53,Resultados!AZ53,Resultados!BI53,Resultados!BR53,Resultados!CA53,Resultados!CJ53)=0, "", AVERAGE(ABS(Resultados!G53),ABS(Resultados!P53),ABS(Resultados!Y53),ABS(Resultados!AH53),ABS(Resultados!AQ53),ABS(Resultados!AZ53),ABS(Resultados!BI53),ABS(Resultados!BR53),ABS(Resultados!CA53),ABS(Resultados!CJ53)))</f>
        <v>0.42400000000000004</v>
      </c>
      <c r="H53">
        <f>IF(COUNT(Resultados!H53,Resultados!Q53,Resultados!Z53,Resultados!AI53,Resultados!AR53,Resultados!BA53,Resultados!BJ53,Resultados!BS53,Resultados!CB53,Resultados!CK53)=0, "", AVERAGE(ABS(Resultados!H53),ABS(Resultados!Q53),ABS(Resultados!Z53),ABS(Resultados!AI53),ABS(Resultados!AR53),ABS(Resultados!BA53),ABS(Resultados!BJ53),ABS(Resultados!BS53),ABS(Resultados!CB53),ABS(Resultados!CK53)))</f>
        <v>3.9169999999999996E-2</v>
      </c>
      <c r="I53">
        <f>IF(COUNT(Resultados!I53,Resultados!R53,Resultados!AA53,Resultados!AJ53,Resultados!AS53,Resultados!BB53,Resultados!BK53,Resultados!BT53,Resultados!CC53,Resultados!CL53)=0, "", AVERAGE(ABS(Resultados!I53),ABS(Resultados!R53),ABS(Resultados!AA53),ABS(Resultados!AJ53),ABS(Resultados!AS53),ABS(Resultados!BB53),ABS(Resultados!BK53),ABS(Resultados!BT53),ABS(Resultados!CC53),ABS(Resultados!CL53)))</f>
        <v>10.240549999999994</v>
      </c>
    </row>
    <row r="54" spans="1:9" x14ac:dyDescent="0.3">
      <c r="A54">
        <f>IF(COUNT(Resultados!A54,Resultados!J54,Resultados!S54,Resultados!AB54,Resultados!AK54,Resultados!AT54,Resultados!BC54,Resultados!BL54,Resultados!BU54,Resultados!CD54)=0, "", AVERAGE(ABS(Resultados!A54),ABS(Resultados!J54),ABS(Resultados!S54),ABS(Resultados!AB54),ABS(Resultados!AK54),ABS(Resultados!AT54),ABS(Resultados!BC54),ABS(Resultados!BL54),ABS(Resultados!BU54),ABS(Resultados!CD54)))</f>
        <v>45681</v>
      </c>
      <c r="B54" t="str">
        <f>IF(COUNT(Resultados!B54,Resultados!K54,Resultados!T54,Resultados!AC54,Resultados!AL54,Resultados!AU54,Resultados!BD54,Resultados!BM54,Resultados!BV54,Resultados!CE54)=0, "", AVERAGE(ABS(Resultados!B54),ABS(Resultados!K54),ABS(Resultados!T54),ABS(Resultados!AC54),ABS(Resultados!AL54),ABS(Resultados!AU54),ABS(Resultados!BD54),ABS(Resultados!BM54),ABS(Resultados!BV54),ABS(Resultados!CE54)))</f>
        <v/>
      </c>
      <c r="C54">
        <f>IF(COUNT(Resultados!C54,Resultados!L54,Resultados!U54,Resultados!AD54,Resultados!AM54,Resultados!AV54,Resultados!BE54,Resultados!BN54,Resultados!BW54,Resultados!CF54)=0, "", AVERAGE(ABS(Resultados!C54),ABS(Resultados!L54),ABS(Resultados!U54),ABS(Resultados!AD54),ABS(Resultados!AM54),ABS(Resultados!AV54),ABS(Resultados!BE54),ABS(Resultados!BN54),ABS(Resultados!BW54),ABS(Resultados!CF54)))</f>
        <v>4.3</v>
      </c>
      <c r="D54">
        <f>IF(COUNT(Resultados!D54,Resultados!M54,Resultados!V54,Resultados!AE54,Resultados!AN54,Resultados!AW54,Resultados!BF54,Resultados!BO54,Resultados!BX54,Resultados!CG54)=0, "", AVERAGE(ABS(Resultados!D54),ABS(Resultados!M54),ABS(Resultados!V54),ABS(Resultados!AE54),ABS(Resultados!AN54),ABS(Resultados!AW54),ABS(Resultados!BF54),ABS(Resultados!BO54),ABS(Resultados!BX54),ABS(Resultados!CG54)))</f>
        <v>3.8980000000000001E-2</v>
      </c>
      <c r="E54">
        <f>IF(COUNT(Resultados!E54,Resultados!N54,Resultados!W54,Resultados!AF54,Resultados!AO54,Resultados!AX54,Resultados!BG54,Resultados!BP54,Resultados!BY54,Resultados!CH54)=0, "", AVERAGE(ABS(Resultados!E54),ABS(Resultados!N54),ABS(Resultados!W54),ABS(Resultados!AF54),ABS(Resultados!AO54),ABS(Resultados!AX54),ABS(Resultados!BG54),ABS(Resultados!BP54),ABS(Resultados!BY54),ABS(Resultados!CH54)))</f>
        <v>8.5120771730427638</v>
      </c>
      <c r="F54">
        <f>IF(COUNT(Resultados!F54,Resultados!O54,Resultados!X54,Resultados!AG54,Resultados!AP54,Resultados!AY54,Resultados!BH54,Resultados!BQ54,Resultados!BZ54,Resultados!CI54)=0, "", AVERAGE(ABS(Resultados!F54),ABS(Resultados!O54),ABS(Resultados!X54),ABS(Resultados!AG54),ABS(Resultados!AP54),ABS(Resultados!AY54),ABS(Resultados!BH54),ABS(Resultados!BQ54),ABS(Resultados!BZ54),ABS(Resultados!CI54)))</f>
        <v>851.95255490139539</v>
      </c>
      <c r="G54">
        <f>IF(COUNT(Resultados!G54,Resultados!P54,Resultados!Y54,Resultados!AH54,Resultados!AQ54,Resultados!AZ54,Resultados!BI54,Resultados!BR54,Resultados!CA54,Resultados!CJ54)=0, "", AVERAGE(ABS(Resultados!G54),ABS(Resultados!P54),ABS(Resultados!Y54),ABS(Resultados!AH54),ABS(Resultados!AQ54),ABS(Resultados!AZ54),ABS(Resultados!BI54),ABS(Resultados!BR54),ABS(Resultados!CA54),ABS(Resultados!CJ54)))</f>
        <v>0.42400000000000004</v>
      </c>
      <c r="H54">
        <f>IF(COUNT(Resultados!H54,Resultados!Q54,Resultados!Z54,Resultados!AI54,Resultados!AR54,Resultados!BA54,Resultados!BJ54,Resultados!BS54,Resultados!CB54,Resultados!CK54)=0, "", AVERAGE(ABS(Resultados!H54),ABS(Resultados!Q54),ABS(Resultados!Z54),ABS(Resultados!AI54),ABS(Resultados!AR54),ABS(Resultados!BA54),ABS(Resultados!BJ54),ABS(Resultados!BS54),ABS(Resultados!CB54),ABS(Resultados!CK54)))</f>
        <v>3.9089999999999993E-2</v>
      </c>
      <c r="I54">
        <f>IF(COUNT(Resultados!I54,Resultados!R54,Resultados!AA54,Resultados!AJ54,Resultados!AS54,Resultados!BB54,Resultados!BK54,Resultados!BT54,Resultados!CC54,Resultados!CL54)=0, "", AVERAGE(ABS(Resultados!I54),ABS(Resultados!R54),ABS(Resultados!AA54),ABS(Resultados!AJ54),ABS(Resultados!AS54),ABS(Resultados!BB54),ABS(Resultados!BK54),ABS(Resultados!BT54),ABS(Resultados!CC54),ABS(Resultados!CL54)))</f>
        <v>10.441970000000003</v>
      </c>
    </row>
    <row r="55" spans="1:9" x14ac:dyDescent="0.3">
      <c r="A55">
        <f>IF(COUNT(Resultados!A55,Resultados!J55,Resultados!S55,Resultados!AB55,Resultados!AK55,Resultados!AT55,Resultados!BC55,Resultados!BL55,Resultados!BU55,Resultados!CD55)=0, "", AVERAGE(ABS(Resultados!A55),ABS(Resultados!J55),ABS(Resultados!S55),ABS(Resultados!AB55),ABS(Resultados!AK55),ABS(Resultados!AT55),ABS(Resultados!BC55),ABS(Resultados!BL55),ABS(Resultados!BU55),ABS(Resultados!CD55)))</f>
        <v>45681</v>
      </c>
      <c r="B55" t="str">
        <f>IF(COUNT(Resultados!B55,Resultados!K55,Resultados!T55,Resultados!AC55,Resultados!AL55,Resultados!AU55,Resultados!BD55,Resultados!BM55,Resultados!BV55,Resultados!CE55)=0, "", AVERAGE(ABS(Resultados!B55),ABS(Resultados!K55),ABS(Resultados!T55),ABS(Resultados!AC55),ABS(Resultados!AL55),ABS(Resultados!AU55),ABS(Resultados!BD55),ABS(Resultados!BM55),ABS(Resultados!BV55),ABS(Resultados!CE55)))</f>
        <v/>
      </c>
      <c r="C55">
        <f>IF(COUNT(Resultados!C55,Resultados!L55,Resultados!U55,Resultados!AD55,Resultados!AM55,Resultados!AV55,Resultados!BE55,Resultados!BN55,Resultados!BW55,Resultados!CF55)=0, "", AVERAGE(ABS(Resultados!C55),ABS(Resultados!L55),ABS(Resultados!U55),ABS(Resultados!AD55),ABS(Resultados!AM55),ABS(Resultados!AV55),ABS(Resultados!BE55),ABS(Resultados!BN55),ABS(Resultados!BW55),ABS(Resultados!CF55)))</f>
        <v>4.3</v>
      </c>
      <c r="D55">
        <f>IF(COUNT(Resultados!D55,Resultados!M55,Resultados!V55,Resultados!AE55,Resultados!AN55,Resultados!AW55,Resultados!BF55,Resultados!BO55,Resultados!BX55,Resultados!CG55)=0, "", AVERAGE(ABS(Resultados!D55),ABS(Resultados!M55),ABS(Resultados!V55),ABS(Resultados!AE55),ABS(Resultados!AN55),ABS(Resultados!AW55),ABS(Resultados!BF55),ABS(Resultados!BO55),ABS(Resultados!BX55),ABS(Resultados!CG55)))</f>
        <v>3.9010000000000003E-2</v>
      </c>
      <c r="E55">
        <f>IF(COUNT(Resultados!E55,Resultados!N55,Resultados!W55,Resultados!AF55,Resultados!AO55,Resultados!AX55,Resultados!BG55,Resultados!BP55,Resultados!BY55,Resultados!CH55)=0, "", AVERAGE(ABS(Resultados!E55),ABS(Resultados!N55),ABS(Resultados!W55),ABS(Resultados!AF55),ABS(Resultados!AO55),ABS(Resultados!AX55),ABS(Resultados!BG55),ABS(Resultados!BP55),ABS(Resultados!BY55),ABS(Resultados!CH55)))</f>
        <v>8.5014067642396647</v>
      </c>
      <c r="F55">
        <f>IF(COUNT(Resultados!F55,Resultados!O55,Resultados!X55,Resultados!AG55,Resultados!AP55,Resultados!AY55,Resultados!BH55,Resultados!BQ55,Resultados!BZ55,Resultados!CI55)=0, "", AVERAGE(ABS(Resultados!F55),ABS(Resultados!O55),ABS(Resultados!X55),ABS(Resultados!AG55),ABS(Resultados!AP55),ABS(Resultados!AY55),ABS(Resultados!BH55),ABS(Resultados!BQ55),ABS(Resultados!BZ55),ABS(Resultados!CI55)))</f>
        <v>850.96683263563068</v>
      </c>
      <c r="G55">
        <f>IF(COUNT(Resultados!G55,Resultados!P55,Resultados!Y55,Resultados!AH55,Resultados!AQ55,Resultados!AZ55,Resultados!BI55,Resultados!BR55,Resultados!CA55,Resultados!CJ55)=0, "", AVERAGE(ABS(Resultados!G55),ABS(Resultados!P55),ABS(Resultados!Y55),ABS(Resultados!AH55),ABS(Resultados!AQ55),ABS(Resultados!AZ55),ABS(Resultados!BI55),ABS(Resultados!BR55),ABS(Resultados!CA55),ABS(Resultados!CJ55)))</f>
        <v>0.42400000000000004</v>
      </c>
      <c r="H55">
        <f>IF(COUNT(Resultados!H55,Resultados!Q55,Resultados!Z55,Resultados!AI55,Resultados!AR55,Resultados!BA55,Resultados!BJ55,Resultados!BS55,Resultados!CB55,Resultados!CK55)=0, "", AVERAGE(ABS(Resultados!H55),ABS(Resultados!Q55),ABS(Resultados!Z55),ABS(Resultados!AI55),ABS(Resultados!AR55),ABS(Resultados!BA55),ABS(Resultados!BJ55),ABS(Resultados!BS55),ABS(Resultados!CB55),ABS(Resultados!CK55)))</f>
        <v>3.8920000000000003E-2</v>
      </c>
      <c r="I55">
        <f>IF(COUNT(Resultados!I55,Resultados!R55,Resultados!AA55,Resultados!AJ55,Resultados!AS55,Resultados!BB55,Resultados!BK55,Resultados!BT55,Resultados!CC55,Resultados!CL55)=0, "", AVERAGE(ABS(Resultados!I55),ABS(Resultados!R55),ABS(Resultados!AA55),ABS(Resultados!AJ55),ABS(Resultados!AS55),ABS(Resultados!BB55),ABS(Resultados!BK55),ABS(Resultados!BT55),ABS(Resultados!CC55),ABS(Resultados!CL55)))</f>
        <v>10.640319999999994</v>
      </c>
    </row>
    <row r="56" spans="1:9" x14ac:dyDescent="0.3">
      <c r="A56">
        <f>IF(COUNT(Resultados!A56,Resultados!J56,Resultados!S56,Resultados!AB56,Resultados!AK56,Resultados!AT56,Resultados!BC56,Resultados!BL56,Resultados!BU56,Resultados!CD56)=0, "", AVERAGE(ABS(Resultados!A56),ABS(Resultados!J56),ABS(Resultados!S56),ABS(Resultados!AB56),ABS(Resultados!AK56),ABS(Resultados!AT56),ABS(Resultados!BC56),ABS(Resultados!BL56),ABS(Resultados!BU56),ABS(Resultados!CD56)))</f>
        <v>45681</v>
      </c>
      <c r="B56" t="str">
        <f>IF(COUNT(Resultados!B56,Resultados!K56,Resultados!T56,Resultados!AC56,Resultados!AL56,Resultados!AU56,Resultados!BD56,Resultados!BM56,Resultados!BV56,Resultados!CE56)=0, "", AVERAGE(ABS(Resultados!B56),ABS(Resultados!K56),ABS(Resultados!T56),ABS(Resultados!AC56),ABS(Resultados!AL56),ABS(Resultados!AU56),ABS(Resultados!BD56),ABS(Resultados!BM56),ABS(Resultados!BV56),ABS(Resultados!CE56)))</f>
        <v/>
      </c>
      <c r="C56">
        <f>IF(COUNT(Resultados!C56,Resultados!L56,Resultados!U56,Resultados!AD56,Resultados!AM56,Resultados!AV56,Resultados!BE56,Resultados!BN56,Resultados!BW56,Resultados!CF56)=0, "", AVERAGE(ABS(Resultados!C56),ABS(Resultados!L56),ABS(Resultados!U56),ABS(Resultados!AD56),ABS(Resultados!AM56),ABS(Resultados!AV56),ABS(Resultados!BE56),ABS(Resultados!BN56),ABS(Resultados!BW56),ABS(Resultados!CF56)))</f>
        <v>4.3</v>
      </c>
      <c r="D56">
        <f>IF(COUNT(Resultados!D56,Resultados!M56,Resultados!V56,Resultados!AE56,Resultados!AN56,Resultados!AW56,Resultados!BF56,Resultados!BO56,Resultados!BX56,Resultados!CG56)=0, "", AVERAGE(ABS(Resultados!D56),ABS(Resultados!M56),ABS(Resultados!V56),ABS(Resultados!AE56),ABS(Resultados!AN56),ABS(Resultados!AW56),ABS(Resultados!BF56),ABS(Resultados!BO56),ABS(Resultados!BX56),ABS(Resultados!CG56)))</f>
        <v>3.8860000000000006E-2</v>
      </c>
      <c r="E56">
        <f>IF(COUNT(Resultados!E56,Resultados!N56,Resultados!W56,Resultados!AF56,Resultados!AO56,Resultados!AX56,Resultados!BG56,Resultados!BP56,Resultados!BY56,Resultados!CH56)=0, "", AVERAGE(ABS(Resultados!E56),ABS(Resultados!N56),ABS(Resultados!W56),ABS(Resultados!AF56),ABS(Resultados!AO56),ABS(Resultados!AX56),ABS(Resultados!BG56),ABS(Resultados!BP56),ABS(Resultados!BY56),ABS(Resultados!CH56)))</f>
        <v>8.4856687009093825</v>
      </c>
      <c r="F56">
        <f>IF(COUNT(Resultados!F56,Resultados!O56,Resultados!X56,Resultados!AG56,Resultados!AP56,Resultados!AY56,Resultados!BH56,Resultados!BQ56,Resultados!BZ56,Resultados!CI56)=0, "", AVERAGE(ABS(Resultados!F56),ABS(Resultados!O56),ABS(Resultados!X56),ABS(Resultados!AG56),ABS(Resultados!AP56),ABS(Resultados!AY56),ABS(Resultados!BH56),ABS(Resultados!BQ56),ABS(Resultados!BZ56),ABS(Resultados!CI56)))</f>
        <v>849.50816067896506</v>
      </c>
      <c r="G56">
        <f>IF(COUNT(Resultados!G56,Resultados!P56,Resultados!Y56,Resultados!AH56,Resultados!AQ56,Resultados!AZ56,Resultados!BI56,Resultados!BR56,Resultados!CA56,Resultados!CJ56)=0, "", AVERAGE(ABS(Resultados!G56),ABS(Resultados!P56),ABS(Resultados!Y56),ABS(Resultados!AH56),ABS(Resultados!AQ56),ABS(Resultados!AZ56),ABS(Resultados!BI56),ABS(Resultados!BR56),ABS(Resultados!CA56),ABS(Resultados!CJ56)))</f>
        <v>0.42400000000000004</v>
      </c>
      <c r="H56">
        <f>IF(COUNT(Resultados!H56,Resultados!Q56,Resultados!Z56,Resultados!AI56,Resultados!AR56,Resultados!BA56,Resultados!BJ56,Resultados!BS56,Resultados!CB56,Resultados!CK56)=0, "", AVERAGE(ABS(Resultados!H56),ABS(Resultados!Q56),ABS(Resultados!Z56),ABS(Resultados!AI56),ABS(Resultados!AR56),ABS(Resultados!BA56),ABS(Resultados!BJ56),ABS(Resultados!BS56),ABS(Resultados!CB56),ABS(Resultados!CK56)))</f>
        <v>3.8679999999999999E-2</v>
      </c>
      <c r="I56">
        <f>IF(COUNT(Resultados!I56,Resultados!R56,Resultados!AA56,Resultados!AJ56,Resultados!AS56,Resultados!BB56,Resultados!BK56,Resultados!BT56,Resultados!CC56,Resultados!CL56)=0, "", AVERAGE(ABS(Resultados!I56),ABS(Resultados!R56),ABS(Resultados!AA56),ABS(Resultados!AJ56),ABS(Resultados!AS56),ABS(Resultados!BB56),ABS(Resultados!BK56),ABS(Resultados!BT56),ABS(Resultados!CC56),ABS(Resultados!CL56)))</f>
        <v>10.841769999999997</v>
      </c>
    </row>
    <row r="57" spans="1:9" x14ac:dyDescent="0.3">
      <c r="A57">
        <f>IF(COUNT(Resultados!A57,Resultados!J57,Resultados!S57,Resultados!AB57,Resultados!AK57,Resultados!AT57,Resultados!BC57,Resultados!BL57,Resultados!BU57,Resultados!CD57)=0, "", AVERAGE(ABS(Resultados!A57),ABS(Resultados!J57),ABS(Resultados!S57),ABS(Resultados!AB57),ABS(Resultados!AK57),ABS(Resultados!AT57),ABS(Resultados!BC57),ABS(Resultados!BL57),ABS(Resultados!BU57),ABS(Resultados!CD57)))</f>
        <v>45681</v>
      </c>
      <c r="B57" t="str">
        <f>IF(COUNT(Resultados!B57,Resultados!K57,Resultados!T57,Resultados!AC57,Resultados!AL57,Resultados!AU57,Resultados!BD57,Resultados!BM57,Resultados!BV57,Resultados!CE57)=0, "", AVERAGE(ABS(Resultados!B57),ABS(Resultados!K57),ABS(Resultados!T57),ABS(Resultados!AC57),ABS(Resultados!AL57),ABS(Resultados!AU57),ABS(Resultados!BD57),ABS(Resultados!BM57),ABS(Resultados!BV57),ABS(Resultados!CE57)))</f>
        <v/>
      </c>
      <c r="C57">
        <f>IF(COUNT(Resultados!C57,Resultados!L57,Resultados!U57,Resultados!AD57,Resultados!AM57,Resultados!AV57,Resultados!BE57,Resultados!BN57,Resultados!BW57,Resultados!CF57)=0, "", AVERAGE(ABS(Resultados!C57),ABS(Resultados!L57),ABS(Resultados!U57),ABS(Resultados!AD57),ABS(Resultados!AM57),ABS(Resultados!AV57),ABS(Resultados!BE57),ABS(Resultados!BN57),ABS(Resultados!BW57),ABS(Resultados!CF57)))</f>
        <v>4.3</v>
      </c>
      <c r="D57">
        <f>IF(COUNT(Resultados!D57,Resultados!M57,Resultados!V57,Resultados!AE57,Resultados!AN57,Resultados!AW57,Resultados!BF57,Resultados!BO57,Resultados!BX57,Resultados!CG57)=0, "", AVERAGE(ABS(Resultados!D57),ABS(Resultados!M57),ABS(Resultados!V57),ABS(Resultados!AE57),ABS(Resultados!AN57),ABS(Resultados!AW57),ABS(Resultados!BF57),ABS(Resultados!BO57),ABS(Resultados!BX57),ABS(Resultados!CG57)))</f>
        <v>3.8779999999999995E-2</v>
      </c>
      <c r="E57">
        <f>IF(COUNT(Resultados!E57,Resultados!N57,Resultados!W57,Resultados!AF57,Resultados!AO57,Resultados!AX57,Resultados!BG57,Resultados!BP57,Resultados!BY57,Resultados!CH57)=0, "", AVERAGE(ABS(Resultados!E57),ABS(Resultados!N57),ABS(Resultados!W57),ABS(Resultados!AF57),ABS(Resultados!AO57),ABS(Resultados!AX57),ABS(Resultados!BG57),ABS(Resultados!BP57),ABS(Resultados!BY57),ABS(Resultados!CH57)))</f>
        <v>8.46531175807797</v>
      </c>
      <c r="F57">
        <f>IF(COUNT(Resultados!F57,Resultados!O57,Resultados!X57,Resultados!AG57,Resultados!AP57,Resultados!AY57,Resultados!BH57,Resultados!BQ57,Resultados!BZ57,Resultados!CI57)=0, "", AVERAGE(ABS(Resultados!F57),ABS(Resultados!O57),ABS(Resultados!X57),ABS(Resultados!AG57),ABS(Resultados!AP57),ABS(Resultados!AY57),ABS(Resultados!BH57),ABS(Resultados!BQ57),ABS(Resultados!BZ57),ABS(Resultados!CI57)))</f>
        <v>847.61807204907075</v>
      </c>
      <c r="G57">
        <f>IF(COUNT(Resultados!G57,Resultados!P57,Resultados!Y57,Resultados!AH57,Resultados!AQ57,Resultados!AZ57,Resultados!BI57,Resultados!BR57,Resultados!CA57,Resultados!CJ57)=0, "", AVERAGE(ABS(Resultados!G57),ABS(Resultados!P57),ABS(Resultados!Y57),ABS(Resultados!AH57),ABS(Resultados!AQ57),ABS(Resultados!AZ57),ABS(Resultados!BI57),ABS(Resultados!BR57),ABS(Resultados!CA57),ABS(Resultados!CJ57)))</f>
        <v>0.42400000000000004</v>
      </c>
      <c r="H57">
        <f>IF(COUNT(Resultados!H57,Resultados!Q57,Resultados!Z57,Resultados!AI57,Resultados!AR57,Resultados!BA57,Resultados!BJ57,Resultados!BS57,Resultados!CB57,Resultados!CK57)=0, "", AVERAGE(ABS(Resultados!H57),ABS(Resultados!Q57),ABS(Resultados!Z57),ABS(Resultados!AI57),ABS(Resultados!AR57),ABS(Resultados!BA57),ABS(Resultados!BJ57),ABS(Resultados!BS57),ABS(Resultados!CB57),ABS(Resultados!CK57)))</f>
        <v>3.8379999999999997E-2</v>
      </c>
      <c r="I57">
        <f>IF(COUNT(Resultados!I57,Resultados!R57,Resultados!AA57,Resultados!AJ57,Resultados!AS57,Resultados!BB57,Resultados!BK57,Resultados!BT57,Resultados!CC57,Resultados!CL57)=0, "", AVERAGE(ABS(Resultados!I57),ABS(Resultados!R57),ABS(Resultados!AA57),ABS(Resultados!AJ57),ABS(Resultados!AS57),ABS(Resultados!BB57),ABS(Resultados!BK57),ABS(Resultados!BT57),ABS(Resultados!CC57),ABS(Resultados!CL57)))</f>
        <v>11.040899999999985</v>
      </c>
    </row>
    <row r="58" spans="1:9" x14ac:dyDescent="0.3">
      <c r="A58">
        <f>IF(COUNT(Resultados!A58,Resultados!J58,Resultados!S58,Resultados!AB58,Resultados!AK58,Resultados!AT58,Resultados!BC58,Resultados!BL58,Resultados!BU58,Resultados!CD58)=0, "", AVERAGE(ABS(Resultados!A58),ABS(Resultados!J58),ABS(Resultados!S58),ABS(Resultados!AB58),ABS(Resultados!AK58),ABS(Resultados!AT58),ABS(Resultados!BC58),ABS(Resultados!BL58),ABS(Resultados!BU58),ABS(Resultados!CD58)))</f>
        <v>45681</v>
      </c>
      <c r="B58" t="str">
        <f>IF(COUNT(Resultados!B58,Resultados!K58,Resultados!T58,Resultados!AC58,Resultados!AL58,Resultados!AU58,Resultados!BD58,Resultados!BM58,Resultados!BV58,Resultados!CE58)=0, "", AVERAGE(ABS(Resultados!B58),ABS(Resultados!K58),ABS(Resultados!T58),ABS(Resultados!AC58),ABS(Resultados!AL58),ABS(Resultados!AU58),ABS(Resultados!BD58),ABS(Resultados!BM58),ABS(Resultados!BV58),ABS(Resultados!CE58)))</f>
        <v/>
      </c>
      <c r="C58">
        <f>IF(COUNT(Resultados!C58,Resultados!L58,Resultados!U58,Resultados!AD58,Resultados!AM58,Resultados!AV58,Resultados!BE58,Resultados!BN58,Resultados!BW58,Resultados!CF58)=0, "", AVERAGE(ABS(Resultados!C58),ABS(Resultados!L58),ABS(Resultados!U58),ABS(Resultados!AD58),ABS(Resultados!AM58),ABS(Resultados!AV58),ABS(Resultados!BE58),ABS(Resultados!BN58),ABS(Resultados!BW58),ABS(Resultados!CF58)))</f>
        <v>4.3</v>
      </c>
      <c r="D58">
        <f>IF(COUNT(Resultados!D58,Resultados!M58,Resultados!V58,Resultados!AE58,Resultados!AN58,Resultados!AW58,Resultados!BF58,Resultados!BO58,Resultados!BX58,Resultados!CG58)=0, "", AVERAGE(ABS(Resultados!D58),ABS(Resultados!M58),ABS(Resultados!V58),ABS(Resultados!AE58),ABS(Resultados!AN58),ABS(Resultados!AW58),ABS(Resultados!BF58),ABS(Resultados!BO58),ABS(Resultados!BX58),ABS(Resultados!CG58)))</f>
        <v>3.866E-2</v>
      </c>
      <c r="E58">
        <f>IF(COUNT(Resultados!E58,Resultados!N58,Resultados!W58,Resultados!AF58,Resultados!AO58,Resultados!AX58,Resultados!BG58,Resultados!BP58,Resultados!BY58,Resultados!CH58)=0, "", AVERAGE(ABS(Resultados!E58),ABS(Resultados!N58),ABS(Resultados!W58),ABS(Resultados!AF58),ABS(Resultados!AO58),ABS(Resultados!AX58),ABS(Resultados!BG58),ABS(Resultados!BP58),ABS(Resultados!BY58),ABS(Resultados!CH58)))</f>
        <v>8.4402698845602622</v>
      </c>
      <c r="F58">
        <f>IF(COUNT(Resultados!F58,Resultados!O58,Resultados!X58,Resultados!AG58,Resultados!AP58,Resultados!AY58,Resultados!BH58,Resultados!BQ58,Resultados!BZ58,Resultados!CI58)=0, "", AVERAGE(ABS(Resultados!F58),ABS(Resultados!O58),ABS(Resultados!X58),ABS(Resultados!AG58),ABS(Resultados!AP58),ABS(Resultados!AY58),ABS(Resultados!BH58),ABS(Resultados!BQ58),ABS(Resultados!BZ58),ABS(Resultados!CI58)))</f>
        <v>845.29063900281085</v>
      </c>
      <c r="G58">
        <f>IF(COUNT(Resultados!G58,Resultados!P58,Resultados!Y58,Resultados!AH58,Resultados!AQ58,Resultados!AZ58,Resultados!BI58,Resultados!BR58,Resultados!CA58,Resultados!CJ58)=0, "", AVERAGE(ABS(Resultados!G58),ABS(Resultados!P58),ABS(Resultados!Y58),ABS(Resultados!AH58),ABS(Resultados!AQ58),ABS(Resultados!AZ58),ABS(Resultados!BI58),ABS(Resultados!BR58),ABS(Resultados!CA58),ABS(Resultados!CJ58)))</f>
        <v>0.42400000000000004</v>
      </c>
      <c r="H58">
        <f>IF(COUNT(Resultados!H58,Resultados!Q58,Resultados!Z58,Resultados!AI58,Resultados!AR58,Resultados!BA58,Resultados!BJ58,Resultados!BS58,Resultados!CB58,Resultados!CK58)=0, "", AVERAGE(ABS(Resultados!H58),ABS(Resultados!Q58),ABS(Resultados!Z58),ABS(Resultados!AI58),ABS(Resultados!AR58),ABS(Resultados!BA58),ABS(Resultados!BJ58),ABS(Resultados!BS58),ABS(Resultados!CB58),ABS(Resultados!CK58)))</f>
        <v>3.7999999999999992E-2</v>
      </c>
      <c r="I58">
        <f>IF(COUNT(Resultados!I58,Resultados!R58,Resultados!AA58,Resultados!AJ58,Resultados!AS58,Resultados!BB58,Resultados!BK58,Resultados!BT58,Resultados!CC58,Resultados!CL58)=0, "", AVERAGE(ABS(Resultados!I58),ABS(Resultados!R58),ABS(Resultados!AA58),ABS(Resultados!AJ58),ABS(Resultados!AS58),ABS(Resultados!BB58),ABS(Resultados!BK58),ABS(Resultados!BT58),ABS(Resultados!CC58),ABS(Resultados!CL58)))</f>
        <v>11.240599999999992</v>
      </c>
    </row>
    <row r="59" spans="1:9" x14ac:dyDescent="0.3">
      <c r="A59">
        <f>IF(COUNT(Resultados!A59,Resultados!J59,Resultados!S59,Resultados!AB59,Resultados!AK59,Resultados!AT59,Resultados!BC59,Resultados!BL59,Resultados!BU59,Resultados!CD59)=0, "", AVERAGE(ABS(Resultados!A59),ABS(Resultados!J59),ABS(Resultados!S59),ABS(Resultados!AB59),ABS(Resultados!AK59),ABS(Resultados!AT59),ABS(Resultados!BC59),ABS(Resultados!BL59),ABS(Resultados!BU59),ABS(Resultados!CD59)))</f>
        <v>45681</v>
      </c>
      <c r="B59" t="str">
        <f>IF(COUNT(Resultados!B59,Resultados!K59,Resultados!T59,Resultados!AC59,Resultados!AL59,Resultados!AU59,Resultados!BD59,Resultados!BM59,Resultados!BV59,Resultados!CE59)=0, "", AVERAGE(ABS(Resultados!B59),ABS(Resultados!K59),ABS(Resultados!T59),ABS(Resultados!AC59),ABS(Resultados!AL59),ABS(Resultados!AU59),ABS(Resultados!BD59),ABS(Resultados!BM59),ABS(Resultados!BV59),ABS(Resultados!CE59)))</f>
        <v/>
      </c>
      <c r="C59">
        <f>IF(COUNT(Resultados!C59,Resultados!L59,Resultados!U59,Resultados!AD59,Resultados!AM59,Resultados!AV59,Resultados!BE59,Resultados!BN59,Resultados!BW59,Resultados!CF59)=0, "", AVERAGE(ABS(Resultados!C59),ABS(Resultados!L59),ABS(Resultados!U59),ABS(Resultados!AD59),ABS(Resultados!AM59),ABS(Resultados!AV59),ABS(Resultados!BE59),ABS(Resultados!BN59),ABS(Resultados!BW59),ABS(Resultados!CF59)))</f>
        <v>4.3</v>
      </c>
      <c r="D59">
        <f>IF(COUNT(Resultados!D59,Resultados!M59,Resultados!V59,Resultados!AE59,Resultados!AN59,Resultados!AW59,Resultados!BF59,Resultados!BO59,Resultados!BX59,Resultados!CG59)=0, "", AVERAGE(ABS(Resultados!D59),ABS(Resultados!M59),ABS(Resultados!V59),ABS(Resultados!AE59),ABS(Resultados!AN59),ABS(Resultados!AW59),ABS(Resultados!BF59),ABS(Resultados!BO59),ABS(Resultados!BX59),ABS(Resultados!CG59)))</f>
        <v>3.8570000000000007E-2</v>
      </c>
      <c r="E59">
        <f>IF(COUNT(Resultados!E59,Resultados!N59,Resultados!W59,Resultados!AF59,Resultados!AO59,Resultados!AX59,Resultados!BG59,Resultados!BP59,Resultados!BY59,Resultados!CH59)=0, "", AVERAGE(ABS(Resultados!E59),ABS(Resultados!N59),ABS(Resultados!W59),ABS(Resultados!AF59),ABS(Resultados!AO59),ABS(Resultados!AX59),ABS(Resultados!BG59),ABS(Resultados!BP59),ABS(Resultados!BY59),ABS(Resultados!CH59)))</f>
        <v>8.4106390958298469</v>
      </c>
      <c r="F59">
        <f>IF(COUNT(Resultados!F59,Resultados!O59,Resultados!X59,Resultados!AG59,Resultados!AP59,Resultados!AY59,Resultados!BH59,Resultados!BQ59,Resultados!BZ59,Resultados!CI59)=0, "", AVERAGE(ABS(Resultados!F59),ABS(Resultados!O59),ABS(Resultados!X59),ABS(Resultados!AG59),ABS(Resultados!AP59),ABS(Resultados!AY59),ABS(Resultados!BH59),ABS(Resultados!BQ59),ABS(Resultados!BZ59),ABS(Resultados!CI59)))</f>
        <v>842.53473098172253</v>
      </c>
      <c r="G59">
        <f>IF(COUNT(Resultados!G59,Resultados!P59,Resultados!Y59,Resultados!AH59,Resultados!AQ59,Resultados!AZ59,Resultados!BI59,Resultados!BR59,Resultados!CA59,Resultados!CJ59)=0, "", AVERAGE(ABS(Resultados!G59),ABS(Resultados!P59),ABS(Resultados!Y59),ABS(Resultados!AH59),ABS(Resultados!AQ59),ABS(Resultados!AZ59),ABS(Resultados!BI59),ABS(Resultados!BR59),ABS(Resultados!CA59),ABS(Resultados!CJ59)))</f>
        <v>0.42400000000000004</v>
      </c>
      <c r="H59">
        <f>IF(COUNT(Resultados!H59,Resultados!Q59,Resultados!Z59,Resultados!AI59,Resultados!AR59,Resultados!BA59,Resultados!BJ59,Resultados!BS59,Resultados!CB59,Resultados!CK59)=0, "", AVERAGE(ABS(Resultados!H59),ABS(Resultados!Q59),ABS(Resultados!Z59),ABS(Resultados!AI59),ABS(Resultados!AR59),ABS(Resultados!BA59),ABS(Resultados!BJ59),ABS(Resultados!BS59),ABS(Resultados!CB59),ABS(Resultados!CK59)))</f>
        <v>3.7529999999999994E-2</v>
      </c>
      <c r="I59">
        <f>IF(COUNT(Resultados!I59,Resultados!R59,Resultados!AA59,Resultados!AJ59,Resultados!AS59,Resultados!BB59,Resultados!BK59,Resultados!BT59,Resultados!CC59,Resultados!CL59)=0, "", AVERAGE(ABS(Resultados!I59),ABS(Resultados!R59),ABS(Resultados!AA59),ABS(Resultados!AJ59),ABS(Resultados!AS59),ABS(Resultados!BB59),ABS(Resultados!BK59),ABS(Resultados!BT59),ABS(Resultados!CC59),ABS(Resultados!CL59)))</f>
        <v>11.440770000000004</v>
      </c>
    </row>
    <row r="60" spans="1:9" x14ac:dyDescent="0.3">
      <c r="A60">
        <f>IF(COUNT(Resultados!A60,Resultados!J60,Resultados!S60,Resultados!AB60,Resultados!AK60,Resultados!AT60,Resultados!BC60,Resultados!BL60,Resultados!BU60,Resultados!CD60)=0, "", AVERAGE(ABS(Resultados!A60),ABS(Resultados!J60),ABS(Resultados!S60),ABS(Resultados!AB60),ABS(Resultados!AK60),ABS(Resultados!AT60),ABS(Resultados!BC60),ABS(Resultados!BL60),ABS(Resultados!BU60),ABS(Resultados!CD60)))</f>
        <v>45681</v>
      </c>
      <c r="B60" t="str">
        <f>IF(COUNT(Resultados!B60,Resultados!K60,Resultados!T60,Resultados!AC60,Resultados!AL60,Resultados!AU60,Resultados!BD60,Resultados!BM60,Resultados!BV60,Resultados!CE60)=0, "", AVERAGE(ABS(Resultados!B60),ABS(Resultados!K60),ABS(Resultados!T60),ABS(Resultados!AC60),ABS(Resultados!AL60),ABS(Resultados!AU60),ABS(Resultados!BD60),ABS(Resultados!BM60),ABS(Resultados!BV60),ABS(Resultados!CE60)))</f>
        <v/>
      </c>
      <c r="C60">
        <f>IF(COUNT(Resultados!C60,Resultados!L60,Resultados!U60,Resultados!AD60,Resultados!AM60,Resultados!AV60,Resultados!BE60,Resultados!BN60,Resultados!BW60,Resultados!CF60)=0, "", AVERAGE(ABS(Resultados!C60),ABS(Resultados!L60),ABS(Resultados!U60),ABS(Resultados!AD60),ABS(Resultados!AM60),ABS(Resultados!AV60),ABS(Resultados!BE60),ABS(Resultados!BN60),ABS(Resultados!BW60),ABS(Resultados!CF60)))</f>
        <v>4.3</v>
      </c>
      <c r="D60">
        <f>IF(COUNT(Resultados!D60,Resultados!M60,Resultados!V60,Resultados!AE60,Resultados!AN60,Resultados!AW60,Resultados!BF60,Resultados!BO60,Resultados!BX60,Resultados!CG60)=0, "", AVERAGE(ABS(Resultados!D60),ABS(Resultados!M60),ABS(Resultados!V60),ABS(Resultados!AE60),ABS(Resultados!AN60),ABS(Resultados!AW60),ABS(Resultados!BF60),ABS(Resultados!BO60),ABS(Resultados!BX60),ABS(Resultados!CG60)))</f>
        <v>3.8529999999999995E-2</v>
      </c>
      <c r="E60">
        <f>IF(COUNT(Resultados!E60,Resultados!N60,Resultados!W60,Resultados!AF60,Resultados!AO60,Resultados!AX60,Resultados!BG60,Resultados!BP60,Resultados!BY60,Resultados!CH60)=0, "", AVERAGE(ABS(Resultados!E60),ABS(Resultados!N60),ABS(Resultados!W60),ABS(Resultados!AF60),ABS(Resultados!AO60),ABS(Resultados!AX60),ABS(Resultados!BG60),ABS(Resultados!BP60),ABS(Resultados!BY60),ABS(Resultados!CH60)))</f>
        <v>8.376522422004296</v>
      </c>
      <c r="F60">
        <f>IF(COUNT(Resultados!F60,Resultados!O60,Resultados!X60,Resultados!AG60,Resultados!AP60,Resultados!AY60,Resultados!BH60,Resultados!BQ60,Resultados!BZ60,Resultados!CI60)=0, "", AVERAGE(ABS(Resultados!F60),ABS(Resultados!O60),ABS(Resultados!X60),ABS(Resultados!AG60),ABS(Resultados!AP60),ABS(Resultados!AY60),ABS(Resultados!BH60),ABS(Resultados!BQ60),ABS(Resultados!BZ60),ABS(Resultados!CI60)))</f>
        <v>839.35984217261978</v>
      </c>
      <c r="G60">
        <f>IF(COUNT(Resultados!G60,Resultados!P60,Resultados!Y60,Resultados!AH60,Resultados!AQ60,Resultados!AZ60,Resultados!BI60,Resultados!BR60,Resultados!CA60,Resultados!CJ60)=0, "", AVERAGE(ABS(Resultados!G60),ABS(Resultados!P60),ABS(Resultados!Y60),ABS(Resultados!AH60),ABS(Resultados!AQ60),ABS(Resultados!AZ60),ABS(Resultados!BI60),ABS(Resultados!BR60),ABS(Resultados!CA60),ABS(Resultados!CJ60)))</f>
        <v>0.42400000000000004</v>
      </c>
      <c r="H60">
        <f>IF(COUNT(Resultados!H60,Resultados!Q60,Resultados!Z60,Resultados!AI60,Resultados!AR60,Resultados!BA60,Resultados!BJ60,Resultados!BS60,Resultados!CB60,Resultados!CK60)=0, "", AVERAGE(ABS(Resultados!H60),ABS(Resultados!Q60),ABS(Resultados!Z60),ABS(Resultados!AI60),ABS(Resultados!AR60),ABS(Resultados!BA60),ABS(Resultados!BJ60),ABS(Resultados!BS60),ABS(Resultados!CB60),ABS(Resultados!CK60)))</f>
        <v>3.7000000000000005E-2</v>
      </c>
      <c r="I60">
        <f>IF(COUNT(Resultados!I60,Resultados!R60,Resultados!AA60,Resultados!AJ60,Resultados!AS60,Resultados!BB60,Resultados!BK60,Resultados!BT60,Resultados!CC60,Resultados!CL60)=0, "", AVERAGE(ABS(Resultados!I60),ABS(Resultados!R60),ABS(Resultados!AA60),ABS(Resultados!AJ60),ABS(Resultados!AS60),ABS(Resultados!BB60),ABS(Resultados!BK60),ABS(Resultados!BT60),ABS(Resultados!CC60),ABS(Resultados!CL60)))</f>
        <v>11.640650000000003</v>
      </c>
    </row>
    <row r="61" spans="1:9" x14ac:dyDescent="0.3">
      <c r="A61">
        <f>IF(COUNT(Resultados!A61,Resultados!J61,Resultados!S61,Resultados!AB61,Resultados!AK61,Resultados!AT61,Resultados!BC61,Resultados!BL61,Resultados!BU61,Resultados!CD61)=0, "", AVERAGE(ABS(Resultados!A61),ABS(Resultados!J61),ABS(Resultados!S61),ABS(Resultados!AB61),ABS(Resultados!AK61),ABS(Resultados!AT61),ABS(Resultados!BC61),ABS(Resultados!BL61),ABS(Resultados!BU61),ABS(Resultados!CD61)))</f>
        <v>45681</v>
      </c>
      <c r="B61" t="str">
        <f>IF(COUNT(Resultados!B61,Resultados!K61,Resultados!T61,Resultados!AC61,Resultados!AL61,Resultados!AU61,Resultados!BD61,Resultados!BM61,Resultados!BV61,Resultados!CE61)=0, "", AVERAGE(ABS(Resultados!B61),ABS(Resultados!K61),ABS(Resultados!T61),ABS(Resultados!AC61),ABS(Resultados!AL61),ABS(Resultados!AU61),ABS(Resultados!BD61),ABS(Resultados!BM61),ABS(Resultados!BV61),ABS(Resultados!CE61)))</f>
        <v/>
      </c>
      <c r="C61">
        <f>IF(COUNT(Resultados!C61,Resultados!L61,Resultados!U61,Resultados!AD61,Resultados!AM61,Resultados!AV61,Resultados!BE61,Resultados!BN61,Resultados!BW61,Resultados!CF61)=0, "", AVERAGE(ABS(Resultados!C61),ABS(Resultados!L61),ABS(Resultados!U61),ABS(Resultados!AD61),ABS(Resultados!AM61),ABS(Resultados!AV61),ABS(Resultados!BE61),ABS(Resultados!BN61),ABS(Resultados!BW61),ABS(Resultados!CF61)))</f>
        <v>4.3</v>
      </c>
      <c r="D61">
        <f>IF(COUNT(Resultados!D61,Resultados!M61,Resultados!V61,Resultados!AE61,Resultados!AN61,Resultados!AW61,Resultados!BF61,Resultados!BO61,Resultados!BX61,Resultados!CG61)=0, "", AVERAGE(ABS(Resultados!D61),ABS(Resultados!M61),ABS(Resultados!V61),ABS(Resultados!AE61),ABS(Resultados!AN61),ABS(Resultados!AW61),ABS(Resultados!BF61),ABS(Resultados!BO61),ABS(Resultados!BX61),ABS(Resultados!CG61)))</f>
        <v>3.8209999999999994E-2</v>
      </c>
      <c r="E61">
        <f>IF(COUNT(Resultados!E61,Resultados!N61,Resultados!W61,Resultados!AF61,Resultados!AO61,Resultados!AX61,Resultados!BG61,Resultados!BP61,Resultados!BY61,Resultados!CH61)=0, "", AVERAGE(ABS(Resultados!E61),ABS(Resultados!N61),ABS(Resultados!W61),ABS(Resultados!AF61),ABS(Resultados!AO61),ABS(Resultados!AX61),ABS(Resultados!BG61),ABS(Resultados!BP61),ABS(Resultados!BY61),ABS(Resultados!CH61)))</f>
        <v>8.3381438045788094</v>
      </c>
      <c r="F61">
        <f>IF(COUNT(Resultados!F61,Resultados!O61,Resultados!X61,Resultados!AG61,Resultados!AP61,Resultados!AY61,Resultados!BH61,Resultados!BQ61,Resultados!BZ61,Resultados!CI61)=0, "", AVERAGE(ABS(Resultados!F61),ABS(Resultados!O61),ABS(Resultados!X61),ABS(Resultados!AG61),ABS(Resultados!AP61),ABS(Resultados!AY61),ABS(Resultados!BH61),ABS(Resultados!BQ61),ABS(Resultados!BZ61),ABS(Resultados!CI61)))</f>
        <v>835.78692333024719</v>
      </c>
      <c r="G61">
        <f>IF(COUNT(Resultados!G61,Resultados!P61,Resultados!Y61,Resultados!AH61,Resultados!AQ61,Resultados!AZ61,Resultados!BI61,Resultados!BR61,Resultados!CA61,Resultados!CJ61)=0, "", AVERAGE(ABS(Resultados!G61),ABS(Resultados!P61),ABS(Resultados!Y61),ABS(Resultados!AH61),ABS(Resultados!AQ61),ABS(Resultados!AZ61),ABS(Resultados!BI61),ABS(Resultados!BR61),ABS(Resultados!CA61),ABS(Resultados!CJ61)))</f>
        <v>0.42400000000000004</v>
      </c>
      <c r="H61">
        <f>IF(COUNT(Resultados!H61,Resultados!Q61,Resultados!Z61,Resultados!AI61,Resultados!AR61,Resultados!BA61,Resultados!BJ61,Resultados!BS61,Resultados!CB61,Resultados!CK61)=0, "", AVERAGE(ABS(Resultados!H61),ABS(Resultados!Q61),ABS(Resultados!Z61),ABS(Resultados!AI61),ABS(Resultados!AR61),ABS(Resultados!BA61),ABS(Resultados!BJ61),ABS(Resultados!BS61),ABS(Resultados!CB61),ABS(Resultados!CK61)))</f>
        <v>3.6389999999999992E-2</v>
      </c>
      <c r="I61">
        <f>IF(COUNT(Resultados!I61,Resultados!R61,Resultados!AA61,Resultados!AJ61,Resultados!AS61,Resultados!BB61,Resultados!BK61,Resultados!BT61,Resultados!CC61,Resultados!CL61)=0, "", AVERAGE(ABS(Resultados!I61),ABS(Resultados!R61),ABS(Resultados!AA61),ABS(Resultados!AJ61),ABS(Resultados!AS61),ABS(Resultados!BB61),ABS(Resultados!BK61),ABS(Resultados!BT61),ABS(Resultados!CC61),ABS(Resultados!CL61)))</f>
        <v>11.840490000000003</v>
      </c>
    </row>
    <row r="62" spans="1:9" x14ac:dyDescent="0.3">
      <c r="A62">
        <f>IF(COUNT(Resultados!A62,Resultados!J62,Resultados!S62,Resultados!AB62,Resultados!AK62,Resultados!AT62,Resultados!BC62,Resultados!BL62,Resultados!BU62,Resultados!CD62)=0, "", AVERAGE(ABS(Resultados!A62),ABS(Resultados!J62),ABS(Resultados!S62),ABS(Resultados!AB62),ABS(Resultados!AK62),ABS(Resultados!AT62),ABS(Resultados!BC62),ABS(Resultados!BL62),ABS(Resultados!BU62),ABS(Resultados!CD62)))</f>
        <v>45681</v>
      </c>
      <c r="B62" t="str">
        <f>IF(COUNT(Resultados!B62,Resultados!K62,Resultados!T62,Resultados!AC62,Resultados!AL62,Resultados!AU62,Resultados!BD62,Resultados!BM62,Resultados!BV62,Resultados!CE62)=0, "", AVERAGE(ABS(Resultados!B62),ABS(Resultados!K62),ABS(Resultados!T62),ABS(Resultados!AC62),ABS(Resultados!AL62),ABS(Resultados!AU62),ABS(Resultados!BD62),ABS(Resultados!BM62),ABS(Resultados!BV62),ABS(Resultados!CE62)))</f>
        <v/>
      </c>
      <c r="C62">
        <f>IF(COUNT(Resultados!C62,Resultados!L62,Resultados!U62,Resultados!AD62,Resultados!AM62,Resultados!AV62,Resultados!BE62,Resultados!BN62,Resultados!BW62,Resultados!CF62)=0, "", AVERAGE(ABS(Resultados!C62),ABS(Resultados!L62),ABS(Resultados!U62),ABS(Resultados!AD62),ABS(Resultados!AM62),ABS(Resultados!AV62),ABS(Resultados!BE62),ABS(Resultados!BN62),ABS(Resultados!BW62),ABS(Resultados!CF62)))</f>
        <v>4.3</v>
      </c>
      <c r="D62">
        <f>IF(COUNT(Resultados!D62,Resultados!M62,Resultados!V62,Resultados!AE62,Resultados!AN62,Resultados!AW62,Resultados!BF62,Resultados!BO62,Resultados!BX62,Resultados!CG62)=0, "", AVERAGE(ABS(Resultados!D62),ABS(Resultados!M62),ABS(Resultados!V62),ABS(Resultados!AE62),ABS(Resultados!AN62),ABS(Resultados!AW62),ABS(Resultados!BF62),ABS(Resultados!BO62),ABS(Resultados!BX62),ABS(Resultados!CG62)))</f>
        <v>3.7850000000000002E-2</v>
      </c>
      <c r="E62">
        <f>IF(COUNT(Resultados!E62,Resultados!N62,Resultados!W62,Resultados!AF62,Resultados!AO62,Resultados!AX62,Resultados!BG62,Resultados!BP62,Resultados!BY62,Resultados!CH62)=0, "", AVERAGE(ABS(Resultados!E62),ABS(Resultados!N62),ABS(Resultados!W62),ABS(Resultados!AF62),ABS(Resultados!AO62),ABS(Resultados!AX62),ABS(Resultados!BG62),ABS(Resultados!BP62),ABS(Resultados!BY62),ABS(Resultados!CH62)))</f>
        <v>8.2954529651803917</v>
      </c>
      <c r="F62">
        <f>IF(COUNT(Resultados!F62,Resultados!O62,Resultados!X62,Resultados!AG62,Resultados!AP62,Resultados!AY62,Resultados!BH62,Resultados!BQ62,Resultados!BZ62,Resultados!CI62)=0, "", AVERAGE(ABS(Resultados!F62),ABS(Resultados!O62),ABS(Resultados!X62),ABS(Resultados!AG62),ABS(Resultados!AP62),ABS(Resultados!AY62),ABS(Resultados!BH62),ABS(Resultados!BQ62),ABS(Resultados!BZ62),ABS(Resultados!CI62)))</f>
        <v>831.81122633535688</v>
      </c>
      <c r="G62">
        <f>IF(COUNT(Resultados!G62,Resultados!P62,Resultados!Y62,Resultados!AH62,Resultados!AQ62,Resultados!AZ62,Resultados!BI62,Resultados!BR62,Resultados!CA62,Resultados!CJ62)=0, "", AVERAGE(ABS(Resultados!G62),ABS(Resultados!P62),ABS(Resultados!Y62),ABS(Resultados!AH62),ABS(Resultados!AQ62),ABS(Resultados!AZ62),ABS(Resultados!BI62),ABS(Resultados!BR62),ABS(Resultados!CA62),ABS(Resultados!CJ62)))</f>
        <v>0.42400000000000004</v>
      </c>
      <c r="H62">
        <f>IF(COUNT(Resultados!H62,Resultados!Q62,Resultados!Z62,Resultados!AI62,Resultados!AR62,Resultados!BA62,Resultados!BJ62,Resultados!BS62,Resultados!CB62,Resultados!CK62)=0, "", AVERAGE(ABS(Resultados!H62),ABS(Resultados!Q62),ABS(Resultados!Z62),ABS(Resultados!AI62),ABS(Resultados!AR62),ABS(Resultados!BA62),ABS(Resultados!BJ62),ABS(Resultados!BS62),ABS(Resultados!CB62),ABS(Resultados!CK62)))</f>
        <v>3.5740000000000001E-2</v>
      </c>
      <c r="I62">
        <f>IF(COUNT(Resultados!I62,Resultados!R62,Resultados!AA62,Resultados!AJ62,Resultados!AS62,Resultados!BB62,Resultados!BK62,Resultados!BT62,Resultados!CC62,Resultados!CL62)=0, "", AVERAGE(ABS(Resultados!I62),ABS(Resultados!R62),ABS(Resultados!AA62),ABS(Resultados!AJ62),ABS(Resultados!AS62),ABS(Resultados!BB62),ABS(Resultados!BK62),ABS(Resultados!BT62),ABS(Resultados!CC62),ABS(Resultados!CL62)))</f>
        <v>12.041119999999992</v>
      </c>
    </row>
    <row r="63" spans="1:9" x14ac:dyDescent="0.3">
      <c r="A63">
        <f>IF(COUNT(Resultados!A63,Resultados!J63,Resultados!S63,Resultados!AB63,Resultados!AK63,Resultados!AT63,Resultados!BC63,Resultados!BL63,Resultados!BU63,Resultados!CD63)=0, "", AVERAGE(ABS(Resultados!A63),ABS(Resultados!J63),ABS(Resultados!S63),ABS(Resultados!AB63),ABS(Resultados!AK63),ABS(Resultados!AT63),ABS(Resultados!BC63),ABS(Resultados!BL63),ABS(Resultados!BU63),ABS(Resultados!CD63)))</f>
        <v>45681</v>
      </c>
      <c r="B63" t="str">
        <f>IF(COUNT(Resultados!B63,Resultados!K63,Resultados!T63,Resultados!AC63,Resultados!AL63,Resultados!AU63,Resultados!BD63,Resultados!BM63,Resultados!BV63,Resultados!CE63)=0, "", AVERAGE(ABS(Resultados!B63),ABS(Resultados!K63),ABS(Resultados!T63),ABS(Resultados!AC63),ABS(Resultados!AL63),ABS(Resultados!AU63),ABS(Resultados!BD63),ABS(Resultados!BM63),ABS(Resultados!BV63),ABS(Resultados!CE63)))</f>
        <v/>
      </c>
      <c r="C63">
        <f>IF(COUNT(Resultados!C63,Resultados!L63,Resultados!U63,Resultados!AD63,Resultados!AM63,Resultados!AV63,Resultados!BE63,Resultados!BN63,Resultados!BW63,Resultados!CF63)=0, "", AVERAGE(ABS(Resultados!C63),ABS(Resultados!L63),ABS(Resultados!U63),ABS(Resultados!AD63),ABS(Resultados!AM63),ABS(Resultados!AV63),ABS(Resultados!BE63),ABS(Resultados!BN63),ABS(Resultados!BW63),ABS(Resultados!CF63)))</f>
        <v>4.3</v>
      </c>
      <c r="D63">
        <f>IF(COUNT(Resultados!D63,Resultados!M63,Resultados!V63,Resultados!AE63,Resultados!AN63,Resultados!AW63,Resultados!BF63,Resultados!BO63,Resultados!BX63,Resultados!CG63)=0, "", AVERAGE(ABS(Resultados!D63),ABS(Resultados!M63),ABS(Resultados!V63),ABS(Resultados!AE63),ABS(Resultados!AN63),ABS(Resultados!AW63),ABS(Resultados!BF63),ABS(Resultados!BO63),ABS(Resultados!BX63),ABS(Resultados!CG63)))</f>
        <v>3.7350000000000008E-2</v>
      </c>
      <c r="E63">
        <f>IF(COUNT(Resultados!E63,Resultados!N63,Resultados!W63,Resultados!AF63,Resultados!AO63,Resultados!AX63,Resultados!BG63,Resultados!BP63,Resultados!BY63,Resultados!CH63)=0, "", AVERAGE(ABS(Resultados!E63),ABS(Resultados!N63),ABS(Resultados!W63),ABS(Resultados!AF63),ABS(Resultados!AO63),ABS(Resultados!AX63),ABS(Resultados!BG63),ABS(Resultados!BP63),ABS(Resultados!BY63),ABS(Resultados!CH63)))</f>
        <v>8.2488040825091353</v>
      </c>
      <c r="F63">
        <f>IF(COUNT(Resultados!F63,Resultados!O63,Resultados!X63,Resultados!AG63,Resultados!AP63,Resultados!AY63,Resultados!BH63,Resultados!BQ63,Resultados!BZ63,Resultados!CI63)=0, "", AVERAGE(ABS(Resultados!F63),ABS(Resultados!O63),ABS(Resultados!X63),ABS(Resultados!AG63),ABS(Resultados!AP63),ABS(Resultados!AY63),ABS(Resultados!BH63),ABS(Resultados!BQ63),ABS(Resultados!BZ63),ABS(Resultados!CI63)))</f>
        <v>827.465696606802</v>
      </c>
      <c r="G63">
        <f>IF(COUNT(Resultados!G63,Resultados!P63,Resultados!Y63,Resultados!AH63,Resultados!AQ63,Resultados!AZ63,Resultados!BI63,Resultados!BR63,Resultados!CA63,Resultados!CJ63)=0, "", AVERAGE(ABS(Resultados!G63),ABS(Resultados!P63),ABS(Resultados!Y63),ABS(Resultados!AH63),ABS(Resultados!AQ63),ABS(Resultados!AZ63),ABS(Resultados!BI63),ABS(Resultados!BR63),ABS(Resultados!CA63),ABS(Resultados!CJ63)))</f>
        <v>0.42400000000000004</v>
      </c>
      <c r="H63">
        <f>IF(COUNT(Resultados!H63,Resultados!Q63,Resultados!Z63,Resultados!AI63,Resultados!AR63,Resultados!BA63,Resultados!BJ63,Resultados!BS63,Resultados!CB63,Resultados!CK63)=0, "", AVERAGE(ABS(Resultados!H63),ABS(Resultados!Q63),ABS(Resultados!Z63),ABS(Resultados!AI63),ABS(Resultados!AR63),ABS(Resultados!BA63),ABS(Resultados!BJ63),ABS(Resultados!BS63),ABS(Resultados!CB63),ABS(Resultados!CK63)))</f>
        <v>3.5009999999999999E-2</v>
      </c>
      <c r="I63">
        <f>IF(COUNT(Resultados!I63,Resultados!R63,Resultados!AA63,Resultados!AJ63,Resultados!AS63,Resultados!BB63,Resultados!BK63,Resultados!BT63,Resultados!CC63,Resultados!CL63)=0, "", AVERAGE(ABS(Resultados!I63),ABS(Resultados!R63),ABS(Resultados!AA63),ABS(Resultados!AJ63),ABS(Resultados!AS63),ABS(Resultados!BB63),ABS(Resultados!BK63),ABS(Resultados!BT63),ABS(Resultados!CC63),ABS(Resultados!CL63)))</f>
        <v>12.240930000000001</v>
      </c>
    </row>
    <row r="64" spans="1:9" x14ac:dyDescent="0.3">
      <c r="A64">
        <f>IF(COUNT(Resultados!A64,Resultados!J64,Resultados!S64,Resultados!AB64,Resultados!AK64,Resultados!AT64,Resultados!BC64,Resultados!BL64,Resultados!BU64,Resultados!CD64)=0, "", AVERAGE(ABS(Resultados!A64),ABS(Resultados!J64),ABS(Resultados!S64),ABS(Resultados!AB64),ABS(Resultados!AK64),ABS(Resultados!AT64),ABS(Resultados!BC64),ABS(Resultados!BL64),ABS(Resultados!BU64),ABS(Resultados!CD64)))</f>
        <v>45681</v>
      </c>
      <c r="B64" t="str">
        <f>IF(COUNT(Resultados!B64,Resultados!K64,Resultados!T64,Resultados!AC64,Resultados!AL64,Resultados!AU64,Resultados!BD64,Resultados!BM64,Resultados!BV64,Resultados!CE64)=0, "", AVERAGE(ABS(Resultados!B64),ABS(Resultados!K64),ABS(Resultados!T64),ABS(Resultados!AC64),ABS(Resultados!AL64),ABS(Resultados!AU64),ABS(Resultados!BD64),ABS(Resultados!BM64),ABS(Resultados!BV64),ABS(Resultados!CE64)))</f>
        <v/>
      </c>
      <c r="C64">
        <f>IF(COUNT(Resultados!C64,Resultados!L64,Resultados!U64,Resultados!AD64,Resultados!AM64,Resultados!AV64,Resultados!BE64,Resultados!BN64,Resultados!BW64,Resultados!CF64)=0, "", AVERAGE(ABS(Resultados!C64),ABS(Resultados!L64),ABS(Resultados!U64),ABS(Resultados!AD64),ABS(Resultados!AM64),ABS(Resultados!AV64),ABS(Resultados!BE64),ABS(Resultados!BN64),ABS(Resultados!BW64),ABS(Resultados!CF64)))</f>
        <v>4.3</v>
      </c>
      <c r="D64">
        <f>IF(COUNT(Resultados!D64,Resultados!M64,Resultados!V64,Resultados!AE64,Resultados!AN64,Resultados!AW64,Resultados!BF64,Resultados!BO64,Resultados!BX64,Resultados!CG64)=0, "", AVERAGE(ABS(Resultados!D64),ABS(Resultados!M64),ABS(Resultados!V64),ABS(Resultados!AE64),ABS(Resultados!AN64),ABS(Resultados!AW64),ABS(Resultados!BF64),ABS(Resultados!BO64),ABS(Resultados!BX64),ABS(Resultados!CG64)))</f>
        <v>3.6859999999999997E-2</v>
      </c>
      <c r="E64">
        <f>IF(COUNT(Resultados!E64,Resultados!N64,Resultados!W64,Resultados!AF64,Resultados!AO64,Resultados!AX64,Resultados!BG64,Resultados!BP64,Resultados!BY64,Resultados!CH64)=0, "", AVERAGE(ABS(Resultados!E64),ABS(Resultados!N64),ABS(Resultados!W64),ABS(Resultados!AF64),ABS(Resultados!AO64),ABS(Resultados!AX64),ABS(Resultados!BG64),ABS(Resultados!BP64),ABS(Resultados!BY64),ABS(Resultados!CH64)))</f>
        <v>8.1985060036352913</v>
      </c>
      <c r="F64">
        <f>IF(COUNT(Resultados!F64,Resultados!O64,Resultados!X64,Resultados!AG64,Resultados!AP64,Resultados!AY64,Resultados!BH64,Resultados!BQ64,Resultados!BZ64,Resultados!CI64)=0, "", AVERAGE(ABS(Resultados!F64),ABS(Resultados!O64),ABS(Resultados!X64),ABS(Resultados!AG64),ABS(Resultados!AP64),ABS(Resultados!AY64),ABS(Resultados!BH64),ABS(Resultados!BQ64),ABS(Resultados!BZ64),ABS(Resultados!CI64)))</f>
        <v>822.77919113698829</v>
      </c>
      <c r="G64">
        <f>IF(COUNT(Resultados!G64,Resultados!P64,Resultados!Y64,Resultados!AH64,Resultados!AQ64,Resultados!AZ64,Resultados!BI64,Resultados!BR64,Resultados!CA64,Resultados!CJ64)=0, "", AVERAGE(ABS(Resultados!G64),ABS(Resultados!P64),ABS(Resultados!Y64),ABS(Resultados!AH64),ABS(Resultados!AQ64),ABS(Resultados!AZ64),ABS(Resultados!BI64),ABS(Resultados!BR64),ABS(Resultados!CA64),ABS(Resultados!CJ64)))</f>
        <v>0.42400000000000004</v>
      </c>
      <c r="H64">
        <f>IF(COUNT(Resultados!H64,Resultados!Q64,Resultados!Z64,Resultados!AI64,Resultados!AR64,Resultados!BA64,Resultados!BJ64,Resultados!BS64,Resultados!CB64,Resultados!CK64)=0, "", AVERAGE(ABS(Resultados!H64),ABS(Resultados!Q64),ABS(Resultados!Z64),ABS(Resultados!AI64),ABS(Resultados!AR64),ABS(Resultados!BA64),ABS(Resultados!BJ64),ABS(Resultados!BS64),ABS(Resultados!CB64),ABS(Resultados!CK64)))</f>
        <v>3.422E-2</v>
      </c>
      <c r="I64">
        <f>IF(COUNT(Resultados!I64,Resultados!R64,Resultados!AA64,Resultados!AJ64,Resultados!AS64,Resultados!BB64,Resultados!BK64,Resultados!BT64,Resultados!CC64,Resultados!CL64)=0, "", AVERAGE(ABS(Resultados!I64),ABS(Resultados!R64),ABS(Resultados!AA64),ABS(Resultados!AJ64),ABS(Resultados!AS64),ABS(Resultados!BB64),ABS(Resultados!BK64),ABS(Resultados!BT64),ABS(Resultados!CC64),ABS(Resultados!CL64)))</f>
        <v>12.440279999999992</v>
      </c>
    </row>
    <row r="65" spans="1:9" x14ac:dyDescent="0.3">
      <c r="A65">
        <f>IF(COUNT(Resultados!A65,Resultados!J65,Resultados!S65,Resultados!AB65,Resultados!AK65,Resultados!AT65,Resultados!BC65,Resultados!BL65,Resultados!BU65,Resultados!CD65)=0, "", AVERAGE(ABS(Resultados!A65),ABS(Resultados!J65),ABS(Resultados!S65),ABS(Resultados!AB65),ABS(Resultados!AK65),ABS(Resultados!AT65),ABS(Resultados!BC65),ABS(Resultados!BL65),ABS(Resultados!BU65),ABS(Resultados!CD65)))</f>
        <v>45681</v>
      </c>
      <c r="B65" t="str">
        <f>IF(COUNT(Resultados!B65,Resultados!K65,Resultados!T65,Resultados!AC65,Resultados!AL65,Resultados!AU65,Resultados!BD65,Resultados!BM65,Resultados!BV65,Resultados!CE65)=0, "", AVERAGE(ABS(Resultados!B65),ABS(Resultados!K65),ABS(Resultados!T65),ABS(Resultados!AC65),ABS(Resultados!AL65),ABS(Resultados!AU65),ABS(Resultados!BD65),ABS(Resultados!BM65),ABS(Resultados!BV65),ABS(Resultados!CE65)))</f>
        <v/>
      </c>
      <c r="C65">
        <f>IF(COUNT(Resultados!C65,Resultados!L65,Resultados!U65,Resultados!AD65,Resultados!AM65,Resultados!AV65,Resultados!BE65,Resultados!BN65,Resultados!BW65,Resultados!CF65)=0, "", AVERAGE(ABS(Resultados!C65),ABS(Resultados!L65),ABS(Resultados!U65),ABS(Resultados!AD65),ABS(Resultados!AM65),ABS(Resultados!AV65),ABS(Resultados!BE65),ABS(Resultados!BN65),ABS(Resultados!BW65),ABS(Resultados!CF65)))</f>
        <v>4.3</v>
      </c>
      <c r="D65">
        <f>IF(COUNT(Resultados!D65,Resultados!M65,Resultados!V65,Resultados!AE65,Resultados!AN65,Resultados!AW65,Resultados!BF65,Resultados!BO65,Resultados!BX65,Resultados!CG65)=0, "", AVERAGE(ABS(Resultados!D65),ABS(Resultados!M65),ABS(Resultados!V65),ABS(Resultados!AE65),ABS(Resultados!AN65),ABS(Resultados!AW65),ABS(Resultados!BF65),ABS(Resultados!BO65),ABS(Resultados!BX65),ABS(Resultados!CG65)))</f>
        <v>3.6510000000000001E-2</v>
      </c>
      <c r="E65">
        <f>IF(COUNT(Resultados!E65,Resultados!N65,Resultados!W65,Resultados!AF65,Resultados!AO65,Resultados!AX65,Resultados!BG65,Resultados!BP65,Resultados!BY65,Resultados!CH65)=0, "", AVERAGE(ABS(Resultados!E65),ABS(Resultados!N65),ABS(Resultados!W65),ABS(Resultados!AF65),ABS(Resultados!AO65),ABS(Resultados!AX65),ABS(Resultados!BG65),ABS(Resultados!BP65),ABS(Resultados!BY65),ABS(Resultados!CH65)))</f>
        <v>8.1442948076477037</v>
      </c>
      <c r="F65">
        <f>IF(COUNT(Resultados!F65,Resultados!O65,Resultados!X65,Resultados!AG65,Resultados!AP65,Resultados!AY65,Resultados!BH65,Resultados!BQ65,Resultados!BZ65,Resultados!CI65)=0, "", AVERAGE(ABS(Resultados!F65),ABS(Resultados!O65),ABS(Resultados!X65),ABS(Resultados!AG65),ABS(Resultados!AP65),ABS(Resultados!AY65),ABS(Resultados!BH65),ABS(Resultados!BQ65),ABS(Resultados!BZ65),ABS(Resultados!CI65)))</f>
        <v>817.72708016881347</v>
      </c>
      <c r="G65">
        <f>IF(COUNT(Resultados!G65,Resultados!P65,Resultados!Y65,Resultados!AH65,Resultados!AQ65,Resultados!AZ65,Resultados!BI65,Resultados!BR65,Resultados!CA65,Resultados!CJ65)=0, "", AVERAGE(ABS(Resultados!G65),ABS(Resultados!P65),ABS(Resultados!Y65),ABS(Resultados!AH65),ABS(Resultados!AQ65),ABS(Resultados!AZ65),ABS(Resultados!BI65),ABS(Resultados!BR65),ABS(Resultados!CA65),ABS(Resultados!CJ65)))</f>
        <v>0.42400000000000004</v>
      </c>
      <c r="H65">
        <f>IF(COUNT(Resultados!H65,Resultados!Q65,Resultados!Z65,Resultados!AI65,Resultados!AR65,Resultados!BA65,Resultados!BJ65,Resultados!BS65,Resultados!CB65,Resultados!CK65)=0, "", AVERAGE(ABS(Resultados!H65),ABS(Resultados!Q65),ABS(Resultados!Z65),ABS(Resultados!AI65),ABS(Resultados!AR65),ABS(Resultados!BA65),ABS(Resultados!BJ65),ABS(Resultados!BS65),ABS(Resultados!CB65),ABS(Resultados!CK65)))</f>
        <v>3.3379999999999993E-2</v>
      </c>
      <c r="I65">
        <f>IF(COUNT(Resultados!I65,Resultados!R65,Resultados!AA65,Resultados!AJ65,Resultados!AS65,Resultados!BB65,Resultados!BK65,Resultados!BT65,Resultados!CC65,Resultados!CL65)=0, "", AVERAGE(ABS(Resultados!I65),ABS(Resultados!R65),ABS(Resultados!AA65),ABS(Resultados!AJ65),ABS(Resultados!AS65),ABS(Resultados!BB65),ABS(Resultados!BK65),ABS(Resultados!BT65),ABS(Resultados!CC65),ABS(Resultados!CL65)))</f>
        <v>12.640989999999993</v>
      </c>
    </row>
    <row r="66" spans="1:9" x14ac:dyDescent="0.3">
      <c r="A66">
        <f>IF(COUNT(Resultados!A66,Resultados!J66,Resultados!S66,Resultados!AB66,Resultados!AK66,Resultados!AT66,Resultados!BC66,Resultados!BL66,Resultados!BU66,Resultados!CD66)=0, "", AVERAGE(ABS(Resultados!A66),ABS(Resultados!J66),ABS(Resultados!S66),ABS(Resultados!AB66),ABS(Resultados!AK66),ABS(Resultados!AT66),ABS(Resultados!BC66),ABS(Resultados!BL66),ABS(Resultados!BU66),ABS(Resultados!CD66)))</f>
        <v>45681</v>
      </c>
      <c r="B66" t="str">
        <f>IF(COUNT(Resultados!B66,Resultados!K66,Resultados!T66,Resultados!AC66,Resultados!AL66,Resultados!AU66,Resultados!BD66,Resultados!BM66,Resultados!BV66,Resultados!CE66)=0, "", AVERAGE(ABS(Resultados!B66),ABS(Resultados!K66),ABS(Resultados!T66),ABS(Resultados!AC66),ABS(Resultados!AL66),ABS(Resultados!AU66),ABS(Resultados!BD66),ABS(Resultados!BM66),ABS(Resultados!BV66),ABS(Resultados!CE66)))</f>
        <v/>
      </c>
      <c r="C66">
        <f>IF(COUNT(Resultados!C66,Resultados!L66,Resultados!U66,Resultados!AD66,Resultados!AM66,Resultados!AV66,Resultados!BE66,Resultados!BN66,Resultados!BW66,Resultados!CF66)=0, "", AVERAGE(ABS(Resultados!C66),ABS(Resultados!L66),ABS(Resultados!U66),ABS(Resultados!AD66),ABS(Resultados!AM66),ABS(Resultados!AV66),ABS(Resultados!BE66),ABS(Resultados!BN66),ABS(Resultados!BW66),ABS(Resultados!CF66)))</f>
        <v>4.3</v>
      </c>
      <c r="D66">
        <f>IF(COUNT(Resultados!D66,Resultados!M66,Resultados!V66,Resultados!AE66,Resultados!AN66,Resultados!AW66,Resultados!BF66,Resultados!BO66,Resultados!BX66,Resultados!CG66)=0, "", AVERAGE(ABS(Resultados!D66),ABS(Resultados!M66),ABS(Resultados!V66),ABS(Resultados!AE66),ABS(Resultados!AN66),ABS(Resultados!AW66),ABS(Resultados!BF66),ABS(Resultados!BO66),ABS(Resultados!BX66),ABS(Resultados!CG66)))</f>
        <v>3.5600000000000007E-2</v>
      </c>
      <c r="E66">
        <f>IF(COUNT(Resultados!E66,Resultados!N66,Resultados!W66,Resultados!AF66,Resultados!AO66,Resultados!AX66,Resultados!BG66,Resultados!BP66,Resultados!BY66,Resultados!CH66)=0, "", AVERAGE(ABS(Resultados!E66),ABS(Resultados!N66),ABS(Resultados!W66),ABS(Resultados!AF66),ABS(Resultados!AO66),ABS(Resultados!AX66),ABS(Resultados!BG66),ABS(Resultados!BP66),ABS(Resultados!BY66),ABS(Resultados!CH66)))</f>
        <v>8.0867714021978205</v>
      </c>
      <c r="F66">
        <f>IF(COUNT(Resultados!F66,Resultados!O66,Resultados!X66,Resultados!AG66,Resultados!AP66,Resultados!AY66,Resultados!BH66,Resultados!BQ66,Resultados!BZ66,Resultados!CI66)=0, "", AVERAGE(ABS(Resultados!F66),ABS(Resultados!O66),ABS(Resultados!X66),ABS(Resultados!AG66),ABS(Resultados!AP66),ABS(Resultados!AY66),ABS(Resultados!BH66),ABS(Resultados!BQ66),ABS(Resultados!BZ66),ABS(Resultados!CI66)))</f>
        <v>801.68709468483678</v>
      </c>
      <c r="G66">
        <f>IF(COUNT(Resultados!G66,Resultados!P66,Resultados!Y66,Resultados!AH66,Resultados!AQ66,Resultados!AZ66,Resultados!BI66,Resultados!BR66,Resultados!CA66,Resultados!CJ66)=0, "", AVERAGE(ABS(Resultados!G66),ABS(Resultados!P66),ABS(Resultados!Y66),ABS(Resultados!AH66),ABS(Resultados!AQ66),ABS(Resultados!AZ66),ABS(Resultados!BI66),ABS(Resultados!BR66),ABS(Resultados!CA66),ABS(Resultados!CJ66)))</f>
        <v>0.42400000000000004</v>
      </c>
      <c r="H66">
        <f>IF(COUNT(Resultados!H66,Resultados!Q66,Resultados!Z66,Resultados!AI66,Resultados!AR66,Resultados!BA66,Resultados!BJ66,Resultados!BS66,Resultados!CB66,Resultados!CK66)=0, "", AVERAGE(ABS(Resultados!H66),ABS(Resultados!Q66),ABS(Resultados!Z66),ABS(Resultados!AI66),ABS(Resultados!AR66),ABS(Resultados!BA66),ABS(Resultados!BJ66),ABS(Resultados!BS66),ABS(Resultados!CB66),ABS(Resultados!CK66)))</f>
        <v>3.2490000000000005E-2</v>
      </c>
      <c r="I66">
        <f>IF(COUNT(Resultados!I66,Resultados!R66,Resultados!AA66,Resultados!AJ66,Resultados!AS66,Resultados!BB66,Resultados!BK66,Resultados!BT66,Resultados!CC66,Resultados!CL66)=0, "", AVERAGE(ABS(Resultados!I66),ABS(Resultados!R66),ABS(Resultados!AA66),ABS(Resultados!AJ66),ABS(Resultados!AS66),ABS(Resultados!BB66),ABS(Resultados!BK66),ABS(Resultados!BT66),ABS(Resultados!CC66),ABS(Resultados!CL66)))</f>
        <v>12.841029999999986</v>
      </c>
    </row>
    <row r="67" spans="1:9" x14ac:dyDescent="0.3">
      <c r="A67">
        <f>IF(COUNT(Resultados!A67,Resultados!J67,Resultados!S67,Resultados!AB67,Resultados!AK67,Resultados!AT67,Resultados!BC67,Resultados!BL67,Resultados!BU67,Resultados!CD67)=0, "", AVERAGE(ABS(Resultados!A67),ABS(Resultados!J67),ABS(Resultados!S67),ABS(Resultados!AB67),ABS(Resultados!AK67),ABS(Resultados!AT67),ABS(Resultados!BC67),ABS(Resultados!BL67),ABS(Resultados!BU67),ABS(Resultados!CD67)))</f>
        <v>45681</v>
      </c>
      <c r="B67" t="str">
        <f>IF(COUNT(Resultados!B67,Resultados!K67,Resultados!T67,Resultados!AC67,Resultados!AL67,Resultados!AU67,Resultados!BD67,Resultados!BM67,Resultados!BV67,Resultados!CE67)=0, "", AVERAGE(ABS(Resultados!B67),ABS(Resultados!K67),ABS(Resultados!T67),ABS(Resultados!AC67),ABS(Resultados!AL67),ABS(Resultados!AU67),ABS(Resultados!BD67),ABS(Resultados!BM67),ABS(Resultados!BV67),ABS(Resultados!CE67)))</f>
        <v/>
      </c>
      <c r="C67">
        <f>IF(COUNT(Resultados!C67,Resultados!L67,Resultados!U67,Resultados!AD67,Resultados!AM67,Resultados!AV67,Resultados!BE67,Resultados!BN67,Resultados!BW67,Resultados!CF67)=0, "", AVERAGE(ABS(Resultados!C67),ABS(Resultados!L67),ABS(Resultados!U67),ABS(Resultados!AD67),ABS(Resultados!AM67),ABS(Resultados!AV67),ABS(Resultados!BE67),ABS(Resultados!BN67),ABS(Resultados!BW67),ABS(Resultados!CF67)))</f>
        <v>4.3</v>
      </c>
      <c r="D67">
        <f>IF(COUNT(Resultados!D67,Resultados!M67,Resultados!V67,Resultados!AE67,Resultados!AN67,Resultados!AW67,Resultados!BF67,Resultados!BO67,Resultados!BX67,Resultados!CG67)=0, "", AVERAGE(ABS(Resultados!D67),ABS(Resultados!M67),ABS(Resultados!V67),ABS(Resultados!AE67),ABS(Resultados!AN67),ABS(Resultados!AW67),ABS(Resultados!BF67),ABS(Resultados!BO67),ABS(Resultados!BX67),ABS(Resultados!CG67)))</f>
        <v>3.4410000000000003E-2</v>
      </c>
      <c r="E67">
        <f>IF(COUNT(Resultados!E67,Resultados!N67,Resultados!W67,Resultados!AF67,Resultados!AO67,Resultados!AX67,Resultados!BG67,Resultados!BP67,Resultados!BY67,Resultados!CH67)=0, "", AVERAGE(ABS(Resultados!E67),ABS(Resultados!N67),ABS(Resultados!W67),ABS(Resultados!AF67),ABS(Resultados!AO67),ABS(Resultados!AX67),ABS(Resultados!BG67),ABS(Resultados!BP67),ABS(Resultados!BY67),ABS(Resultados!CH67)))</f>
        <v>8.0260926639187993</v>
      </c>
      <c r="F67">
        <f>IF(COUNT(Resultados!F67,Resultados!O67,Resultados!X67,Resultados!AG67,Resultados!AP67,Resultados!AY67,Resultados!BH67,Resultados!BQ67,Resultados!BZ67,Resultados!CI67)=0, "", AVERAGE(ABS(Resultados!F67),ABS(Resultados!O67),ABS(Resultados!X67),ABS(Resultados!AG67),ABS(Resultados!AP67),ABS(Resultados!AY67),ABS(Resultados!BH67),ABS(Resultados!BQ67),ABS(Resultados!BZ67),ABS(Resultados!CI67)))</f>
        <v>796.03183627723206</v>
      </c>
      <c r="G67">
        <f>IF(COUNT(Resultados!G67,Resultados!P67,Resultados!Y67,Resultados!AH67,Resultados!AQ67,Resultados!AZ67,Resultados!BI67,Resultados!BR67,Resultados!CA67,Resultados!CJ67)=0, "", AVERAGE(ABS(Resultados!G67),ABS(Resultados!P67),ABS(Resultados!Y67),ABS(Resultados!AH67),ABS(Resultados!AQ67),ABS(Resultados!AZ67),ABS(Resultados!BI67),ABS(Resultados!BR67),ABS(Resultados!CA67),ABS(Resultados!CJ67)))</f>
        <v>0.42400000000000004</v>
      </c>
      <c r="H67">
        <f>IF(COUNT(Resultados!H67,Resultados!Q67,Resultados!Z67,Resultados!AI67,Resultados!AR67,Resultados!BA67,Resultados!BJ67,Resultados!BS67,Resultados!CB67,Resultados!CK67)=0, "", AVERAGE(ABS(Resultados!H67),ABS(Resultados!Q67),ABS(Resultados!Z67),ABS(Resultados!AI67),ABS(Resultados!AR67),ABS(Resultados!BA67),ABS(Resultados!BJ67),ABS(Resultados!BS67),ABS(Resultados!CB67),ABS(Resultados!CK67)))</f>
        <v>3.1550000000000009E-2</v>
      </c>
      <c r="I67">
        <f>IF(COUNT(Resultados!I67,Resultados!R67,Resultados!AA67,Resultados!AJ67,Resultados!AS67,Resultados!BB67,Resultados!BK67,Resultados!BT67,Resultados!CC67,Resultados!CL67)=0, "", AVERAGE(ABS(Resultados!I67),ABS(Resultados!R67),ABS(Resultados!AA67),ABS(Resultados!AJ67),ABS(Resultados!AS67),ABS(Resultados!BB67),ABS(Resultados!BK67),ABS(Resultados!BT67),ABS(Resultados!CC67),ABS(Resultados!CL67)))</f>
        <v>13.041079999999988</v>
      </c>
    </row>
    <row r="68" spans="1:9" x14ac:dyDescent="0.3">
      <c r="A68">
        <f>IF(COUNT(Resultados!A68,Resultados!J68,Resultados!S68,Resultados!AB68,Resultados!AK68,Resultados!AT68,Resultados!BC68,Resultados!BL68,Resultados!BU68,Resultados!CD68)=0, "", AVERAGE(ABS(Resultados!A68),ABS(Resultados!J68),ABS(Resultados!S68),ABS(Resultados!AB68),ABS(Resultados!AK68),ABS(Resultados!AT68),ABS(Resultados!BC68),ABS(Resultados!BL68),ABS(Resultados!BU68),ABS(Resultados!CD68)))</f>
        <v>45681</v>
      </c>
      <c r="B68" t="str">
        <f>IF(COUNT(Resultados!B68,Resultados!K68,Resultados!T68,Resultados!AC68,Resultados!AL68,Resultados!AU68,Resultados!BD68,Resultados!BM68,Resultados!BV68,Resultados!CE68)=0, "", AVERAGE(ABS(Resultados!B68),ABS(Resultados!K68),ABS(Resultados!T68),ABS(Resultados!AC68),ABS(Resultados!AL68),ABS(Resultados!AU68),ABS(Resultados!BD68),ABS(Resultados!BM68),ABS(Resultados!BV68),ABS(Resultados!CE68)))</f>
        <v/>
      </c>
      <c r="C68">
        <f>IF(COUNT(Resultados!C68,Resultados!L68,Resultados!U68,Resultados!AD68,Resultados!AM68,Resultados!AV68,Resultados!BE68,Resultados!BN68,Resultados!BW68,Resultados!CF68)=0, "", AVERAGE(ABS(Resultados!C68),ABS(Resultados!L68),ABS(Resultados!U68),ABS(Resultados!AD68),ABS(Resultados!AM68),ABS(Resultados!AV68),ABS(Resultados!BE68),ABS(Resultados!BN68),ABS(Resultados!BW68),ABS(Resultados!CF68)))</f>
        <v>4.3</v>
      </c>
      <c r="D68">
        <f>IF(COUNT(Resultados!D68,Resultados!M68,Resultados!V68,Resultados!AE68,Resultados!AN68,Resultados!AW68,Resultados!BF68,Resultados!BO68,Resultados!BX68,Resultados!CG68)=0, "", AVERAGE(ABS(Resultados!D68),ABS(Resultados!M68),ABS(Resultados!V68),ABS(Resultados!AE68),ABS(Resultados!AN68),ABS(Resultados!AW68),ABS(Resultados!BF68),ABS(Resultados!BO68),ABS(Resultados!BX68),ABS(Resultados!CG68)))</f>
        <v>3.3309999999999992E-2</v>
      </c>
      <c r="E68">
        <f>IF(COUNT(Resultados!E68,Resultados!N68,Resultados!W68,Resultados!AF68,Resultados!AO68,Resultados!AX68,Resultados!BG68,Resultados!BP68,Resultados!BY68,Resultados!CH68)=0, "", AVERAGE(ABS(Resultados!E68),ABS(Resultados!N68),ABS(Resultados!W68),ABS(Resultados!AF68),ABS(Resultados!AO68),ABS(Resultados!AX68),ABS(Resultados!BG68),ABS(Resultados!BP68),ABS(Resultados!BY68),ABS(Resultados!CH68)))</f>
        <v>7.9624241465178516</v>
      </c>
      <c r="F68">
        <f>IF(COUNT(Resultados!F68,Resultados!O68,Resultados!X68,Resultados!AG68,Resultados!AP68,Resultados!AY68,Resultados!BH68,Resultados!BQ68,Resultados!BZ68,Resultados!CI68)=0, "", AVERAGE(ABS(Resultados!F68),ABS(Resultados!O68),ABS(Resultados!X68),ABS(Resultados!AG68),ABS(Resultados!AP68),ABS(Resultados!AY68),ABS(Resultados!BH68),ABS(Resultados!BQ68),ABS(Resultados!BZ68),ABS(Resultados!CI68)))</f>
        <v>790.09793045546394</v>
      </c>
      <c r="G68">
        <f>IF(COUNT(Resultados!G68,Resultados!P68,Resultados!Y68,Resultados!AH68,Resultados!AQ68,Resultados!AZ68,Resultados!BI68,Resultados!BR68,Resultados!CA68,Resultados!CJ68)=0, "", AVERAGE(ABS(Resultados!G68),ABS(Resultados!P68),ABS(Resultados!Y68),ABS(Resultados!AH68),ABS(Resultados!AQ68),ABS(Resultados!AZ68),ABS(Resultados!BI68),ABS(Resultados!BR68),ABS(Resultados!CA68),ABS(Resultados!CJ68)))</f>
        <v>0.42400000000000004</v>
      </c>
      <c r="H68">
        <f>IF(COUNT(Resultados!H68,Resultados!Q68,Resultados!Z68,Resultados!AI68,Resultados!AR68,Resultados!BA68,Resultados!BJ68,Resultados!BS68,Resultados!CB68,Resultados!CK68)=0, "", AVERAGE(ABS(Resultados!H68),ABS(Resultados!Q68),ABS(Resultados!Z68),ABS(Resultados!AI68),ABS(Resultados!AR68),ABS(Resultados!BA68),ABS(Resultados!BJ68),ABS(Resultados!BS68),ABS(Resultados!CB68),ABS(Resultados!CK68)))</f>
        <v>3.0559999999999997E-2</v>
      </c>
      <c r="I68">
        <f>IF(COUNT(Resultados!I68,Resultados!R68,Resultados!AA68,Resultados!AJ68,Resultados!AS68,Resultados!BB68,Resultados!BK68,Resultados!BT68,Resultados!CC68,Resultados!CL68)=0, "", AVERAGE(ABS(Resultados!I68),ABS(Resultados!R68),ABS(Resultados!AA68),ABS(Resultados!AJ68),ABS(Resultados!AS68),ABS(Resultados!BB68),ABS(Resultados!BK68),ABS(Resultados!BT68),ABS(Resultados!CC68),ABS(Resultados!CL68)))</f>
        <v>13.241169999999991</v>
      </c>
    </row>
    <row r="69" spans="1:9" x14ac:dyDescent="0.3">
      <c r="A69">
        <f>IF(COUNT(Resultados!A69,Resultados!J69,Resultados!S69,Resultados!AB69,Resultados!AK69,Resultados!AT69,Resultados!BC69,Resultados!BL69,Resultados!BU69,Resultados!CD69)=0, "", AVERAGE(ABS(Resultados!A69),ABS(Resultados!J69),ABS(Resultados!S69),ABS(Resultados!AB69),ABS(Resultados!AK69),ABS(Resultados!AT69),ABS(Resultados!BC69),ABS(Resultados!BL69),ABS(Resultados!BU69),ABS(Resultados!CD69)))</f>
        <v>45681</v>
      </c>
      <c r="B69" t="str">
        <f>IF(COUNT(Resultados!B69,Resultados!K69,Resultados!T69,Resultados!AC69,Resultados!AL69,Resultados!AU69,Resultados!BD69,Resultados!BM69,Resultados!BV69,Resultados!CE69)=0, "", AVERAGE(ABS(Resultados!B69),ABS(Resultados!K69),ABS(Resultados!T69),ABS(Resultados!AC69),ABS(Resultados!AL69),ABS(Resultados!AU69),ABS(Resultados!BD69),ABS(Resultados!BM69),ABS(Resultados!BV69),ABS(Resultados!CE69)))</f>
        <v/>
      </c>
      <c r="C69">
        <f>IF(COUNT(Resultados!C69,Resultados!L69,Resultados!U69,Resultados!AD69,Resultados!AM69,Resultados!AV69,Resultados!BE69,Resultados!BN69,Resultados!BW69,Resultados!CF69)=0, "", AVERAGE(ABS(Resultados!C69),ABS(Resultados!L69),ABS(Resultados!U69),ABS(Resultados!AD69),ABS(Resultados!AM69),ABS(Resultados!AV69),ABS(Resultados!BE69),ABS(Resultados!BN69),ABS(Resultados!BW69),ABS(Resultados!CF69)))</f>
        <v>4.3</v>
      </c>
      <c r="D69">
        <f>IF(COUNT(Resultados!D69,Resultados!M69,Resultados!V69,Resultados!AE69,Resultados!AN69,Resultados!AW69,Resultados!BF69,Resultados!BO69,Resultados!BX69,Resultados!CG69)=0, "", AVERAGE(ABS(Resultados!D69),ABS(Resultados!M69),ABS(Resultados!V69),ABS(Resultados!AE69),ABS(Resultados!AN69),ABS(Resultados!AW69),ABS(Resultados!BF69),ABS(Resultados!BO69),ABS(Resultados!BX69),ABS(Resultados!CG69)))</f>
        <v>3.218E-2</v>
      </c>
      <c r="E69">
        <f>IF(COUNT(Resultados!E69,Resultados!N69,Resultados!W69,Resultados!AF69,Resultados!AO69,Resultados!AX69,Resultados!BG69,Resultados!BP69,Resultados!BY69,Resultados!CH69)=0, "", AVERAGE(ABS(Resultados!E69),ABS(Resultados!N69),ABS(Resultados!W69),ABS(Resultados!AF69),ABS(Resultados!AO69),ABS(Resultados!AX69),ABS(Resultados!BG69),ABS(Resultados!BP69),ABS(Resultados!BY69),ABS(Resultados!CH69)))</f>
        <v>7.8958675826061455</v>
      </c>
      <c r="F69">
        <f>IF(COUNT(Resultados!F69,Resultados!O69,Resultados!X69,Resultados!AG69,Resultados!AP69,Resultados!AY69,Resultados!BH69,Resultados!BQ69,Resultados!BZ69,Resultados!CI69)=0, "", AVERAGE(ABS(Resultados!F69),ABS(Resultados!O69),ABS(Resultados!X69),ABS(Resultados!AG69),ABS(Resultados!AP69),ABS(Resultados!AY69),ABS(Resultados!BH69),ABS(Resultados!BQ69),ABS(Resultados!BZ69),ABS(Resultados!CI69)))</f>
        <v>783.89485869889268</v>
      </c>
      <c r="G69">
        <f>IF(COUNT(Resultados!G69,Resultados!P69,Resultados!Y69,Resultados!AH69,Resultados!AQ69,Resultados!AZ69,Resultados!BI69,Resultados!BR69,Resultados!CA69,Resultados!CJ69)=0, "", AVERAGE(ABS(Resultados!G69),ABS(Resultados!P69),ABS(Resultados!Y69),ABS(Resultados!AH69),ABS(Resultados!AQ69),ABS(Resultados!AZ69),ABS(Resultados!BI69),ABS(Resultados!BR69),ABS(Resultados!CA69),ABS(Resultados!CJ69)))</f>
        <v>0.42400000000000004</v>
      </c>
      <c r="H69">
        <f>IF(COUNT(Resultados!H69,Resultados!Q69,Resultados!Z69,Resultados!AI69,Resultados!AR69,Resultados!BA69,Resultados!BJ69,Resultados!BS69,Resultados!CB69,Resultados!CK69)=0, "", AVERAGE(ABS(Resultados!H69),ABS(Resultados!Q69),ABS(Resultados!Z69),ABS(Resultados!AI69),ABS(Resultados!AR69),ABS(Resultados!BA69),ABS(Resultados!BJ69),ABS(Resultados!BS69),ABS(Resultados!CB69),ABS(Resultados!CK69)))</f>
        <v>2.9529999999999994E-2</v>
      </c>
      <c r="I69">
        <f>IF(COUNT(Resultados!I69,Resultados!R69,Resultados!AA69,Resultados!AJ69,Resultados!AS69,Resultados!BB69,Resultados!BK69,Resultados!BT69,Resultados!CC69,Resultados!CL69)=0, "", AVERAGE(ABS(Resultados!I69),ABS(Resultados!R69),ABS(Resultados!AA69),ABS(Resultados!AJ69),ABS(Resultados!AS69),ABS(Resultados!BB69),ABS(Resultados!BK69),ABS(Resultados!BT69),ABS(Resultados!CC69),ABS(Resultados!CL69)))</f>
        <v>13.441809999999998</v>
      </c>
    </row>
    <row r="70" spans="1:9" x14ac:dyDescent="0.3">
      <c r="A70">
        <f>IF(COUNT(Resultados!A70,Resultados!J70,Resultados!S70,Resultados!AB70,Resultados!AK70,Resultados!AT70,Resultados!BC70,Resultados!BL70,Resultados!BU70,Resultados!CD70)=0, "", AVERAGE(ABS(Resultados!A70),ABS(Resultados!J70),ABS(Resultados!S70),ABS(Resultados!AB70),ABS(Resultados!AK70),ABS(Resultados!AT70),ABS(Resultados!BC70),ABS(Resultados!BL70),ABS(Resultados!BU70),ABS(Resultados!CD70)))</f>
        <v>45681</v>
      </c>
      <c r="B70" t="str">
        <f>IF(COUNT(Resultados!B70,Resultados!K70,Resultados!T70,Resultados!AC70,Resultados!AL70,Resultados!AU70,Resultados!BD70,Resultados!BM70,Resultados!BV70,Resultados!CE70)=0, "", AVERAGE(ABS(Resultados!B70),ABS(Resultados!K70),ABS(Resultados!T70),ABS(Resultados!AC70),ABS(Resultados!AL70),ABS(Resultados!AU70),ABS(Resultados!BD70),ABS(Resultados!BM70),ABS(Resultados!BV70),ABS(Resultados!CE70)))</f>
        <v/>
      </c>
      <c r="C70">
        <f>IF(COUNT(Resultados!C70,Resultados!L70,Resultados!U70,Resultados!AD70,Resultados!AM70,Resultados!AV70,Resultados!BE70,Resultados!BN70,Resultados!BW70,Resultados!CF70)=0, "", AVERAGE(ABS(Resultados!C70),ABS(Resultados!L70),ABS(Resultados!U70),ABS(Resultados!AD70),ABS(Resultados!AM70),ABS(Resultados!AV70),ABS(Resultados!BE70),ABS(Resultados!BN70),ABS(Resultados!BW70),ABS(Resultados!CF70)))</f>
        <v>4.3</v>
      </c>
      <c r="D70">
        <f>IF(COUNT(Resultados!D70,Resultados!M70,Resultados!V70,Resultados!AE70,Resultados!AN70,Resultados!AW70,Resultados!BF70,Resultados!BO70,Resultados!BX70,Resultados!CG70)=0, "", AVERAGE(ABS(Resultados!D70),ABS(Resultados!M70),ABS(Resultados!V70),ABS(Resultados!AE70),ABS(Resultados!AN70),ABS(Resultados!AW70),ABS(Resultados!BF70),ABS(Resultados!BO70),ABS(Resultados!BX70),ABS(Resultados!CG70)))</f>
        <v>3.091E-2</v>
      </c>
      <c r="E70">
        <f>IF(COUNT(Resultados!E70,Resultados!N70,Resultados!W70,Resultados!AF70,Resultados!AO70,Resultados!AX70,Resultados!BG70,Resultados!BP70,Resultados!BY70,Resultados!CH70)=0, "", AVERAGE(ABS(Resultados!E70),ABS(Resultados!N70),ABS(Resultados!W70),ABS(Resultados!AF70),ABS(Resultados!AO70),ABS(Resultados!AX70),ABS(Resultados!BG70),ABS(Resultados!BP70),ABS(Resultados!BY70),ABS(Resultados!CH70)))</f>
        <v>7.8273283478212692</v>
      </c>
      <c r="F70">
        <f>IF(COUNT(Resultados!F70,Resultados!O70,Resultados!X70,Resultados!AG70,Resultados!AP70,Resultados!AY70,Resultados!BH70,Resultados!BQ70,Resultados!BZ70,Resultados!CI70)=0, "", AVERAGE(ABS(Resultados!F70),ABS(Resultados!O70),ABS(Resultados!X70),ABS(Resultados!AG70),ABS(Resultados!AP70),ABS(Resultados!AY70),ABS(Resultados!BH70),ABS(Resultados!BQ70),ABS(Resultados!BZ70),ABS(Resultados!CI70)))</f>
        <v>777.50700201694224</v>
      </c>
      <c r="G70">
        <f>IF(COUNT(Resultados!G70,Resultados!P70,Resultados!Y70,Resultados!AH70,Resultados!AQ70,Resultados!AZ70,Resultados!BI70,Resultados!BR70,Resultados!CA70,Resultados!CJ70)=0, "", AVERAGE(ABS(Resultados!G70),ABS(Resultados!P70),ABS(Resultados!Y70),ABS(Resultados!AH70),ABS(Resultados!AQ70),ABS(Resultados!AZ70),ABS(Resultados!BI70),ABS(Resultados!BR70),ABS(Resultados!CA70),ABS(Resultados!CJ70)))</f>
        <v>0.42400000000000004</v>
      </c>
      <c r="H70">
        <f>IF(COUNT(Resultados!H70,Resultados!Q70,Resultados!Z70,Resultados!AI70,Resultados!AR70,Resultados!BA70,Resultados!BJ70,Resultados!BS70,Resultados!CB70,Resultados!CK70)=0, "", AVERAGE(ABS(Resultados!H70),ABS(Resultados!Q70),ABS(Resultados!Z70),ABS(Resultados!AI70),ABS(Resultados!AR70),ABS(Resultados!BA70),ABS(Resultados!BJ70),ABS(Resultados!BS70),ABS(Resultados!CB70),ABS(Resultados!CK70)))</f>
        <v>2.8460000000000003E-2</v>
      </c>
      <c r="I70">
        <f>IF(COUNT(Resultados!I70,Resultados!R70,Resultados!AA70,Resultados!AJ70,Resultados!AS70,Resultados!BB70,Resultados!BK70,Resultados!BT70,Resultados!CC70,Resultados!CL70)=0, "", AVERAGE(ABS(Resultados!I70),ABS(Resultados!R70),ABS(Resultados!AA70),ABS(Resultados!AJ70),ABS(Resultados!AS70),ABS(Resultados!BB70),ABS(Resultados!BK70),ABS(Resultados!BT70),ABS(Resultados!CC70),ABS(Resultados!CL70)))</f>
        <v>13.641229999999997</v>
      </c>
    </row>
    <row r="71" spans="1:9" x14ac:dyDescent="0.3">
      <c r="A71">
        <f>IF(COUNT(Resultados!A71,Resultados!J71,Resultados!S71,Resultados!AB71,Resultados!AK71,Resultados!AT71,Resultados!BC71,Resultados!BL71,Resultados!BU71,Resultados!CD71)=0, "", AVERAGE(ABS(Resultados!A71),ABS(Resultados!J71),ABS(Resultados!S71),ABS(Resultados!AB71),ABS(Resultados!AK71),ABS(Resultados!AT71),ABS(Resultados!BC71),ABS(Resultados!BL71),ABS(Resultados!BU71),ABS(Resultados!CD71)))</f>
        <v>45681</v>
      </c>
      <c r="B71" t="str">
        <f>IF(COUNT(Resultados!B71,Resultados!K71,Resultados!T71,Resultados!AC71,Resultados!AL71,Resultados!AU71,Resultados!BD71,Resultados!BM71,Resultados!BV71,Resultados!CE71)=0, "", AVERAGE(ABS(Resultados!B71),ABS(Resultados!K71),ABS(Resultados!T71),ABS(Resultados!AC71),ABS(Resultados!AL71),ABS(Resultados!AU71),ABS(Resultados!BD71),ABS(Resultados!BM71),ABS(Resultados!BV71),ABS(Resultados!CE71)))</f>
        <v/>
      </c>
      <c r="C71">
        <f>IF(COUNT(Resultados!C71,Resultados!L71,Resultados!U71,Resultados!AD71,Resultados!AM71,Resultados!AV71,Resultados!BE71,Resultados!BN71,Resultados!BW71,Resultados!CF71)=0, "", AVERAGE(ABS(Resultados!C71),ABS(Resultados!L71),ABS(Resultados!U71),ABS(Resultados!AD71),ABS(Resultados!AM71),ABS(Resultados!AV71),ABS(Resultados!BE71),ABS(Resultados!BN71),ABS(Resultados!BW71),ABS(Resultados!CF71)))</f>
        <v>4.3</v>
      </c>
      <c r="D71">
        <f>IF(COUNT(Resultados!D71,Resultados!M71,Resultados!V71,Resultados!AE71,Resultados!AN71,Resultados!AW71,Resultados!BF71,Resultados!BO71,Resultados!BX71,Resultados!CG71)=0, "", AVERAGE(ABS(Resultados!D71),ABS(Resultados!M71),ABS(Resultados!V71),ABS(Resultados!AE71),ABS(Resultados!AN71),ABS(Resultados!AW71),ABS(Resultados!BF71),ABS(Resultados!BO71),ABS(Resultados!BX71),ABS(Resultados!CG71)))</f>
        <v>2.9600000000000005E-2</v>
      </c>
      <c r="E71">
        <f>IF(COUNT(Resultados!E71,Resultados!N71,Resultados!W71,Resultados!AF71,Resultados!AO71,Resultados!AX71,Resultados!BG71,Resultados!BP71,Resultados!BY71,Resultados!CH71)=0, "", AVERAGE(ABS(Resultados!E71),ABS(Resultados!N71),ABS(Resultados!W71),ABS(Resultados!AF71),ABS(Resultados!AO71),ABS(Resultados!AX71),ABS(Resultados!BG71),ABS(Resultados!BP71),ABS(Resultados!BY71),ABS(Resultados!CH71)))</f>
        <v>7.7565157601825749</v>
      </c>
      <c r="F71">
        <f>IF(COUNT(Resultados!F71,Resultados!O71,Resultados!X71,Resultados!AG71,Resultados!AP71,Resultados!AY71,Resultados!BH71,Resultados!BQ71,Resultados!BZ71,Resultados!CI71)=0, "", AVERAGE(ABS(Resultados!F71),ABS(Resultados!O71),ABS(Resultados!X71),ABS(Resultados!AG71),ABS(Resultados!AP71),ABS(Resultados!AY71),ABS(Resultados!BH71),ABS(Resultados!BQ71),ABS(Resultados!BZ71),ABS(Resultados!CI71)))</f>
        <v>770.90726884901596</v>
      </c>
      <c r="G71">
        <f>IF(COUNT(Resultados!G71,Resultados!P71,Resultados!Y71,Resultados!AH71,Resultados!AQ71,Resultados!AZ71,Resultados!BI71,Resultados!BR71,Resultados!CA71,Resultados!CJ71)=0, "", AVERAGE(ABS(Resultados!G71),ABS(Resultados!P71),ABS(Resultados!Y71),ABS(Resultados!AH71),ABS(Resultados!AQ71),ABS(Resultados!AZ71),ABS(Resultados!BI71),ABS(Resultados!BR71),ABS(Resultados!CA71),ABS(Resultados!CJ71)))</f>
        <v>0.42400000000000004</v>
      </c>
      <c r="H71">
        <f>IF(COUNT(Resultados!H71,Resultados!Q71,Resultados!Z71,Resultados!AI71,Resultados!AR71,Resultados!BA71,Resultados!BJ71,Resultados!BS71,Resultados!CB71,Resultados!CK71)=0, "", AVERAGE(ABS(Resultados!H71),ABS(Resultados!Q71),ABS(Resultados!Z71),ABS(Resultados!AI71),ABS(Resultados!AR71),ABS(Resultados!BA71),ABS(Resultados!BJ71),ABS(Resultados!BS71),ABS(Resultados!CB71),ABS(Resultados!CK71)))</f>
        <v>2.7369999999999998E-2</v>
      </c>
      <c r="I71">
        <f>IF(COUNT(Resultados!I71,Resultados!R71,Resultados!AA71,Resultados!AJ71,Resultados!AS71,Resultados!BB71,Resultados!BK71,Resultados!BT71,Resultados!CC71,Resultados!CL71)=0, "", AVERAGE(ABS(Resultados!I71),ABS(Resultados!R71),ABS(Resultados!AA71),ABS(Resultados!AJ71),ABS(Resultados!AS71),ABS(Resultados!BB71),ABS(Resultados!BK71),ABS(Resultados!BT71),ABS(Resultados!CC71),ABS(Resultados!CL71)))</f>
        <v>13.841019999999995</v>
      </c>
    </row>
    <row r="72" spans="1:9" x14ac:dyDescent="0.3">
      <c r="A72">
        <f>IF(COUNT(Resultados!A72,Resultados!J72,Resultados!S72,Resultados!AB72,Resultados!AK72,Resultados!AT72,Resultados!BC72,Resultados!BL72,Resultados!BU72,Resultados!CD72)=0, "", AVERAGE(ABS(Resultados!A72),ABS(Resultados!J72),ABS(Resultados!S72),ABS(Resultados!AB72),ABS(Resultados!AK72),ABS(Resultados!AT72),ABS(Resultados!BC72),ABS(Resultados!BL72),ABS(Resultados!BU72),ABS(Resultados!CD72)))</f>
        <v>45681</v>
      </c>
      <c r="B72" t="str">
        <f>IF(COUNT(Resultados!B72,Resultados!K72,Resultados!T72,Resultados!AC72,Resultados!AL72,Resultados!AU72,Resultados!BD72,Resultados!BM72,Resultados!BV72,Resultados!CE72)=0, "", AVERAGE(ABS(Resultados!B72),ABS(Resultados!K72),ABS(Resultados!T72),ABS(Resultados!AC72),ABS(Resultados!AL72),ABS(Resultados!AU72),ABS(Resultados!BD72),ABS(Resultados!BM72),ABS(Resultados!BV72),ABS(Resultados!CE72)))</f>
        <v/>
      </c>
      <c r="C72">
        <f>IF(COUNT(Resultados!C72,Resultados!L72,Resultados!U72,Resultados!AD72,Resultados!AM72,Resultados!AV72,Resultados!BE72,Resultados!BN72,Resultados!BW72,Resultados!CF72)=0, "", AVERAGE(ABS(Resultados!C72),ABS(Resultados!L72),ABS(Resultados!U72),ABS(Resultados!AD72),ABS(Resultados!AM72),ABS(Resultados!AV72),ABS(Resultados!BE72),ABS(Resultados!BN72),ABS(Resultados!BW72),ABS(Resultados!CF72)))</f>
        <v>4.3</v>
      </c>
      <c r="D72">
        <f>IF(COUNT(Resultados!D72,Resultados!M72,Resultados!V72,Resultados!AE72,Resultados!AN72,Resultados!AW72,Resultados!BF72,Resultados!BO72,Resultados!BX72,Resultados!CG72)=0, "", AVERAGE(ABS(Resultados!D72),ABS(Resultados!M72),ABS(Resultados!V72),ABS(Resultados!AE72),ABS(Resultados!AN72),ABS(Resultados!AW72),ABS(Resultados!BF72),ABS(Resultados!BO72),ABS(Resultados!BX72),ABS(Resultados!CG72)))</f>
        <v>2.8450000000000003E-2</v>
      </c>
      <c r="E72">
        <f>IF(COUNT(Resultados!E72,Resultados!N72,Resultados!W72,Resultados!AF72,Resultados!AO72,Resultados!AX72,Resultados!BG72,Resultados!BP72,Resultados!BY72,Resultados!CH72)=0, "", AVERAGE(ABS(Resultados!E72),ABS(Resultados!N72),ABS(Resultados!W72),ABS(Resultados!AF72),ABS(Resultados!AO72),ABS(Resultados!AX72),ABS(Resultados!BG72),ABS(Resultados!BP72),ABS(Resultados!BY72),ABS(Resultados!CH72)))</f>
        <v>7.6833151931090509</v>
      </c>
      <c r="F72">
        <f>IF(COUNT(Resultados!F72,Resultados!O72,Resultados!X72,Resultados!AG72,Resultados!AP72,Resultados!AY72,Resultados!BH72,Resultados!BQ72,Resultados!BZ72,Resultados!CI72)=0, "", AVERAGE(ABS(Resultados!F72),ABS(Resultados!O72),ABS(Resultados!X72),ABS(Resultados!AG72),ABS(Resultados!AP72),ABS(Resultados!AY72),ABS(Resultados!BH72),ABS(Resultados!BQ72),ABS(Resultados!BZ72),ABS(Resultados!CI72)))</f>
        <v>764.08497599776365</v>
      </c>
      <c r="G72">
        <f>IF(COUNT(Resultados!G72,Resultados!P72,Resultados!Y72,Resultados!AH72,Resultados!AQ72,Resultados!AZ72,Resultados!BI72,Resultados!BR72,Resultados!CA72,Resultados!CJ72)=0, "", AVERAGE(ABS(Resultados!G72),ABS(Resultados!P72),ABS(Resultados!Y72),ABS(Resultados!AH72),ABS(Resultados!AQ72),ABS(Resultados!AZ72),ABS(Resultados!BI72),ABS(Resultados!BR72),ABS(Resultados!CA72),ABS(Resultados!CJ72)))</f>
        <v>0.42400000000000004</v>
      </c>
      <c r="H72">
        <f>IF(COUNT(Resultados!H72,Resultados!Q72,Resultados!Z72,Resultados!AI72,Resultados!AR72,Resultados!BA72,Resultados!BJ72,Resultados!BS72,Resultados!CB72,Resultados!CK72)=0, "", AVERAGE(ABS(Resultados!H72),ABS(Resultados!Q72),ABS(Resultados!Z72),ABS(Resultados!AI72),ABS(Resultados!AR72),ABS(Resultados!BA72),ABS(Resultados!BJ72),ABS(Resultados!BS72),ABS(Resultados!CB72),ABS(Resultados!CK72)))</f>
        <v>2.6230000000000003E-2</v>
      </c>
      <c r="I72">
        <f>IF(COUNT(Resultados!I72,Resultados!R72,Resultados!AA72,Resultados!AJ72,Resultados!AS72,Resultados!BB72,Resultados!BK72,Resultados!BT72,Resultados!CC72,Resultados!CL72)=0, "", AVERAGE(ABS(Resultados!I72),ABS(Resultados!R72),ABS(Resultados!AA72),ABS(Resultados!AJ72),ABS(Resultados!AS72),ABS(Resultados!BB72),ABS(Resultados!BK72),ABS(Resultados!BT72),ABS(Resultados!CC72),ABS(Resultados!CL72)))</f>
        <v>14.041979999999992</v>
      </c>
    </row>
    <row r="73" spans="1:9" x14ac:dyDescent="0.3">
      <c r="A73">
        <f>IF(COUNT(Resultados!A73,Resultados!J73,Resultados!S73,Resultados!AB73,Resultados!AK73,Resultados!AT73,Resultados!BC73,Resultados!BL73,Resultados!BU73,Resultados!CD73)=0, "", AVERAGE(ABS(Resultados!A73),ABS(Resultados!J73),ABS(Resultados!S73),ABS(Resultados!AB73),ABS(Resultados!AK73),ABS(Resultados!AT73),ABS(Resultados!BC73),ABS(Resultados!BL73),ABS(Resultados!BU73),ABS(Resultados!CD73)))</f>
        <v>45681</v>
      </c>
      <c r="B73" t="str">
        <f>IF(COUNT(Resultados!B73,Resultados!K73,Resultados!T73,Resultados!AC73,Resultados!AL73,Resultados!AU73,Resultados!BD73,Resultados!BM73,Resultados!BV73,Resultados!CE73)=0, "", AVERAGE(ABS(Resultados!B73),ABS(Resultados!K73),ABS(Resultados!T73),ABS(Resultados!AC73),ABS(Resultados!AL73),ABS(Resultados!AU73),ABS(Resultados!BD73),ABS(Resultados!BM73),ABS(Resultados!BV73),ABS(Resultados!CE73)))</f>
        <v/>
      </c>
      <c r="C73">
        <f>IF(COUNT(Resultados!C73,Resultados!L73,Resultados!U73,Resultados!AD73,Resultados!AM73,Resultados!AV73,Resultados!BE73,Resultados!BN73,Resultados!BW73,Resultados!CF73)=0, "", AVERAGE(ABS(Resultados!C73),ABS(Resultados!L73),ABS(Resultados!U73),ABS(Resultados!AD73),ABS(Resultados!AM73),ABS(Resultados!AV73),ABS(Resultados!BE73),ABS(Resultados!BN73),ABS(Resultados!BW73),ABS(Resultados!CF73)))</f>
        <v>4.3</v>
      </c>
      <c r="D73">
        <f>IF(COUNT(Resultados!D73,Resultados!M73,Resultados!V73,Resultados!AE73,Resultados!AN73,Resultados!AW73,Resultados!BF73,Resultados!BO73,Resultados!BX73,Resultados!CG73)=0, "", AVERAGE(ABS(Resultados!D73),ABS(Resultados!M73),ABS(Resultados!V73),ABS(Resultados!AE73),ABS(Resultados!AN73),ABS(Resultados!AW73),ABS(Resultados!BF73),ABS(Resultados!BO73),ABS(Resultados!BX73),ABS(Resultados!CG73)))</f>
        <v>2.733E-2</v>
      </c>
      <c r="E73">
        <f>IF(COUNT(Resultados!E73,Resultados!N73,Resultados!W73,Resultados!AF73,Resultados!AO73,Resultados!AX73,Resultados!BG73,Resultados!BP73,Resultados!BY73,Resultados!CH73)=0, "", AVERAGE(ABS(Resultados!E73),ABS(Resultados!N73),ABS(Resultados!W73),ABS(Resultados!AF73),ABS(Resultados!AO73),ABS(Resultados!AX73),ABS(Resultados!BG73),ABS(Resultados!BP73),ABS(Resultados!BY73),ABS(Resultados!CH73)))</f>
        <v>7.6091902743668367</v>
      </c>
      <c r="F73">
        <f>IF(COUNT(Resultados!F73,Resultados!O73,Resultados!X73,Resultados!AG73,Resultados!AP73,Resultados!AY73,Resultados!BH73,Resultados!BQ73,Resultados!BZ73,Resultados!CI73)=0, "", AVERAGE(ABS(Resultados!F73),ABS(Resultados!O73),ABS(Resultados!X73),ABS(Resultados!AG73),ABS(Resultados!AP73),ABS(Resultados!AY73),ABS(Resultados!BH73),ABS(Resultados!BQ73),ABS(Resultados!BZ73),ABS(Resultados!CI73)))</f>
        <v>757.17653357098914</v>
      </c>
      <c r="G73">
        <f>IF(COUNT(Resultados!G73,Resultados!P73,Resultados!Y73,Resultados!AH73,Resultados!AQ73,Resultados!AZ73,Resultados!BI73,Resultados!BR73,Resultados!CA73,Resultados!CJ73)=0, "", AVERAGE(ABS(Resultados!G73),ABS(Resultados!P73),ABS(Resultados!Y73),ABS(Resultados!AH73),ABS(Resultados!AQ73),ABS(Resultados!AZ73),ABS(Resultados!BI73),ABS(Resultados!BR73),ABS(Resultados!CA73),ABS(Resultados!CJ73)))</f>
        <v>0.42400000000000004</v>
      </c>
      <c r="H73">
        <f>IF(COUNT(Resultados!H73,Resultados!Q73,Resultados!Z73,Resultados!AI73,Resultados!AR73,Resultados!BA73,Resultados!BJ73,Resultados!BS73,Resultados!CB73,Resultados!CK73)=0, "", AVERAGE(ABS(Resultados!H73),ABS(Resultados!Q73),ABS(Resultados!Z73),ABS(Resultados!AI73),ABS(Resultados!AR73),ABS(Resultados!BA73),ABS(Resultados!BJ73),ABS(Resultados!BS73),ABS(Resultados!CB73),ABS(Resultados!CK73)))</f>
        <v>2.5069999999999999E-2</v>
      </c>
      <c r="I73">
        <f>IF(COUNT(Resultados!I73,Resultados!R73,Resultados!AA73,Resultados!AJ73,Resultados!AS73,Resultados!BB73,Resultados!BK73,Resultados!BT73,Resultados!CC73,Resultados!CL73)=0, "", AVERAGE(ABS(Resultados!I73),ABS(Resultados!R73),ABS(Resultados!AA73),ABS(Resultados!AJ73),ABS(Resultados!AS73),ABS(Resultados!BB73),ABS(Resultados!BK73),ABS(Resultados!BT73),ABS(Resultados!CC73),ABS(Resultados!CL73)))</f>
        <v>14.241429999999994</v>
      </c>
    </row>
    <row r="74" spans="1:9" x14ac:dyDescent="0.3">
      <c r="A74">
        <f>IF(COUNT(Resultados!A74,Resultados!J74,Resultados!S74,Resultados!AB74,Resultados!AK74,Resultados!AT74,Resultados!BC74,Resultados!BL74,Resultados!BU74,Resultados!CD74)=0, "", AVERAGE(ABS(Resultados!A74),ABS(Resultados!J74),ABS(Resultados!S74),ABS(Resultados!AB74),ABS(Resultados!AK74),ABS(Resultados!AT74),ABS(Resultados!BC74),ABS(Resultados!BL74),ABS(Resultados!BU74),ABS(Resultados!CD74)))</f>
        <v>45681</v>
      </c>
      <c r="B74" t="str">
        <f>IF(COUNT(Resultados!B74,Resultados!K74,Resultados!T74,Resultados!AC74,Resultados!AL74,Resultados!AU74,Resultados!BD74,Resultados!BM74,Resultados!BV74,Resultados!CE74)=0, "", AVERAGE(ABS(Resultados!B74),ABS(Resultados!K74),ABS(Resultados!T74),ABS(Resultados!AC74),ABS(Resultados!AL74),ABS(Resultados!AU74),ABS(Resultados!BD74),ABS(Resultados!BM74),ABS(Resultados!BV74),ABS(Resultados!CE74)))</f>
        <v/>
      </c>
      <c r="C74">
        <f>IF(COUNT(Resultados!C74,Resultados!L74,Resultados!U74,Resultados!AD74,Resultados!AM74,Resultados!AV74,Resultados!BE74,Resultados!BN74,Resultados!BW74,Resultados!CF74)=0, "", AVERAGE(ABS(Resultados!C74),ABS(Resultados!L74),ABS(Resultados!U74),ABS(Resultados!AD74),ABS(Resultados!AM74),ABS(Resultados!AV74),ABS(Resultados!BE74),ABS(Resultados!BN74),ABS(Resultados!BW74),ABS(Resultados!CF74)))</f>
        <v>4.3</v>
      </c>
      <c r="D74">
        <f>IF(COUNT(Resultados!D74,Resultados!M74,Resultados!V74,Resultados!AE74,Resultados!AN74,Resultados!AW74,Resultados!BF74,Resultados!BO74,Resultados!BX74,Resultados!CG74)=0, "", AVERAGE(ABS(Resultados!D74),ABS(Resultados!M74),ABS(Resultados!V74),ABS(Resultados!AE74),ABS(Resultados!AN74),ABS(Resultados!AW74),ABS(Resultados!BF74),ABS(Resultados!BO74),ABS(Resultados!BX74),ABS(Resultados!CG74)))</f>
        <v>2.615E-2</v>
      </c>
      <c r="E74">
        <f>IF(COUNT(Resultados!E74,Resultados!N74,Resultados!W74,Resultados!AF74,Resultados!AO74,Resultados!AX74,Resultados!BG74,Resultados!BP74,Resultados!BY74,Resultados!CH74)=0, "", AVERAGE(ABS(Resultados!E74),ABS(Resultados!N74),ABS(Resultados!W74),ABS(Resultados!AF74),ABS(Resultados!AO74),ABS(Resultados!AX74),ABS(Resultados!BG74),ABS(Resultados!BP74),ABS(Resultados!BY74),ABS(Resultados!CH74)))</f>
        <v>7.5335653165851344</v>
      </c>
      <c r="F74">
        <f>IF(COUNT(Resultados!F74,Resultados!O74,Resultados!X74,Resultados!AG74,Resultados!AP74,Resultados!AY74,Resultados!BH74,Resultados!BQ74,Resultados!BZ74,Resultados!CI74)=0, "", AVERAGE(ABS(Resultados!F74),ABS(Resultados!O74),ABS(Resultados!X74),ABS(Resultados!AG74),ABS(Resultados!AP74),ABS(Resultados!AY74),ABS(Resultados!BH74),ABS(Resultados!BQ74),ABS(Resultados!BZ74),ABS(Resultados!CI74)))</f>
        <v>750.12828750573453</v>
      </c>
      <c r="G74">
        <f>IF(COUNT(Resultados!G74,Resultados!P74,Resultados!Y74,Resultados!AH74,Resultados!AQ74,Resultados!AZ74,Resultados!BI74,Resultados!BR74,Resultados!CA74,Resultados!CJ74)=0, "", AVERAGE(ABS(Resultados!G74),ABS(Resultados!P74),ABS(Resultados!Y74),ABS(Resultados!AH74),ABS(Resultados!AQ74),ABS(Resultados!AZ74),ABS(Resultados!BI74),ABS(Resultados!BR74),ABS(Resultados!CA74),ABS(Resultados!CJ74)))</f>
        <v>0.42400000000000004</v>
      </c>
      <c r="H74">
        <f>IF(COUNT(Resultados!H74,Resultados!Q74,Resultados!Z74,Resultados!AI74,Resultados!AR74,Resultados!BA74,Resultados!BJ74,Resultados!BS74,Resultados!CB74,Resultados!CK74)=0, "", AVERAGE(ABS(Resultados!H74),ABS(Resultados!Q74),ABS(Resultados!Z74),ABS(Resultados!AI74),ABS(Resultados!AR74),ABS(Resultados!BA74),ABS(Resultados!BJ74),ABS(Resultados!BS74),ABS(Resultados!CB74),ABS(Resultados!CK74)))</f>
        <v>2.3889999999999998E-2</v>
      </c>
      <c r="I74">
        <f>IF(COUNT(Resultados!I74,Resultados!R74,Resultados!AA74,Resultados!AJ74,Resultados!AS74,Resultados!BB74,Resultados!BK74,Resultados!BT74,Resultados!CC74,Resultados!CL74)=0, "", AVERAGE(ABS(Resultados!I74),ABS(Resultados!R74),ABS(Resultados!AA74),ABS(Resultados!AJ74),ABS(Resultados!AS74),ABS(Resultados!BB74),ABS(Resultados!BK74),ABS(Resultados!BT74),ABS(Resultados!CC74),ABS(Resultados!CL74)))</f>
        <v>14.441240000000004</v>
      </c>
    </row>
    <row r="75" spans="1:9" x14ac:dyDescent="0.3">
      <c r="A75">
        <f>IF(COUNT(Resultados!A75,Resultados!J75,Resultados!S75,Resultados!AB75,Resultados!AK75,Resultados!AT75,Resultados!BC75,Resultados!BL75,Resultados!BU75,Resultados!CD75)=0, "", AVERAGE(ABS(Resultados!A75),ABS(Resultados!J75),ABS(Resultados!S75),ABS(Resultados!AB75),ABS(Resultados!AK75),ABS(Resultados!AT75),ABS(Resultados!BC75),ABS(Resultados!BL75),ABS(Resultados!BU75),ABS(Resultados!CD75)))</f>
        <v>45681</v>
      </c>
      <c r="B75" t="str">
        <f>IF(COUNT(Resultados!B75,Resultados!K75,Resultados!T75,Resultados!AC75,Resultados!AL75,Resultados!AU75,Resultados!BD75,Resultados!BM75,Resultados!BV75,Resultados!CE75)=0, "", AVERAGE(ABS(Resultados!B75),ABS(Resultados!K75),ABS(Resultados!T75),ABS(Resultados!AC75),ABS(Resultados!AL75),ABS(Resultados!AU75),ABS(Resultados!BD75),ABS(Resultados!BM75),ABS(Resultados!BV75),ABS(Resultados!CE75)))</f>
        <v/>
      </c>
      <c r="C75">
        <f>IF(COUNT(Resultados!C75,Resultados!L75,Resultados!U75,Resultados!AD75,Resultados!AM75,Resultados!AV75,Resultados!BE75,Resultados!BN75,Resultados!BW75,Resultados!CF75)=0, "", AVERAGE(ABS(Resultados!C75),ABS(Resultados!L75),ABS(Resultados!U75),ABS(Resultados!AD75),ABS(Resultados!AM75),ABS(Resultados!AV75),ABS(Resultados!BE75),ABS(Resultados!BN75),ABS(Resultados!BW75),ABS(Resultados!CF75)))</f>
        <v>4.3</v>
      </c>
      <c r="D75">
        <f>IF(COUNT(Resultados!D75,Resultados!M75,Resultados!V75,Resultados!AE75,Resultados!AN75,Resultados!AW75,Resultados!BF75,Resultados!BO75,Resultados!BX75,Resultados!CG75)=0, "", AVERAGE(ABS(Resultados!D75),ABS(Resultados!M75),ABS(Resultados!V75),ABS(Resultados!AE75),ABS(Resultados!AN75),ABS(Resultados!AW75),ABS(Resultados!BF75),ABS(Resultados!BO75),ABS(Resultados!BX75),ABS(Resultados!CG75)))</f>
        <v>2.4630000000000006E-2</v>
      </c>
      <c r="E75">
        <f>IF(COUNT(Resultados!E75,Resultados!N75,Resultados!W75,Resultados!AF75,Resultados!AO75,Resultados!AX75,Resultados!BG75,Resultados!BP75,Resultados!BY75,Resultados!CH75)=0, "", AVERAGE(ABS(Resultados!E75),ABS(Resultados!N75),ABS(Resultados!W75),ABS(Resultados!AF75),ABS(Resultados!AO75),ABS(Resultados!AX75),ABS(Resultados!BG75),ABS(Resultados!BP75),ABS(Resultados!BY75),ABS(Resultados!CH75)))</f>
        <v>7.4571612467573773</v>
      </c>
      <c r="F75">
        <f>IF(COUNT(Resultados!F75,Resultados!O75,Resultados!X75,Resultados!AG75,Resultados!AP75,Resultados!AY75,Resultados!BH75,Resultados!BQ75,Resultados!BZ75,Resultados!CI75)=0, "", AVERAGE(ABS(Resultados!F75),ABS(Resultados!O75),ABS(Resultados!X75),ABS(Resultados!AG75),ABS(Resultados!AP75),ABS(Resultados!AY75),ABS(Resultados!BH75),ABS(Resultados!BQ75),ABS(Resultados!BZ75),ABS(Resultados!CI75)))</f>
        <v>743.00742819778759</v>
      </c>
      <c r="G75">
        <f>IF(COUNT(Resultados!G75,Resultados!P75,Resultados!Y75,Resultados!AH75,Resultados!AQ75,Resultados!AZ75,Resultados!BI75,Resultados!BR75,Resultados!CA75,Resultados!CJ75)=0, "", AVERAGE(ABS(Resultados!G75),ABS(Resultados!P75),ABS(Resultados!Y75),ABS(Resultados!AH75),ABS(Resultados!AQ75),ABS(Resultados!AZ75),ABS(Resultados!BI75),ABS(Resultados!BR75),ABS(Resultados!CA75),ABS(Resultados!CJ75)))</f>
        <v>0.42400000000000004</v>
      </c>
      <c r="H75">
        <f>IF(COUNT(Resultados!H75,Resultados!Q75,Resultados!Z75,Resultados!AI75,Resultados!AR75,Resultados!BA75,Resultados!BJ75,Resultados!BS75,Resultados!CB75,Resultados!CK75)=0, "", AVERAGE(ABS(Resultados!H75),ABS(Resultados!Q75),ABS(Resultados!Z75),ABS(Resultados!AI75),ABS(Resultados!AR75),ABS(Resultados!BA75),ABS(Resultados!BJ75),ABS(Resultados!BS75),ABS(Resultados!CB75),ABS(Resultados!CK75)))</f>
        <v>2.2710000000000001E-2</v>
      </c>
      <c r="I75">
        <f>IF(COUNT(Resultados!I75,Resultados!R75,Resultados!AA75,Resultados!AJ75,Resultados!AS75,Resultados!BB75,Resultados!BK75,Resultados!BT75,Resultados!CC75,Resultados!CL75)=0, "", AVERAGE(ABS(Resultados!I75),ABS(Resultados!R75),ABS(Resultados!AA75),ABS(Resultados!AJ75),ABS(Resultados!AS75),ABS(Resultados!BB75),ABS(Resultados!BK75),ABS(Resultados!BT75),ABS(Resultados!CC75),ABS(Resultados!CL75)))</f>
        <v>14.640529999999993</v>
      </c>
    </row>
    <row r="76" spans="1:9" x14ac:dyDescent="0.3">
      <c r="A76">
        <f>IF(COUNT(Resultados!A76,Resultados!J76,Resultados!S76,Resultados!AB76,Resultados!AK76,Resultados!AT76,Resultados!BC76,Resultados!BL76,Resultados!BU76,Resultados!CD76)=0, "", AVERAGE(ABS(Resultados!A76),ABS(Resultados!J76),ABS(Resultados!S76),ABS(Resultados!AB76),ABS(Resultados!AK76),ABS(Resultados!AT76),ABS(Resultados!BC76),ABS(Resultados!BL76),ABS(Resultados!BU76),ABS(Resultados!CD76)))</f>
        <v>45681</v>
      </c>
      <c r="B76" t="str">
        <f>IF(COUNT(Resultados!B76,Resultados!K76,Resultados!T76,Resultados!AC76,Resultados!AL76,Resultados!AU76,Resultados!BD76,Resultados!BM76,Resultados!BV76,Resultados!CE76)=0, "", AVERAGE(ABS(Resultados!B76),ABS(Resultados!K76),ABS(Resultados!T76),ABS(Resultados!AC76),ABS(Resultados!AL76),ABS(Resultados!AU76),ABS(Resultados!BD76),ABS(Resultados!BM76),ABS(Resultados!BV76),ABS(Resultados!CE76)))</f>
        <v/>
      </c>
      <c r="C76">
        <f>IF(COUNT(Resultados!C76,Resultados!L76,Resultados!U76,Resultados!AD76,Resultados!AM76,Resultados!AV76,Resultados!BE76,Resultados!BN76,Resultados!BW76,Resultados!CF76)=0, "", AVERAGE(ABS(Resultados!C76),ABS(Resultados!L76),ABS(Resultados!U76),ABS(Resultados!AD76),ABS(Resultados!AM76),ABS(Resultados!AV76),ABS(Resultados!BE76),ABS(Resultados!BN76),ABS(Resultados!BW76),ABS(Resultados!CF76)))</f>
        <v>4.3</v>
      </c>
      <c r="D76">
        <f>IF(COUNT(Resultados!D76,Resultados!M76,Resultados!V76,Resultados!AE76,Resultados!AN76,Resultados!AW76,Resultados!BF76,Resultados!BO76,Resultados!BX76,Resultados!CG76)=0, "", AVERAGE(ABS(Resultados!D76),ABS(Resultados!M76),ABS(Resultados!V76),ABS(Resultados!AE76),ABS(Resultados!AN76),ABS(Resultados!AW76),ABS(Resultados!BF76),ABS(Resultados!BO76),ABS(Resultados!BX76),ABS(Resultados!CG76)))</f>
        <v>2.3329999999999997E-2</v>
      </c>
      <c r="E76">
        <f>IF(COUNT(Resultados!E76,Resultados!N76,Resultados!W76,Resultados!AF76,Resultados!AO76,Resultados!AX76,Resultados!BG76,Resultados!BP76,Resultados!BY76,Resultados!CH76)=0, "", AVERAGE(ABS(Resultados!E76),ABS(Resultados!N76),ABS(Resultados!W76),ABS(Resultados!AF76),ABS(Resultados!AO76),ABS(Resultados!AX76),ABS(Resultados!BG76),ABS(Resultados!BP76),ABS(Resultados!BY76),ABS(Resultados!CH76)))</f>
        <v>7.3794726861408151</v>
      </c>
      <c r="F76">
        <f>IF(COUNT(Resultados!F76,Resultados!O76,Resultados!X76,Resultados!AG76,Resultados!AP76,Resultados!AY76,Resultados!BH76,Resultados!BQ76,Resultados!BZ76,Resultados!CI76)=0, "", AVERAGE(ABS(Resultados!F76),ABS(Resultados!O76),ABS(Resultados!X76),ABS(Resultados!AG76),ABS(Resultados!AP76),ABS(Resultados!AY76),ABS(Resultados!BH76),ABS(Resultados!BQ76),ABS(Resultados!BZ76),ABS(Resultados!CI76)))</f>
        <v>735.76685434832393</v>
      </c>
      <c r="G76">
        <f>IF(COUNT(Resultados!G76,Resultados!P76,Resultados!Y76,Resultados!AH76,Resultados!AQ76,Resultados!AZ76,Resultados!BI76,Resultados!BR76,Resultados!CA76,Resultados!CJ76)=0, "", AVERAGE(ABS(Resultados!G76),ABS(Resultados!P76),ABS(Resultados!Y76),ABS(Resultados!AH76),ABS(Resultados!AQ76),ABS(Resultados!AZ76),ABS(Resultados!BI76),ABS(Resultados!BR76),ABS(Resultados!CA76),ABS(Resultados!CJ76)))</f>
        <v>0.42400000000000004</v>
      </c>
      <c r="H76">
        <f>IF(COUNT(Resultados!H76,Resultados!Q76,Resultados!Z76,Resultados!AI76,Resultados!AR76,Resultados!BA76,Resultados!BJ76,Resultados!BS76,Resultados!CB76,Resultados!CK76)=0, "", AVERAGE(ABS(Resultados!H76),ABS(Resultados!Q76),ABS(Resultados!Z76),ABS(Resultados!AI76),ABS(Resultados!AR76),ABS(Resultados!BA76),ABS(Resultados!BJ76),ABS(Resultados!BS76),ABS(Resultados!CB76),ABS(Resultados!CK76)))</f>
        <v>2.1510000000000001E-2</v>
      </c>
      <c r="I76">
        <f>IF(COUNT(Resultados!I76,Resultados!R76,Resultados!AA76,Resultados!AJ76,Resultados!AS76,Resultados!BB76,Resultados!BK76,Resultados!BT76,Resultados!CC76,Resultados!CL76)=0, "", AVERAGE(ABS(Resultados!I76),ABS(Resultados!R76),ABS(Resultados!AA76),ABS(Resultados!AJ76),ABS(Resultados!AS76),ABS(Resultados!BB76),ABS(Resultados!BK76),ABS(Resultados!BT76),ABS(Resultados!CC76),ABS(Resultados!CL76)))</f>
        <v>14.841329999999996</v>
      </c>
    </row>
    <row r="77" spans="1:9" x14ac:dyDescent="0.3">
      <c r="A77">
        <f>IF(COUNT(Resultados!A77,Resultados!J77,Resultados!S77,Resultados!AB77,Resultados!AK77,Resultados!AT77,Resultados!BC77,Resultados!BL77,Resultados!BU77,Resultados!CD77)=0, "", AVERAGE(ABS(Resultados!A77),ABS(Resultados!J77),ABS(Resultados!S77),ABS(Resultados!AB77),ABS(Resultados!AK77),ABS(Resultados!AT77),ABS(Resultados!BC77),ABS(Resultados!BL77),ABS(Resultados!BU77),ABS(Resultados!CD77)))</f>
        <v>45681</v>
      </c>
      <c r="B77" t="str">
        <f>IF(COUNT(Resultados!B77,Resultados!K77,Resultados!T77,Resultados!AC77,Resultados!AL77,Resultados!AU77,Resultados!BD77,Resultados!BM77,Resultados!BV77,Resultados!CE77)=0, "", AVERAGE(ABS(Resultados!B77),ABS(Resultados!K77),ABS(Resultados!T77),ABS(Resultados!AC77),ABS(Resultados!AL77),ABS(Resultados!AU77),ABS(Resultados!BD77),ABS(Resultados!BM77),ABS(Resultados!BV77),ABS(Resultados!CE77)))</f>
        <v/>
      </c>
      <c r="C77">
        <f>IF(COUNT(Resultados!C77,Resultados!L77,Resultados!U77,Resultados!AD77,Resultados!AM77,Resultados!AV77,Resultados!BE77,Resultados!BN77,Resultados!BW77,Resultados!CF77)=0, "", AVERAGE(ABS(Resultados!C77),ABS(Resultados!L77),ABS(Resultados!U77),ABS(Resultados!AD77),ABS(Resultados!AM77),ABS(Resultados!AV77),ABS(Resultados!BE77),ABS(Resultados!BN77),ABS(Resultados!BW77),ABS(Resultados!CF77)))</f>
        <v>4.3</v>
      </c>
      <c r="D77">
        <f>IF(COUNT(Resultados!D77,Resultados!M77,Resultados!V77,Resultados!AE77,Resultados!AN77,Resultados!AW77,Resultados!BF77,Resultados!BO77,Resultados!BX77,Resultados!CG77)=0, "", AVERAGE(ABS(Resultados!D77),ABS(Resultados!M77),ABS(Resultados!V77),ABS(Resultados!AE77),ABS(Resultados!AN77),ABS(Resultados!AW77),ABS(Resultados!BF77),ABS(Resultados!BO77),ABS(Resultados!BX77),ABS(Resultados!CG77)))</f>
        <v>2.2030000000000001E-2</v>
      </c>
      <c r="E77">
        <f>IF(COUNT(Resultados!E77,Resultados!N77,Resultados!W77,Resultados!AF77,Resultados!AO77,Resultados!AX77,Resultados!BG77,Resultados!BP77,Resultados!BY77,Resultados!CH77)=0, "", AVERAGE(ABS(Resultados!E77),ABS(Resultados!N77),ABS(Resultados!W77),ABS(Resultados!AF77),ABS(Resultados!AO77),ABS(Resultados!AX77),ABS(Resultados!BG77),ABS(Resultados!BP77),ABS(Resultados!BY77),ABS(Resultados!CH77)))</f>
        <v>7.3018656251449938</v>
      </c>
      <c r="F77">
        <f>IF(COUNT(Resultados!F77,Resultados!O77,Resultados!X77,Resultados!AG77,Resultados!AP77,Resultados!AY77,Resultados!BH77,Resultados!BQ77,Resultados!BZ77,Resultados!CI77)=0, "", AVERAGE(ABS(Resultados!F77),ABS(Resultados!O77),ABS(Resultados!X77),ABS(Resultados!AG77),ABS(Resultados!AP77),ABS(Resultados!AY77),ABS(Resultados!BH77),ABS(Resultados!BQ77),ABS(Resultados!BZ77),ABS(Resultados!CI77)))</f>
        <v>728.53387626351343</v>
      </c>
      <c r="G77">
        <f>IF(COUNT(Resultados!G77,Resultados!P77,Resultados!Y77,Resultados!AH77,Resultados!AQ77,Resultados!AZ77,Resultados!BI77,Resultados!BR77,Resultados!CA77,Resultados!CJ77)=0, "", AVERAGE(ABS(Resultados!G77),ABS(Resultados!P77),ABS(Resultados!Y77),ABS(Resultados!AH77),ABS(Resultados!AQ77),ABS(Resultados!AZ77),ABS(Resultados!BI77),ABS(Resultados!BR77),ABS(Resultados!CA77),ABS(Resultados!CJ77)))</f>
        <v>0.42400000000000004</v>
      </c>
      <c r="H77">
        <f>IF(COUNT(Resultados!H77,Resultados!Q77,Resultados!Z77,Resultados!AI77,Resultados!AR77,Resultados!BA77,Resultados!BJ77,Resultados!BS77,Resultados!CB77,Resultados!CK77)=0, "", AVERAGE(ABS(Resultados!H77),ABS(Resultados!Q77),ABS(Resultados!Z77),ABS(Resultados!AI77),ABS(Resultados!AR77),ABS(Resultados!BA77),ABS(Resultados!BJ77),ABS(Resultados!BS77),ABS(Resultados!CB77),ABS(Resultados!CK77)))</f>
        <v>2.0290000000000002E-2</v>
      </c>
      <c r="I77">
        <f>IF(COUNT(Resultados!I77,Resultados!R77,Resultados!AA77,Resultados!AJ77,Resultados!AS77,Resultados!BB77,Resultados!BK77,Resultados!BT77,Resultados!CC77,Resultados!CL77)=0, "", AVERAGE(ABS(Resultados!I77),ABS(Resultados!R77),ABS(Resultados!AA77),ABS(Resultados!AJ77),ABS(Resultados!AS77),ABS(Resultados!BB77),ABS(Resultados!BK77),ABS(Resultados!BT77),ABS(Resultados!CC77),ABS(Resultados!CL77)))</f>
        <v>15.040899999999985</v>
      </c>
    </row>
    <row r="78" spans="1:9" x14ac:dyDescent="0.3">
      <c r="A78">
        <f>IF(COUNT(Resultados!A78,Resultados!J78,Resultados!S78,Resultados!AB78,Resultados!AK78,Resultados!AT78,Resultados!BC78,Resultados!BL78,Resultados!BU78,Resultados!CD78)=0, "", AVERAGE(ABS(Resultados!A78),ABS(Resultados!J78),ABS(Resultados!S78),ABS(Resultados!AB78),ABS(Resultados!AK78),ABS(Resultados!AT78),ABS(Resultados!BC78),ABS(Resultados!BL78),ABS(Resultados!BU78),ABS(Resultados!CD78)))</f>
        <v>45681</v>
      </c>
      <c r="B78" t="str">
        <f>IF(COUNT(Resultados!B78,Resultados!K78,Resultados!T78,Resultados!AC78,Resultados!AL78,Resultados!AU78,Resultados!BD78,Resultados!BM78,Resultados!BV78,Resultados!CE78)=0, "", AVERAGE(ABS(Resultados!B78),ABS(Resultados!K78),ABS(Resultados!T78),ABS(Resultados!AC78),ABS(Resultados!AL78),ABS(Resultados!AU78),ABS(Resultados!BD78),ABS(Resultados!BM78),ABS(Resultados!BV78),ABS(Resultados!CE78)))</f>
        <v/>
      </c>
      <c r="C78">
        <f>IF(COUNT(Resultados!C78,Resultados!L78,Resultados!U78,Resultados!AD78,Resultados!AM78,Resultados!AV78,Resultados!BE78,Resultados!BN78,Resultados!BW78,Resultados!CF78)=0, "", AVERAGE(ABS(Resultados!C78),ABS(Resultados!L78),ABS(Resultados!U78),ABS(Resultados!AD78),ABS(Resultados!AM78),ABS(Resultados!AV78),ABS(Resultados!BE78),ABS(Resultados!BN78),ABS(Resultados!BW78),ABS(Resultados!CF78)))</f>
        <v>4.3</v>
      </c>
      <c r="D78">
        <f>IF(COUNT(Resultados!D78,Resultados!M78,Resultados!V78,Resultados!AE78,Resultados!AN78,Resultados!AW78,Resultados!BF78,Resultados!BO78,Resultados!BX78,Resultados!CG78)=0, "", AVERAGE(ABS(Resultados!D78),ABS(Resultados!M78),ABS(Resultados!V78),ABS(Resultados!AE78),ABS(Resultados!AN78),ABS(Resultados!AW78),ABS(Resultados!BF78),ABS(Resultados!BO78),ABS(Resultados!BX78),ABS(Resultados!CG78)))</f>
        <v>2.0670000000000001E-2</v>
      </c>
      <c r="E78">
        <f>IF(COUNT(Resultados!E78,Resultados!N78,Resultados!W78,Resultados!AF78,Resultados!AO78,Resultados!AX78,Resultados!BG78,Resultados!BP78,Resultados!BY78,Resultados!CH78)=0, "", AVERAGE(ABS(Resultados!E78),ABS(Resultados!N78),ABS(Resultados!W78),ABS(Resultados!AF78),ABS(Resultados!AO78),ABS(Resultados!AX78),ABS(Resultados!BG78),ABS(Resultados!BP78),ABS(Resultados!BY78),ABS(Resultados!CH78)))</f>
        <v>7.2237340877340959</v>
      </c>
      <c r="F78">
        <f>IF(COUNT(Resultados!F78,Resultados!O78,Resultados!X78,Resultados!AG78,Resultados!AP78,Resultados!AY78,Resultados!BH78,Resultados!BQ78,Resultados!BZ78,Resultados!CI78)=0, "", AVERAGE(ABS(Resultados!F78),ABS(Resultados!O78),ABS(Resultados!X78),ABS(Resultados!AG78),ABS(Resultados!AP78),ABS(Resultados!AY78),ABS(Resultados!BH78),ABS(Resultados!BQ78),ABS(Resultados!BZ78),ABS(Resultados!CI78)))</f>
        <v>721.2520169768178</v>
      </c>
      <c r="G78">
        <f>IF(COUNT(Resultados!G78,Resultados!P78,Resultados!Y78,Resultados!AH78,Resultados!AQ78,Resultados!AZ78,Resultados!BI78,Resultados!BR78,Resultados!CA78,Resultados!CJ78)=0, "", AVERAGE(ABS(Resultados!G78),ABS(Resultados!P78),ABS(Resultados!Y78),ABS(Resultados!AH78),ABS(Resultados!AQ78),ABS(Resultados!AZ78),ABS(Resultados!BI78),ABS(Resultados!BR78),ABS(Resultados!CA78),ABS(Resultados!CJ78)))</f>
        <v>0.42400000000000004</v>
      </c>
      <c r="H78">
        <f>IF(COUNT(Resultados!H78,Resultados!Q78,Resultados!Z78,Resultados!AI78,Resultados!AR78,Resultados!BA78,Resultados!BJ78,Resultados!BS78,Resultados!CB78,Resultados!CK78)=0, "", AVERAGE(ABS(Resultados!H78),ABS(Resultados!Q78),ABS(Resultados!Z78),ABS(Resultados!AI78),ABS(Resultados!AR78),ABS(Resultados!BA78),ABS(Resultados!BJ78),ABS(Resultados!BS78),ABS(Resultados!CB78),ABS(Resultados!CK78)))</f>
        <v>1.9089999999999999E-2</v>
      </c>
      <c r="I78">
        <f>IF(COUNT(Resultados!I78,Resultados!R78,Resultados!AA78,Resultados!AJ78,Resultados!AS78,Resultados!BB78,Resultados!BK78,Resultados!BT78,Resultados!CC78,Resultados!CL78)=0, "", AVERAGE(ABS(Resultados!I78),ABS(Resultados!R78),ABS(Resultados!AA78),ABS(Resultados!AJ78),ABS(Resultados!AS78),ABS(Resultados!BB78),ABS(Resultados!BK78),ABS(Resultados!BT78),ABS(Resultados!CC78),ABS(Resultados!CL78)))</f>
        <v>15.241439999999992</v>
      </c>
    </row>
    <row r="79" spans="1:9" x14ac:dyDescent="0.3">
      <c r="A79">
        <f>IF(COUNT(Resultados!A79,Resultados!J79,Resultados!S79,Resultados!AB79,Resultados!AK79,Resultados!AT79,Resultados!BC79,Resultados!BL79,Resultados!BU79,Resultados!CD79)=0, "", AVERAGE(ABS(Resultados!A79),ABS(Resultados!J79),ABS(Resultados!S79),ABS(Resultados!AB79),ABS(Resultados!AK79),ABS(Resultados!AT79),ABS(Resultados!BC79),ABS(Resultados!BL79),ABS(Resultados!BU79),ABS(Resultados!CD79)))</f>
        <v>45681</v>
      </c>
      <c r="B79" t="str">
        <f>IF(COUNT(Resultados!B79,Resultados!K79,Resultados!T79,Resultados!AC79,Resultados!AL79,Resultados!AU79,Resultados!BD79,Resultados!BM79,Resultados!BV79,Resultados!CE79)=0, "", AVERAGE(ABS(Resultados!B79),ABS(Resultados!K79),ABS(Resultados!T79),ABS(Resultados!AC79),ABS(Resultados!AL79),ABS(Resultados!AU79),ABS(Resultados!BD79),ABS(Resultados!BM79),ABS(Resultados!BV79),ABS(Resultados!CE79)))</f>
        <v/>
      </c>
      <c r="C79">
        <f>IF(COUNT(Resultados!C79,Resultados!L79,Resultados!U79,Resultados!AD79,Resultados!AM79,Resultados!AV79,Resultados!BE79,Resultados!BN79,Resultados!BW79,Resultados!CF79)=0, "", AVERAGE(ABS(Resultados!C79),ABS(Resultados!L79),ABS(Resultados!U79),ABS(Resultados!AD79),ABS(Resultados!AM79),ABS(Resultados!AV79),ABS(Resultados!BE79),ABS(Resultados!BN79),ABS(Resultados!BW79),ABS(Resultados!CF79)))</f>
        <v>4.3</v>
      </c>
      <c r="D79">
        <f>IF(COUNT(Resultados!D79,Resultados!M79,Resultados!V79,Resultados!AE79,Resultados!AN79,Resultados!AW79,Resultados!BF79,Resultados!BO79,Resultados!BX79,Resultados!CG79)=0, "", AVERAGE(ABS(Resultados!D79),ABS(Resultados!M79),ABS(Resultados!V79),ABS(Resultados!AE79),ABS(Resultados!AN79),ABS(Resultados!AW79),ABS(Resultados!BF79),ABS(Resultados!BO79),ABS(Resultados!BX79),ABS(Resultados!CG79)))</f>
        <v>1.9520000000000003E-2</v>
      </c>
      <c r="E79">
        <f>IF(COUNT(Resultados!E79,Resultados!N79,Resultados!W79,Resultados!AF79,Resultados!AO79,Resultados!AX79,Resultados!BG79,Resultados!BP79,Resultados!BY79,Resultados!CH79)=0, "", AVERAGE(ABS(Resultados!E79),ABS(Resultados!N79),ABS(Resultados!W79),ABS(Resultados!AF79),ABS(Resultados!AO79),ABS(Resultados!AX79),ABS(Resultados!BG79),ABS(Resultados!BP79),ABS(Resultados!BY79),ABS(Resultados!CH79)))</f>
        <v>7.146301095331232</v>
      </c>
      <c r="F79">
        <f>IF(COUNT(Resultados!F79,Resultados!O79,Resultados!X79,Resultados!AG79,Resultados!AP79,Resultados!AY79,Resultados!BH79,Resultados!BQ79,Resultados!BZ79,Resultados!CI79)=0, "", AVERAGE(ABS(Resultados!F79),ABS(Resultados!O79),ABS(Resultados!X79),ABS(Resultados!AG79),ABS(Resultados!AP79),ABS(Resultados!AY79),ABS(Resultados!BH79),ABS(Resultados!BQ79),ABS(Resultados!BZ79),ABS(Resultados!CI79)))</f>
        <v>714.03526208487096</v>
      </c>
      <c r="G79">
        <f>IF(COUNT(Resultados!G79,Resultados!P79,Resultados!Y79,Resultados!AH79,Resultados!AQ79,Resultados!AZ79,Resultados!BI79,Resultados!BR79,Resultados!CA79,Resultados!CJ79)=0, "", AVERAGE(ABS(Resultados!G79),ABS(Resultados!P79),ABS(Resultados!Y79),ABS(Resultados!AH79),ABS(Resultados!AQ79),ABS(Resultados!AZ79),ABS(Resultados!BI79),ABS(Resultados!BR79),ABS(Resultados!CA79),ABS(Resultados!CJ79)))</f>
        <v>0.42400000000000004</v>
      </c>
      <c r="H79">
        <f>IF(COUNT(Resultados!H79,Resultados!Q79,Resultados!Z79,Resultados!AI79,Resultados!AR79,Resultados!BA79,Resultados!BJ79,Resultados!BS79,Resultados!CB79,Resultados!CK79)=0, "", AVERAGE(ABS(Resultados!H79),ABS(Resultados!Q79),ABS(Resultados!Z79),ABS(Resultados!AI79),ABS(Resultados!AR79),ABS(Resultados!BA79),ABS(Resultados!BJ79),ABS(Resultados!BS79),ABS(Resultados!CB79),ABS(Resultados!CK79)))</f>
        <v>1.787E-2</v>
      </c>
      <c r="I79">
        <f>IF(COUNT(Resultados!I79,Resultados!R79,Resultados!AA79,Resultados!AJ79,Resultados!AS79,Resultados!BB79,Resultados!BK79,Resultados!BT79,Resultados!CC79,Resultados!CL79)=0, "", AVERAGE(ABS(Resultados!I79),ABS(Resultados!R79),ABS(Resultados!AA79),ABS(Resultados!AJ79),ABS(Resultados!AS79),ABS(Resultados!BB79),ABS(Resultados!BK79),ABS(Resultados!BT79),ABS(Resultados!CC79),ABS(Resultados!CL79)))</f>
        <v>15.440890000000001</v>
      </c>
    </row>
    <row r="80" spans="1:9" x14ac:dyDescent="0.3">
      <c r="A80">
        <f>IF(COUNT(Resultados!A80,Resultados!J80,Resultados!S80,Resultados!AB80,Resultados!AK80,Resultados!AT80,Resultados!BC80,Resultados!BU80,Resultados!CD80)=0, "", AVERAGE(ABS(Resultados!A80),ABS(Resultados!J80),ABS(Resultados!S80),ABS(Resultados!AB80),ABS(Resultados!AK80),ABS(Resultados!AT80),ABS(Resultados!BC80),ABS(Resultados!BU80),ABS(Resultados!CD80)))</f>
        <v>45681</v>
      </c>
      <c r="B80" t="str">
        <f>IF(COUNT(Resultados!B80,Resultados!K80,Resultados!T80,Resultados!AC80,Resultados!AL80,Resultados!AU80,Resultados!BD80,Resultados!BV80,Resultados!CE80)=0, "", AVERAGE(ABS(Resultados!B80),ABS(Resultados!K80),ABS(Resultados!T80),ABS(Resultados!AC80),ABS(Resultados!AL80),ABS(Resultados!AU80),ABS(Resultados!BD80),ABS(Resultados!BV80),ABS(Resultados!CE80)))</f>
        <v/>
      </c>
      <c r="C80">
        <f>IF(COUNT(Resultados!C80,Resultados!L80,Resultados!U80,Resultados!AD80,Resultados!AM80,Resultados!AV80,Resultados!BE80,Resultados!BW80,Resultados!CF80)=0, "", AVERAGE(ABS(Resultados!C80),ABS(Resultados!L80),ABS(Resultados!U80),ABS(Resultados!AD80),ABS(Resultados!AM80),ABS(Resultados!AV80),ABS(Resultados!BE80),ABS(Resultados!BW80),ABS(Resultados!CF80)))</f>
        <v>4.1111111111111107</v>
      </c>
      <c r="D80">
        <f>IF(COUNT(Resultados!D80,Resultados!M80,Resultados!V80,Resultados!AE80,Resultados!AN80,Resultados!AW80,Resultados!BF80,Resultados!BX80,Resultados!CG80)=0, "", AVERAGE(ABS(Resultados!D80),ABS(Resultados!M80),ABS(Resultados!V80),ABS(Resultados!AE80),ABS(Resultados!AN80),ABS(Resultados!AW80),ABS(Resultados!BF80),ABS(Resultados!BX80),ABS(Resultados!CG80)))</f>
        <v>1.8177777777777779E-2</v>
      </c>
      <c r="E80">
        <f>IF(COUNT(Resultados!E80,Resultados!N80,Resultados!W80,Resultados!AF80,Resultados!AO80,Resultados!AX80,Resultados!BG80,Resultados!BY80,Resultados!CH80)=0, "", AVERAGE(ABS(Resultados!E80),ABS(Resultados!N80),ABS(Resultados!W80),ABS(Resultados!AF80),ABS(Resultados!AO80),ABS(Resultados!AX80),ABS(Resultados!BG80),ABS(Resultados!BY80),ABS(Resultados!CH80)))</f>
        <v>7.076232163574125</v>
      </c>
      <c r="F80">
        <f>IF(COUNT(Resultados!F80,Resultados!O80,Resultados!X80,Resultados!AG80,Resultados!AP80,Resultados!AY80,Resultados!BH80,Resultados!BZ80,Resultados!CI80)=0, "", AVERAGE(ABS(Resultados!F80),ABS(Resultados!O80),ABS(Resultados!X80),ABS(Resultados!AG80),ABS(Resultados!AP80),ABS(Resultados!AY80),ABS(Resultados!BH80),ABS(Resultados!BZ80),ABS(Resultados!CI80)))</f>
        <v>707.50483764510852</v>
      </c>
      <c r="G80">
        <f>IF(COUNT(Resultados!G80,Resultados!P80,Resultados!Y80,Resultados!AH80,Resultados!AQ80,Resultados!AZ80,Resultados!BI80,Resultados!CA80,Resultados!CJ80)=0, "", AVERAGE(ABS(Resultados!G80),ABS(Resultados!P80),ABS(Resultados!Y80),ABS(Resultados!AH80),ABS(Resultados!AQ80),ABS(Resultados!AZ80),ABS(Resultados!BI80),ABS(Resultados!CA80),ABS(Resultados!CJ80)))</f>
        <v>0.42399999999999999</v>
      </c>
      <c r="H80">
        <f>IF(COUNT(Resultados!H80,Resultados!Q80,Resultados!Z80,Resultados!AI80,Resultados!AR80,Resultados!BA80,Resultados!BJ80,Resultados!CB80,Resultados!CK80)=0, "", AVERAGE(ABS(Resultados!H80),ABS(Resultados!Q80),ABS(Resultados!Z80),ABS(Resultados!AI80),ABS(Resultados!AR80),ABS(Resultados!BA80),ABS(Resultados!BJ80),ABS(Resultados!CB80),ABS(Resultados!CK80)))</f>
        <v>1.6799999999999999E-2</v>
      </c>
      <c r="I80">
        <f>IF(COUNT(Resultados!I80,Resultados!R80,Resultados!AA80,Resultados!AJ80,Resultados!AS80,Resultados!BB80,Resultados!BK80,Resultados!CC80,Resultados!CL80)=0, "", AVERAGE(ABS(Resultados!I80),ABS(Resultados!R80),ABS(Resultados!AA80),ABS(Resultados!AJ80),ABS(Resultados!AS80),ABS(Resultados!BB80),ABS(Resultados!BK80),ABS(Resultados!CC80),ABS(Resultados!CL80)))</f>
        <v>15.645922222222216</v>
      </c>
    </row>
    <row r="81" spans="1:9" x14ac:dyDescent="0.3">
      <c r="A81">
        <f>IF(COUNT(Resultados!A81,Resultados!J81,Resultados!S81,Resultados!AB81,Resultados!AK81,Resultados!AT81,Resultados!BC81,Resultados!BU81,Resultados!CD81)=0, "", AVERAGE(ABS(Resultados!A81),ABS(Resultados!J81),ABS(Resultados!S81),ABS(Resultados!AB81),ABS(Resultados!AK81),ABS(Resultados!AT81),ABS(Resultados!BC81),ABS(Resultados!BU81),ABS(Resultados!CD81)))</f>
        <v>45681</v>
      </c>
      <c r="B81" t="str">
        <f>IF(COUNT(Resultados!B81,Resultados!K81,Resultados!T81,Resultados!AC81,Resultados!AL81,Resultados!AU81,Resultados!BD81,Resultados!BV81,Resultados!CE81)=0, "", AVERAGE(ABS(Resultados!B81),ABS(Resultados!K81),ABS(Resultados!T81),ABS(Resultados!AC81),ABS(Resultados!AL81),ABS(Resultados!AU81),ABS(Resultados!BD81),ABS(Resultados!BV81),ABS(Resultados!CE81)))</f>
        <v/>
      </c>
      <c r="C81">
        <f>IF(COUNT(Resultados!C81,Resultados!L81,Resultados!U81,Resultados!AD81,Resultados!AM81,Resultados!AV81,Resultados!BE81,Resultados!BW81,Resultados!CF81)=0, "", AVERAGE(ABS(Resultados!C81),ABS(Resultados!L81),ABS(Resultados!U81),ABS(Resultados!AD81),ABS(Resultados!AM81),ABS(Resultados!AV81),ABS(Resultados!BE81),ABS(Resultados!BW81),ABS(Resultados!CF81)))</f>
        <v>4.1111111111111107</v>
      </c>
      <c r="D81">
        <f>IF(COUNT(Resultados!D81,Resultados!M81,Resultados!V81,Resultados!AE81,Resultados!AN81,Resultados!AW81,Resultados!BF81,Resultados!BX81,Resultados!CG81)=0, "", AVERAGE(ABS(Resultados!D81),ABS(Resultados!M81),ABS(Resultados!V81),ABS(Resultados!AE81),ABS(Resultados!AN81),ABS(Resultados!AW81),ABS(Resultados!BF81),ABS(Resultados!BX81),ABS(Resultados!CG81)))</f>
        <v>1.6833333333333336E-2</v>
      </c>
      <c r="E81">
        <f>IF(COUNT(Resultados!E81,Resultados!N81,Resultados!W81,Resultados!AF81,Resultados!AO81,Resultados!AX81,Resultados!BG81,Resultados!BY81,Resultados!CH81)=0, "", AVERAGE(ABS(Resultados!E81),ABS(Resultados!N81),ABS(Resultados!W81),ABS(Resultados!AF81),ABS(Resultados!AO81),ABS(Resultados!AX81),ABS(Resultados!BG81),ABS(Resultados!BY81),ABS(Resultados!CH81)))</f>
        <v>7.0004090882787597</v>
      </c>
      <c r="F81">
        <f>IF(COUNT(Resultados!F81,Resultados!O81,Resultados!X81,Resultados!AG81,Resultados!AP81,Resultados!AY81,Resultados!BH81,Resultados!BZ81,Resultados!CI81)=0, "", AVERAGE(ABS(Resultados!F81),ABS(Resultados!O81),ABS(Resultados!X81),ABS(Resultados!AG81),ABS(Resultados!AP81),ABS(Resultados!AY81),ABS(Resultados!BH81),ABS(Resultados!BZ81),ABS(Resultados!CI81)))</f>
        <v>700.43812702758032</v>
      </c>
      <c r="G81">
        <f>IF(COUNT(Resultados!G81,Resultados!P81,Resultados!Y81,Resultados!AH81,Resultados!AQ81,Resultados!AZ81,Resultados!BI81,Resultados!CA81,Resultados!CJ81)=0, "", AVERAGE(ABS(Resultados!G81),ABS(Resultados!P81),ABS(Resultados!Y81),ABS(Resultados!AH81),ABS(Resultados!AQ81),ABS(Resultados!AZ81),ABS(Resultados!BI81),ABS(Resultados!CA81),ABS(Resultados!CJ81)))</f>
        <v>0.42399999999999999</v>
      </c>
      <c r="H81">
        <f>IF(COUNT(Resultados!H81,Resultados!Q81,Resultados!Z81,Resultados!AI81,Resultados!AR81,Resultados!BA81,Resultados!BJ81,Resultados!CB81,Resultados!CK81)=0, "", AVERAGE(ABS(Resultados!H81),ABS(Resultados!Q81),ABS(Resultados!Z81),ABS(Resultados!AI81),ABS(Resultados!AR81),ABS(Resultados!BA81),ABS(Resultados!BJ81),ABS(Resultados!CB81),ABS(Resultados!CK81)))</f>
        <v>1.561111111111111E-2</v>
      </c>
      <c r="I81">
        <f>IF(COUNT(Resultados!I81,Resultados!R81,Resultados!AA81,Resultados!AJ81,Resultados!AS81,Resultados!BB81,Resultados!BK81,Resultados!CC81,Resultados!CL81)=0, "", AVERAGE(ABS(Resultados!I81),ABS(Resultados!R81),ABS(Resultados!AA81),ABS(Resultados!AJ81),ABS(Resultados!AS81),ABS(Resultados!BB81),ABS(Resultados!BK81),ABS(Resultados!CC81),ABS(Resultados!CL81)))</f>
        <v>15.846200000000003</v>
      </c>
    </row>
    <row r="82" spans="1:9" x14ac:dyDescent="0.3">
      <c r="A82">
        <f>IF(COUNT(Resultados!A82,Resultados!J82,Resultados!S82,Resultados!AB82,Resultados!AK82,Resultados!AT82,Resultados!BC82,Resultados!BU82,Resultados!CD82)=0, "", AVERAGE(ABS(Resultados!A82),ABS(Resultados!J82),ABS(Resultados!S82),ABS(Resultados!AB82),ABS(Resultados!AK82),ABS(Resultados!AT82),ABS(Resultados!BC82),ABS(Resultados!BU82),ABS(Resultados!CD82)))</f>
        <v>45681</v>
      </c>
      <c r="B82" t="str">
        <f>IF(COUNT(Resultados!B82,Resultados!K82,Resultados!T82,Resultados!AC82,Resultados!AL82,Resultados!AU82,Resultados!BD82,Resultados!BV82,Resultados!CE82)=0, "", AVERAGE(ABS(Resultados!B82),ABS(Resultados!K82),ABS(Resultados!T82),ABS(Resultados!AC82),ABS(Resultados!AL82),ABS(Resultados!AU82),ABS(Resultados!BD82),ABS(Resultados!BV82),ABS(Resultados!CE82)))</f>
        <v/>
      </c>
      <c r="C82">
        <f>IF(COUNT(Resultados!C82,Resultados!L82,Resultados!U82,Resultados!AD82,Resultados!AM82,Resultados!AV82,Resultados!BE82,Resultados!BW82,Resultados!CF82)=0, "", AVERAGE(ABS(Resultados!C82),ABS(Resultados!L82),ABS(Resultados!U82),ABS(Resultados!AD82),ABS(Resultados!AM82),ABS(Resultados!AV82),ABS(Resultados!BE82),ABS(Resultados!BW82),ABS(Resultados!CF82)))</f>
        <v>4.1111111111111107</v>
      </c>
      <c r="D82">
        <f>IF(COUNT(Resultados!D82,Resultados!M82,Resultados!V82,Resultados!AE82,Resultados!AN82,Resultados!AW82,Resultados!BF82,Resultados!BX82,Resultados!CG82)=0, "", AVERAGE(ABS(Resultados!D82),ABS(Resultados!M82),ABS(Resultados!V82),ABS(Resultados!AE82),ABS(Resultados!AN82),ABS(Resultados!AW82),ABS(Resultados!BF82),ABS(Resultados!BX82),ABS(Resultados!CG82)))</f>
        <v>1.5577777777777777E-2</v>
      </c>
      <c r="E82">
        <f>IF(COUNT(Resultados!E82,Resultados!N82,Resultados!W82,Resultados!AF82,Resultados!AO82,Resultados!AX82,Resultados!BG82,Resultados!BY82,Resultados!CH82)=0, "", AVERAGE(ABS(Resultados!E82),ABS(Resultados!N82),ABS(Resultados!W82),ABS(Resultados!AF82),ABS(Resultados!AO82),ABS(Resultados!AX82),ABS(Resultados!BG82),ABS(Resultados!BY82),ABS(Resultados!CH82)))</f>
        <v>6.92600349367296</v>
      </c>
      <c r="F82">
        <f>IF(COUNT(Resultados!F82,Resultados!O82,Resultados!X82,Resultados!AG82,Resultados!AP82,Resultados!AY82,Resultados!BH82,Resultados!BZ82,Resultados!CI82)=0, "", AVERAGE(ABS(Resultados!F82),ABS(Resultados!O82),ABS(Resultados!X82),ABS(Resultados!AG82),ABS(Resultados!AP82),ABS(Resultados!AY82),ABS(Resultados!BH82),ABS(Resultados!BZ82),ABS(Resultados!CI82)))</f>
        <v>693.50352561031991</v>
      </c>
      <c r="G82">
        <f>IF(COUNT(Resultados!G82,Resultados!P82,Resultados!Y82,Resultados!AH82,Resultados!AQ82,Resultados!AZ82,Resultados!BI82,Resultados!CA82,Resultados!CJ82)=0, "", AVERAGE(ABS(Resultados!G82),ABS(Resultados!P82),ABS(Resultados!Y82),ABS(Resultados!AH82),ABS(Resultados!AQ82),ABS(Resultados!AZ82),ABS(Resultados!BI82),ABS(Resultados!CA82),ABS(Resultados!CJ82)))</f>
        <v>0.42399999999999999</v>
      </c>
      <c r="H82">
        <f>IF(COUNT(Resultados!H82,Resultados!Q82,Resultados!Z82,Resultados!AI82,Resultados!AR82,Resultados!BA82,Resultados!BJ82,Resultados!CB82,Resultados!CK82)=0, "", AVERAGE(ABS(Resultados!H82),ABS(Resultados!Q82),ABS(Resultados!Z82),ABS(Resultados!AI82),ABS(Resultados!AR82),ABS(Resultados!BA82),ABS(Resultados!BJ82),ABS(Resultados!CB82),ABS(Resultados!CK82)))</f>
        <v>1.4444444444444446E-2</v>
      </c>
      <c r="I82">
        <f>IF(COUNT(Resultados!I82,Resultados!R82,Resultados!AA82,Resultados!AJ82,Resultados!AS82,Resultados!BB82,Resultados!BK82,Resultados!CC82,Resultados!CL82)=0, "", AVERAGE(ABS(Resultados!I82),ABS(Resultados!R82),ABS(Resultados!AA82),ABS(Resultados!AJ82),ABS(Resultados!AS82),ABS(Resultados!BB82),ABS(Resultados!BK82),ABS(Resultados!CC82),ABS(Resultados!CL82)))</f>
        <v>16.045544444444435</v>
      </c>
    </row>
    <row r="83" spans="1:9" x14ac:dyDescent="0.3">
      <c r="A83">
        <f>IF(COUNT(Resultados!A83,Resultados!J83,Resultados!S83,Resultados!AB83,Resultados!AK83,Resultados!AT83,Resultados!BC83,Resultados!BU83,Resultados!CD83)=0, "", AVERAGE(ABS(Resultados!A83),ABS(Resultados!J83),ABS(Resultados!S83),ABS(Resultados!AB83),ABS(Resultados!AK83),ABS(Resultados!AT83),ABS(Resultados!BC83),ABS(Resultados!BU83),ABS(Resultados!CD83)))</f>
        <v>45681</v>
      </c>
      <c r="B83" t="str">
        <f>IF(COUNT(Resultados!B83,Resultados!K83,Resultados!T83,Resultados!AC83,Resultados!AL83,Resultados!AU83,Resultados!BD83,Resultados!BV83,Resultados!CE83)=0, "", AVERAGE(ABS(Resultados!B83),ABS(Resultados!K83),ABS(Resultados!T83),ABS(Resultados!AC83),ABS(Resultados!AL83),ABS(Resultados!AU83),ABS(Resultados!BD83),ABS(Resultados!BV83),ABS(Resultados!CE83)))</f>
        <v/>
      </c>
      <c r="C83">
        <f>IF(COUNT(Resultados!C83,Resultados!L83,Resultados!U83,Resultados!AD83,Resultados!AM83,Resultados!AV83,Resultados!BE83,Resultados!BW83,Resultados!CF83)=0, "", AVERAGE(ABS(Resultados!C83),ABS(Resultados!L83),ABS(Resultados!U83),ABS(Resultados!AD83),ABS(Resultados!AM83),ABS(Resultados!AV83),ABS(Resultados!BE83),ABS(Resultados!BW83),ABS(Resultados!CF83)))</f>
        <v>4.1111111111111107</v>
      </c>
      <c r="D83">
        <f>IF(COUNT(Resultados!D83,Resultados!M83,Resultados!V83,Resultados!AE83,Resultados!AN83,Resultados!AW83,Resultados!BF83,Resultados!BX83,Resultados!CG83)=0, "", AVERAGE(ABS(Resultados!D83),ABS(Resultados!M83),ABS(Resultados!V83),ABS(Resultados!AE83),ABS(Resultados!AN83),ABS(Resultados!AW83),ABS(Resultados!BF83),ABS(Resultados!BX83),ABS(Resultados!CG83)))</f>
        <v>1.4077777777777779E-2</v>
      </c>
      <c r="E83">
        <f>IF(COUNT(Resultados!E83,Resultados!N83,Resultados!W83,Resultados!AF83,Resultados!AO83,Resultados!AX83,Resultados!BG83,Resultados!BY83,Resultados!CH83)=0, "", AVERAGE(ABS(Resultados!E83),ABS(Resultados!N83),ABS(Resultados!W83),ABS(Resultados!AF83),ABS(Resultados!AO83),ABS(Resultados!AX83),ABS(Resultados!BG83),ABS(Resultados!BY83),ABS(Resultados!CH83)))</f>
        <v>6.8528548719077351</v>
      </c>
      <c r="F83">
        <f>IF(COUNT(Resultados!F83,Resultados!O83,Resultados!X83,Resultados!AG83,Resultados!AP83,Resultados!AY83,Resultados!BH83,Resultados!BZ83,Resultados!CI83)=0, "", AVERAGE(ABS(Resultados!F83),ABS(Resultados!O83),ABS(Resultados!X83),ABS(Resultados!AG83),ABS(Resultados!AP83),ABS(Resultados!AY83),ABS(Resultados!BH83),ABS(Resultados!BZ83),ABS(Resultados!CI83)))</f>
        <v>686.68607406180104</v>
      </c>
      <c r="G83">
        <f>IF(COUNT(Resultados!G83,Resultados!P83,Resultados!Y83,Resultados!AH83,Resultados!AQ83,Resultados!AZ83,Resultados!BI83,Resultados!CA83,Resultados!CJ83)=0, "", AVERAGE(ABS(Resultados!G83),ABS(Resultados!P83),ABS(Resultados!Y83),ABS(Resultados!AH83),ABS(Resultados!AQ83),ABS(Resultados!AZ83),ABS(Resultados!BI83),ABS(Resultados!CA83),ABS(Resultados!CJ83)))</f>
        <v>0.42399999999999999</v>
      </c>
      <c r="H83">
        <f>IF(COUNT(Resultados!H83,Resultados!Q83,Resultados!Z83,Resultados!AI83,Resultados!AR83,Resultados!BA83,Resultados!BJ83,Resultados!CB83,Resultados!CK83)=0, "", AVERAGE(ABS(Resultados!H83),ABS(Resultados!Q83),ABS(Resultados!Z83),ABS(Resultados!AI83),ABS(Resultados!AR83),ABS(Resultados!BA83),ABS(Resultados!BJ83),ABS(Resultados!CB83),ABS(Resultados!CK83)))</f>
        <v>1.331111111111111E-2</v>
      </c>
      <c r="I83">
        <f>IF(COUNT(Resultados!I83,Resultados!R83,Resultados!AA83,Resultados!AJ83,Resultados!AS83,Resultados!BB83,Resultados!BK83,Resultados!CC83,Resultados!CL83)=0, "", AVERAGE(ABS(Resultados!I83),ABS(Resultados!R83),ABS(Resultados!AA83),ABS(Resultados!AJ83),ABS(Resultados!AS83),ABS(Resultados!BB83),ABS(Resultados!BK83),ABS(Resultados!CC83),ABS(Resultados!CL83)))</f>
        <v>16.245155555555559</v>
      </c>
    </row>
    <row r="84" spans="1:9" x14ac:dyDescent="0.3">
      <c r="A84">
        <f>IF(COUNT(Resultados!A84,Resultados!J84,Resultados!S84,Resultados!AB84,Resultados!AK84,Resultados!AT84,Resultados!BC84,Resultados!BU84,Resultados!CD84)=0, "", AVERAGE(ABS(Resultados!A84),ABS(Resultados!J84),ABS(Resultados!S84),ABS(Resultados!AB84),ABS(Resultados!AK84),ABS(Resultados!AT84),ABS(Resultados!BC84),ABS(Resultados!BU84),ABS(Resultados!CD84)))</f>
        <v>45681</v>
      </c>
      <c r="B84" t="str">
        <f>IF(COUNT(Resultados!B84,Resultados!K84,Resultados!T84,Resultados!AC84,Resultados!AL84,Resultados!AU84,Resultados!BD84,Resultados!BV84,Resultados!CE84)=0, "", AVERAGE(ABS(Resultados!B84),ABS(Resultados!K84),ABS(Resultados!T84),ABS(Resultados!AC84),ABS(Resultados!AL84),ABS(Resultados!AU84),ABS(Resultados!BD84),ABS(Resultados!BV84),ABS(Resultados!CE84)))</f>
        <v/>
      </c>
      <c r="C84">
        <f>IF(COUNT(Resultados!C84,Resultados!L84,Resultados!U84,Resultados!AD84,Resultados!AM84,Resultados!AV84,Resultados!BE84,Resultados!BW84,Resultados!CF84)=0, "", AVERAGE(ABS(Resultados!C84),ABS(Resultados!L84),ABS(Resultados!U84),ABS(Resultados!AD84),ABS(Resultados!AM84),ABS(Resultados!AV84),ABS(Resultados!BE84),ABS(Resultados!BW84),ABS(Resultados!CF84)))</f>
        <v>4.1111111111111107</v>
      </c>
      <c r="D84">
        <f>IF(COUNT(Resultados!D84,Resultados!M84,Resultados!V84,Resultados!AE84,Resultados!AN84,Resultados!AW84,Resultados!BF84,Resultados!BX84,Resultados!CG84)=0, "", AVERAGE(ABS(Resultados!D84),ABS(Resultados!M84),ABS(Resultados!V84),ABS(Resultados!AE84),ABS(Resultados!AN84),ABS(Resultados!AW84),ABS(Resultados!BF84),ABS(Resultados!BX84),ABS(Resultados!CG84)))</f>
        <v>1.2944444444444444E-2</v>
      </c>
      <c r="E84">
        <f>IF(COUNT(Resultados!E84,Resultados!N84,Resultados!W84,Resultados!AF84,Resultados!AO84,Resultados!AX84,Resultados!BG84,Resultados!BY84,Resultados!CH84)=0, "", AVERAGE(ABS(Resultados!E84),ABS(Resultados!N84),ABS(Resultados!W84),ABS(Resultados!AF84),ABS(Resultados!AO84),ABS(Resultados!AX84),ABS(Resultados!BG84),ABS(Resultados!BY84),ABS(Resultados!CH84)))</f>
        <v>6.7811611422666074</v>
      </c>
      <c r="F84">
        <f>IF(COUNT(Resultados!F84,Resultados!O84,Resultados!X84,Resultados!AG84,Resultados!AP84,Resultados!AY84,Resultados!BH84,Resultados!BZ84,Resultados!CI84)=0, "", AVERAGE(ABS(Resultados!F84),ABS(Resultados!O84),ABS(Resultados!X84),ABS(Resultados!AG84),ABS(Resultados!AP84),ABS(Resultados!AY84),ABS(Resultados!BH84),ABS(Resultados!BZ84),ABS(Resultados!CI84)))</f>
        <v>680.0042184592478</v>
      </c>
      <c r="G84">
        <f>IF(COUNT(Resultados!G84,Resultados!P84,Resultados!Y84,Resultados!AH84,Resultados!AQ84,Resultados!AZ84,Resultados!BI84,Resultados!CA84,Resultados!CJ84)=0, "", AVERAGE(ABS(Resultados!G84),ABS(Resultados!P84),ABS(Resultados!Y84),ABS(Resultados!AH84),ABS(Resultados!AQ84),ABS(Resultados!AZ84),ABS(Resultados!BI84),ABS(Resultados!CA84),ABS(Resultados!CJ84)))</f>
        <v>0.42399999999999999</v>
      </c>
      <c r="H84">
        <f>IF(COUNT(Resultados!H84,Resultados!Q84,Resultados!Z84,Resultados!AI84,Resultados!AR84,Resultados!BA84,Resultados!BJ84,Resultados!CB84,Resultados!CK84)=0, "", AVERAGE(ABS(Resultados!H84),ABS(Resultados!Q84),ABS(Resultados!Z84),ABS(Resultados!AI84),ABS(Resultados!AR84),ABS(Resultados!BA84),ABS(Resultados!BJ84),ABS(Resultados!CB84),ABS(Resultados!CK84)))</f>
        <v>1.2200000000000003E-2</v>
      </c>
      <c r="I84">
        <f>IF(COUNT(Resultados!I84,Resultados!R84,Resultados!AA84,Resultados!AJ84,Resultados!AS84,Resultados!BB84,Resultados!BK84,Resultados!CC84,Resultados!CL84)=0, "", AVERAGE(ABS(Resultados!I84),ABS(Resultados!R84),ABS(Resultados!AA84),ABS(Resultados!AJ84),ABS(Resultados!AS84),ABS(Resultados!BB84),ABS(Resultados!BK84),ABS(Resultados!CC84),ABS(Resultados!CL84)))</f>
        <v>16.445322222222217</v>
      </c>
    </row>
    <row r="85" spans="1:9" x14ac:dyDescent="0.3">
      <c r="A85">
        <f>IF(COUNT(Resultados!A85,Resultados!J85,Resultados!S85,Resultados!AB85,Resultados!AK85,Resultados!AT85,Resultados!BC85,Resultados!BU85,Resultados!CD85)=0, "", AVERAGE(ABS(Resultados!A85),ABS(Resultados!J85),ABS(Resultados!S85),ABS(Resultados!AB85),ABS(Resultados!AK85),ABS(Resultados!AT85),ABS(Resultados!BC85),ABS(Resultados!BU85),ABS(Resultados!CD85)))</f>
        <v>45681</v>
      </c>
      <c r="B85" t="str">
        <f>IF(COUNT(Resultados!B85,Resultados!K85,Resultados!T85,Resultados!AC85,Resultados!AL85,Resultados!AU85,Resultados!BD85,Resultados!BV85,Resultados!CE85)=0, "", AVERAGE(ABS(Resultados!B85),ABS(Resultados!K85),ABS(Resultados!T85),ABS(Resultados!AC85),ABS(Resultados!AL85),ABS(Resultados!AU85),ABS(Resultados!BD85),ABS(Resultados!BV85),ABS(Resultados!CE85)))</f>
        <v/>
      </c>
      <c r="C85">
        <f>IF(COUNT(Resultados!C85,Resultados!L85,Resultados!U85,Resultados!AD85,Resultados!AM85,Resultados!AV85,Resultados!BE85,Resultados!BW85,Resultados!CF85)=0, "", AVERAGE(ABS(Resultados!C85),ABS(Resultados!L85),ABS(Resultados!U85),ABS(Resultados!AD85),ABS(Resultados!AM85),ABS(Resultados!AV85),ABS(Resultados!BE85),ABS(Resultados!BW85),ABS(Resultados!CF85)))</f>
        <v>4.1111111111111107</v>
      </c>
      <c r="D85">
        <f>IF(COUNT(Resultados!D85,Resultados!M85,Resultados!V85,Resultados!AE85,Resultados!AN85,Resultados!AW85,Resultados!BF85,Resultados!BX85,Resultados!CG85)=0, "", AVERAGE(ABS(Resultados!D85),ABS(Resultados!M85),ABS(Resultados!V85),ABS(Resultados!AE85),ABS(Resultados!AN85),ABS(Resultados!AW85),ABS(Resultados!BF85),ABS(Resultados!BX85),ABS(Resultados!CG85)))</f>
        <v>1.158888888888889E-2</v>
      </c>
      <c r="E85">
        <f>IF(COUNT(Resultados!E85,Resultados!N85,Resultados!W85,Resultados!AF85,Resultados!AO85,Resultados!AX85,Resultados!BG85,Resultados!BY85,Resultados!CH85)=0, "", AVERAGE(ABS(Resultados!E85),ABS(Resultados!N85),ABS(Resultados!W85),ABS(Resultados!AF85),ABS(Resultados!AO85),ABS(Resultados!AX85),ABS(Resultados!BG85),ABS(Resultados!BY85),ABS(Resultados!CH85)))</f>
        <v>6.6959864878242428</v>
      </c>
      <c r="F85">
        <f>IF(COUNT(Resultados!F85,Resultados!O85,Resultados!X85,Resultados!AG85,Resultados!AP85,Resultados!AY85,Resultados!BH85,Resultados!BZ85,Resultados!CI85)=0, "", AVERAGE(ABS(Resultados!F85),ABS(Resultados!O85),ABS(Resultados!X85),ABS(Resultados!AG85),ABS(Resultados!AP85),ABS(Resultados!AY85),ABS(Resultados!BH85),ABS(Resultados!BZ85),ABS(Resultados!CI85)))</f>
        <v>672.0659406652195</v>
      </c>
      <c r="G85">
        <f>IF(COUNT(Resultados!G85,Resultados!P85,Resultados!Y85,Resultados!AH85,Resultados!AQ85,Resultados!AZ85,Resultados!BI85,Resultados!CA85,Resultados!CJ85)=0, "", AVERAGE(ABS(Resultados!G85),ABS(Resultados!P85),ABS(Resultados!Y85),ABS(Resultados!AH85),ABS(Resultados!AQ85),ABS(Resultados!AZ85),ABS(Resultados!BI85),ABS(Resultados!CA85),ABS(Resultados!CJ85)))</f>
        <v>0.42399999999999999</v>
      </c>
      <c r="H85">
        <f>IF(COUNT(Resultados!H85,Resultados!Q85,Resultados!Z85,Resultados!AI85,Resultados!AR85,Resultados!BA85,Resultados!BJ85,Resultados!CB85,Resultados!CK85)=0, "", AVERAGE(ABS(Resultados!H85),ABS(Resultados!Q85),ABS(Resultados!Z85),ABS(Resultados!AI85),ABS(Resultados!AR85),ABS(Resultados!BA85),ABS(Resultados!BJ85),ABS(Resultados!CB85),ABS(Resultados!CK85)))</f>
        <v>1.0888888888888889E-2</v>
      </c>
      <c r="I85">
        <f>IF(COUNT(Resultados!I85,Resultados!R85,Resultados!AA85,Resultados!AJ85,Resultados!AS85,Resultados!BB85,Resultados!BK85,Resultados!CC85,Resultados!CL85)=0, "", AVERAGE(ABS(Resultados!I85),ABS(Resultados!R85),ABS(Resultados!AA85),ABS(Resultados!AJ85),ABS(Resultados!AS85),ABS(Resultados!BB85),ABS(Resultados!BK85),ABS(Resultados!CC85),ABS(Resultados!CL85)))</f>
        <v>16.690477777777783</v>
      </c>
    </row>
    <row r="86" spans="1:9" x14ac:dyDescent="0.3">
      <c r="A86">
        <f>IF(COUNT(Resultados!A86,Resultados!J86,Resultados!S86,Resultados!AB86,Resultados!AK86,Resultados!AT86,Resultados!BC86,Resultados!BU86,Resultados!CD86)=0, "", AVERAGE(ABS(Resultados!A86),ABS(Resultados!J86),ABS(Resultados!S86),ABS(Resultados!AB86),ABS(Resultados!AK86),ABS(Resultados!AT86),ABS(Resultados!BC86),ABS(Resultados!BU86),ABS(Resultados!CD86)))</f>
        <v>45681</v>
      </c>
      <c r="B86" t="str">
        <f>IF(COUNT(Resultados!B86,Resultados!K86,Resultados!T86,Resultados!AC86,Resultados!AL86,Resultados!AU86,Resultados!BD86,Resultados!BV86,Resultados!CE86)=0, "", AVERAGE(ABS(Resultados!B86),ABS(Resultados!K86),ABS(Resultados!T86),ABS(Resultados!AC86),ABS(Resultados!AL86),ABS(Resultados!AU86),ABS(Resultados!BD86),ABS(Resultados!BV86),ABS(Resultados!CE86)))</f>
        <v/>
      </c>
      <c r="C86">
        <f>IF(COUNT(Resultados!C86,Resultados!L86,Resultados!U86,Resultados!AD86,Resultados!AM86,Resultados!AV86,Resultados!BE86,Resultados!BW86,Resultados!CF86)=0, "", AVERAGE(ABS(Resultados!C86),ABS(Resultados!L86),ABS(Resultados!U86),ABS(Resultados!AD86),ABS(Resultados!AM86),ABS(Resultados!AV86),ABS(Resultados!BE86),ABS(Resultados!BW86),ABS(Resultados!CF86)))</f>
        <v>4.1111111111111107</v>
      </c>
      <c r="D86">
        <f>IF(COUNT(Resultados!D86,Resultados!M86,Resultados!V86,Resultados!AE86,Resultados!AN86,Resultados!AW86,Resultados!BF86,Resultados!BX86,Resultados!CG86)=0, "", AVERAGE(ABS(Resultados!D86),ABS(Resultados!M86),ABS(Resultados!V86),ABS(Resultados!AE86),ABS(Resultados!AN86),ABS(Resultados!AW86),ABS(Resultados!BF86),ABS(Resultados!BX86),ABS(Resultados!CG86)))</f>
        <v>1.0422222222222222E-2</v>
      </c>
      <c r="E86">
        <f>IF(COUNT(Resultados!E86,Resultados!N86,Resultados!W86,Resultados!AF86,Resultados!AO86,Resultados!AX86,Resultados!BG86,Resultados!BY86,Resultados!CH86)=0, "", AVERAGE(ABS(Resultados!E86),ABS(Resultados!N86),ABS(Resultados!W86),ABS(Resultados!AF86),ABS(Resultados!AO86),ABS(Resultados!AX86),ABS(Resultados!BG86),ABS(Resultados!BY86),ABS(Resultados!CH86)))</f>
        <v>6.5682717705344498</v>
      </c>
      <c r="F86">
        <f>IF(COUNT(Resultados!F86,Resultados!O86,Resultados!X86,Resultados!AG86,Resultados!AP86,Resultados!AY86,Resultados!BH86,Resultados!BZ86,Resultados!CI86)=0, "", AVERAGE(ABS(Resultados!F86),ABS(Resultados!O86),ABS(Resultados!X86),ABS(Resultados!AG86),ABS(Resultados!AP86),ABS(Resultados!AY86),ABS(Resultados!BH86),ABS(Resultados!BZ86),ABS(Resultados!CI86)))</f>
        <v>660.16292901381087</v>
      </c>
      <c r="G86">
        <f>IF(COUNT(Resultados!G86,Resultados!P86,Resultados!Y86,Resultados!AH86,Resultados!AQ86,Resultados!AZ86,Resultados!BI86,Resultados!CA86,Resultados!CJ86)=0, "", AVERAGE(ABS(Resultados!G86),ABS(Resultados!P86),ABS(Resultados!Y86),ABS(Resultados!AH86),ABS(Resultados!AQ86),ABS(Resultados!AZ86),ABS(Resultados!BI86),ABS(Resultados!CA86),ABS(Resultados!CJ86)))</f>
        <v>0.42399999999999999</v>
      </c>
      <c r="H86">
        <f>IF(COUNT(Resultados!H86,Resultados!Q86,Resultados!Z86,Resultados!AI86,Resultados!AR86,Resultados!BA86,Resultados!BJ86,Resultados!CB86,Resultados!CK86)=0, "", AVERAGE(ABS(Resultados!H86),ABS(Resultados!Q86),ABS(Resultados!Z86),ABS(Resultados!AI86),ABS(Resultados!AR86),ABS(Resultados!BA86),ABS(Resultados!BJ86),ABS(Resultados!CB86),ABS(Resultados!CK86)))</f>
        <v>8.8888888888888871E-3</v>
      </c>
      <c r="I86">
        <f>IF(COUNT(Resultados!I86,Resultados!R86,Resultados!AA86,Resultados!AJ86,Resultados!AS86,Resultados!BB86,Resultados!BK86,Resultados!CC86,Resultados!CL86)=0, "", AVERAGE(ABS(Resultados!I86),ABS(Resultados!R86),ABS(Resultados!AA86),ABS(Resultados!AJ86),ABS(Resultados!AS86),ABS(Resultados!BB86),ABS(Resultados!BK86),ABS(Resultados!CC86),ABS(Resultados!CL86)))</f>
        <v>16.89009999999999</v>
      </c>
    </row>
    <row r="87" spans="1:9" x14ac:dyDescent="0.3">
      <c r="A87">
        <f>IF(COUNT(Resultados!A87,Resultados!J87,Resultados!S87,Resultados!AB87,Resultados!AK87,Resultados!AT87,Resultados!BC87,Resultados!BU87,Resultados!CD87)=0, "", AVERAGE(ABS(Resultados!A87),ABS(Resultados!J87),ABS(Resultados!S87),ABS(Resultados!AB87),ABS(Resultados!AK87),ABS(Resultados!AT87),ABS(Resultados!BC87),ABS(Resultados!BU87),ABS(Resultados!CD87)))</f>
        <v>45681</v>
      </c>
      <c r="B87" t="str">
        <f>IF(COUNT(Resultados!B87,Resultados!K87,Resultados!T87,Resultados!AC87,Resultados!AL87,Resultados!AU87,Resultados!BD87,Resultados!BV87,Resultados!CE87)=0, "", AVERAGE(ABS(Resultados!B87),ABS(Resultados!K87),ABS(Resultados!T87),ABS(Resultados!AC87),ABS(Resultados!AL87),ABS(Resultados!AU87),ABS(Resultados!BD87),ABS(Resultados!BV87),ABS(Resultados!CE87)))</f>
        <v/>
      </c>
      <c r="C87">
        <f>IF(COUNT(Resultados!C87,Resultados!L87,Resultados!U87,Resultados!AD87,Resultados!AM87,Resultados!AV87,Resultados!BE87,Resultados!BW87,Resultados!CF87)=0, "", AVERAGE(ABS(Resultados!C87),ABS(Resultados!L87),ABS(Resultados!U87),ABS(Resultados!AD87),ABS(Resultados!AM87),ABS(Resultados!AV87),ABS(Resultados!BE87),ABS(Resultados!BW87),ABS(Resultados!CF87)))</f>
        <v>4.1111111111111107</v>
      </c>
      <c r="D87">
        <f>IF(COUNT(Resultados!D87,Resultados!M87,Resultados!V87,Resultados!AE87,Resultados!AN87,Resultados!AW87,Resultados!BF87,Resultados!BX87,Resultados!CG87)=0, "", AVERAGE(ABS(Resultados!D87),ABS(Resultados!M87),ABS(Resultados!V87),ABS(Resultados!AE87),ABS(Resultados!AN87),ABS(Resultados!AW87),ABS(Resultados!BF87),ABS(Resultados!BX87),ABS(Resultados!CG87)))</f>
        <v>8.6666666666666645E-3</v>
      </c>
      <c r="E87">
        <f>IF(COUNT(Resultados!E87,Resultados!N87,Resultados!W87,Resultados!AF87,Resultados!AO87,Resultados!AX87,Resultados!BG87,Resultados!BY87,Resultados!CH87)=0, "", AVERAGE(ABS(Resultados!E87),ABS(Resultados!N87),ABS(Resultados!W87),ABS(Resultados!AF87),ABS(Resultados!AO87),ABS(Resultados!AX87),ABS(Resultados!BG87),ABS(Resultados!BY87),ABS(Resultados!CH87)))</f>
        <v>6.5114186803179432</v>
      </c>
      <c r="F87">
        <f>IF(COUNT(Resultados!F87,Resultados!O87,Resultados!X87,Resultados!AG87,Resultados!AP87,Resultados!AY87,Resultados!BH87,Resultados!BZ87,Resultados!CI87)=0, "", AVERAGE(ABS(Resultados!F87),ABS(Resultados!O87),ABS(Resultados!X87),ABS(Resultados!AG87),ABS(Resultados!AP87),ABS(Resultados!AY87),ABS(Resultados!BH87),ABS(Resultados!BZ87),ABS(Resultados!CI87)))</f>
        <v>654.8642210056322</v>
      </c>
      <c r="G87">
        <f>IF(COUNT(Resultados!G87,Resultados!P87,Resultados!Y87,Resultados!AH87,Resultados!AQ87,Resultados!AZ87,Resultados!BI87,Resultados!CA87,Resultados!CJ87)=0, "", AVERAGE(ABS(Resultados!G87),ABS(Resultados!P87),ABS(Resultados!Y87),ABS(Resultados!AH87),ABS(Resultados!AQ87),ABS(Resultados!AZ87),ABS(Resultados!BI87),ABS(Resultados!CA87),ABS(Resultados!CJ87)))</f>
        <v>0.42399999999999999</v>
      </c>
      <c r="H87">
        <f>IF(COUNT(Resultados!H87,Resultados!Q87,Resultados!Z87,Resultados!AI87,Resultados!AR87,Resultados!BA87,Resultados!BJ87,Resultados!CB87,Resultados!CK87)=0, "", AVERAGE(ABS(Resultados!H87),ABS(Resultados!Q87),ABS(Resultados!Z87),ABS(Resultados!AI87),ABS(Resultados!AR87),ABS(Resultados!BA87),ABS(Resultados!BJ87),ABS(Resultados!CB87),ABS(Resultados!CK87)))</f>
        <v>8.0111111111111112E-3</v>
      </c>
      <c r="I87">
        <f>IF(COUNT(Resultados!I87,Resultados!R87,Resultados!AA87,Resultados!AJ87,Resultados!AS87,Resultados!BB87,Resultados!BK87,Resultados!CC87,Resultados!CL87)=0, "", AVERAGE(ABS(Resultados!I87),ABS(Resultados!R87),ABS(Resultados!AA87),ABS(Resultados!AJ87),ABS(Resultados!AS87),ABS(Resultados!BB87),ABS(Resultados!BK87),ABS(Resultados!CC87),ABS(Resultados!CL87)))</f>
        <v>17.090233333333337</v>
      </c>
    </row>
    <row r="88" spans="1:9" x14ac:dyDescent="0.3">
      <c r="A88">
        <f>IF(COUNT(Resultados!A88,Resultados!J88,Resultados!S88,Resultados!AB88,Resultados!AK88,Resultados!AT88,Resultados!BC88,Resultados!BU88,Resultados!CD88)=0, "", AVERAGE(ABS(Resultados!A88),ABS(Resultados!J88),ABS(Resultados!S88),ABS(Resultados!AB88),ABS(Resultados!AK88),ABS(Resultados!AT88),ABS(Resultados!BC88),ABS(Resultados!BU88),ABS(Resultados!CD88)))</f>
        <v>45681</v>
      </c>
      <c r="B88" t="str">
        <f>IF(COUNT(Resultados!B88,Resultados!K88,Resultados!T88,Resultados!AC88,Resultados!AL88,Resultados!AU88,Resultados!BD88,Resultados!BV88,Resultados!CE88)=0, "", AVERAGE(ABS(Resultados!B88),ABS(Resultados!K88),ABS(Resultados!T88),ABS(Resultados!AC88),ABS(Resultados!AL88),ABS(Resultados!AU88),ABS(Resultados!BD88),ABS(Resultados!BV88),ABS(Resultados!CE88)))</f>
        <v/>
      </c>
      <c r="C88">
        <f>IF(COUNT(Resultados!C88,Resultados!L88,Resultados!U88,Resultados!AD88,Resultados!AM88,Resultados!AV88,Resultados!BE88,Resultados!BW88,Resultados!CF88)=0, "", AVERAGE(ABS(Resultados!C88),ABS(Resultados!L88),ABS(Resultados!U88),ABS(Resultados!AD88),ABS(Resultados!AM88),ABS(Resultados!AV88),ABS(Resultados!BE88),ABS(Resultados!BW88),ABS(Resultados!CF88)))</f>
        <v>4.1111111111111107</v>
      </c>
      <c r="D88">
        <f>IF(COUNT(Resultados!D88,Resultados!M88,Resultados!V88,Resultados!AE88,Resultados!AN88,Resultados!AW88,Resultados!BF88,Resultados!BX88,Resultados!CG88)=0, "", AVERAGE(ABS(Resultados!D88),ABS(Resultados!M88),ABS(Resultados!V88),ABS(Resultados!AE88),ABS(Resultados!AN88),ABS(Resultados!AW88),ABS(Resultados!BF88),ABS(Resultados!BX88),ABS(Resultados!CG88)))</f>
        <v>7.3777777777777782E-3</v>
      </c>
      <c r="E88">
        <f>IF(COUNT(Resultados!E88,Resultados!N88,Resultados!W88,Resultados!AF88,Resultados!AO88,Resultados!AX88,Resultados!BG88,Resultados!BY88,Resultados!CH88)=0, "", AVERAGE(ABS(Resultados!E88),ABS(Resultados!N88),ABS(Resultados!W88),ABS(Resultados!AF88),ABS(Resultados!AO88),ABS(Resultados!AX88),ABS(Resultados!BG88),ABS(Resultados!BY88),ABS(Resultados!CH88)))</f>
        <v>6.4570916548527828</v>
      </c>
      <c r="F88">
        <f>IF(COUNT(Resultados!F88,Resultados!O88,Resultados!X88,Resultados!AG88,Resultados!AP88,Resultados!AY88,Resultados!BH88,Resultados!BZ88,Resultados!CI88)=0, "", AVERAGE(ABS(Resultados!F88),ABS(Resultados!O88),ABS(Resultados!X88),ABS(Resultados!AG88),ABS(Resultados!AP88),ABS(Resultados!AY88),ABS(Resultados!BH88),ABS(Resultados!BZ88),ABS(Resultados!CI88)))</f>
        <v>649.80094223227945</v>
      </c>
      <c r="G88">
        <f>IF(COUNT(Resultados!G88,Resultados!P88,Resultados!Y88,Resultados!AH88,Resultados!AQ88,Resultados!AZ88,Resultados!BI88,Resultados!CA88,Resultados!CJ88)=0, "", AVERAGE(ABS(Resultados!G88),ABS(Resultados!P88),ABS(Resultados!Y88),ABS(Resultados!AH88),ABS(Resultados!AQ88),ABS(Resultados!AZ88),ABS(Resultados!BI88),ABS(Resultados!CA88),ABS(Resultados!CJ88)))</f>
        <v>0.42399999999999999</v>
      </c>
      <c r="H88">
        <f>IF(COUNT(Resultados!H88,Resultados!Q88,Resultados!Z88,Resultados!AI88,Resultados!AR88,Resultados!BA88,Resultados!BJ88,Resultados!CB88,Resultados!CK88)=0, "", AVERAGE(ABS(Resultados!H88),ABS(Resultados!Q88),ABS(Resultados!Z88),ABS(Resultados!AI88),ABS(Resultados!AR88),ABS(Resultados!BA88),ABS(Resultados!BJ88),ABS(Resultados!CB88),ABS(Resultados!CK88)))</f>
        <v>7.1777777777777786E-3</v>
      </c>
      <c r="I88">
        <f>IF(COUNT(Resultados!I88,Resultados!R88,Resultados!AA88,Resultados!AJ88,Resultados!AS88,Resultados!BB88,Resultados!BK88,Resultados!CC88,Resultados!CL88)=0, "", AVERAGE(ABS(Resultados!I88),ABS(Resultados!R88),ABS(Resultados!AA88),ABS(Resultados!AJ88),ABS(Resultados!AS88),ABS(Resultados!BB88),ABS(Resultados!BK88),ABS(Resultados!CC88),ABS(Resultados!CL88)))</f>
        <v>17.289999999999978</v>
      </c>
    </row>
    <row r="89" spans="1:9" x14ac:dyDescent="0.3">
      <c r="A89">
        <f>IF(COUNT(Resultados!A89,Resultados!J89,Resultados!S89,Resultados!AB89,Resultados!AK89,Resultados!AT89,Resultados!BC89,Resultados!BU89,Resultados!CD89)=0, "", AVERAGE(ABS(Resultados!A89),ABS(Resultados!J89),ABS(Resultados!S89),ABS(Resultados!AB89),ABS(Resultados!AK89),ABS(Resultados!AT89),ABS(Resultados!BC89),ABS(Resultados!BU89),ABS(Resultados!CD89)))</f>
        <v>45681</v>
      </c>
      <c r="B89" t="str">
        <f>IF(COUNT(Resultados!B89,Resultados!K89,Resultados!T89,Resultados!AC89,Resultados!AL89,Resultados!AU89,Resultados!BD89,Resultados!BV89,Resultados!CE89)=0, "", AVERAGE(ABS(Resultados!B89),ABS(Resultados!K89),ABS(Resultados!T89),ABS(Resultados!AC89),ABS(Resultados!AL89),ABS(Resultados!AU89),ABS(Resultados!BD89),ABS(Resultados!BV89),ABS(Resultados!CE89)))</f>
        <v/>
      </c>
      <c r="C89">
        <f>IF(COUNT(Resultados!C89,Resultados!L89,Resultados!U89,Resultados!AD89,Resultados!AM89,Resultados!AV89,Resultados!BE89,Resultados!BW89,Resultados!CF89)=0, "", AVERAGE(ABS(Resultados!C89),ABS(Resultados!L89),ABS(Resultados!U89),ABS(Resultados!AD89),ABS(Resultados!AM89),ABS(Resultados!AV89),ABS(Resultados!BE89),ABS(Resultados!BW89),ABS(Resultados!CF89)))</f>
        <v>4.1111111111111107</v>
      </c>
      <c r="D89">
        <f>IF(COUNT(Resultados!D89,Resultados!M89,Resultados!V89,Resultados!AE89,Resultados!AN89,Resultados!AW89,Resultados!BF89,Resultados!BX89,Resultados!CG89)=0, "", AVERAGE(ABS(Resultados!D89),ABS(Resultados!M89),ABS(Resultados!V89),ABS(Resultados!AE89),ABS(Resultados!AN89),ABS(Resultados!AW89),ABS(Resultados!BF89),ABS(Resultados!BX89),ABS(Resultados!CG89)))</f>
        <v>6.3777777777777782E-3</v>
      </c>
      <c r="E89">
        <f>IF(COUNT(Resultados!E89,Resultados!N89,Resultados!W89,Resultados!AF89,Resultados!AO89,Resultados!AX89,Resultados!BG89,Resultados!BY89,Resultados!CH89)=0, "", AVERAGE(ABS(Resultados!E89),ABS(Resultados!N89),ABS(Resultados!W89),ABS(Resultados!AF89),ABS(Resultados!AO89),ABS(Resultados!AX89),ABS(Resultados!BG89),ABS(Resultados!BY89),ABS(Resultados!CH89)))</f>
        <v>6.4054537924955257</v>
      </c>
      <c r="F89">
        <f>IF(COUNT(Resultados!F89,Resultados!O89,Resultados!X89,Resultados!AG89,Resultados!AP89,Resultados!AY89,Resultados!BH89,Resultados!BZ89,Resultados!CI89)=0, "", AVERAGE(ABS(Resultados!F89),ABS(Resultados!O89),ABS(Resultados!X89),ABS(Resultados!AG89),ABS(Resultados!AP89),ABS(Resultados!AY89),ABS(Resultados!BH89),ABS(Resultados!BZ89),ABS(Resultados!CI89)))</f>
        <v>644.98829346058312</v>
      </c>
      <c r="G89">
        <f>IF(COUNT(Resultados!G89,Resultados!P89,Resultados!Y89,Resultados!AH89,Resultados!AQ89,Resultados!AZ89,Resultados!BI89,Resultados!CA89,Resultados!CJ89)=0, "", AVERAGE(ABS(Resultados!G89),ABS(Resultados!P89),ABS(Resultados!Y89),ABS(Resultados!AH89),ABS(Resultados!AQ89),ABS(Resultados!AZ89),ABS(Resultados!BI89),ABS(Resultados!CA89),ABS(Resultados!CJ89)))</f>
        <v>0.42399999999999999</v>
      </c>
      <c r="H89">
        <f>IF(COUNT(Resultados!H89,Resultados!Q89,Resultados!Z89,Resultados!AI89,Resultados!AR89,Resultados!BA89,Resultados!BJ89,Resultados!CB89,Resultados!CK89)=0, "", AVERAGE(ABS(Resultados!H89),ABS(Resultados!Q89),ABS(Resultados!Z89),ABS(Resultados!AI89),ABS(Resultados!AR89),ABS(Resultados!BA89),ABS(Resultados!BJ89),ABS(Resultados!CB89),ABS(Resultados!CK89)))</f>
        <v>6.3555555555555553E-3</v>
      </c>
      <c r="I89">
        <f>IF(COUNT(Resultados!I89,Resultados!R89,Resultados!AA89,Resultados!AJ89,Resultados!AS89,Resultados!BB89,Resultados!BK89,Resultados!CC89,Resultados!CL89)=0, "", AVERAGE(ABS(Resultados!I89),ABS(Resultados!R89),ABS(Resultados!AA89),ABS(Resultados!AJ89),ABS(Resultados!AS89),ABS(Resultados!BB89),ABS(Resultados!BK89),ABS(Resultados!CC89),ABS(Resultados!CL89)))</f>
        <v>17.489633333333337</v>
      </c>
    </row>
    <row r="90" spans="1:9" x14ac:dyDescent="0.3">
      <c r="A90">
        <f>IF(COUNT(Resultados!A90,Resultados!J90,Resultados!S90,Resultados!AB90,Resultados!AK90,Resultados!AT90,Resultados!BC90,Resultados!BU90,Resultados!CD90)=0, "", AVERAGE(ABS(Resultados!A90),ABS(Resultados!J90),ABS(Resultados!S90),ABS(Resultados!AB90),ABS(Resultados!AK90),ABS(Resultados!AT90),ABS(Resultados!BC90),ABS(Resultados!BU90),ABS(Resultados!CD90)))</f>
        <v>45681</v>
      </c>
      <c r="B90" t="str">
        <f>IF(COUNT(Resultados!B90,Resultados!K90,Resultados!T90,Resultados!AC90,Resultados!AL90,Resultados!AU90,Resultados!BD90,Resultados!BV90,Resultados!CE90)=0, "", AVERAGE(ABS(Resultados!B90),ABS(Resultados!K90),ABS(Resultados!T90),ABS(Resultados!AC90),ABS(Resultados!AL90),ABS(Resultados!AU90),ABS(Resultados!BD90),ABS(Resultados!BV90),ABS(Resultados!CE90)))</f>
        <v/>
      </c>
      <c r="C90">
        <f>IF(COUNT(Resultados!C90,Resultados!L90,Resultados!U90,Resultados!AD90,Resultados!AM90,Resultados!AV90,Resultados!BE90,Resultados!BW90,Resultados!CF90)=0, "", AVERAGE(ABS(Resultados!C90),ABS(Resultados!L90),ABS(Resultados!U90),ABS(Resultados!AD90),ABS(Resultados!AM90),ABS(Resultados!AV90),ABS(Resultados!BE90),ABS(Resultados!BW90),ABS(Resultados!CF90)))</f>
        <v>4.1111111111111107</v>
      </c>
      <c r="D90">
        <f>IF(COUNT(Resultados!D90,Resultados!M90,Resultados!V90,Resultados!AE90,Resultados!AN90,Resultados!AW90,Resultados!BF90,Resultados!BX90,Resultados!CG90)=0, "", AVERAGE(ABS(Resultados!D90),ABS(Resultados!M90),ABS(Resultados!V90),ABS(Resultados!AE90),ABS(Resultados!AN90),ABS(Resultados!AW90),ABS(Resultados!BF90),ABS(Resultados!BX90),ABS(Resultados!CG90)))</f>
        <v>5.3666666666666663E-3</v>
      </c>
      <c r="E90">
        <f>IF(COUNT(Resultados!E90,Resultados!N90,Resultados!W90,Resultados!AF90,Resultados!AO90,Resultados!AX90,Resultados!BG90,Resultados!BY90,Resultados!CH90)=0, "", AVERAGE(ABS(Resultados!E90),ABS(Resultados!N90),ABS(Resultados!W90),ABS(Resultados!AF90),ABS(Resultados!AO90),ABS(Resultados!AX90),ABS(Resultados!BG90),ABS(Resultados!BY90),ABS(Resultados!CH90)))</f>
        <v>6.3566042488654615</v>
      </c>
      <c r="F90">
        <f>IF(COUNT(Resultados!F90,Resultados!O90,Resultados!X90,Resultados!AG90,Resultados!AP90,Resultados!AY90,Resultados!BH90,Resultados!BZ90,Resultados!CI90)=0, "", AVERAGE(ABS(Resultados!F90),ABS(Resultados!O90),ABS(Resultados!X90),ABS(Resultados!AG90),ABS(Resultados!AP90),ABS(Resultados!AY90),ABS(Resultados!BH90),ABS(Resultados!BZ90),ABS(Resultados!CI90)))</f>
        <v>640.4355159942611</v>
      </c>
      <c r="G90">
        <f>IF(COUNT(Resultados!G90,Resultados!P90,Resultados!Y90,Resultados!AH90,Resultados!AQ90,Resultados!AZ90,Resultados!BI90,Resultados!CA90,Resultados!CJ90)=0, "", AVERAGE(ABS(Resultados!G90),ABS(Resultados!P90),ABS(Resultados!Y90),ABS(Resultados!AH90),ABS(Resultados!AQ90),ABS(Resultados!AZ90),ABS(Resultados!BI90),ABS(Resultados!CA90),ABS(Resultados!CJ90)))</f>
        <v>0.42399999999999999</v>
      </c>
      <c r="H90">
        <f>IF(COUNT(Resultados!H90,Resultados!Q90,Resultados!Z90,Resultados!AI90,Resultados!AR90,Resultados!BA90,Resultados!BJ90,Resultados!CB90,Resultados!CK90)=0, "", AVERAGE(ABS(Resultados!H90),ABS(Resultados!Q90),ABS(Resultados!Z90),ABS(Resultados!AI90),ABS(Resultados!AR90),ABS(Resultados!BA90),ABS(Resultados!BJ90),ABS(Resultados!CB90),ABS(Resultados!CK90)))</f>
        <v>5.6222222222222212E-3</v>
      </c>
      <c r="I90">
        <f>IF(COUNT(Resultados!I90,Resultados!R90,Resultados!AA90,Resultados!AJ90,Resultados!AS90,Resultados!BB90,Resultados!BK90,Resultados!CC90,Resultados!CL90)=0, "", AVERAGE(ABS(Resultados!I90),ABS(Resultados!R90),ABS(Resultados!AA90),ABS(Resultados!AJ90),ABS(Resultados!AS90),ABS(Resultados!BB90),ABS(Resultados!BK90),ABS(Resultados!CC90),ABS(Resultados!CL90)))</f>
        <v>17.689166666666658</v>
      </c>
    </row>
    <row r="91" spans="1:9" x14ac:dyDescent="0.3">
      <c r="A91">
        <f>IF(COUNT(Resultados!A91,Resultados!J91,Resultados!S91,Resultados!AB91,Resultados!AK91,Resultados!AT91,Resultados!BC91,Resultados!BU91,Resultados!CD91)=0, "", AVERAGE(ABS(Resultados!A91),ABS(Resultados!J91),ABS(Resultados!S91),ABS(Resultados!AB91),ABS(Resultados!AK91),ABS(Resultados!AT91),ABS(Resultados!BC91),ABS(Resultados!BU91),ABS(Resultados!CD91)))</f>
        <v>45681</v>
      </c>
      <c r="B91" t="str">
        <f>IF(COUNT(Resultados!B91,Resultados!K91,Resultados!T91,Resultados!AC91,Resultados!AL91,Resultados!AU91,Resultados!BD91,Resultados!BV91,Resultados!CE91)=0, "", AVERAGE(ABS(Resultados!B91),ABS(Resultados!K91),ABS(Resultados!T91),ABS(Resultados!AC91),ABS(Resultados!AL91),ABS(Resultados!AU91),ABS(Resultados!BD91),ABS(Resultados!BV91),ABS(Resultados!CE91)))</f>
        <v/>
      </c>
      <c r="C91">
        <f>IF(COUNT(Resultados!C91,Resultados!L91,Resultados!U91,Resultados!AD91,Resultados!AM91,Resultados!AV91,Resultados!BE91,Resultados!BW91,Resultados!CF91)=0, "", AVERAGE(ABS(Resultados!C91),ABS(Resultados!L91),ABS(Resultados!U91),ABS(Resultados!AD91),ABS(Resultados!AM91),ABS(Resultados!AV91),ABS(Resultados!BE91),ABS(Resultados!BW91),ABS(Resultados!CF91)))</f>
        <v>4.1111111111111107</v>
      </c>
      <c r="D91">
        <f>IF(COUNT(Resultados!D91,Resultados!M91,Resultados!V91,Resultados!AE91,Resultados!AN91,Resultados!AW91,Resultados!BF91,Resultados!BX91,Resultados!CG91)=0, "", AVERAGE(ABS(Resultados!D91),ABS(Resultados!M91),ABS(Resultados!V91),ABS(Resultados!AE91),ABS(Resultados!AN91),ABS(Resultados!AW91),ABS(Resultados!BF91),ABS(Resultados!BX91),ABS(Resultados!CG91)))</f>
        <v>4.7222222222222223E-3</v>
      </c>
      <c r="E91">
        <f>IF(COUNT(Resultados!E91,Resultados!N91,Resultados!W91,Resultados!AF91,Resultados!AO91,Resultados!AX91,Resultados!BG91,Resultados!BY91,Resultados!CH91)=0, "", AVERAGE(ABS(Resultados!E91),ABS(Resultados!N91),ABS(Resultados!W91),ABS(Resultados!AF91),ABS(Resultados!AO91),ABS(Resultados!AX91),ABS(Resultados!BG91),ABS(Resultados!BY91),ABS(Resultados!CH91)))</f>
        <v>6.3104565956196188</v>
      </c>
      <c r="F91">
        <f>IF(COUNT(Resultados!F91,Resultados!O91,Resultados!X91,Resultados!AG91,Resultados!AP91,Resultados!AY91,Resultados!BH91,Resultados!BZ91,Resultados!CI91)=0, "", AVERAGE(ABS(Resultados!F91),ABS(Resultados!O91),ABS(Resultados!X91),ABS(Resultados!AG91),ABS(Resultados!AP91),ABS(Resultados!AY91),ABS(Resultados!BH91),ABS(Resultados!BZ91),ABS(Resultados!CI91)))</f>
        <v>636.13455471174848</v>
      </c>
      <c r="G91">
        <f>IF(COUNT(Resultados!G91,Resultados!P91,Resultados!Y91,Resultados!AH91,Resultados!AQ91,Resultados!AZ91,Resultados!BI91,Resultados!CA91,Resultados!CJ91)=0, "", AVERAGE(ABS(Resultados!G91),ABS(Resultados!P91),ABS(Resultados!Y91),ABS(Resultados!AH91),ABS(Resultados!AQ91),ABS(Resultados!AZ91),ABS(Resultados!BI91),ABS(Resultados!CA91),ABS(Resultados!CJ91)))</f>
        <v>0.42399999999999999</v>
      </c>
      <c r="H91">
        <f>IF(COUNT(Resultados!H91,Resultados!Q91,Resultados!Z91,Resultados!AI91,Resultados!AR91,Resultados!BA91,Resultados!BJ91,Resultados!CB91,Resultados!CK91)=0, "", AVERAGE(ABS(Resultados!H91),ABS(Resultados!Q91),ABS(Resultados!Z91),ABS(Resultados!AI91),ABS(Resultados!AR91),ABS(Resultados!BA91),ABS(Resultados!BJ91),ABS(Resultados!CB91),ABS(Resultados!CK91)))</f>
        <v>4.8999999999999998E-3</v>
      </c>
      <c r="I91">
        <f>IF(COUNT(Resultados!I91,Resultados!R91,Resultados!AA91,Resultados!AJ91,Resultados!AS91,Resultados!BB91,Resultados!BK91,Resultados!CC91,Resultados!CL91)=0, "", AVERAGE(ABS(Resultados!I91),ABS(Resultados!R91),ABS(Resultados!AA91),ABS(Resultados!AJ91),ABS(Resultados!AS91),ABS(Resultados!BB91),ABS(Resultados!BK91),ABS(Resultados!CC91),ABS(Resultados!CL91)))</f>
        <v>17.890088888888886</v>
      </c>
    </row>
    <row r="92" spans="1:9" x14ac:dyDescent="0.3">
      <c r="A92">
        <f>IF(COUNT(Resultados!A92,Resultados!J92,Resultados!S92,Resultados!AB92,Resultados!AK92,Resultados!AT92,Resultados!BC92,Resultados!BU92,Resultados!CD92)=0, "", AVERAGE(ABS(Resultados!A92),ABS(Resultados!J92),ABS(Resultados!S92),ABS(Resultados!AB92),ABS(Resultados!AK92),ABS(Resultados!AT92),ABS(Resultados!BC92),ABS(Resultados!BU92),ABS(Resultados!CD92)))</f>
        <v>45681</v>
      </c>
      <c r="B92" t="str">
        <f>IF(COUNT(Resultados!B92,Resultados!K92,Resultados!T92,Resultados!AC92,Resultados!AL92,Resultados!AU92,Resultados!BD92,Resultados!BV92,Resultados!CE92)=0, "", AVERAGE(ABS(Resultados!B92),ABS(Resultados!K92),ABS(Resultados!T92),ABS(Resultados!AC92),ABS(Resultados!AL92),ABS(Resultados!AU92),ABS(Resultados!BD92),ABS(Resultados!BV92),ABS(Resultados!CE92)))</f>
        <v/>
      </c>
      <c r="C92">
        <f>IF(COUNT(Resultados!C92,Resultados!L92,Resultados!U92,Resultados!AD92,Resultados!AM92,Resultados!AV92,Resultados!BE92,Resultados!BW92,Resultados!CF92)=0, "", AVERAGE(ABS(Resultados!C92),ABS(Resultados!L92),ABS(Resultados!U92),ABS(Resultados!AD92),ABS(Resultados!AM92),ABS(Resultados!AV92),ABS(Resultados!BE92),ABS(Resultados!BW92),ABS(Resultados!CF92)))</f>
        <v>4.1111111111111107</v>
      </c>
      <c r="D92">
        <f>IF(COUNT(Resultados!D92,Resultados!M92,Resultados!V92,Resultados!AE92,Resultados!AN92,Resultados!AW92,Resultados!BF92,Resultados!BX92,Resultados!CG92)=0, "", AVERAGE(ABS(Resultados!D92),ABS(Resultados!M92),ABS(Resultados!V92),ABS(Resultados!AE92),ABS(Resultados!AN92),ABS(Resultados!AW92),ABS(Resultados!BF92),ABS(Resultados!BX92),ABS(Resultados!CG92)))</f>
        <v>4.0000000000000001E-3</v>
      </c>
      <c r="E92">
        <f>IF(COUNT(Resultados!E92,Resultados!N92,Resultados!W92,Resultados!AF92,Resultados!AO92,Resultados!AX92,Resultados!BG92,Resultados!BY92,Resultados!CH92)=0, "", AVERAGE(ABS(Resultados!E92),ABS(Resultados!N92),ABS(Resultados!W92),ABS(Resultados!AF92),ABS(Resultados!AO92),ABS(Resultados!AX92),ABS(Resultados!BG92),ABS(Resultados!BY92),ABS(Resultados!CH92)))</f>
        <v>6.2678906006651163</v>
      </c>
      <c r="F92">
        <f>IF(COUNT(Resultados!F92,Resultados!O92,Resultados!X92,Resultados!AG92,Resultados!AP92,Resultados!AY92,Resultados!BH92,Resultados!BZ92,Resultados!CI92)=0, "", AVERAGE(ABS(Resultados!F92),ABS(Resultados!O92),ABS(Resultados!X92),ABS(Resultados!AG92),ABS(Resultados!AP92),ABS(Resultados!AY92),ABS(Resultados!BH92),ABS(Resultados!BZ92),ABS(Resultados!CI92)))</f>
        <v>632.16740398198874</v>
      </c>
      <c r="G92">
        <f>IF(COUNT(Resultados!G92,Resultados!P92,Resultados!Y92,Resultados!AH92,Resultados!AQ92,Resultados!AZ92,Resultados!BI92,Resultados!CA92,Resultados!CJ92)=0, "", AVERAGE(ABS(Resultados!G92),ABS(Resultados!P92),ABS(Resultados!Y92),ABS(Resultados!AH92),ABS(Resultados!AQ92),ABS(Resultados!AZ92),ABS(Resultados!BI92),ABS(Resultados!CA92),ABS(Resultados!CJ92)))</f>
        <v>0.42399999999999999</v>
      </c>
      <c r="H92">
        <f>IF(COUNT(Resultados!H92,Resultados!Q92,Resultados!Z92,Resultados!AI92,Resultados!AR92,Resultados!BA92,Resultados!BJ92,Resultados!CB92,Resultados!CK92)=0, "", AVERAGE(ABS(Resultados!H92),ABS(Resultados!Q92),ABS(Resultados!Z92),ABS(Resultados!AI92),ABS(Resultados!AR92),ABS(Resultados!BA92),ABS(Resultados!BJ92),ABS(Resultados!CB92),ABS(Resultados!CK92)))</f>
        <v>4.2222222222222227E-3</v>
      </c>
      <c r="I92">
        <f>IF(COUNT(Resultados!I92,Resultados!R92,Resultados!AA92,Resultados!AJ92,Resultados!AS92,Resultados!BB92,Resultados!BK92,Resultados!CC92,Resultados!CL92)=0, "", AVERAGE(ABS(Resultados!I92),ABS(Resultados!R92),ABS(Resultados!AA92),ABS(Resultados!AJ92),ABS(Resultados!AS92),ABS(Resultados!BB92),ABS(Resultados!BK92),ABS(Resultados!CC92),ABS(Resultados!CL92)))</f>
        <v>18.089588888888883</v>
      </c>
    </row>
    <row r="93" spans="1:9" x14ac:dyDescent="0.3">
      <c r="A93">
        <f>IF(COUNT(Resultados!A93,Resultados!J93,Resultados!S93,Resultados!AB93,Resultados!AK93,Resultados!AT93,Resultados!BC93,Resultados!BU93,Resultados!CD93)=0, "", AVERAGE(ABS(Resultados!A93),ABS(Resultados!J93),ABS(Resultados!S93),ABS(Resultados!AB93),ABS(Resultados!AK93),ABS(Resultados!AT93),ABS(Resultados!BC93),ABS(Resultados!BU93),ABS(Resultados!CD93)))</f>
        <v>45681</v>
      </c>
      <c r="B93" t="str">
        <f>IF(COUNT(Resultados!B93,Resultados!K93,Resultados!T93,Resultados!AC93,Resultados!AL93,Resultados!AU93,Resultados!BD93,Resultados!BV93,Resultados!CE93)=0, "", AVERAGE(ABS(Resultados!B93),ABS(Resultados!K93),ABS(Resultados!T93),ABS(Resultados!AC93),ABS(Resultados!AL93),ABS(Resultados!AU93),ABS(Resultados!BD93),ABS(Resultados!BV93),ABS(Resultados!CE93)))</f>
        <v/>
      </c>
      <c r="C93">
        <f>IF(COUNT(Resultados!C93,Resultados!L93,Resultados!U93,Resultados!AD93,Resultados!AM93,Resultados!AV93,Resultados!BE93,Resultados!BW93,Resultados!CF93)=0, "", AVERAGE(ABS(Resultados!C93),ABS(Resultados!L93),ABS(Resultados!U93),ABS(Resultados!AD93),ABS(Resultados!AM93),ABS(Resultados!AV93),ABS(Resultados!BE93),ABS(Resultados!BW93),ABS(Resultados!CF93)))</f>
        <v>4.1111111111111107</v>
      </c>
      <c r="D93">
        <f>IF(COUNT(Resultados!D93,Resultados!M93,Resultados!V93,Resultados!AE93,Resultados!AN93,Resultados!AW93,Resultados!BF93,Resultados!BX93,Resultados!CG93)=0, "", AVERAGE(ABS(Resultados!D93),ABS(Resultados!M93),ABS(Resultados!V93),ABS(Resultados!AE93),ABS(Resultados!AN93),ABS(Resultados!AW93),ABS(Resultados!BF93),ABS(Resultados!BX93),ABS(Resultados!CG93)))</f>
        <v>3.2111111111111108E-3</v>
      </c>
      <c r="E93">
        <f>IF(COUNT(Resultados!E93,Resultados!N93,Resultados!W93,Resultados!AF93,Resultados!AO93,Resultados!AX93,Resultados!BG93,Resultados!BY93,Resultados!CH93)=0, "", AVERAGE(ABS(Resultados!E93),ABS(Resultados!N93),ABS(Resultados!W93),ABS(Resultados!AF93),ABS(Resultados!AO93),ABS(Resultados!AX93),ABS(Resultados!BG93),ABS(Resultados!BY93),ABS(Resultados!CH93)))</f>
        <v>6.2102975038037744</v>
      </c>
      <c r="F93">
        <f>IF(COUNT(Resultados!F93,Resultados!O93,Resultados!X93,Resultados!AG93,Resultados!AP93,Resultados!AY93,Resultados!BH93,Resultados!BZ93,Resultados!CI93)=0, "", AVERAGE(ABS(Resultados!F93),ABS(Resultados!O93),ABS(Resultados!X93),ABS(Resultados!AG93),ABS(Resultados!AP93),ABS(Resultados!AY93),ABS(Resultados!BH93),ABS(Resultados!BZ93),ABS(Resultados!CI93)))</f>
        <v>626.79972735451167</v>
      </c>
      <c r="G93">
        <f>IF(COUNT(Resultados!G93,Resultados!P93,Resultados!Y93,Resultados!AH93,Resultados!AQ93,Resultados!AZ93,Resultados!BI93,Resultados!CA93,Resultados!CJ93)=0, "", AVERAGE(ABS(Resultados!G93),ABS(Resultados!P93),ABS(Resultados!Y93),ABS(Resultados!AH93),ABS(Resultados!AQ93),ABS(Resultados!AZ93),ABS(Resultados!BI93),ABS(Resultados!CA93),ABS(Resultados!CJ93)))</f>
        <v>0.42399999999999999</v>
      </c>
      <c r="H93">
        <f>IF(COUNT(Resultados!H93,Resultados!Q93,Resultados!Z93,Resultados!AI93,Resultados!AR93,Resultados!BA93,Resultados!BJ93,Resultados!CB93,Resultados!CK93)=0, "", AVERAGE(ABS(Resultados!H93),ABS(Resultados!Q93),ABS(Resultados!Z93),ABS(Resultados!AI93),ABS(Resultados!AR93),ABS(Resultados!BA93),ABS(Resultados!BJ93),ABS(Resultados!CB93),ABS(Resultados!CK93)))</f>
        <v>3.3444444444444442E-3</v>
      </c>
      <c r="I93">
        <f>IF(COUNT(Resultados!I93,Resultados!R93,Resultados!AA93,Resultados!AJ93,Resultados!AS93,Resultados!BB93,Resultados!BK93,Resultados!CC93,Resultados!CL93)=0, "", AVERAGE(ABS(Resultados!I93),ABS(Resultados!R93),ABS(Resultados!AA93),ABS(Resultados!AJ93),ABS(Resultados!AS93),ABS(Resultados!BB93),ABS(Resultados!BK93),ABS(Resultados!CC93),ABS(Resultados!CL93)))</f>
        <v>18.289799999999993</v>
      </c>
    </row>
    <row r="94" spans="1:9" x14ac:dyDescent="0.3">
      <c r="A94">
        <f>IF(COUNT(Resultados!A94,Resultados!J94,Resultados!S94,Resultados!AB94,Resultados!AK94,Resultados!AT94,Resultados!BC94,Resultados!BU94,Resultados!CD94)=0, "", AVERAGE(ABS(Resultados!A94),ABS(Resultados!J94),ABS(Resultados!S94),ABS(Resultados!AB94),ABS(Resultados!AK94),ABS(Resultados!AT94),ABS(Resultados!BC94),ABS(Resultados!BU94),ABS(Resultados!CD94)))</f>
        <v>45681</v>
      </c>
      <c r="B94" t="str">
        <f>IF(COUNT(Resultados!B94,Resultados!K94,Resultados!T94,Resultados!AC94,Resultados!AL94,Resultados!AU94,Resultados!BD94,Resultados!BV94,Resultados!CE94)=0, "", AVERAGE(ABS(Resultados!B94),ABS(Resultados!K94),ABS(Resultados!T94),ABS(Resultados!AC94),ABS(Resultados!AL94),ABS(Resultados!AU94),ABS(Resultados!BD94),ABS(Resultados!BV94),ABS(Resultados!CE94)))</f>
        <v/>
      </c>
      <c r="C94">
        <f>IF(COUNT(Resultados!C94,Resultados!L94,Resultados!U94,Resultados!AD94,Resultados!AM94,Resultados!AV94,Resultados!BE94,Resultados!BW94,Resultados!CF94)=0, "", AVERAGE(ABS(Resultados!C94),ABS(Resultados!L94),ABS(Resultados!U94),ABS(Resultados!AD94),ABS(Resultados!AM94),ABS(Resultados!AV94),ABS(Resultados!BE94),ABS(Resultados!BW94),ABS(Resultados!CF94)))</f>
        <v>4.1111111111111107</v>
      </c>
      <c r="D94">
        <f>IF(COUNT(Resultados!D94,Resultados!M94,Resultados!V94,Resultados!AE94,Resultados!AN94,Resultados!AW94,Resultados!BF94,Resultados!BX94,Resultados!CG94)=0, "", AVERAGE(ABS(Resultados!D94),ABS(Resultados!M94),ABS(Resultados!V94),ABS(Resultados!AE94),ABS(Resultados!AN94),ABS(Resultados!AW94),ABS(Resultados!BF94),ABS(Resultados!BX94),ABS(Resultados!CG94)))</f>
        <v>2.5666666666666667E-3</v>
      </c>
      <c r="E94">
        <f>IF(COUNT(Resultados!E94,Resultados!N94,Resultados!W94,Resultados!AF94,Resultados!AO94,Resultados!AX94,Resultados!BG94,Resultados!BY94,Resultados!CH94)=0, "", AVERAGE(ABS(Resultados!E94),ABS(Resultados!N94),ABS(Resultados!W94),ABS(Resultados!AF94),ABS(Resultados!AO94),ABS(Resultados!AX94),ABS(Resultados!BG94),ABS(Resultados!BY94),ABS(Resultados!CH94)))</f>
        <v>6.1786187949460629</v>
      </c>
      <c r="F94">
        <f>IF(COUNT(Resultados!F94,Resultados!O94,Resultados!X94,Resultados!AG94,Resultados!AP94,Resultados!AY94,Resultados!BH94,Resultados!BZ94,Resultados!CI94)=0, "", AVERAGE(ABS(Resultados!F94),ABS(Resultados!O94),ABS(Resultados!X94),ABS(Resultados!AG94),ABS(Resultados!AP94),ABS(Resultados!AY94),ABS(Resultados!BH94),ABS(Resultados!BZ94),ABS(Resultados!CI94)))</f>
        <v>623.84727168897302</v>
      </c>
      <c r="G94">
        <f>IF(COUNT(Resultados!G94,Resultados!P94,Resultados!Y94,Resultados!AH94,Resultados!AQ94,Resultados!AZ94,Resultados!BI94,Resultados!CA94,Resultados!CJ94)=0, "", AVERAGE(ABS(Resultados!G94),ABS(Resultados!P94),ABS(Resultados!Y94),ABS(Resultados!AH94),ABS(Resultados!AQ94),ABS(Resultados!AZ94),ABS(Resultados!BI94),ABS(Resultados!CA94),ABS(Resultados!CJ94)))</f>
        <v>0.42399999999999999</v>
      </c>
      <c r="H94">
        <f>IF(COUNT(Resultados!H94,Resultados!Q94,Resultados!Z94,Resultados!AI94,Resultados!AR94,Resultados!BA94,Resultados!BJ94,Resultados!CB94,Resultados!CK94)=0, "", AVERAGE(ABS(Resultados!H94),ABS(Resultados!Q94),ABS(Resultados!Z94),ABS(Resultados!AI94),ABS(Resultados!AR94),ABS(Resultados!BA94),ABS(Resultados!BJ94),ABS(Resultados!CB94),ABS(Resultados!CK94)))</f>
        <v>2.8555555555555556E-3</v>
      </c>
      <c r="I94">
        <f>IF(COUNT(Resultados!I94,Resultados!R94,Resultados!AA94,Resultados!AJ94,Resultados!AS94,Resultados!BB94,Resultados!BK94,Resultados!CC94,Resultados!CL94)=0, "", AVERAGE(ABS(Resultados!I94),ABS(Resultados!R94),ABS(Resultados!AA94),ABS(Resultados!AJ94),ABS(Resultados!AS94),ABS(Resultados!BB94),ABS(Resultados!BK94),ABS(Resultados!CC94),ABS(Resultados!CL94)))</f>
        <v>18.490444444444439</v>
      </c>
    </row>
    <row r="95" spans="1:9" x14ac:dyDescent="0.3">
      <c r="A95">
        <f>IF(COUNT(Resultados!A95,Resultados!J95,Resultados!S95,Resultados!AB95,Resultados!AK95,Resultados!AT95,Resultados!BC95,Resultados!BU95,Resultados!CD95)=0, "", AVERAGE(ABS(Resultados!A95),ABS(Resultados!J95),ABS(Resultados!S95),ABS(Resultados!AB95),ABS(Resultados!AK95),ABS(Resultados!AT95),ABS(Resultados!BC95),ABS(Resultados!BU95),ABS(Resultados!CD95)))</f>
        <v>45681</v>
      </c>
      <c r="B95" t="str">
        <f>IF(COUNT(Resultados!B95,Resultados!K95,Resultados!T95,Resultados!AC95,Resultados!AL95,Resultados!AU95,Resultados!BD95,Resultados!BV95,Resultados!CE95)=0, "", AVERAGE(ABS(Resultados!B95),ABS(Resultados!K95),ABS(Resultados!T95),ABS(Resultados!AC95),ABS(Resultados!AL95),ABS(Resultados!AU95),ABS(Resultados!BD95),ABS(Resultados!BV95),ABS(Resultados!CE95)))</f>
        <v/>
      </c>
      <c r="C95">
        <f>IF(COUNT(Resultados!C95,Resultados!L95,Resultados!U95,Resultados!AD95,Resultados!AM95,Resultados!AV95,Resultados!BE95,Resultados!BW95,Resultados!CF95)=0, "", AVERAGE(ABS(Resultados!C95),ABS(Resultados!L95),ABS(Resultados!U95),ABS(Resultados!AD95),ABS(Resultados!AM95),ABS(Resultados!AV95),ABS(Resultados!BE95),ABS(Resultados!BW95),ABS(Resultados!CF95)))</f>
        <v>4.1111111111111107</v>
      </c>
      <c r="D95">
        <f>IF(COUNT(Resultados!D95,Resultados!M95,Resultados!V95,Resultados!AE95,Resultados!AN95,Resultados!AW95,Resultados!BF95,Resultados!BX95,Resultados!CG95)=0, "", AVERAGE(ABS(Resultados!D95),ABS(Resultados!M95),ABS(Resultados!V95),ABS(Resultados!AE95),ABS(Resultados!AN95),ABS(Resultados!AW95),ABS(Resultados!BF95),ABS(Resultados!BX95),ABS(Resultados!CG95)))</f>
        <v>2.1888888888888891E-3</v>
      </c>
      <c r="E95">
        <f>IF(COUNT(Resultados!E95,Resultados!N95,Resultados!W95,Resultados!AF95,Resultados!AO95,Resultados!AX95,Resultados!BG95,Resultados!BY95,Resultados!CH95)=0, "", AVERAGE(ABS(Resultados!E95),ABS(Resultados!N95),ABS(Resultados!W95),ABS(Resultados!AF95),ABS(Resultados!AO95),ABS(Resultados!AX95),ABS(Resultados!BG95),ABS(Resultados!BY95),ABS(Resultados!CH95)))</f>
        <v>6.1501834601329968</v>
      </c>
      <c r="F95">
        <f>IF(COUNT(Resultados!F95,Resultados!O95,Resultados!X95,Resultados!AG95,Resultados!AP95,Resultados!AY95,Resultados!BH95,Resultados!BZ95,Resultados!CI95)=0, "", AVERAGE(ABS(Resultados!F95),ABS(Resultados!O95),ABS(Resultados!X95),ABS(Resultados!AG95),ABS(Resultados!AP95),ABS(Resultados!AY95),ABS(Resultados!BH95),ABS(Resultados!BZ95),ABS(Resultados!CI95)))</f>
        <v>621.19709848439516</v>
      </c>
      <c r="G95">
        <f>IF(COUNT(Resultados!G95,Resultados!P95,Resultados!Y95,Resultados!AH95,Resultados!AQ95,Resultados!AZ95,Resultados!BI95,Resultados!CA95,Resultados!CJ95)=0, "", AVERAGE(ABS(Resultados!G95),ABS(Resultados!P95),ABS(Resultados!Y95),ABS(Resultados!AH95),ABS(Resultados!AQ95),ABS(Resultados!AZ95),ABS(Resultados!BI95),ABS(Resultados!CA95),ABS(Resultados!CJ95)))</f>
        <v>0.42399999999999999</v>
      </c>
      <c r="H95">
        <f>IF(COUNT(Resultados!H95,Resultados!Q95,Resultados!Z95,Resultados!AI95,Resultados!AR95,Resultados!BA95,Resultados!BJ95,Resultados!CB95,Resultados!CK95)=0, "", AVERAGE(ABS(Resultados!H95),ABS(Resultados!Q95),ABS(Resultados!Z95),ABS(Resultados!AI95),ABS(Resultados!AR95),ABS(Resultados!BA95),ABS(Resultados!BJ95),ABS(Resultados!CB95),ABS(Resultados!CK95)))</f>
        <v>2.4000000000000002E-3</v>
      </c>
      <c r="I95">
        <f>IF(COUNT(Resultados!I95,Resultados!R95,Resultados!AA95,Resultados!AJ95,Resultados!AS95,Resultados!BB95,Resultados!BK95,Resultados!CC95,Resultados!CL95)=0, "", AVERAGE(ABS(Resultados!I95),ABS(Resultados!R95),ABS(Resultados!AA95),ABS(Resultados!AJ95),ABS(Resultados!AS95),ABS(Resultados!BB95),ABS(Resultados!BK95),ABS(Resultados!CC95),ABS(Resultados!CL95)))</f>
        <v>18.689911111111108</v>
      </c>
    </row>
    <row r="96" spans="1:9" x14ac:dyDescent="0.3">
      <c r="A96">
        <f>IF(COUNT(Resultados!A96,Resultados!J96,Resultados!S96,Resultados!AB96,Resultados!AK96,Resultados!AT96,Resultados!BC96,Resultados!BU96,Resultados!CD96)=0, "", AVERAGE(ABS(Resultados!A96),ABS(Resultados!J96),ABS(Resultados!S96),ABS(Resultados!AB96),ABS(Resultados!AK96),ABS(Resultados!AT96),ABS(Resultados!BC96),ABS(Resultados!BU96),ABS(Resultados!CD96)))</f>
        <v>45681</v>
      </c>
      <c r="B96" t="str">
        <f>IF(COUNT(Resultados!B96,Resultados!K96,Resultados!T96,Resultados!AC96,Resultados!AL96,Resultados!AU96,Resultados!BD96,Resultados!BV96,Resultados!CE96)=0, "", AVERAGE(ABS(Resultados!B96),ABS(Resultados!K96),ABS(Resultados!T96),ABS(Resultados!AC96),ABS(Resultados!AL96),ABS(Resultados!AU96),ABS(Resultados!BD96),ABS(Resultados!BV96),ABS(Resultados!CE96)))</f>
        <v/>
      </c>
      <c r="C96">
        <f>IF(COUNT(Resultados!C96,Resultados!L96,Resultados!U96,Resultados!AD96,Resultados!AM96,Resultados!AV96,Resultados!BE96,Resultados!BW96,Resultados!CF96)=0, "", AVERAGE(ABS(Resultados!C96),ABS(Resultados!L96),ABS(Resultados!U96),ABS(Resultados!AD96),ABS(Resultados!AM96),ABS(Resultados!AV96),ABS(Resultados!BE96),ABS(Resultados!BW96),ABS(Resultados!CF96)))</f>
        <v>4.1111111111111107</v>
      </c>
      <c r="D96">
        <f>IF(COUNT(Resultados!D96,Resultados!M96,Resultados!V96,Resultados!AE96,Resultados!AN96,Resultados!AW96,Resultados!BF96,Resultados!BX96,Resultados!CG96)=0, "", AVERAGE(ABS(Resultados!D96),ABS(Resultados!M96),ABS(Resultados!V96),ABS(Resultados!AE96),ABS(Resultados!AN96),ABS(Resultados!AW96),ABS(Resultados!BF96),ABS(Resultados!BX96),ABS(Resultados!CG96)))</f>
        <v>2.0333333333333332E-3</v>
      </c>
      <c r="E96">
        <f>IF(COUNT(Resultados!E96,Resultados!N96,Resultados!W96,Resultados!AF96,Resultados!AO96,Resultados!AX96,Resultados!BG96,Resultados!BY96,Resultados!CH96)=0, "", AVERAGE(ABS(Resultados!E96),ABS(Resultados!N96),ABS(Resultados!W96),ABS(Resultados!AF96),ABS(Resultados!AO96),ABS(Resultados!AX96),ABS(Resultados!BG96),ABS(Resultados!BY96),ABS(Resultados!CH96)))</f>
        <v>6.1251053118504268</v>
      </c>
      <c r="F96">
        <f>IF(COUNT(Resultados!F96,Resultados!O96,Resultados!X96,Resultados!AG96,Resultados!AP96,Resultados!AY96,Resultados!BH96,Resultados!BZ96,Resultados!CI96)=0, "", AVERAGE(ABS(Resultados!F96),ABS(Resultados!O96),ABS(Resultados!X96),ABS(Resultados!AG96),ABS(Resultados!AP96),ABS(Resultados!AY96),ABS(Resultados!BH96),ABS(Resultados!BZ96),ABS(Resultados!CI96)))</f>
        <v>618.85981506445978</v>
      </c>
      <c r="G96">
        <f>IF(COUNT(Resultados!G96,Resultados!P96,Resultados!Y96,Resultados!AH96,Resultados!AQ96,Resultados!AZ96,Resultados!BI96,Resultados!CA96,Resultados!CJ96)=0, "", AVERAGE(ABS(Resultados!G96),ABS(Resultados!P96),ABS(Resultados!Y96),ABS(Resultados!AH96),ABS(Resultados!AQ96),ABS(Resultados!AZ96),ABS(Resultados!BI96),ABS(Resultados!CA96),ABS(Resultados!CJ96)))</f>
        <v>0.42399999999999999</v>
      </c>
      <c r="H96">
        <f>IF(COUNT(Resultados!H96,Resultados!Q96,Resultados!Z96,Resultados!AI96,Resultados!AR96,Resultados!BA96,Resultados!BJ96,Resultados!CB96,Resultados!CK96)=0, "", AVERAGE(ABS(Resultados!H96),ABS(Resultados!Q96),ABS(Resultados!Z96),ABS(Resultados!AI96),ABS(Resultados!AR96),ABS(Resultados!BA96),ABS(Resultados!BJ96),ABS(Resultados!CB96),ABS(Resultados!CK96)))</f>
        <v>2.0111111111111111E-3</v>
      </c>
      <c r="I96">
        <f>IF(COUNT(Resultados!I96,Resultados!R96,Resultados!AA96,Resultados!AJ96,Resultados!AS96,Resultados!BB96,Resultados!BK96,Resultados!CC96,Resultados!CL96)=0, "", AVERAGE(ABS(Resultados!I96),ABS(Resultados!R96),ABS(Resultados!AA96),ABS(Resultados!AJ96),ABS(Resultados!AS96),ABS(Resultados!BB96),ABS(Resultados!BK96),ABS(Resultados!CC96),ABS(Resultados!CL96)))</f>
        <v>18.889633333333325</v>
      </c>
    </row>
    <row r="97" spans="1:9" x14ac:dyDescent="0.3">
      <c r="A97">
        <f>IF(COUNT(Resultados!A97,Resultados!J97,Resultados!S97,Resultados!AB97,Resultados!AK97,Resultados!AT97,Resultados!BC97,Resultados!BU97,Resultados!CD97)=0, "", AVERAGE(ABS(Resultados!A97),ABS(Resultados!J97),ABS(Resultados!S97),ABS(Resultados!AB97),ABS(Resultados!AK97),ABS(Resultados!AT97),ABS(Resultados!BC97),ABS(Resultados!BU97),ABS(Resultados!CD97)))</f>
        <v>45681</v>
      </c>
      <c r="B97" t="str">
        <f>IF(COUNT(Resultados!B97,Resultados!K97,Resultados!T97,Resultados!AC97,Resultados!AL97,Resultados!AU97,Resultados!BD97,Resultados!BV97,Resultados!CE97)=0, "", AVERAGE(ABS(Resultados!B97),ABS(Resultados!K97),ABS(Resultados!T97),ABS(Resultados!AC97),ABS(Resultados!AL97),ABS(Resultados!AU97),ABS(Resultados!BD97),ABS(Resultados!BV97),ABS(Resultados!CE97)))</f>
        <v/>
      </c>
      <c r="C97">
        <f>IF(COUNT(Resultados!C97,Resultados!L97,Resultados!U97,Resultados!AD97,Resultados!AM97,Resultados!AV97,Resultados!BE97,Resultados!BW97,Resultados!CF97)=0, "", AVERAGE(ABS(Resultados!C97),ABS(Resultados!L97),ABS(Resultados!U97),ABS(Resultados!AD97),ABS(Resultados!AM97),ABS(Resultados!AV97),ABS(Resultados!BE97),ABS(Resultados!BW97),ABS(Resultados!CF97)))</f>
        <v>4.1111111111111107</v>
      </c>
      <c r="D97">
        <f>IF(COUNT(Resultados!D97,Resultados!M97,Resultados!V97,Resultados!AE97,Resultados!AN97,Resultados!AW97,Resultados!BF97,Resultados!BX97,Resultados!CG97)=0, "", AVERAGE(ABS(Resultados!D97),ABS(Resultados!M97),ABS(Resultados!V97),ABS(Resultados!AE97),ABS(Resultados!AN97),ABS(Resultados!AW97),ABS(Resultados!BF97),ABS(Resultados!BX97),ABS(Resultados!CG97)))</f>
        <v>2.0777777777777778E-3</v>
      </c>
      <c r="E97">
        <f>IF(COUNT(Resultados!E97,Resultados!N97,Resultados!W97,Resultados!AF97,Resultados!AO97,Resultados!AX97,Resultados!BG97,Resultados!BY97,Resultados!CH97)=0, "", AVERAGE(ABS(Resultados!E97),ABS(Resultados!N97),ABS(Resultados!W97),ABS(Resultados!AF97),ABS(Resultados!AO97),ABS(Resultados!AX97),ABS(Resultados!BG97),ABS(Resultados!BY97),ABS(Resultados!CH97)))</f>
        <v>6.1077361027662693</v>
      </c>
      <c r="F97">
        <f>IF(COUNT(Resultados!F97,Resultados!O97,Resultados!X97,Resultados!AG97,Resultados!AP97,Resultados!AY97,Resultados!BH97,Resultados!BZ97,Resultados!CI97)=0, "", AVERAGE(ABS(Resultados!F97),ABS(Resultados!O97),ABS(Resultados!X97),ABS(Resultados!AG97),ABS(Resultados!AP97),ABS(Resultados!AY97),ABS(Resultados!BH97),ABS(Resultados!BZ97),ABS(Resultados!CI97)))</f>
        <v>628.60348107837149</v>
      </c>
      <c r="G97">
        <f>IF(COUNT(Resultados!G97,Resultados!P97,Resultados!Y97,Resultados!AH97,Resultados!AQ97,Resultados!AZ97,Resultados!BI97,Resultados!CA97,Resultados!CJ97)=0, "", AVERAGE(ABS(Resultados!G97),ABS(Resultados!P97),ABS(Resultados!Y97),ABS(Resultados!AH97),ABS(Resultados!AQ97),ABS(Resultados!AZ97),ABS(Resultados!BI97),ABS(Resultados!CA97),ABS(Resultados!CJ97)))</f>
        <v>0.42399999999999999</v>
      </c>
      <c r="H97">
        <f>IF(COUNT(Resultados!H97,Resultados!Q97,Resultados!Z97,Resultados!AI97,Resultados!AR97,Resultados!BA97,Resultados!BJ97,Resultados!CB97,Resultados!CK97)=0, "", AVERAGE(ABS(Resultados!H97),ABS(Resultados!Q97),ABS(Resultados!Z97),ABS(Resultados!AI97),ABS(Resultados!AR97),ABS(Resultados!BA97),ABS(Resultados!BJ97),ABS(Resultados!CB97),ABS(Resultados!CK97)))</f>
        <v>1.7333333333333333E-3</v>
      </c>
      <c r="I97">
        <f>IF(COUNT(Resultados!I97,Resultados!R97,Resultados!AA97,Resultados!AJ97,Resultados!AS97,Resultados!BB97,Resultados!BK97,Resultados!CC97,Resultados!CL97)=0, "", AVERAGE(ABS(Resultados!I97),ABS(Resultados!R97),ABS(Resultados!AA97),ABS(Resultados!AJ97),ABS(Resultados!AS97),ABS(Resultados!BB97),ABS(Resultados!BK97),ABS(Resultados!CC97),ABS(Resultados!CL97)))</f>
        <v>19.089855555555559</v>
      </c>
    </row>
    <row r="98" spans="1:9" x14ac:dyDescent="0.3">
      <c r="A98">
        <f>IF(COUNT(Resultados!A98,Resultados!J98,Resultados!S98,Resultados!AB98,Resultados!AK98,Resultados!AT98,Resultados!BC98,Resultados!BU98,Resultados!CD98)=0, "", AVERAGE(ABS(Resultados!A98),ABS(Resultados!J98),ABS(Resultados!S98),ABS(Resultados!AB98),ABS(Resultados!AK98),ABS(Resultados!AT98),ABS(Resultados!BC98),ABS(Resultados!BU98),ABS(Resultados!CD98)))</f>
        <v>45681</v>
      </c>
      <c r="B98" t="str">
        <f>IF(COUNT(Resultados!B98,Resultados!K98,Resultados!T98,Resultados!AC98,Resultados!AL98,Resultados!AU98,Resultados!BD98,Resultados!BV98,Resultados!CE98)=0, "", AVERAGE(ABS(Resultados!B98),ABS(Resultados!K98),ABS(Resultados!T98),ABS(Resultados!AC98),ABS(Resultados!AL98),ABS(Resultados!AU98),ABS(Resultados!BD98),ABS(Resultados!BV98),ABS(Resultados!CE98)))</f>
        <v/>
      </c>
      <c r="C98">
        <f>IF(COUNT(Resultados!C98,Resultados!L98,Resultados!U98,Resultados!AD98,Resultados!AM98,Resultados!AV98,Resultados!BE98,Resultados!BW98,Resultados!CF98)=0, "", AVERAGE(ABS(Resultados!C98),ABS(Resultados!L98),ABS(Resultados!U98),ABS(Resultados!AD98),ABS(Resultados!AM98),ABS(Resultados!AV98),ABS(Resultados!BE98),ABS(Resultados!BW98),ABS(Resultados!CF98)))</f>
        <v>4.1111111111111107</v>
      </c>
      <c r="D98">
        <f>IF(COUNT(Resultados!D98,Resultados!M98,Resultados!V98,Resultados!AE98,Resultados!AN98,Resultados!AW98,Resultados!BF98,Resultados!BX98,Resultados!CG98)=0, "", AVERAGE(ABS(Resultados!D98),ABS(Resultados!M98),ABS(Resultados!V98),ABS(Resultados!AE98),ABS(Resultados!AN98),ABS(Resultados!AW98),ABS(Resultados!BF98),ABS(Resultados!BX98),ABS(Resultados!CG98)))</f>
        <v>1.9444444444444442E-3</v>
      </c>
      <c r="E98">
        <f>IF(COUNT(Resultados!E98,Resultados!N98,Resultados!W98,Resultados!AF98,Resultados!AO98,Resultados!AX98,Resultados!BG98,Resultados!BY98,Resultados!CH98)=0, "", AVERAGE(ABS(Resultados!E98),ABS(Resultados!N98),ABS(Resultados!W98),ABS(Resultados!AF98),ABS(Resultados!AO98),ABS(Resultados!AX98),ABS(Resultados!BG98),ABS(Resultados!BY98),ABS(Resultados!CH98)))</f>
        <v>6.0872200747475755</v>
      </c>
      <c r="F98">
        <f>IF(COUNT(Resultados!F98,Resultados!O98,Resultados!X98,Resultados!AG98,Resultados!AP98,Resultados!AY98,Resultados!BH98,Resultados!BZ98,Resultados!CI98)=0, "", AVERAGE(ABS(Resultados!F98),ABS(Resultados!O98),ABS(Resultados!X98),ABS(Resultados!AG98),ABS(Resultados!AP98),ABS(Resultados!AY98),ABS(Resultados!BH98),ABS(Resultados!BZ98),ABS(Resultados!CI98)))</f>
        <v>615.32891096647404</v>
      </c>
      <c r="G98">
        <f>IF(COUNT(Resultados!G98,Resultados!P98,Resultados!Y98,Resultados!AH98,Resultados!AQ98,Resultados!AZ98,Resultados!BI98,Resultados!CA98,Resultados!CJ98)=0, "", AVERAGE(ABS(Resultados!G98),ABS(Resultados!P98),ABS(Resultados!Y98),ABS(Resultados!AH98),ABS(Resultados!AQ98),ABS(Resultados!AZ98),ABS(Resultados!BI98),ABS(Resultados!CA98),ABS(Resultados!CJ98)))</f>
        <v>0.42399999999999999</v>
      </c>
      <c r="H98">
        <f>IF(COUNT(Resultados!H98,Resultados!Q98,Resultados!Z98,Resultados!AI98,Resultados!AR98,Resultados!BA98,Resultados!BJ98,Resultados!CB98,Resultados!CK98)=0, "", AVERAGE(ABS(Resultados!H98),ABS(Resultados!Q98),ABS(Resultados!Z98),ABS(Resultados!AI98),ABS(Resultados!AR98),ABS(Resultados!BA98),ABS(Resultados!BJ98),ABS(Resultados!CB98),ABS(Resultados!CK98)))</f>
        <v>1.4444444444444446E-3</v>
      </c>
      <c r="I98">
        <f>IF(COUNT(Resultados!I98,Resultados!R98,Resultados!AA98,Resultados!AJ98,Resultados!AS98,Resultados!BB98,Resultados!BK98,Resultados!CC98,Resultados!CL98)=0, "", AVERAGE(ABS(Resultados!I98),ABS(Resultados!R98),ABS(Resultados!AA98),ABS(Resultados!AJ98),ABS(Resultados!AS98),ABS(Resultados!BB98),ABS(Resultados!BK98),ABS(Resultados!CC98),ABS(Resultados!CL98)))</f>
        <v>19.290011111111106</v>
      </c>
    </row>
    <row r="99" spans="1:9" x14ac:dyDescent="0.3">
      <c r="A99">
        <f>IF(COUNT(Resultados!A99,Resultados!J99,Resultados!S99,Resultados!AB99,Resultados!AK99,Resultados!AT99,Resultados!BC99,Resultados!BU99,Resultados!CD99)=0, "", AVERAGE(ABS(Resultados!A99),ABS(Resultados!J99),ABS(Resultados!S99),ABS(Resultados!AB99),ABS(Resultados!AK99),ABS(Resultados!AT99),ABS(Resultados!BC99),ABS(Resultados!BU99),ABS(Resultados!CD99)))</f>
        <v>45681</v>
      </c>
      <c r="B99" t="str">
        <f>IF(COUNT(Resultados!B99,Resultados!K99,Resultados!T99,Resultados!AC99,Resultados!AL99,Resultados!AU99,Resultados!BD99,Resultados!BV99,Resultados!CE99)=0, "", AVERAGE(ABS(Resultados!B99),ABS(Resultados!K99),ABS(Resultados!T99),ABS(Resultados!AC99),ABS(Resultados!AL99),ABS(Resultados!AU99),ABS(Resultados!BD99),ABS(Resultados!BV99),ABS(Resultados!CE99)))</f>
        <v/>
      </c>
      <c r="C99">
        <f>IF(COUNT(Resultados!C99,Resultados!L99,Resultados!U99,Resultados!AD99,Resultados!AM99,Resultados!AV99,Resultados!BE99,Resultados!BW99,Resultados!CF99)=0, "", AVERAGE(ABS(Resultados!C99),ABS(Resultados!L99),ABS(Resultados!U99),ABS(Resultados!AD99),ABS(Resultados!AM99),ABS(Resultados!AV99),ABS(Resultados!BE99),ABS(Resultados!BW99),ABS(Resultados!CF99)))</f>
        <v>4.1111111111111107</v>
      </c>
      <c r="D99">
        <f>IF(COUNT(Resultados!D99,Resultados!M99,Resultados!V99,Resultados!AE99,Resultados!AN99,Resultados!AW99,Resultados!BF99,Resultados!BX99,Resultados!CG99)=0, "", AVERAGE(ABS(Resultados!D99),ABS(Resultados!M99),ABS(Resultados!V99),ABS(Resultados!AE99),ABS(Resultados!AN99),ABS(Resultados!AW99),ABS(Resultados!BF99),ABS(Resultados!BX99),ABS(Resultados!CG99)))</f>
        <v>1.988888888888889E-3</v>
      </c>
      <c r="E99">
        <f>IF(COUNT(Resultados!E99,Resultados!N99,Resultados!W99,Resultados!AF99,Resultados!AO99,Resultados!AX99,Resultados!BG99,Resultados!BY99,Resultados!CH99)=0, "", AVERAGE(ABS(Resultados!E99),ABS(Resultados!N99),ABS(Resultados!W99),ABS(Resultados!AF99),ABS(Resultados!AO99),ABS(Resultados!AX99),ABS(Resultados!BG99),ABS(Resultados!BY99),ABS(Resultados!CH99)))</f>
        <v>6.0709000388894498</v>
      </c>
      <c r="F99">
        <f>IF(COUNT(Resultados!F99,Resultados!O99,Resultados!X99,Resultados!AG99,Resultados!AP99,Resultados!AY99,Resultados!BH99,Resultados!BZ99,Resultados!CI99)=0, "", AVERAGE(ABS(Resultados!F99),ABS(Resultados!O99),ABS(Resultados!X99),ABS(Resultados!AG99),ABS(Resultados!AP99),ABS(Resultados!AY99),ABS(Resultados!BH99),ABS(Resultados!BZ99),ABS(Resultados!CI99)))</f>
        <v>613.80788362449687</v>
      </c>
      <c r="G99">
        <f>IF(COUNT(Resultados!G99,Resultados!P99,Resultados!Y99,Resultados!AH99,Resultados!AQ99,Resultados!AZ99,Resultados!BI99,Resultados!CA99,Resultados!CJ99)=0, "", AVERAGE(ABS(Resultados!G99),ABS(Resultados!P99),ABS(Resultados!Y99),ABS(Resultados!AH99),ABS(Resultados!AQ99),ABS(Resultados!AZ99),ABS(Resultados!BI99),ABS(Resultados!CA99),ABS(Resultados!CJ99)))</f>
        <v>0.42399999999999999</v>
      </c>
      <c r="H99">
        <f>IF(COUNT(Resultados!H99,Resultados!Q99,Resultados!Z99,Resultados!AI99,Resultados!AR99,Resultados!BA99,Resultados!BJ99,Resultados!CB99,Resultados!CK99)=0, "", AVERAGE(ABS(Resultados!H99),ABS(Resultados!Q99),ABS(Resultados!Z99),ABS(Resultados!AI99),ABS(Resultados!AR99),ABS(Resultados!BA99),ABS(Resultados!BJ99),ABS(Resultados!CB99),ABS(Resultados!CK99)))</f>
        <v>1.1888888888888889E-3</v>
      </c>
      <c r="I99">
        <f>IF(COUNT(Resultados!I99,Resultados!R99,Resultados!AA99,Resultados!AJ99,Resultados!AS99,Resultados!BB99,Resultados!BK99,Resultados!CC99,Resultados!CL99)=0, "", AVERAGE(ABS(Resultados!I99),ABS(Resultados!R99),ABS(Resultados!AA99),ABS(Resultados!AJ99),ABS(Resultados!AS99),ABS(Resultados!BB99),ABS(Resultados!BK99),ABS(Resultados!CC99),ABS(Resultados!CL99)))</f>
        <v>19.490011111111102</v>
      </c>
    </row>
    <row r="100" spans="1:9" x14ac:dyDescent="0.3">
      <c r="A100">
        <f>IF(COUNT(Resultados!A100,Resultados!J100,Resultados!S100,Resultados!AB100,Resultados!AK100,Resultados!AT100,Resultados!BC100,Resultados!BU100,Resultados!CD100)=0, "", AVERAGE(ABS(Resultados!A100),ABS(Resultados!J100),ABS(Resultados!S100),ABS(Resultados!AB100),ABS(Resultados!AK100),ABS(Resultados!AT100),ABS(Resultados!BC100),ABS(Resultados!BU100),ABS(Resultados!CD100)))</f>
        <v>45681</v>
      </c>
      <c r="B100" t="str">
        <f>IF(COUNT(Resultados!B100,Resultados!K100,Resultados!T100,Resultados!AC100,Resultados!AL100,Resultados!AU100,Resultados!BD100,Resultados!BV100,Resultados!CE100)=0, "", AVERAGE(ABS(Resultados!B100),ABS(Resultados!K100),ABS(Resultados!T100),ABS(Resultados!AC100),ABS(Resultados!AL100),ABS(Resultados!AU100),ABS(Resultados!BD100),ABS(Resultados!BV100),ABS(Resultados!CE100)))</f>
        <v/>
      </c>
      <c r="C100">
        <f>IF(COUNT(Resultados!C100,Resultados!L100,Resultados!U100,Resultados!AD100,Resultados!AM100,Resultados!AV100,Resultados!BE100,Resultados!BW100,Resultados!CF100)=0, "", AVERAGE(ABS(Resultados!C100),ABS(Resultados!L100),ABS(Resultados!U100),ABS(Resultados!AD100),ABS(Resultados!AM100),ABS(Resultados!AV100),ABS(Resultados!BE100),ABS(Resultados!BW100),ABS(Resultados!CF100)))</f>
        <v>4.1111111111111107</v>
      </c>
      <c r="D100">
        <f>IF(COUNT(Resultados!D100,Resultados!M100,Resultados!V100,Resultados!AE100,Resultados!AN100,Resultados!AW100,Resultados!BF100,Resultados!BX100,Resultados!CG100)=0, "", AVERAGE(ABS(Resultados!D100),ABS(Resultados!M100),ABS(Resultados!V100),ABS(Resultados!AE100),ABS(Resultados!AN100),ABS(Resultados!AW100),ABS(Resultados!BF100),ABS(Resultados!BX100),ABS(Resultados!CG100)))</f>
        <v>2.1555555555555551E-3</v>
      </c>
      <c r="E100">
        <f>IF(COUNT(Resultados!E100,Resultados!N100,Resultados!W100,Resultados!AF100,Resultados!AO100,Resultados!AX100,Resultados!BG100,Resultados!BY100,Resultados!CH100)=0, "", AVERAGE(ABS(Resultados!E100),ABS(Resultados!N100),ABS(Resultados!W100),ABS(Resultados!AF100),ABS(Resultados!AO100),ABS(Resultados!AX100),ABS(Resultados!BG100),ABS(Resultados!BY100),ABS(Resultados!CH100)))</f>
        <v>6.0584457894993715</v>
      </c>
      <c r="F100">
        <f>IF(COUNT(Resultados!F100,Resultados!O100,Resultados!X100,Resultados!AG100,Resultados!AP100,Resultados!AY100,Resultados!BH100,Resultados!BZ100,Resultados!CI100)=0, "", AVERAGE(ABS(Resultados!F100),ABS(Resultados!O100),ABS(Resultados!X100),ABS(Resultados!AG100),ABS(Resultados!AP100),ABS(Resultados!AY100),ABS(Resultados!BH100),ABS(Resultados!BZ100),ABS(Resultados!CI100)))</f>
        <v>624.00240292585386</v>
      </c>
      <c r="G100">
        <f>IF(COUNT(Resultados!G100,Resultados!P100,Resultados!Y100,Resultados!AH100,Resultados!AQ100,Resultados!AZ100,Resultados!BI100,Resultados!CA100,Resultados!CJ100)=0, "", AVERAGE(ABS(Resultados!G100),ABS(Resultados!P100),ABS(Resultados!Y100),ABS(Resultados!AH100),ABS(Resultados!AQ100),ABS(Resultados!AZ100),ABS(Resultados!BI100),ABS(Resultados!CA100),ABS(Resultados!CJ100)))</f>
        <v>0.42399999999999999</v>
      </c>
      <c r="H100">
        <f>IF(COUNT(Resultados!H100,Resultados!Q100,Resultados!Z100,Resultados!AI100,Resultados!AR100,Resultados!BA100,Resultados!BJ100,Resultados!CB100,Resultados!CK100)=0, "", AVERAGE(ABS(Resultados!H100),ABS(Resultados!Q100),ABS(Resultados!Z100),ABS(Resultados!AI100),ABS(Resultados!AR100),ABS(Resultados!BA100),ABS(Resultados!BJ100),ABS(Resultados!CB100),ABS(Resultados!CK100)))</f>
        <v>9.5555555555555552E-4</v>
      </c>
      <c r="I100">
        <f>IF(COUNT(Resultados!I100,Resultados!R100,Resultados!AA100,Resultados!AJ100,Resultados!AS100,Resultados!BB100,Resultados!BK100,Resultados!CC100,Resultados!CL100)=0, "", AVERAGE(ABS(Resultados!I100),ABS(Resultados!R100),ABS(Resultados!AA100),ABS(Resultados!AJ100),ABS(Resultados!AS100),ABS(Resultados!BB100),ABS(Resultados!BK100),ABS(Resultados!CC100),ABS(Resultados!CL100)))</f>
        <v>19.690311111111111</v>
      </c>
    </row>
    <row r="101" spans="1:9" x14ac:dyDescent="0.3">
      <c r="A101">
        <f>IF(COUNT(Resultados!A101,Resultados!J101,Resultados!S101,Resultados!AB101,Resultados!AK101,Resultados!AT101,Resultados!BC101,Resultados!BU101,Resultados!CD101)=0, "", AVERAGE(ABS(Resultados!A101),ABS(Resultados!J101),ABS(Resultados!S101),ABS(Resultados!AB101),ABS(Resultados!AK101),ABS(Resultados!AT101),ABS(Resultados!BC101),ABS(Resultados!BU101),ABS(Resultados!CD101)))</f>
        <v>45681</v>
      </c>
      <c r="B101" t="str">
        <f>IF(COUNT(Resultados!B101,Resultados!K101,Resultados!T101,Resultados!AC101,Resultados!AL101,Resultados!AU101,Resultados!BD101,Resultados!BV101,Resultados!CE101)=0, "", AVERAGE(ABS(Resultados!B101),ABS(Resultados!K101),ABS(Resultados!T101),ABS(Resultados!AC101),ABS(Resultados!AL101),ABS(Resultados!AU101),ABS(Resultados!BD101),ABS(Resultados!BV101),ABS(Resultados!CE101)))</f>
        <v/>
      </c>
      <c r="C101">
        <f>IF(COUNT(Resultados!C101,Resultados!L101,Resultados!U101,Resultados!AD101,Resultados!AM101,Resultados!AV101,Resultados!BE101,Resultados!BW101,Resultados!CF101)=0, "", AVERAGE(ABS(Resultados!C101),ABS(Resultados!L101),ABS(Resultados!U101),ABS(Resultados!AD101),ABS(Resultados!AM101),ABS(Resultados!AV101),ABS(Resultados!BE101),ABS(Resultados!BW101),ABS(Resultados!CF101)))</f>
        <v>4.1111111111111107</v>
      </c>
      <c r="D101">
        <f>IF(COUNT(Resultados!D101,Resultados!M101,Resultados!V101,Resultados!AE101,Resultados!AN101,Resultados!AW101,Resultados!BF101,Resultados!BX101,Resultados!CG101)=0, "", AVERAGE(ABS(Resultados!D101),ABS(Resultados!M101),ABS(Resultados!V101),ABS(Resultados!AE101),ABS(Resultados!AN101),ABS(Resultados!AW101),ABS(Resultados!BF101),ABS(Resultados!BX101),ABS(Resultados!CG101)))</f>
        <v>2.3777777777777777E-3</v>
      </c>
      <c r="E101">
        <f>IF(COUNT(Resultados!E101,Resultados!N101,Resultados!W101,Resultados!AF101,Resultados!AO101,Resultados!AX101,Resultados!BG101,Resultados!BY101,Resultados!CH101)=0, "", AVERAGE(ABS(Resultados!E101),ABS(Resultados!N101),ABS(Resultados!W101),ABS(Resultados!AF101),ABS(Resultados!AO101),ABS(Resultados!AX101),ABS(Resultados!BG101),ABS(Resultados!BY101),ABS(Resultados!CH101)))</f>
        <v>6.0506302756654167</v>
      </c>
      <c r="F101">
        <f>IF(COUNT(Resultados!F101,Resultados!O101,Resultados!X101,Resultados!AG101,Resultados!AP101,Resultados!AY101,Resultados!BH101,Resultados!BZ101,Resultados!CI101)=0, "", AVERAGE(ABS(Resultados!F101),ABS(Resultados!O101),ABS(Resultados!X101),ABS(Resultados!AG101),ABS(Resultados!AP101),ABS(Resultados!AY101),ABS(Resultados!BH101),ABS(Resultados!BZ101),ABS(Resultados!CI101)))</f>
        <v>623.27550056769905</v>
      </c>
      <c r="G101">
        <f>IF(COUNT(Resultados!G101,Resultados!P101,Resultados!Y101,Resultados!AH101,Resultados!AQ101,Resultados!AZ101,Resultados!BI101,Resultados!CA101,Resultados!CJ101)=0, "", AVERAGE(ABS(Resultados!G101),ABS(Resultados!P101),ABS(Resultados!Y101),ABS(Resultados!AH101),ABS(Resultados!AQ101),ABS(Resultados!AZ101),ABS(Resultados!BI101),ABS(Resultados!CA101),ABS(Resultados!CJ101)))</f>
        <v>0.42399999999999999</v>
      </c>
      <c r="H101">
        <f>IF(COUNT(Resultados!H101,Resultados!Q101,Resultados!Z101,Resultados!AI101,Resultados!AR101,Resultados!BA101,Resultados!BJ101,Resultados!CB101,Resultados!CK101)=0, "", AVERAGE(ABS(Resultados!H101),ABS(Resultados!Q101),ABS(Resultados!Z101),ABS(Resultados!AI101),ABS(Resultados!AR101),ABS(Resultados!BA101),ABS(Resultados!BJ101),ABS(Resultados!CB101),ABS(Resultados!CK101)))</f>
        <v>8.5555555555555547E-4</v>
      </c>
      <c r="I101">
        <f>IF(COUNT(Resultados!I101,Resultados!R101,Resultados!AA101,Resultados!AJ101,Resultados!AS101,Resultados!BB101,Resultados!BK101,Resultados!CC101,Resultados!CL101)=0, "", AVERAGE(ABS(Resultados!I101),ABS(Resultados!R101),ABS(Resultados!AA101),ABS(Resultados!AJ101),ABS(Resultados!AS101),ABS(Resultados!BB101),ABS(Resultados!BK101),ABS(Resultados!CC101),ABS(Resultados!CL101)))</f>
        <v>19.890277777777758</v>
      </c>
    </row>
    <row r="102" spans="1:9" x14ac:dyDescent="0.3">
      <c r="A102">
        <f>IF(COUNT(Resultados!A102,Resultados!J102,Resultados!S102,Resultados!AB102,Resultados!AK102,Resultados!AT102,Resultados!BC102,Resultados!BU102,Resultados!CD102)=0, "", AVERAGE(ABS(Resultados!A102),ABS(Resultados!J102),ABS(Resultados!S102),ABS(Resultados!AB102),ABS(Resultados!AK102),ABS(Resultados!AT102),ABS(Resultados!BC102),ABS(Resultados!BU102),ABS(Resultados!CD102)))</f>
        <v>45681</v>
      </c>
      <c r="B102" t="str">
        <f>IF(COUNT(Resultados!B102,Resultados!K102,Resultados!T102,Resultados!AC102,Resultados!AL102,Resultados!AU102,Resultados!BD102,Resultados!BV102,Resultados!CE102)=0, "", AVERAGE(ABS(Resultados!B102),ABS(Resultados!K102),ABS(Resultados!T102),ABS(Resultados!AC102),ABS(Resultados!AL102),ABS(Resultados!AU102),ABS(Resultados!BD102),ABS(Resultados!BV102),ABS(Resultados!CE102)))</f>
        <v/>
      </c>
      <c r="C102">
        <f>IF(COUNT(Resultados!C102,Resultados!L102,Resultados!U102,Resultados!AD102,Resultados!AM102,Resultados!AV102,Resultados!BE102,Resultados!BW102,Resultados!CF102)=0, "", AVERAGE(ABS(Resultados!C102),ABS(Resultados!L102),ABS(Resultados!U102),ABS(Resultados!AD102),ABS(Resultados!AM102),ABS(Resultados!AV102),ABS(Resultados!BE102),ABS(Resultados!BW102),ABS(Resultados!CF102)))</f>
        <v>4.1111111111111107</v>
      </c>
      <c r="D102">
        <f>IF(COUNT(Resultados!D102,Resultados!M102,Resultados!V102,Resultados!AE102,Resultados!AN102,Resultados!AW102,Resultados!BF102,Resultados!BX102,Resultados!CG102)=0, "", AVERAGE(ABS(Resultados!D102),ABS(Resultados!M102),ABS(Resultados!V102),ABS(Resultados!AE102),ABS(Resultados!AN102),ABS(Resultados!AW102),ABS(Resultados!BF102),ABS(Resultados!BX102),ABS(Resultados!CG102)))</f>
        <v>2.2777777777777774E-3</v>
      </c>
      <c r="E102">
        <f>IF(COUNT(Resultados!E102,Resultados!N102,Resultados!W102,Resultados!AF102,Resultados!AO102,Resultados!AX102,Resultados!BG102,Resultados!BY102,Resultados!CH102)=0, "", AVERAGE(ABS(Resultados!E102),ABS(Resultados!N102),ABS(Resultados!W102),ABS(Resultados!AF102),ABS(Resultados!AO102),ABS(Resultados!AX102),ABS(Resultados!BG102),ABS(Resultados!BY102),ABS(Resultados!CH102)))</f>
        <v>6.0465398983460732</v>
      </c>
      <c r="F102">
        <f>IF(COUNT(Resultados!F102,Resultados!O102,Resultados!X102,Resultados!AG102,Resultados!AP102,Resultados!AY102,Resultados!BH102,Resultados!BZ102,Resultados!CI102)=0, "", AVERAGE(ABS(Resultados!F102),ABS(Resultados!O102),ABS(Resultados!X102),ABS(Resultados!AG102),ABS(Resultados!AP102),ABS(Resultados!AY102),ABS(Resultados!BH102),ABS(Resultados!BZ102),ABS(Resultados!CI102)))</f>
        <v>679.67300993347715</v>
      </c>
      <c r="G102">
        <f>IF(COUNT(Resultados!G102,Resultados!P102,Resultados!Y102,Resultados!AH102,Resultados!AQ102,Resultados!AZ102,Resultados!BI102,Resultados!CA102,Resultados!CJ102)=0, "", AVERAGE(ABS(Resultados!G102),ABS(Resultados!P102),ABS(Resultados!Y102),ABS(Resultados!AH102),ABS(Resultados!AQ102),ABS(Resultados!AZ102),ABS(Resultados!BI102),ABS(Resultados!CA102),ABS(Resultados!CJ102)))</f>
        <v>0.42399999999999999</v>
      </c>
      <c r="H102">
        <f>IF(COUNT(Resultados!H102,Resultados!Q102,Resultados!Z102,Resultados!AI102,Resultados!AR102,Resultados!BA102,Resultados!BJ102,Resultados!CB102,Resultados!CK102)=0, "", AVERAGE(ABS(Resultados!H102),ABS(Resultados!Q102),ABS(Resultados!Z102),ABS(Resultados!AI102),ABS(Resultados!AR102),ABS(Resultados!BA102),ABS(Resultados!BJ102),ABS(Resultados!CB102),ABS(Resultados!CK102)))</f>
        <v>7.6666666666666669E-4</v>
      </c>
      <c r="I102">
        <f>IF(COUNT(Resultados!I102,Resultados!R102,Resultados!AA102,Resultados!AJ102,Resultados!AS102,Resultados!BB102,Resultados!BK102,Resultados!CC102,Resultados!CL102)=0, "", AVERAGE(ABS(Resultados!I102),ABS(Resultados!R102),ABS(Resultados!AA102),ABS(Resultados!AJ102),ABS(Resultados!AS102),ABS(Resultados!BB102),ABS(Resultados!BK102),ABS(Resultados!CC102),ABS(Resultados!CL102)))</f>
        <v>20.090188888888878</v>
      </c>
    </row>
    <row r="103" spans="1:9" x14ac:dyDescent="0.3">
      <c r="A103">
        <f>IF(COUNT(Resultados!A103,Resultados!J103,Resultados!S103,Resultados!AB103,Resultados!AK103,Resultados!AT103,Resultados!BC103,Resultados!BU103,Resultados!CD103)=0, "", AVERAGE(ABS(Resultados!A103),ABS(Resultados!J103),ABS(Resultados!S103),ABS(Resultados!AB103),ABS(Resultados!AK103),ABS(Resultados!AT103),ABS(Resultados!BC103),ABS(Resultados!BU103),ABS(Resultados!CD103)))</f>
        <v>45681</v>
      </c>
      <c r="B103" t="str">
        <f>IF(COUNT(Resultados!B103,Resultados!K103,Resultados!T103,Resultados!AC103,Resultados!AL103,Resultados!AU103,Resultados!BD103,Resultados!BV103,Resultados!CE103)=0, "", AVERAGE(ABS(Resultados!B103),ABS(Resultados!K103),ABS(Resultados!T103),ABS(Resultados!AC103),ABS(Resultados!AL103),ABS(Resultados!AU103),ABS(Resultados!BD103),ABS(Resultados!BV103),ABS(Resultados!CE103)))</f>
        <v/>
      </c>
      <c r="C103">
        <f>IF(COUNT(Resultados!C103,Resultados!L103,Resultados!U103,Resultados!AD103,Resultados!AM103,Resultados!AV103,Resultados!BE103,Resultados!BW103,Resultados!CF103)=0, "", AVERAGE(ABS(Resultados!C103),ABS(Resultados!L103),ABS(Resultados!U103),ABS(Resultados!AD103),ABS(Resultados!AM103),ABS(Resultados!AV103),ABS(Resultados!BE103),ABS(Resultados!BW103),ABS(Resultados!CF103)))</f>
        <v>4.1111111111111107</v>
      </c>
      <c r="D103">
        <f>IF(COUNT(Resultados!D103,Resultados!M103,Resultados!V103,Resultados!AE103,Resultados!AN103,Resultados!AW103,Resultados!BF103,Resultados!BX103,Resultados!CG103)=0, "", AVERAGE(ABS(Resultados!D103),ABS(Resultados!M103),ABS(Resultados!V103),ABS(Resultados!AE103),ABS(Resultados!AN103),ABS(Resultados!AW103),ABS(Resultados!BF103),ABS(Resultados!BX103),ABS(Resultados!CG103)))</f>
        <v>1.6999999999999997E-3</v>
      </c>
      <c r="E103">
        <f>IF(COUNT(Resultados!E103,Resultados!N103,Resultados!W103,Resultados!AF103,Resultados!AO103,Resultados!AX103,Resultados!BG103,Resultados!BY103,Resultados!CH103)=0, "", AVERAGE(ABS(Resultados!E103),ABS(Resultados!N103),ABS(Resultados!W103),ABS(Resultados!AF103),ABS(Resultados!AO103),ABS(Resultados!AX103),ABS(Resultados!BG103),ABS(Resultados!BY103),ABS(Resultados!CH103)))</f>
        <v>6.0460018146479939</v>
      </c>
      <c r="F103">
        <f>IF(COUNT(Resultados!F103,Resultados!O103,Resultados!X103,Resultados!AG103,Resultados!AP103,Resultados!AY103,Resultados!BH103,Resultados!BZ103,Resultados!CI103)=0, "", AVERAGE(ABS(Resultados!F103),ABS(Resultados!O103),ABS(Resultados!X103),ABS(Resultados!AG103),ABS(Resultados!AP103),ABS(Resultados!AY103),ABS(Resultados!BH103),ABS(Resultados!BZ103),ABS(Resultados!CI103)))</f>
        <v>679.63334593630441</v>
      </c>
      <c r="G103">
        <f>IF(COUNT(Resultados!G103,Resultados!P103,Resultados!Y103,Resultados!AH103,Resultados!AQ103,Resultados!AZ103,Resultados!BI103,Resultados!CA103,Resultados!CJ103)=0, "", AVERAGE(ABS(Resultados!G103),ABS(Resultados!P103),ABS(Resultados!Y103),ABS(Resultados!AH103),ABS(Resultados!AQ103),ABS(Resultados!AZ103),ABS(Resultados!BI103),ABS(Resultados!CA103),ABS(Resultados!CJ103)))</f>
        <v>0.42399999999999999</v>
      </c>
      <c r="H103">
        <f>IF(COUNT(Resultados!H103,Resultados!Q103,Resultados!Z103,Resultados!AI103,Resultados!AR103,Resultados!BA103,Resultados!BJ103,Resultados!CB103,Resultados!CK103)=0, "", AVERAGE(ABS(Resultados!H103),ABS(Resultados!Q103),ABS(Resultados!Z103),ABS(Resultados!AI103),ABS(Resultados!AR103),ABS(Resultados!BA103),ABS(Resultados!BJ103),ABS(Resultados!CB103),ABS(Resultados!CK103)))</f>
        <v>7.9999999999999993E-4</v>
      </c>
      <c r="I103">
        <f>IF(COUNT(Resultados!I103,Resultados!R103,Resultados!AA103,Resultados!AJ103,Resultados!AS103,Resultados!BB103,Resultados!BK103,Resultados!CC103,Resultados!CL103)=0, "", AVERAGE(ABS(Resultados!I103),ABS(Resultados!R103),ABS(Resultados!AA103),ABS(Resultados!AJ103),ABS(Resultados!AS103),ABS(Resultados!BB103),ABS(Resultados!BK103),ABS(Resultados!CC103),ABS(Resultados!CL103)))</f>
        <v>20.297911111111112</v>
      </c>
    </row>
    <row r="104" spans="1:9" x14ac:dyDescent="0.3">
      <c r="A104">
        <f>IF(COUNT(Resultados!A104,Resultados!J104,Resultados!S104,Resultados!AB104,Resultados!AK104,Resultados!AT104,Resultados!BC104,Resultados!BU104)=0, "", AVERAGE(ABS(Resultados!A104),ABS(Resultados!J104),ABS(Resultados!S104),ABS(Resultados!AB104),ABS(Resultados!AK104),ABS(Resultados!AT104),ABS(Resultados!BC104),ABS(Resultados!BU104)))</f>
        <v>45681</v>
      </c>
      <c r="B104" t="str">
        <f>IF(COUNT(Resultados!B104,Resultados!K104,Resultados!T104,Resultados!AC104,Resultados!AL104,Resultados!AU104,Resultados!BD104,Resultados!BV104)=0, "", AVERAGE(ABS(Resultados!B104),ABS(Resultados!K104),ABS(Resultados!T104),ABS(Resultados!AC104),ABS(Resultados!AL104),ABS(Resultados!AU104),ABS(Resultados!BD104),ABS(Resultados!BV104)))</f>
        <v/>
      </c>
      <c r="C104">
        <f>IF(COUNT(Resultados!C104,Resultados!L104,Resultados!U104,Resultados!AD104,Resultados!AM104,Resultados!AV104,Resultados!BE104,Resultados!BW104)=0, "", AVERAGE(ABS(Resultados!C104),ABS(Resultados!L104),ABS(Resultados!U104),ABS(Resultados!AD104),ABS(Resultados!AM104),ABS(Resultados!AV104),ABS(Resultados!BE104),ABS(Resultados!BW104)))</f>
        <v>3.75</v>
      </c>
      <c r="D104">
        <f>IF(COUNT(Resultados!D104,Resultados!M104,Resultados!V104,Resultados!AE104,Resultados!AN104,Resultados!AW104,Resultados!BF104,Resultados!BX104)=0, "", AVERAGE(ABS(Resultados!D104),ABS(Resultados!M104),ABS(Resultados!V104),ABS(Resultados!AE104),ABS(Resultados!AN104),ABS(Resultados!AW104),ABS(Resultados!BF104),ABS(Resultados!BX104)))</f>
        <v>1.4375E-3</v>
      </c>
      <c r="E104">
        <f>IF(COUNT(Resultados!E104,Resultados!N104,Resultados!W104,Resultados!AF104,Resultados!AO104,Resultados!AX104,Resultados!BG104,Resultados!BY104)=0, "", AVERAGE(ABS(Resultados!E104),ABS(Resultados!N104),ABS(Resultados!W104),ABS(Resultados!AF104),ABS(Resultados!AO104),ABS(Resultados!AX104),ABS(Resultados!BG104),ABS(Resultados!BY104)))</f>
        <v>6.0559367650617633</v>
      </c>
      <c r="F104">
        <f>IF(COUNT(Resultados!F104,Resultados!O104,Resultados!X104,Resultados!AG104,Resultados!AP104,Resultados!AY104,Resultados!BH104,Resultados!BZ104)=0, "", AVERAGE(ABS(Resultados!F104),ABS(Resultados!O104),ABS(Resultados!X104),ABS(Resultados!AG104),ABS(Resultados!AP104),ABS(Resultados!AY104),ABS(Resultados!BH104),ABS(Resultados!BZ104)))</f>
        <v>689.09543987286736</v>
      </c>
      <c r="G104">
        <f>IF(COUNT(Resultados!G104,Resultados!P104,Resultados!Y104,Resultados!AH104,Resultados!AQ104,Resultados!AZ104,Resultados!BI104,Resultados!CA104)=0, "", AVERAGE(ABS(Resultados!G104),ABS(Resultados!P104),ABS(Resultados!Y104),ABS(Resultados!AH104),ABS(Resultados!AQ104),ABS(Resultados!AZ104),ABS(Resultados!BI104),ABS(Resultados!CA104)))</f>
        <v>0.42399999999999999</v>
      </c>
      <c r="H104">
        <f>IF(COUNT(Resultados!H104,Resultados!Q104,Resultados!Z104,Resultados!AI104,Resultados!AR104,Resultados!BA104,Resultados!BJ104,Resultados!CB104)=0, "", AVERAGE(ABS(Resultados!H104),ABS(Resultados!Q104),ABS(Resultados!Z104),ABS(Resultados!AI104),ABS(Resultados!AR104),ABS(Resultados!BA104),ABS(Resultados!BJ104),ABS(Resultados!CB104)))</f>
        <v>9.3750000000000007E-4</v>
      </c>
      <c r="I104">
        <f>IF(COUNT(Resultados!I104,Resultados!R104,Resultados!AA104,Resultados!AJ104,Resultados!AS104,Resultados!BB104,Resultados!BK104,Resultados!CC104)=0, "", AVERAGE(ABS(Resultados!I104),ABS(Resultados!R104),ABS(Resultados!AA104),ABS(Resultados!AJ104),ABS(Resultados!AS104),ABS(Resultados!BB104),ABS(Resultados!BK104),ABS(Resultados!CC104)))</f>
        <v>20.501062499999986</v>
      </c>
    </row>
    <row r="105" spans="1:9" x14ac:dyDescent="0.3">
      <c r="A105">
        <f>IF(COUNT(Resultados!A105,Resultados!J105,Resultados!S105,Resultados!AB105,Resultados!AK105,Resultados!AT105,Resultados!BC105,Resultados!BU105)=0, "", AVERAGE(ABS(Resultados!A105),ABS(Resultados!J105),ABS(Resultados!S105),ABS(Resultados!AB105),ABS(Resultados!AK105),ABS(Resultados!AT105),ABS(Resultados!BC105),ABS(Resultados!BU105)))</f>
        <v>45681</v>
      </c>
      <c r="B105" t="str">
        <f>IF(COUNT(Resultados!B105,Resultados!K105,Resultados!T105,Resultados!AC105,Resultados!AL105,Resultados!AU105,Resultados!BD105,Resultados!BV105)=0, "", AVERAGE(ABS(Resultados!B105),ABS(Resultados!K105),ABS(Resultados!T105),ABS(Resultados!AC105),ABS(Resultados!AL105),ABS(Resultados!AU105),ABS(Resultados!BD105),ABS(Resultados!BV105)))</f>
        <v/>
      </c>
      <c r="C105">
        <f>IF(COUNT(Resultados!C105,Resultados!L105,Resultados!U105,Resultados!AD105,Resultados!AM105,Resultados!AV105,Resultados!BE105,Resultados!BW105)=0, "", AVERAGE(ABS(Resultados!C105),ABS(Resultados!L105),ABS(Resultados!U105),ABS(Resultados!AD105),ABS(Resultados!AM105),ABS(Resultados!AV105),ABS(Resultados!BE105),ABS(Resultados!BW105)))</f>
        <v>3.75</v>
      </c>
      <c r="D105">
        <f>IF(COUNT(Resultados!D105,Resultados!M105,Resultados!V105,Resultados!AE105,Resultados!AN105,Resultados!AW105,Resultados!BF105,Resultados!BX105)=0, "", AVERAGE(ABS(Resultados!D105),ABS(Resultados!M105),ABS(Resultados!V105),ABS(Resultados!AE105),ABS(Resultados!AN105),ABS(Resultados!AW105),ABS(Resultados!BF105),ABS(Resultados!BX105)))</f>
        <v>1.075E-3</v>
      </c>
      <c r="E105">
        <f>IF(COUNT(Resultados!E105,Resultados!N105,Resultados!W105,Resultados!AF105,Resultados!AO105,Resultados!AX105,Resultados!BG105,Resultados!BY105)=0, "", AVERAGE(ABS(Resultados!E105),ABS(Resultados!N105),ABS(Resultados!W105),ABS(Resultados!AF105),ABS(Resultados!AO105),ABS(Resultados!AX105),ABS(Resultados!BG105),ABS(Resultados!BY105)))</f>
        <v>6.0635881040427977</v>
      </c>
      <c r="F105">
        <f>IF(COUNT(Resultados!F105,Resultados!O105,Resultados!X105,Resultados!AG105,Resultados!AP105,Resultados!AY105,Resultados!BH105,Resultados!BZ105)=0, "", AVERAGE(ABS(Resultados!F105),ABS(Resultados!O105),ABS(Resultados!X105),ABS(Resultados!AG105),ABS(Resultados!AP105),ABS(Resultados!AY105),ABS(Resultados!BH105),ABS(Resultados!BZ105)))</f>
        <v>689.83256030019709</v>
      </c>
      <c r="G105">
        <f>IF(COUNT(Resultados!G105,Resultados!P105,Resultados!Y105,Resultados!AH105,Resultados!AQ105,Resultados!AZ105,Resultados!BI105,Resultados!CA105)=0, "", AVERAGE(ABS(Resultados!G105),ABS(Resultados!P105),ABS(Resultados!Y105),ABS(Resultados!AH105),ABS(Resultados!AQ105),ABS(Resultados!AZ105),ABS(Resultados!BI105),ABS(Resultados!CA105)))</f>
        <v>0.42399999999999999</v>
      </c>
      <c r="H105">
        <f>IF(COUNT(Resultados!H105,Resultados!Q105,Resultados!Z105,Resultados!AI105,Resultados!AR105,Resultados!BA105,Resultados!BJ105,Resultados!CB105)=0, "", AVERAGE(ABS(Resultados!H105),ABS(Resultados!Q105),ABS(Resultados!Z105),ABS(Resultados!AI105),ABS(Resultados!AR105),ABS(Resultados!BA105),ABS(Resultados!BJ105),ABS(Resultados!CB105)))</f>
        <v>1.0625000000000001E-3</v>
      </c>
      <c r="I105">
        <f>IF(COUNT(Resultados!I105,Resultados!R105,Resultados!AA105,Resultados!AJ105,Resultados!AS105,Resultados!BB105,Resultados!BK105,Resultados!CC105)=0, "", AVERAGE(ABS(Resultados!I105),ABS(Resultados!R105),ABS(Resultados!AA105),ABS(Resultados!AJ105),ABS(Resultados!AS105),ABS(Resultados!BB105),ABS(Resultados!BK105),ABS(Resultados!CC105)))</f>
        <v>20.702324999999988</v>
      </c>
    </row>
    <row r="106" spans="1:9" x14ac:dyDescent="0.3">
      <c r="A106">
        <f>IF(COUNT(Resultados!A106,Resultados!J106,Resultados!S106,Resultados!AB106,Resultados!AK106,Resultados!AT106,Resultados!BC106,Resultados!BU106)=0, "", AVERAGE(ABS(Resultados!A106),ABS(Resultados!J106),ABS(Resultados!S106),ABS(Resultados!AB106),ABS(Resultados!AK106),ABS(Resultados!AT106),ABS(Resultados!BC106),ABS(Resultados!BU106)))</f>
        <v>45681</v>
      </c>
      <c r="B106" t="str">
        <f>IF(COUNT(Resultados!B106,Resultados!K106,Resultados!T106,Resultados!AC106,Resultados!AL106,Resultados!AU106,Resultados!BD106,Resultados!BV106)=0, "", AVERAGE(ABS(Resultados!B106),ABS(Resultados!K106),ABS(Resultados!T106),ABS(Resultados!AC106),ABS(Resultados!AL106),ABS(Resultados!AU106),ABS(Resultados!BD106),ABS(Resultados!BV106)))</f>
        <v/>
      </c>
      <c r="C106">
        <f>IF(COUNT(Resultados!C106,Resultados!L106,Resultados!U106,Resultados!AD106,Resultados!AM106,Resultados!AV106,Resultados!BE106,Resultados!BW106)=0, "", AVERAGE(ABS(Resultados!C106),ABS(Resultados!L106),ABS(Resultados!U106),ABS(Resultados!AD106),ABS(Resultados!AM106),ABS(Resultados!AV106),ABS(Resultados!BE106),ABS(Resultados!BW106)))</f>
        <v>3.75</v>
      </c>
      <c r="D106">
        <f>IF(COUNT(Resultados!D106,Resultados!M106,Resultados!V106,Resultados!AE106,Resultados!AN106,Resultados!AW106,Resultados!BF106,Resultados!BX106)=0, "", AVERAGE(ABS(Resultados!D106),ABS(Resultados!M106),ABS(Resultados!V106),ABS(Resultados!AE106),ABS(Resultados!AN106),ABS(Resultados!AW106),ABS(Resultados!BF106),ABS(Resultados!BX106)))</f>
        <v>1.0625000000000001E-3</v>
      </c>
      <c r="E106">
        <f>IF(COUNT(Resultados!E106,Resultados!N106,Resultados!W106,Resultados!AF106,Resultados!AO106,Resultados!AX106,Resultados!BG106,Resultados!BY106)=0, "", AVERAGE(ABS(Resultados!E106),ABS(Resultados!N106),ABS(Resultados!W106),ABS(Resultados!AF106),ABS(Resultados!AO106),ABS(Resultados!AX106),ABS(Resultados!BG106),ABS(Resultados!BY106)))</f>
        <v>6.0754548583483672</v>
      </c>
      <c r="F106">
        <f>IF(COUNT(Resultados!F106,Resultados!O106,Resultados!X106,Resultados!AG106,Resultados!AP106,Resultados!AY106,Resultados!BH106,Resultados!BZ106)=0, "", AVERAGE(ABS(Resultados!F106),ABS(Resultados!O106),ABS(Resultados!X106),ABS(Resultados!AG106),ABS(Resultados!AP106),ABS(Resultados!AY106),ABS(Resultados!BH106),ABS(Resultados!BZ106)))</f>
        <v>690.96867927436256</v>
      </c>
      <c r="G106">
        <f>IF(COUNT(Resultados!G106,Resultados!P106,Resultados!Y106,Resultados!AH106,Resultados!AQ106,Resultados!AZ106,Resultados!BI106,Resultados!CA106)=0, "", AVERAGE(ABS(Resultados!G106),ABS(Resultados!P106),ABS(Resultados!Y106),ABS(Resultados!AH106),ABS(Resultados!AQ106),ABS(Resultados!AZ106),ABS(Resultados!BI106),ABS(Resultados!CA106)))</f>
        <v>0.42399999999999999</v>
      </c>
      <c r="H106">
        <f>IF(COUNT(Resultados!H106,Resultados!Q106,Resultados!Z106,Resultados!AI106,Resultados!AR106,Resultados!BA106,Resultados!BJ106,Resultados!CB106)=0, "", AVERAGE(ABS(Resultados!H106),ABS(Resultados!Q106),ABS(Resultados!Z106),ABS(Resultados!AI106),ABS(Resultados!AR106),ABS(Resultados!BA106),ABS(Resultados!BJ106),ABS(Resultados!CB106)))</f>
        <v>1.2375000000000001E-3</v>
      </c>
      <c r="I106">
        <f>IF(COUNT(Resultados!I106,Resultados!R106,Resultados!AA106,Resultados!AJ106,Resultados!AS106,Resultados!BB106,Resultados!BK106,Resultados!CC106)=0, "", AVERAGE(ABS(Resultados!I106),ABS(Resultados!R106),ABS(Resultados!AA106),ABS(Resultados!AJ106),ABS(Resultados!AS106),ABS(Resultados!BB106),ABS(Resultados!BK106),ABS(Resultados!CC106)))</f>
        <v>20.901299999999999</v>
      </c>
    </row>
    <row r="107" spans="1:9" x14ac:dyDescent="0.3">
      <c r="A107">
        <f>IF(COUNT(Resultados!A107,Resultados!J107,Resultados!S107,Resultados!AB107,Resultados!AK107,Resultados!AT107,Resultados!BC107,Resultados!BU107)=0, "", AVERAGE(ABS(Resultados!A107),ABS(Resultados!J107),ABS(Resultados!S107),ABS(Resultados!AB107),ABS(Resultados!AK107),ABS(Resultados!AT107),ABS(Resultados!BC107),ABS(Resultados!BU107)))</f>
        <v>45681</v>
      </c>
      <c r="B107" t="str">
        <f>IF(COUNT(Resultados!B107,Resultados!K107,Resultados!T107,Resultados!AC107,Resultados!AL107,Resultados!AU107,Resultados!BD107,Resultados!BV107)=0, "", AVERAGE(ABS(Resultados!B107),ABS(Resultados!K107),ABS(Resultados!T107),ABS(Resultados!AC107),ABS(Resultados!AL107),ABS(Resultados!AU107),ABS(Resultados!BD107),ABS(Resultados!BV107)))</f>
        <v/>
      </c>
      <c r="C107">
        <f>IF(COUNT(Resultados!C107,Resultados!L107,Resultados!U107,Resultados!AD107,Resultados!AM107,Resultados!AV107,Resultados!BE107,Resultados!BW107)=0, "", AVERAGE(ABS(Resultados!C107),ABS(Resultados!L107),ABS(Resultados!U107),ABS(Resultados!AD107),ABS(Resultados!AM107),ABS(Resultados!AV107),ABS(Resultados!BE107),ABS(Resultados!BW107)))</f>
        <v>3.75</v>
      </c>
      <c r="D107">
        <f>IF(COUNT(Resultados!D107,Resultados!M107,Resultados!V107,Resultados!AE107,Resultados!AN107,Resultados!AW107,Resultados!BF107,Resultados!BX107)=0, "", AVERAGE(ABS(Resultados!D107),ABS(Resultados!M107),ABS(Resultados!V107),ABS(Resultados!AE107),ABS(Resultados!AN107),ABS(Resultados!AW107),ABS(Resultados!BF107),ABS(Resultados!BX107)))</f>
        <v>1.2999999999999999E-3</v>
      </c>
      <c r="E107">
        <f>IF(COUNT(Resultados!E107,Resultados!N107,Resultados!W107,Resultados!AF107,Resultados!AO107,Resultados!AX107,Resultados!BG107,Resultados!BY107)=0, "", AVERAGE(ABS(Resultados!E107),ABS(Resultados!N107),ABS(Resultados!W107),ABS(Resultados!AF107),ABS(Resultados!AO107),ABS(Resultados!AX107),ABS(Resultados!BG107),ABS(Resultados!BY107)))</f>
        <v>6.0912229959510151</v>
      </c>
      <c r="F107">
        <f>IF(COUNT(Resultados!F107,Resultados!O107,Resultados!X107,Resultados!AG107,Resultados!AP107,Resultados!AY107,Resultados!BH107,Resultados!BZ107)=0, "", AVERAGE(ABS(Resultados!F107),ABS(Resultados!O107),ABS(Resultados!X107),ABS(Resultados!AG107),ABS(Resultados!AP107),ABS(Resultados!AY107),ABS(Resultados!BH107),ABS(Resultados!BZ107)))</f>
        <v>692.47420993330695</v>
      </c>
      <c r="G107">
        <f>IF(COUNT(Resultados!G107,Resultados!P107,Resultados!Y107,Resultados!AH107,Resultados!AQ107,Resultados!AZ107,Resultados!BI107,Resultados!CA107)=0, "", AVERAGE(ABS(Resultados!G107),ABS(Resultados!P107),ABS(Resultados!Y107),ABS(Resultados!AH107),ABS(Resultados!AQ107),ABS(Resultados!AZ107),ABS(Resultados!BI107),ABS(Resultados!CA107)))</f>
        <v>0.42399999999999999</v>
      </c>
      <c r="H107">
        <f>IF(COUNT(Resultados!H107,Resultados!Q107,Resultados!Z107,Resultados!AI107,Resultados!AR107,Resultados!BA107,Resultados!BJ107,Resultados!CB107)=0, "", AVERAGE(ABS(Resultados!H107),ABS(Resultados!Q107),ABS(Resultados!Z107),ABS(Resultados!AI107),ABS(Resultados!AR107),ABS(Resultados!BA107),ABS(Resultados!BJ107),ABS(Resultados!CB107)))</f>
        <v>1.475E-3</v>
      </c>
      <c r="I107">
        <f>IF(COUNT(Resultados!I107,Resultados!R107,Resultados!AA107,Resultados!AJ107,Resultados!AS107,Resultados!BB107,Resultados!BK107,Resultados!CC107)=0, "", AVERAGE(ABS(Resultados!I107),ABS(Resultados!R107),ABS(Resultados!AA107),ABS(Resultados!AJ107),ABS(Resultados!AS107),ABS(Resultados!BB107),ABS(Resultados!BK107),ABS(Resultados!CC107)))</f>
        <v>21.101887499999993</v>
      </c>
    </row>
    <row r="108" spans="1:9" x14ac:dyDescent="0.3">
      <c r="A108">
        <f>IF(COUNT(Resultados!A108,Resultados!J108,Resultados!S108,Resultados!AB108,Resultados!AK108,Resultados!AT108,Resultados!BC108,Resultados!BU108)=0, "", AVERAGE(ABS(Resultados!A108),ABS(Resultados!J108),ABS(Resultados!S108),ABS(Resultados!AB108),ABS(Resultados!AK108),ABS(Resultados!AT108),ABS(Resultados!BC108),ABS(Resultados!BU108)))</f>
        <v>45681</v>
      </c>
      <c r="B108" t="str">
        <f>IF(COUNT(Resultados!B108,Resultados!K108,Resultados!T108,Resultados!AC108,Resultados!AL108,Resultados!AU108,Resultados!BD108,Resultados!BV108)=0, "", AVERAGE(ABS(Resultados!B108),ABS(Resultados!K108),ABS(Resultados!T108),ABS(Resultados!AC108),ABS(Resultados!AL108),ABS(Resultados!AU108),ABS(Resultados!BD108),ABS(Resultados!BV108)))</f>
        <v/>
      </c>
      <c r="C108">
        <f>IF(COUNT(Resultados!C108,Resultados!L108,Resultados!U108,Resultados!AD108,Resultados!AM108,Resultados!AV108,Resultados!BE108,Resultados!BW108)=0, "", AVERAGE(ABS(Resultados!C108),ABS(Resultados!L108),ABS(Resultados!U108),ABS(Resultados!AD108),ABS(Resultados!AM108),ABS(Resultados!AV108),ABS(Resultados!BE108),ABS(Resultados!BW108)))</f>
        <v>3.75</v>
      </c>
      <c r="D108">
        <f>IF(COUNT(Resultados!D108,Resultados!M108,Resultados!V108,Resultados!AE108,Resultados!AN108,Resultados!AW108,Resultados!BF108,Resultados!BX108)=0, "", AVERAGE(ABS(Resultados!D108),ABS(Resultados!M108),ABS(Resultados!V108),ABS(Resultados!AE108),ABS(Resultados!AN108),ABS(Resultados!AW108),ABS(Resultados!BF108),ABS(Resultados!BX108)))</f>
        <v>1.5499999999999999E-3</v>
      </c>
      <c r="E108">
        <f>IF(COUNT(Resultados!E108,Resultados!N108,Resultados!W108,Resultados!AF108,Resultados!AO108,Resultados!AX108,Resultados!BG108,Resultados!BY108)=0, "", AVERAGE(ABS(Resultados!E108),ABS(Resultados!N108),ABS(Resultados!W108),ABS(Resultados!AF108),ABS(Resultados!AO108),ABS(Resultados!AX108),ABS(Resultados!BG108),ABS(Resultados!BY108)))</f>
        <v>6.1109292849383463</v>
      </c>
      <c r="F108">
        <f>IF(COUNT(Resultados!F108,Resultados!O108,Resultados!X108,Resultados!AG108,Resultados!AP108,Resultados!AY108,Resultados!BH108,Resultados!BZ108)=0, "", AVERAGE(ABS(Resultados!F108),ABS(Resultados!O108),ABS(Resultados!X108),ABS(Resultados!AG108),ABS(Resultados!AP108),ABS(Resultados!AY108),ABS(Resultados!BH108),ABS(Resultados!BZ108)))</f>
        <v>694.35247386178776</v>
      </c>
      <c r="G108">
        <f>IF(COUNT(Resultados!G108,Resultados!P108,Resultados!Y108,Resultados!AH108,Resultados!AQ108,Resultados!AZ108,Resultados!BI108,Resultados!CA108)=0, "", AVERAGE(ABS(Resultados!G108),ABS(Resultados!P108),ABS(Resultados!Y108),ABS(Resultados!AH108),ABS(Resultados!AQ108),ABS(Resultados!AZ108),ABS(Resultados!BI108),ABS(Resultados!CA108)))</f>
        <v>0.42399999999999999</v>
      </c>
      <c r="H108">
        <f>IF(COUNT(Resultados!H108,Resultados!Q108,Resultados!Z108,Resultados!AI108,Resultados!AR108,Resultados!BA108,Resultados!BJ108,Resultados!CB108)=0, "", AVERAGE(ABS(Resultados!H108),ABS(Resultados!Q108),ABS(Resultados!Z108),ABS(Resultados!AI108),ABS(Resultados!AR108),ABS(Resultados!BA108),ABS(Resultados!BJ108),ABS(Resultados!CB108)))</f>
        <v>1.7750000000000001E-3</v>
      </c>
      <c r="I108">
        <f>IF(COUNT(Resultados!I108,Resultados!R108,Resultados!AA108,Resultados!AJ108,Resultados!AS108,Resultados!BB108,Resultados!BK108,Resultados!CC108)=0, "", AVERAGE(ABS(Resultados!I108),ABS(Resultados!R108),ABS(Resultados!AA108),ABS(Resultados!AJ108),ABS(Resultados!AS108),ABS(Resultados!BB108),ABS(Resultados!BK108),ABS(Resultados!CC108)))</f>
        <v>21.301624999999991</v>
      </c>
    </row>
    <row r="109" spans="1:9" x14ac:dyDescent="0.3">
      <c r="A109">
        <f>IF(COUNT(Resultados!A109,Resultados!J109,Resultados!S109,Resultados!AB109,Resultados!AK109,Resultados!AT109,Resultados!BC109,Resultados!BU109)=0, "", AVERAGE(ABS(Resultados!A109),ABS(Resultados!J109),ABS(Resultados!S109),ABS(Resultados!AB109),ABS(Resultados!AK109),ABS(Resultados!AT109),ABS(Resultados!BC109),ABS(Resultados!BU109)))</f>
        <v>45681</v>
      </c>
      <c r="B109" t="str">
        <f>IF(COUNT(Resultados!B109,Resultados!K109,Resultados!T109,Resultados!AC109,Resultados!AL109,Resultados!AU109,Resultados!BD109,Resultados!BV109)=0, "", AVERAGE(ABS(Resultados!B109),ABS(Resultados!K109),ABS(Resultados!T109),ABS(Resultados!AC109),ABS(Resultados!AL109),ABS(Resultados!AU109),ABS(Resultados!BD109),ABS(Resultados!BV109)))</f>
        <v/>
      </c>
      <c r="C109">
        <f>IF(COUNT(Resultados!C109,Resultados!L109,Resultados!U109,Resultados!AD109,Resultados!AM109,Resultados!AV109,Resultados!BE109,Resultados!BW109)=0, "", AVERAGE(ABS(Resultados!C109),ABS(Resultados!L109),ABS(Resultados!U109),ABS(Resultados!AD109),ABS(Resultados!AM109),ABS(Resultados!AV109),ABS(Resultados!BE109),ABS(Resultados!BW109)))</f>
        <v>3.75</v>
      </c>
      <c r="D109">
        <f>IF(COUNT(Resultados!D109,Resultados!M109,Resultados!V109,Resultados!AE109,Resultados!AN109,Resultados!AW109,Resultados!BF109,Resultados!BX109)=0, "", AVERAGE(ABS(Resultados!D109),ABS(Resultados!M109),ABS(Resultados!V109),ABS(Resultados!AE109),ABS(Resultados!AN109),ABS(Resultados!AW109),ABS(Resultados!BF109),ABS(Resultados!BX109)))</f>
        <v>1.65E-3</v>
      </c>
      <c r="E109">
        <f>IF(COUNT(Resultados!E109,Resultados!N109,Resultados!W109,Resultados!AF109,Resultados!AO109,Resultados!AX109,Resultados!BG109,Resultados!BY109)=0, "", AVERAGE(ABS(Resultados!E109),ABS(Resultados!N109),ABS(Resultados!W109),ABS(Resultados!AF109),ABS(Resultados!AO109),ABS(Resultados!AX109),ABS(Resultados!BG109),ABS(Resultados!BY109)))</f>
        <v>6.1344336437824998</v>
      </c>
      <c r="F109">
        <f>IF(COUNT(Resultados!F109,Resultados!O109,Resultados!X109,Resultados!AG109,Resultados!AP109,Resultados!AY109,Resultados!BH109,Resultados!BZ109)=0, "", AVERAGE(ABS(Resultados!F109),ABS(Resultados!O109),ABS(Resultados!X109),ABS(Resultados!AG109),ABS(Resultados!AP109),ABS(Resultados!AY109),ABS(Resultados!BH109),ABS(Resultados!BZ109)))</f>
        <v>696.5900760818331</v>
      </c>
      <c r="G109">
        <f>IF(COUNT(Resultados!G109,Resultados!P109,Resultados!Y109,Resultados!AH109,Resultados!AQ109,Resultados!AZ109,Resultados!BI109,Resultados!CA109)=0, "", AVERAGE(ABS(Resultados!G109),ABS(Resultados!P109),ABS(Resultados!Y109),ABS(Resultados!AH109),ABS(Resultados!AQ109),ABS(Resultados!AZ109),ABS(Resultados!BI109),ABS(Resultados!CA109)))</f>
        <v>0.42399999999999999</v>
      </c>
      <c r="H109">
        <f>IF(COUNT(Resultados!H109,Resultados!Q109,Resultados!Z109,Resultados!AI109,Resultados!AR109,Resultados!BA109,Resultados!BJ109,Resultados!CB109)=0, "", AVERAGE(ABS(Resultados!H109),ABS(Resultados!Q109),ABS(Resultados!Z109),ABS(Resultados!AI109),ABS(Resultados!AR109),ABS(Resultados!BA109),ABS(Resultados!BJ109),ABS(Resultados!CB109)))</f>
        <v>2.1374999999999996E-3</v>
      </c>
      <c r="I109">
        <f>IF(COUNT(Resultados!I109,Resultados!R109,Resultados!AA109,Resultados!AJ109,Resultados!AS109,Resultados!BB109,Resultados!BK109,Resultados!CC109)=0, "", AVERAGE(ABS(Resultados!I109),ABS(Resultados!R109),ABS(Resultados!AA109),ABS(Resultados!AJ109),ABS(Resultados!AS109),ABS(Resultados!BB109),ABS(Resultados!BK109),ABS(Resultados!CC109)))</f>
        <v>21.50119999999999</v>
      </c>
    </row>
    <row r="110" spans="1:9" x14ac:dyDescent="0.3">
      <c r="A110">
        <f>IF(COUNT(Resultados!A110,Resultados!J110,Resultados!S110,Resultados!AB110,Resultados!AK110,Resultados!AT110,Resultados!BC110,Resultados!BU110)=0, "", AVERAGE(ABS(Resultados!A110),ABS(Resultados!J110),ABS(Resultados!S110),ABS(Resultados!AB110),ABS(Resultados!AK110),ABS(Resultados!AT110),ABS(Resultados!BC110),ABS(Resultados!BU110)))</f>
        <v>45681</v>
      </c>
      <c r="B110" t="str">
        <f>IF(COUNT(Resultados!B110,Resultados!K110,Resultados!T110,Resultados!AC110,Resultados!AL110,Resultados!AU110,Resultados!BD110,Resultados!BV110)=0, "", AVERAGE(ABS(Resultados!B110),ABS(Resultados!K110),ABS(Resultados!T110),ABS(Resultados!AC110),ABS(Resultados!AL110),ABS(Resultados!AU110),ABS(Resultados!BD110),ABS(Resultados!BV110)))</f>
        <v/>
      </c>
      <c r="C110">
        <f>IF(COUNT(Resultados!C110,Resultados!L110,Resultados!U110,Resultados!AD110,Resultados!AM110,Resultados!AV110,Resultados!BE110,Resultados!BW110)=0, "", AVERAGE(ABS(Resultados!C110),ABS(Resultados!L110),ABS(Resultados!U110),ABS(Resultados!AD110),ABS(Resultados!AM110),ABS(Resultados!AV110),ABS(Resultados!BE110),ABS(Resultados!BW110)))</f>
        <v>3.875</v>
      </c>
      <c r="D110">
        <f>IF(COUNT(Resultados!D110,Resultados!M110,Resultados!V110,Resultados!AE110,Resultados!AN110,Resultados!AW110,Resultados!BF110,Resultados!BX110)=0, "", AVERAGE(ABS(Resultados!D110),ABS(Resultados!M110),ABS(Resultados!V110),ABS(Resultados!AE110),ABS(Resultados!AN110),ABS(Resultados!AW110),ABS(Resultados!BF110),ABS(Resultados!BX110)))</f>
        <v>2.3874999999999999E-3</v>
      </c>
      <c r="E110">
        <f>IF(COUNT(Resultados!E110,Resultados!N110,Resultados!W110,Resultados!AF110,Resultados!AO110,Resultados!AX110,Resultados!BG110,Resultados!BY110)=0, "", AVERAGE(ABS(Resultados!E110),ABS(Resultados!N110),ABS(Resultados!W110),ABS(Resultados!AF110),ABS(Resultados!AO110),ABS(Resultados!AX110),ABS(Resultados!BG110),ABS(Resultados!BY110)))</f>
        <v>6.1619610175187898</v>
      </c>
      <c r="F110">
        <f>IF(COUNT(Resultados!F110,Resultados!O110,Resultados!X110,Resultados!AG110,Resultados!AP110,Resultados!AY110,Resultados!BH110,Resultados!BZ110)=0, "", AVERAGE(ABS(Resultados!F110),ABS(Resultados!O110),ABS(Resultados!X110),ABS(Resultados!AG110),ABS(Resultados!AP110),ABS(Resultados!AY110),ABS(Resultados!BH110),ABS(Resultados!BZ110)))</f>
        <v>699.20840472695113</v>
      </c>
      <c r="G110">
        <f>IF(COUNT(Resultados!G110,Resultados!P110,Resultados!Y110,Resultados!AH110,Resultados!AQ110,Resultados!AZ110,Resultados!BI110,Resultados!CA110)=0, "", AVERAGE(ABS(Resultados!G110),ABS(Resultados!P110),ABS(Resultados!Y110),ABS(Resultados!AH110),ABS(Resultados!AQ110),ABS(Resultados!AZ110),ABS(Resultados!BI110),ABS(Resultados!CA110)))</f>
        <v>0.42399999999999999</v>
      </c>
      <c r="H110">
        <f>IF(COUNT(Resultados!H110,Resultados!Q110,Resultados!Z110,Resultados!AI110,Resultados!AR110,Resultados!BA110,Resultados!BJ110,Resultados!CB110)=0, "", AVERAGE(ABS(Resultados!H110),ABS(Resultados!Q110),ABS(Resultados!Z110),ABS(Resultados!AI110),ABS(Resultados!AR110),ABS(Resultados!BA110),ABS(Resultados!BJ110),ABS(Resultados!CB110)))</f>
        <v>2.5750000000000005E-3</v>
      </c>
      <c r="I110">
        <f>IF(COUNT(Resultados!I110,Resultados!R110,Resultados!AA110,Resultados!AJ110,Resultados!AS110,Resultados!BB110,Resultados!BK110,Resultados!CC110)=0, "", AVERAGE(ABS(Resultados!I110),ABS(Resultados!R110),ABS(Resultados!AA110),ABS(Resultados!AJ110),ABS(Resultados!AS110),ABS(Resultados!BB110),ABS(Resultados!BK110),ABS(Resultados!CC110)))</f>
        <v>21.701374999999999</v>
      </c>
    </row>
    <row r="111" spans="1:9" x14ac:dyDescent="0.3">
      <c r="A111">
        <f>IF(COUNT(Resultados!A111,Resultados!J111,Resultados!S111,Resultados!AB111,Resultados!AK111,Resultados!AT111,Resultados!BC111,Resultados!BU111)=0, "", AVERAGE(ABS(Resultados!A111),ABS(Resultados!J111),ABS(Resultados!S111),ABS(Resultados!AB111),ABS(Resultados!AK111),ABS(Resultados!AT111),ABS(Resultados!BC111),ABS(Resultados!BU111)))</f>
        <v>45681</v>
      </c>
      <c r="B111" t="str">
        <f>IF(COUNT(Resultados!B111,Resultados!K111,Resultados!T111,Resultados!AC111,Resultados!AL111,Resultados!AU111,Resultados!BD111,Resultados!BV111)=0, "", AVERAGE(ABS(Resultados!B111),ABS(Resultados!K111),ABS(Resultados!T111),ABS(Resultados!AC111),ABS(Resultados!AL111),ABS(Resultados!AU111),ABS(Resultados!BD111),ABS(Resultados!BV111)))</f>
        <v/>
      </c>
      <c r="C111">
        <f>IF(COUNT(Resultados!C111,Resultados!L111,Resultados!U111,Resultados!AD111,Resultados!AM111,Resultados!AV111,Resultados!BE111,Resultados!BW111)=0, "", AVERAGE(ABS(Resultados!C111),ABS(Resultados!L111),ABS(Resultados!U111),ABS(Resultados!AD111),ABS(Resultados!AM111),ABS(Resultados!AV111),ABS(Resultados!BE111),ABS(Resultados!BW111)))</f>
        <v>3.875</v>
      </c>
      <c r="D111">
        <f>IF(COUNT(Resultados!D111,Resultados!M111,Resultados!V111,Resultados!AE111,Resultados!AN111,Resultados!AW111,Resultados!BF111,Resultados!BX111)=0, "", AVERAGE(ABS(Resultados!D111),ABS(Resultados!M111),ABS(Resultados!V111),ABS(Resultados!AE111),ABS(Resultados!AN111),ABS(Resultados!AW111),ABS(Resultados!BF111),ABS(Resultados!BX111)))</f>
        <v>2.7249999999999996E-3</v>
      </c>
      <c r="E111">
        <f>IF(COUNT(Resultados!E111,Resultados!N111,Resultados!W111,Resultados!AF111,Resultados!AO111,Resultados!AX111,Resultados!BG111,Resultados!BY111)=0, "", AVERAGE(ABS(Resultados!E111),ABS(Resultados!N111),ABS(Resultados!W111),ABS(Resultados!AF111),ABS(Resultados!AO111),ABS(Resultados!AX111),ABS(Resultados!BG111),ABS(Resultados!BY111)))</f>
        <v>6.1930654303898454</v>
      </c>
      <c r="F111">
        <f>IF(COUNT(Resultados!F111,Resultados!O111,Resultados!X111,Resultados!AG111,Resultados!AP111,Resultados!AY111,Resultados!BH111,Resultados!BZ111)=0, "", AVERAGE(ABS(Resultados!F111),ABS(Resultados!O111),ABS(Resultados!X111),ABS(Resultados!AG111),ABS(Resultados!AP111),ABS(Resultados!AY111),ABS(Resultados!BH111),ABS(Resultados!BZ111)))</f>
        <v>702.16514692267617</v>
      </c>
      <c r="G111">
        <f>IF(COUNT(Resultados!G111,Resultados!P111,Resultados!Y111,Resultados!AH111,Resultados!AQ111,Resultados!AZ111,Resultados!BI111,Resultados!CA111)=0, "", AVERAGE(ABS(Resultados!G111),ABS(Resultados!P111),ABS(Resultados!Y111),ABS(Resultados!AH111),ABS(Resultados!AQ111),ABS(Resultados!AZ111),ABS(Resultados!BI111),ABS(Resultados!CA111)))</f>
        <v>0.42399999999999999</v>
      </c>
      <c r="H111">
        <f>IF(COUNT(Resultados!H111,Resultados!Q111,Resultados!Z111,Resultados!AI111,Resultados!AR111,Resultados!BA111,Resultados!BJ111,Resultados!CB111)=0, "", AVERAGE(ABS(Resultados!H111),ABS(Resultados!Q111),ABS(Resultados!Z111),ABS(Resultados!AI111),ABS(Resultados!AR111),ABS(Resultados!BA111),ABS(Resultados!BJ111),ABS(Resultados!CB111)))</f>
        <v>3.0499999999999998E-3</v>
      </c>
      <c r="I111">
        <f>IF(COUNT(Resultados!I111,Resultados!R111,Resultados!AA111,Resultados!AJ111,Resultados!AS111,Resultados!BB111,Resultados!BK111,Resultados!CC111)=0, "", AVERAGE(ABS(Resultados!I111),ABS(Resultados!R111),ABS(Resultados!AA111),ABS(Resultados!AJ111),ABS(Resultados!AS111),ABS(Resultados!BB111),ABS(Resultados!BK111),ABS(Resultados!CC111)))</f>
        <v>21.90166249999999</v>
      </c>
    </row>
    <row r="112" spans="1:9" x14ac:dyDescent="0.3">
      <c r="A112">
        <f>IF(COUNT(Resultados!A112,Resultados!J112,Resultados!S112,Resultados!AB112,Resultados!AK112,Resultados!AT112,Resultados!BC112,Resultados!BU112)=0, "", AVERAGE(ABS(Resultados!A112),ABS(Resultados!J112),ABS(Resultados!S112),ABS(Resultados!AB112),ABS(Resultados!AK112),ABS(Resultados!AT112),ABS(Resultados!BC112),ABS(Resultados!BU112)))</f>
        <v>45681</v>
      </c>
      <c r="B112" t="str">
        <f>IF(COUNT(Resultados!B112,Resultados!K112,Resultados!T112,Resultados!AC112,Resultados!AL112,Resultados!AU112,Resultados!BD112,Resultados!BV112)=0, "", AVERAGE(ABS(Resultados!B112),ABS(Resultados!K112),ABS(Resultados!T112),ABS(Resultados!AC112),ABS(Resultados!AL112),ABS(Resultados!AU112),ABS(Resultados!BD112),ABS(Resultados!BV112)))</f>
        <v/>
      </c>
      <c r="C112">
        <f>IF(COUNT(Resultados!C112,Resultados!L112,Resultados!U112,Resultados!AD112,Resultados!AM112,Resultados!AV112,Resultados!BE112,Resultados!BW112)=0, "", AVERAGE(ABS(Resultados!C112),ABS(Resultados!L112),ABS(Resultados!U112),ABS(Resultados!AD112),ABS(Resultados!AM112),ABS(Resultados!AV112),ABS(Resultados!BE112),ABS(Resultados!BW112)))</f>
        <v>4.125</v>
      </c>
      <c r="D112">
        <f>IF(COUNT(Resultados!D112,Resultados!M112,Resultados!V112,Resultados!AE112,Resultados!AN112,Resultados!AW112,Resultados!BF112,Resultados!BX112)=0, "", AVERAGE(ABS(Resultados!D112),ABS(Resultados!M112),ABS(Resultados!V112),ABS(Resultados!AE112),ABS(Resultados!AN112),ABS(Resultados!AW112),ABS(Resultados!BF112),ABS(Resultados!BX112)))</f>
        <v>3.2374999999999999E-3</v>
      </c>
      <c r="E112">
        <f>IF(COUNT(Resultados!E112,Resultados!N112,Resultados!W112,Resultados!AF112,Resultados!AO112,Resultados!AX112,Resultados!BG112,Resultados!BY112)=0, "", AVERAGE(ABS(Resultados!E112),ABS(Resultados!N112),ABS(Resultados!W112),ABS(Resultados!AF112),ABS(Resultados!AO112),ABS(Resultados!AX112),ABS(Resultados!BG112),ABS(Resultados!BY112)))</f>
        <v>6.2276462425281718</v>
      </c>
      <c r="F112">
        <f>IF(COUNT(Resultados!F112,Resultados!O112,Resultados!X112,Resultados!AG112,Resultados!AP112,Resultados!AY112,Resultados!BH112,Resultados!BZ112)=0, "", AVERAGE(ABS(Resultados!F112),ABS(Resultados!O112),ABS(Resultados!X112),ABS(Resultados!AG112),ABS(Resultados!AP112),ABS(Resultados!AY112),ABS(Resultados!BH112),ABS(Resultados!BZ112)))</f>
        <v>705.45066332224599</v>
      </c>
      <c r="G112">
        <f>IF(COUNT(Resultados!G112,Resultados!P112,Resultados!Y112,Resultados!AH112,Resultados!AQ112,Resultados!AZ112,Resultados!BI112,Resultados!CA112)=0, "", AVERAGE(ABS(Resultados!G112),ABS(Resultados!P112),ABS(Resultados!Y112),ABS(Resultados!AH112),ABS(Resultados!AQ112),ABS(Resultados!AZ112),ABS(Resultados!BI112),ABS(Resultados!CA112)))</f>
        <v>0.42399999999999999</v>
      </c>
      <c r="H112">
        <f>IF(COUNT(Resultados!H112,Resultados!Q112,Resultados!Z112,Resultados!AI112,Resultados!AR112,Resultados!BA112,Resultados!BJ112,Resultados!CB112)=0, "", AVERAGE(ABS(Resultados!H112),ABS(Resultados!Q112),ABS(Resultados!Z112),ABS(Resultados!AI112),ABS(Resultados!AR112),ABS(Resultados!BA112),ABS(Resultados!BJ112),ABS(Resultados!CB112)))</f>
        <v>3.5875000000000004E-3</v>
      </c>
      <c r="I112">
        <f>IF(COUNT(Resultados!I112,Resultados!R112,Resultados!AA112,Resultados!AJ112,Resultados!AS112,Resultados!BB112,Resultados!BK112,Resultados!CC112)=0, "", AVERAGE(ABS(Resultados!I112),ABS(Resultados!R112),ABS(Resultados!AA112),ABS(Resultados!AJ112),ABS(Resultados!AS112),ABS(Resultados!BB112),ABS(Resultados!BK112),ABS(Resultados!CC112)))</f>
        <v>22.101374999999997</v>
      </c>
    </row>
    <row r="113" spans="1:9" x14ac:dyDescent="0.3">
      <c r="A113">
        <f>IF(COUNT(Resultados!A113,Resultados!J113,Resultados!S113,Resultados!AB113,Resultados!AK113,Resultados!AT113,Resultados!BC113,Resultados!BU113)=0, "", AVERAGE(ABS(Resultados!A113),ABS(Resultados!J113),ABS(Resultados!S113),ABS(Resultados!AB113),ABS(Resultados!AK113),ABS(Resultados!AT113),ABS(Resultados!BC113),ABS(Resultados!BU113)))</f>
        <v>45681</v>
      </c>
      <c r="B113" t="str">
        <f>IF(COUNT(Resultados!B113,Resultados!K113,Resultados!T113,Resultados!AC113,Resultados!AL113,Resultados!AU113,Resultados!BD113,Resultados!BV113)=0, "", AVERAGE(ABS(Resultados!B113),ABS(Resultados!K113),ABS(Resultados!T113),ABS(Resultados!AC113),ABS(Resultados!AL113),ABS(Resultados!AU113),ABS(Resultados!BD113),ABS(Resultados!BV113)))</f>
        <v/>
      </c>
      <c r="C113">
        <f>IF(COUNT(Resultados!C113,Resultados!L113,Resultados!U113,Resultados!AD113,Resultados!AM113,Resultados!AV113,Resultados!BE113,Resultados!BW113)=0, "", AVERAGE(ABS(Resultados!C113),ABS(Resultados!L113),ABS(Resultados!U113),ABS(Resultados!AD113),ABS(Resultados!AM113),ABS(Resultados!AV113),ABS(Resultados!BE113),ABS(Resultados!BW113)))</f>
        <v>4.125</v>
      </c>
      <c r="D113">
        <f>IF(COUNT(Resultados!D113,Resultados!M113,Resultados!V113,Resultados!AE113,Resultados!AN113,Resultados!AW113,Resultados!BF113,Resultados!BX113)=0, "", AVERAGE(ABS(Resultados!D113),ABS(Resultados!M113),ABS(Resultados!V113),ABS(Resultados!AE113),ABS(Resultados!AN113),ABS(Resultados!AW113),ABS(Resultados!BF113),ABS(Resultados!BX113)))</f>
        <v>3.8999999999999994E-3</v>
      </c>
      <c r="E113">
        <f>IF(COUNT(Resultados!E113,Resultados!N113,Resultados!W113,Resultados!AF113,Resultados!AO113,Resultados!AX113,Resultados!BG113,Resultados!BY113)=0, "", AVERAGE(ABS(Resultados!E113),ABS(Resultados!N113),ABS(Resultados!W113),ABS(Resultados!AF113),ABS(Resultados!AO113),ABS(Resultados!AX113),ABS(Resultados!BG113),ABS(Resultados!BY113)))</f>
        <v>6.2885539126336525</v>
      </c>
      <c r="F113">
        <f>IF(COUNT(Resultados!F113,Resultados!O113,Resultados!X113,Resultados!AG113,Resultados!AP113,Resultados!AY113,Resultados!BH113,Resultados!BZ113)=0, "", AVERAGE(ABS(Resultados!F113),ABS(Resultados!O113),ABS(Resultados!X113),ABS(Resultados!AG113),ABS(Resultados!AP113),ABS(Resultados!AY113),ABS(Resultados!BH113),ABS(Resultados!BZ113)))</f>
        <v>711.23351943125544</v>
      </c>
      <c r="G113">
        <f>IF(COUNT(Resultados!G113,Resultados!P113,Resultados!Y113,Resultados!AH113,Resultados!AQ113,Resultados!AZ113,Resultados!BI113,Resultados!CA113)=0, "", AVERAGE(ABS(Resultados!G113),ABS(Resultados!P113),ABS(Resultados!Y113),ABS(Resultados!AH113),ABS(Resultados!AQ113),ABS(Resultados!AZ113),ABS(Resultados!BI113),ABS(Resultados!CA113)))</f>
        <v>0.42399999999999999</v>
      </c>
      <c r="H113">
        <f>IF(COUNT(Resultados!H113,Resultados!Q113,Resultados!Z113,Resultados!AI113,Resultados!AR113,Resultados!BA113,Resultados!BJ113,Resultados!CB113)=0, "", AVERAGE(ABS(Resultados!H113),ABS(Resultados!Q113),ABS(Resultados!Z113),ABS(Resultados!AI113),ABS(Resultados!AR113),ABS(Resultados!BA113),ABS(Resultados!BJ113),ABS(Resultados!CB113)))</f>
        <v>4.5499999999999994E-3</v>
      </c>
      <c r="I113">
        <f>IF(COUNT(Resultados!I113,Resultados!R113,Resultados!AA113,Resultados!AJ113,Resultados!AS113,Resultados!BB113,Resultados!BK113,Resultados!CC113)=0, "", AVERAGE(ABS(Resultados!I113),ABS(Resultados!R113),ABS(Resultados!AA113),ABS(Resultados!AJ113),ABS(Resultados!AS113),ABS(Resultados!BB113),ABS(Resultados!BK113),ABS(Resultados!CC113)))</f>
        <v>22.301037500000007</v>
      </c>
    </row>
    <row r="114" spans="1:9" x14ac:dyDescent="0.3">
      <c r="A114">
        <f>IF(COUNT(Resultados!A114,Resultados!J114,Resultados!S114,Resultados!AB114,Resultados!AK114,Resultados!AT114,Resultados!BC114,Resultados!BU114)=0, "", AVERAGE(ABS(Resultados!A114),ABS(Resultados!J114),ABS(Resultados!S114),ABS(Resultados!AB114),ABS(Resultados!AK114),ABS(Resultados!AT114),ABS(Resultados!BC114),ABS(Resultados!BU114)))</f>
        <v>45681</v>
      </c>
      <c r="B114" t="str">
        <f>IF(COUNT(Resultados!B114,Resultados!K114,Resultados!T114,Resultados!AC114,Resultados!AL114,Resultados!AU114,Resultados!BD114,Resultados!BV114)=0, "", AVERAGE(ABS(Resultados!B114),ABS(Resultados!K114),ABS(Resultados!T114),ABS(Resultados!AC114),ABS(Resultados!AL114),ABS(Resultados!AU114),ABS(Resultados!BD114),ABS(Resultados!BV114)))</f>
        <v/>
      </c>
      <c r="C114">
        <f>IF(COUNT(Resultados!C114,Resultados!L114,Resultados!U114,Resultados!AD114,Resultados!AM114,Resultados!AV114,Resultados!BE114,Resultados!BW114)=0, "", AVERAGE(ABS(Resultados!C114),ABS(Resultados!L114),ABS(Resultados!U114),ABS(Resultados!AD114),ABS(Resultados!AM114),ABS(Resultados!AV114),ABS(Resultados!BE114),ABS(Resultados!BW114)))</f>
        <v>4.125</v>
      </c>
      <c r="D114">
        <f>IF(COUNT(Resultados!D114,Resultados!M114,Resultados!V114,Resultados!AE114,Resultados!AN114,Resultados!AW114,Resultados!BF114,Resultados!BX114)=0, "", AVERAGE(ABS(Resultados!D114),ABS(Resultados!M114),ABS(Resultados!V114),ABS(Resultados!AE114),ABS(Resultados!AN114),ABS(Resultados!AW114),ABS(Resultados!BF114),ABS(Resultados!BX114)))</f>
        <v>4.850000000000001E-3</v>
      </c>
      <c r="E114">
        <f>IF(COUNT(Resultados!E114,Resultados!N114,Resultados!W114,Resultados!AF114,Resultados!AO114,Resultados!AX114,Resultados!BG114,Resultados!BY114)=0, "", AVERAGE(ABS(Resultados!E114),ABS(Resultados!N114),ABS(Resultados!W114),ABS(Resultados!AF114),ABS(Resultados!AO114),ABS(Resultados!AX114),ABS(Resultados!BG114),ABS(Resultados!BY114)))</f>
        <v>6.2799063189435298</v>
      </c>
      <c r="F114">
        <f>IF(COUNT(Resultados!F114,Resultados!O114,Resultados!X114,Resultados!AG114,Resultados!AP114,Resultados!AY114,Resultados!BH114,Resultados!BZ114)=0, "", AVERAGE(ABS(Resultados!F114),ABS(Resultados!O114),ABS(Resultados!X114),ABS(Resultados!AG114),ABS(Resultados!AP114),ABS(Resultados!AY114),ABS(Resultados!BH114),ABS(Resultados!BZ114)))</f>
        <v>697.64039000829996</v>
      </c>
      <c r="G114">
        <f>IF(COUNT(Resultados!G114,Resultados!P114,Resultados!Y114,Resultados!AH114,Resultados!AQ114,Resultados!AZ114,Resultados!BI114,Resultados!CA114)=0, "", AVERAGE(ABS(Resultados!G114),ABS(Resultados!P114),ABS(Resultados!Y114),ABS(Resultados!AH114),ABS(Resultados!AQ114),ABS(Resultados!AZ114),ABS(Resultados!BI114),ABS(Resultados!CA114)))</f>
        <v>0.42399999999999999</v>
      </c>
      <c r="H114">
        <f>IF(COUNT(Resultados!H114,Resultados!Q114,Resultados!Z114,Resultados!AI114,Resultados!AR114,Resultados!BA114,Resultados!BJ114,Resultados!CB114)=0, "", AVERAGE(ABS(Resultados!H114),ABS(Resultados!Q114),ABS(Resultados!Z114),ABS(Resultados!AI114),ABS(Resultados!AR114),ABS(Resultados!BA114),ABS(Resultados!BJ114),ABS(Resultados!CB114)))</f>
        <v>4.4000000000000003E-3</v>
      </c>
      <c r="I114">
        <f>IF(COUNT(Resultados!I114,Resultados!R114,Resultados!AA114,Resultados!AJ114,Resultados!AS114,Resultados!BB114,Resultados!BK114,Resultados!CC114)=0, "", AVERAGE(ABS(Resultados!I114),ABS(Resultados!R114),ABS(Resultados!AA114),ABS(Resultados!AJ114),ABS(Resultados!AS114),ABS(Resultados!BB114),ABS(Resultados!BK114),ABS(Resultados!CC114)))</f>
        <v>22.501587499999992</v>
      </c>
    </row>
    <row r="115" spans="1:9" x14ac:dyDescent="0.3">
      <c r="A115">
        <f>IF(COUNT(Resultados!A115,Resultados!S115,Resultados!AB115,Resultados!AK115,Resultados!AT115,Resultados!BC115)=0, "", AVERAGE(ABS(Resultados!A115),ABS(Resultados!S115),ABS(Resultados!AB115),ABS(Resultados!AK115),ABS(Resultados!AT115),ABS(Resultados!BC115)))</f>
        <v>45681</v>
      </c>
      <c r="B115" t="str">
        <f>IF(COUNT(Resultados!B115,Resultados!T115,Resultados!AC115,Resultados!AL115,Resultados!AU115,Resultados!BD115)=0, "", AVERAGE(ABS(Resultados!B115),ABS(Resultados!T115),ABS(Resultados!AC115),ABS(Resultados!AL115),ABS(Resultados!AU115),ABS(Resultados!BD115)))</f>
        <v/>
      </c>
      <c r="C115">
        <f>IF(COUNT(Resultados!C115,Resultados!U115,Resultados!AD115,Resultados!AM115,Resultados!AV115,Resultados!BE115)=0, "", AVERAGE(ABS(Resultados!C115),ABS(Resultados!U115),ABS(Resultados!AD115),ABS(Resultados!AM115),ABS(Resultados!AV115),ABS(Resultados!BE115)))</f>
        <v>4</v>
      </c>
      <c r="D115">
        <f>IF(COUNT(Resultados!D115,Resultados!V115,Resultados!AE115,Resultados!AN115,Resultados!AW115,Resultados!BF115)=0, "", AVERAGE(ABS(Resultados!D115),ABS(Resultados!V115),ABS(Resultados!AE115),ABS(Resultados!AN115),ABS(Resultados!AW115),ABS(Resultados!BF115)))</f>
        <v>5.2833333333333335E-3</v>
      </c>
      <c r="E115">
        <f>IF(COUNT(Resultados!E115,Resultados!W115,Resultados!AF115,Resultados!AO115,Resultados!AX115,Resultados!BG115)=0, "", AVERAGE(ABS(Resultados!E115),ABS(Resultados!W115),ABS(Resultados!AF115),ABS(Resultados!AO115),ABS(Resultados!AX115),ABS(Resultados!BG115)))</f>
        <v>6.3240320671892851</v>
      </c>
      <c r="F115">
        <f>IF(COUNT(Resultados!F115,Resultados!X115,Resultados!AG115,Resultados!AP115,Resultados!AY115,Resultados!BH115)=0, "", AVERAGE(ABS(Resultados!F115),ABS(Resultados!X115),ABS(Resultados!AG115),ABS(Resultados!AP115),ABS(Resultados!AY115),ABS(Resultados!BH115)))</f>
        <v>706.08639420210329</v>
      </c>
      <c r="G115">
        <f>IF(COUNT(Resultados!G115,Resultados!Y115,Resultados!AH115,Resultados!AQ115,Resultados!AZ115,Resultados!BI115)=0, "", AVERAGE(ABS(Resultados!G115),ABS(Resultados!Y115),ABS(Resultados!AH115),ABS(Resultados!AQ115),ABS(Resultados!AZ115),ABS(Resultados!BI115)))</f>
        <v>0.42399999999999999</v>
      </c>
      <c r="H115">
        <f>IF(COUNT(Resultados!H115,Resultados!Z115,Resultados!AI115,Resultados!AR115,Resultados!BA115,Resultados!BJ115)=0, "", AVERAGE(ABS(Resultados!H115),ABS(Resultados!Z115),ABS(Resultados!AI115),ABS(Resultados!AR115),ABS(Resultados!BA115),ABS(Resultados!BJ115)))</f>
        <v>5.1000000000000004E-3</v>
      </c>
      <c r="I115">
        <f>IF(COUNT(Resultados!I115,Resultados!AA115,Resultados!AJ115,Resultados!AS115,Resultados!BB115,Resultados!BK115)=0, "", AVERAGE(ABS(Resultados!I115),ABS(Resultados!AA115),ABS(Resultados!AJ115),ABS(Resultados!AS115),ABS(Resultados!BB115),ABS(Resultados!BK115)))</f>
        <v>22.600633333333331</v>
      </c>
    </row>
    <row r="116" spans="1:9" x14ac:dyDescent="0.3">
      <c r="A116">
        <f>IF(COUNT(Resultados!A116,Resultados!S116,Resultados!AB116,Resultados!AK116,Resultados!AT116,Resultados!BC116)=0, "", AVERAGE(ABS(Resultados!A116),ABS(Resultados!S116),ABS(Resultados!AB116),ABS(Resultados!AK116),ABS(Resultados!AT116),ABS(Resultados!BC116)))</f>
        <v>45681</v>
      </c>
      <c r="B116" t="str">
        <f>IF(COUNT(Resultados!B116,Resultados!T116,Resultados!AC116,Resultados!AL116,Resultados!AU116,Resultados!BD116)=0, "", AVERAGE(ABS(Resultados!B116),ABS(Resultados!T116),ABS(Resultados!AC116),ABS(Resultados!AL116),ABS(Resultados!AU116),ABS(Resultados!BD116)))</f>
        <v/>
      </c>
      <c r="C116">
        <f>IF(COUNT(Resultados!C116,Resultados!U116,Resultados!AD116,Resultados!AM116,Resultados!AV116,Resultados!BE116)=0, "", AVERAGE(ABS(Resultados!C116),ABS(Resultados!U116),ABS(Resultados!AD116),ABS(Resultados!AM116),ABS(Resultados!AV116),ABS(Resultados!BE116)))</f>
        <v>4</v>
      </c>
      <c r="D116">
        <f>IF(COUNT(Resultados!D116,Resultados!V116,Resultados!AE116,Resultados!AN116,Resultados!AW116,Resultados!BF116)=0, "", AVERAGE(ABS(Resultados!D116),ABS(Resultados!V116),ABS(Resultados!AE116),ABS(Resultados!AN116),ABS(Resultados!AW116),ABS(Resultados!BF116)))</f>
        <v>5.5999999999999999E-3</v>
      </c>
      <c r="E116">
        <f>IF(COUNT(Resultados!E116,Resultados!W116,Resultados!AF116,Resultados!AO116,Resultados!AX116,Resultados!BG116)=0, "", AVERAGE(ABS(Resultados!E116),ABS(Resultados!W116),ABS(Resultados!AF116),ABS(Resultados!AO116),ABS(Resultados!AX116),ABS(Resultados!BG116)))</f>
        <v>6.3691238610865319</v>
      </c>
      <c r="F116">
        <f>IF(COUNT(Resultados!F116,Resultados!X116,Resultados!AG116,Resultados!AP116,Resultados!AY116,Resultados!BH116)=0, "", AVERAGE(ABS(Resultados!F116),ABS(Resultados!X116),ABS(Resultados!AG116),ABS(Resultados!AP116),ABS(Resultados!AY116),ABS(Resultados!BH116)))</f>
        <v>710.36560544295207</v>
      </c>
      <c r="G116">
        <f>IF(COUNT(Resultados!G116,Resultados!Y116,Resultados!AH116,Resultados!AQ116,Resultados!AZ116,Resultados!BI116)=0, "", AVERAGE(ABS(Resultados!G116),ABS(Resultados!Y116),ABS(Resultados!AH116),ABS(Resultados!AQ116),ABS(Resultados!AZ116),ABS(Resultados!BI116)))</f>
        <v>0.42399999999999999</v>
      </c>
      <c r="H116">
        <f>IF(COUNT(Resultados!H116,Resultados!Z116,Resultados!AI116,Resultados!AR116,Resultados!BA116,Resultados!BJ116)=0, "", AVERAGE(ABS(Resultados!H116),ABS(Resultados!Z116),ABS(Resultados!AI116),ABS(Resultados!AR116),ABS(Resultados!BA116),ABS(Resultados!BJ116)))</f>
        <v>5.7833333333333322E-3</v>
      </c>
      <c r="I116">
        <f>IF(COUNT(Resultados!I116,Resultados!AA116,Resultados!AJ116,Resultados!AS116,Resultados!BB116,Resultados!BK116)=0, "", AVERAGE(ABS(Resultados!I116),ABS(Resultados!AA116),ABS(Resultados!AJ116),ABS(Resultados!AS116),ABS(Resultados!BB116),ABS(Resultados!BK116)))</f>
        <v>22.801216666666662</v>
      </c>
    </row>
    <row r="117" spans="1:9" x14ac:dyDescent="0.3">
      <c r="A117">
        <f>IF(COUNT(Resultados!A117,Resultados!S117)=0, "", AVERAGE(ABS(Resultados!A117),ABS(Resultados!S117)))</f>
        <v>45681</v>
      </c>
      <c r="B117" t="str">
        <f>IF(COUNT(Resultados!B117,Resultados!T117)=0, "", AVERAGE(ABS(Resultados!B117),ABS(Resultados!T117)))</f>
        <v/>
      </c>
      <c r="C117">
        <f>IF(COUNT(Resultados!C117,Resultados!U117)=0, "", AVERAGE(ABS(Resultados!C117),ABS(Resultados!U117)))</f>
        <v>2</v>
      </c>
      <c r="D117">
        <f>IF(COUNT(Resultados!D117,Resultados!V117)=0, "", AVERAGE(ABS(Resultados!D117),ABS(Resultados!V117)))</f>
        <v>8.6E-3</v>
      </c>
      <c r="E117">
        <f>IF(COUNT(Resultados!E117,Resultados!W117)=0, "", AVERAGE(ABS(Resultados!E117),ABS(Resultados!W117)))</f>
        <v>6.6237316497383913</v>
      </c>
      <c r="F117">
        <f>IF(COUNT(Resultados!F117,Resultados!X117)=0, "", AVERAGE(ABS(Resultados!F117),ABS(Resultados!X117)))</f>
        <v>768.59213356017335</v>
      </c>
      <c r="G117">
        <f>IF(COUNT(Resultados!G117,Resultados!Y117)=0, "", AVERAGE(ABS(Resultados!G117),ABS(Resultados!Y117)))</f>
        <v>0.42399999999999999</v>
      </c>
      <c r="H117">
        <f>IF(COUNT(Resultados!H117,Resultados!Z117)=0, "", AVERAGE(ABS(Resultados!H117),ABS(Resultados!Z117)))</f>
        <v>9.75E-3</v>
      </c>
      <c r="I117">
        <f>IF(COUNT(Resultados!I117,Resultados!AA117)=0, "", AVERAGE(ABS(Resultados!I117),ABS(Resultados!AA117)))</f>
        <v>22.999399999999994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IF(COUNT(Resultados!A2,Resultados!J2,Resultados!S2,Resultados!AB2,Resultados!AK2,Resultados!AT2,Resultados!BC2,Resultados!BL2,Resultados!BU2,Resultados!CD2)&lt;=1, "", _xlfn.STDEV.S(ABS(Resultados!A2),ABS(Resultados!J2),ABS(Resultados!S2),ABS(Resultados!AB2),ABS(Resultados!AK2),ABS(Resultados!AT2),ABS(Resultados!BC2),ABS(Resultados!BL2),ABS(Resultados!BU2),ABS(Resultados!CD2))/SQRT(COUNT(Resultados!A2,Resultados!J2,Resultados!S2,Resultados!AB2,Resultados!AK2,Resultados!AT2,Resultados!BC2,Resultados!BL2,Resultados!BU2,Resultados!CD2)))</f>
        <v>0</v>
      </c>
      <c r="B2" t="str">
        <f>IF(COUNT(Resultados!B2,Resultados!K2,Resultados!T2,Resultados!AC2,Resultados!AL2,Resultados!AU2,Resultados!BD2,Resultados!BM2,Resultados!BV2,Resultados!CE2)&lt;=1, "", _xlfn.STDEV.S(ABS(Resultados!B2),ABS(Resultados!K2),ABS(Resultados!T2),ABS(Resultados!AC2),ABS(Resultados!AL2),ABS(Resultados!AU2),ABS(Resultados!BD2),ABS(Resultados!BM2),ABS(Resultados!BV2),ABS(Resultados!CE2))/SQRT(COUNT(Resultados!B2,Resultados!K2,Resultados!T2,Resultados!AC2,Resultados!AL2,Resultados!AU2,Resultados!BD2,Resultados!BM2,Resultados!BV2,Resultados!CE2)))</f>
        <v/>
      </c>
      <c r="C2">
        <f>IF(COUNT(Resultados!C2,Resultados!L2,Resultados!U2,Resultados!AD2,Resultados!AM2,Resultados!AV2,Resultados!BE2,Resultados!BN2,Resultados!BW2,Resultados!CF2)&lt;=1, "", _xlfn.STDEV.S(ABS(Resultados!C2),ABS(Resultados!L2),ABS(Resultados!U2),ABS(Resultados!AD2),ABS(Resultados!AM2),ABS(Resultados!AV2),ABS(Resultados!BE2),ABS(Resultados!BN2),ABS(Resultados!BW2),ABS(Resultados!CF2))/SQRT(COUNT(Resultados!C2,Resultados!L2,Resultados!U2,Resultados!AD2,Resultados!AM2,Resultados!AV2,Resultados!BE2,Resultados!BN2,Resultados!BW2,Resultados!CF2)))</f>
        <v>0.73711147958319934</v>
      </c>
      <c r="D2">
        <f>IF(COUNT(Resultados!D2,Resultados!M2,Resultados!V2,Resultados!AE2,Resultados!AN2,Resultados!AW2,Resultados!BF2,Resultados!BO2,Resultados!BX2,Resultados!CG2)&lt;=1, "", _xlfn.STDEV.S(ABS(Resultados!D2),ABS(Resultados!M2),ABS(Resultados!V2),ABS(Resultados!AE2),ABS(Resultados!AN2),ABS(Resultados!AW2),ABS(Resultados!BF2),ABS(Resultados!BO2),ABS(Resultados!BX2),ABS(Resultados!CG2))/SQRT(COUNT(Resultados!D2,Resultados!M2,Resultados!V2,Resultados!AE2,Resultados!AN2,Resultados!AW2,Resultados!BF2,Resultados!BO2,Resultados!BX2,Resultados!CG2)))</f>
        <v>1.8306040290327972E-4</v>
      </c>
      <c r="E2">
        <f>IF(COUNT(Resultados!E2,Resultados!N2,Resultados!W2,Resultados!AF2,Resultados!AO2,Resultados!AX2,Resultados!BG2,Resultados!BP2,Resultados!BY2,Resultados!CH2)&lt;=1, "", _xlfn.STDEV.S(ABS(Resultados!E2),ABS(Resultados!N2),ABS(Resultados!W2),ABS(Resultados!AF2),ABS(Resultados!AO2),ABS(Resultados!AX2),ABS(Resultados!BG2),ABS(Resultados!BP2),ABS(Resultados!BY2),ABS(Resultados!CH2))/SQRT(COUNT(Resultados!E2,Resultados!N2,Resultados!W2,Resultados!AF2,Resultados!AO2,Resultados!AX2,Resultados!BG2,Resultados!BP2,Resultados!BY2,Resultados!CH2)))</f>
        <v>2.9712401926701665E-4</v>
      </c>
      <c r="F2">
        <f>IF(COUNT(Resultados!F2,Resultados!O2,Resultados!X2,Resultados!AG2,Resultados!AP2,Resultados!AY2,Resultados!BH2,Resultados!BQ2,Resultados!BZ2,Resultados!CI2)&lt;=1, "", _xlfn.STDEV.S(ABS(Resultados!F2),ABS(Resultados!O2),ABS(Resultados!X2),ABS(Resultados!AG2),ABS(Resultados!AP2),ABS(Resultados!AY2),ABS(Resultados!BH2),ABS(Resultados!BQ2),ABS(Resultados!BZ2),ABS(Resultados!CI2))/SQRT(COUNT(Resultados!F2,Resultados!O2,Resultados!X2,Resultados!AG2,Resultados!AP2,Resultados!AY2,Resultados!BH2,Resultados!BQ2,Resultados!BZ2,Resultados!CI2)))</f>
        <v>10.246912666670301</v>
      </c>
      <c r="G2">
        <f>IF(COUNT(Resultados!G2,Resultados!P2,Resultados!Y2,Resultados!AH2,Resultados!AQ2,Resultados!AZ2,Resultados!BI2,Resultados!BR2,Resultados!CA2,Resultados!CJ2)&lt;=1, "", _xlfn.STDEV.S(ABS(Resultados!G2),ABS(Resultados!P2),ABS(Resultados!Y2),ABS(Resultados!AH2),ABS(Resultados!AQ2),ABS(Resultados!AZ2),ABS(Resultados!BI2),ABS(Resultados!BR2),ABS(Resultados!CA2),ABS(Resultados!CJ2))/SQRT(COUNT(Resultados!G2,Resultados!P2,Resultados!Y2,Resultados!AH2,Resultados!AQ2,Resultados!AZ2,Resultados!BI2,Resultados!BR2,Resultados!CA2,Resultados!CJ2)))</f>
        <v>1.8503717077085941E-17</v>
      </c>
      <c r="H2">
        <f>IF(COUNT(Resultados!H2,Resultados!Q2,Resultados!Z2,Resultados!AI2,Resultados!AR2,Resultados!BA2,Resultados!BJ2,Resultados!BS2,Resultados!CB2,Resultados!CK2)&lt;=1, "", _xlfn.STDEV.S(ABS(Resultados!H2),ABS(Resultados!Q2),ABS(Resultados!Z2),ABS(Resultados!AI2),ABS(Resultados!AR2),ABS(Resultados!BA2),ABS(Resultados!BJ2),ABS(Resultados!BS2),ABS(Resultados!CB2),ABS(Resultados!CK2))/SQRT(COUNT(Resultados!H2,Resultados!Q2,Resultados!Z2,Resultados!AI2,Resultados!AR2,Resultados!BA2,Resultados!BJ2,Resultados!BS2,Resultados!CB2,Resultados!CK2)))</f>
        <v>0</v>
      </c>
      <c r="I2">
        <f>IF(COUNT(Resultados!I2,Resultados!R2,Resultados!AA2,Resultados!AJ2,Resultados!AS2,Resultados!BB2,Resultados!BK2,Resultados!BT2,Resultados!CC2,Resultados!CL2)&lt;=1, "", _xlfn.STDEV.S(ABS(Resultados!I2),ABS(Resultados!R2),ABS(Resultados!AA2),ABS(Resultados!AJ2),ABS(Resultados!AS2),ABS(Resultados!BB2),ABS(Resultados!BK2),ABS(Resultados!BT2),ABS(Resultados!CC2),ABS(Resultados!CL2))/SQRT(COUNT(Resultados!I2,Resultados!R2,Resultados!AA2,Resultados!AJ2,Resultados!AS2,Resultados!BB2,Resultados!BK2,Resultados!BT2,Resultados!CC2,Resultados!CL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IF(COUNT(Resultados!A3,Resultados!J3,Resultados!S3,Resultados!AB3,Resultados!AK3,Resultados!AT3,Resultados!BC3,Resultados!BL3,Resultados!BU3,Resultados!CD3)&lt;=1, "", _xlfn.STDEV.S(ABS(Resultados!A3),ABS(Resultados!J3),ABS(Resultados!S3),ABS(Resultados!AB3),ABS(Resultados!AK3),ABS(Resultados!AT3),ABS(Resultados!BC3),ABS(Resultados!BL3),ABS(Resultados!BU3),ABS(Resultados!CD3))/SQRT(COUNT(Resultados!A3,Resultados!J3,Resultados!S3,Resultados!AB3,Resultados!AK3,Resultados!AT3,Resultados!BC3,Resultados!BL3,Resultados!BU3,Resultados!CD3)))</f>
        <v>0</v>
      </c>
      <c r="B3" t="str">
        <f>IF(COUNT(Resultados!B3,Resultados!K3,Resultados!T3,Resultados!AC3,Resultados!AL3,Resultados!AU3,Resultados!BD3,Resultados!BM3,Resultados!BV3,Resultados!CE3)&lt;=1, "", _xlfn.STDEV.S(ABS(Resultados!B3),ABS(Resultados!K3),ABS(Resultados!T3),ABS(Resultados!AC3),ABS(Resultados!AL3),ABS(Resultados!AU3),ABS(Resultados!BD3),ABS(Resultados!BM3),ABS(Resultados!BV3),ABS(Resultados!CE3))/SQRT(COUNT(Resultados!B3,Resultados!K3,Resultados!T3,Resultados!AC3,Resultados!AL3,Resultados!AU3,Resultados!BD3,Resultados!BM3,Resultados!BV3,Resultados!CE3)))</f>
        <v/>
      </c>
      <c r="C3">
        <f>IF(COUNT(Resultados!C3,Resultados!L3,Resultados!U3,Resultados!AD3,Resultados!AM3,Resultados!AV3,Resultados!BE3,Resultados!BN3,Resultados!BW3,Resultados!CF3)&lt;=1, "", _xlfn.STDEV.S(ABS(Resultados!C3),ABS(Resultados!L3),ABS(Resultados!U3),ABS(Resultados!AD3),ABS(Resultados!AM3),ABS(Resultados!AV3),ABS(Resultados!BE3),ABS(Resultados!BN3),ABS(Resultados!BW3),ABS(Resultados!CF3))/SQRT(COUNT(Resultados!C3,Resultados!L3,Resultados!U3,Resultados!AD3,Resultados!AM3,Resultados!AV3,Resultados!BE3,Resultados!BN3,Resultados!BW3,Resultados!CF3)))</f>
        <v>0.73711147958319934</v>
      </c>
      <c r="D3">
        <f>IF(COUNT(Resultados!D3,Resultados!M3,Resultados!V3,Resultados!AE3,Resultados!AN3,Resultados!AW3,Resultados!BF3,Resultados!BO3,Resultados!BX3,Resultados!CG3)&lt;=1, "", _xlfn.STDEV.S(ABS(Resultados!D3),ABS(Resultados!M3),ABS(Resultados!V3),ABS(Resultados!AE3),ABS(Resultados!AN3),ABS(Resultados!AW3),ABS(Resultados!BF3),ABS(Resultados!BO3),ABS(Resultados!BX3),ABS(Resultados!CG3))/SQRT(COUNT(Resultados!D3,Resultados!M3,Resultados!V3,Resultados!AE3,Resultados!AN3,Resultados!AW3,Resultados!BF3,Resultados!BO3,Resultados!BX3,Resultados!CG3)))</f>
        <v>1.6451950239004088E-4</v>
      </c>
      <c r="E3">
        <f>IF(COUNT(Resultados!E3,Resultados!N3,Resultados!W3,Resultados!AF3,Resultados!AO3,Resultados!AX3,Resultados!BG3,Resultados!BP3,Resultados!BY3,Resultados!CH3)&lt;=1, "", _xlfn.STDEV.S(ABS(Resultados!E3),ABS(Resultados!N3),ABS(Resultados!W3),ABS(Resultados!AF3),ABS(Resultados!AO3),ABS(Resultados!AX3),ABS(Resultados!BG3),ABS(Resultados!BP3),ABS(Resultados!BY3),ABS(Resultados!CH3))/SQRT(COUNT(Resultados!E3,Resultados!N3,Resultados!W3,Resultados!AF3,Resultados!AO3,Resultados!AX3,Resultados!BG3,Resultados!BP3,Resultados!BY3,Resultados!CH3)))</f>
        <v>3.4997692171060024E-2</v>
      </c>
      <c r="F3">
        <f>IF(COUNT(Resultados!F3,Resultados!O3,Resultados!X3,Resultados!AG3,Resultados!AP3,Resultados!AY3,Resultados!BH3,Resultados!BQ3,Resultados!BZ3,Resultados!CI3)&lt;=1, "", _xlfn.STDEV.S(ABS(Resultados!F3),ABS(Resultados!O3),ABS(Resultados!X3),ABS(Resultados!AG3),ABS(Resultados!AP3),ABS(Resultados!AY3),ABS(Resultados!BH3),ABS(Resultados!BQ3),ABS(Resultados!BZ3),ABS(Resultados!CI3))/SQRT(COUNT(Resultados!F3,Resultados!O3,Resultados!X3,Resultados!AG3,Resultados!AP3,Resultados!AY3,Resultados!BH3,Resultados!BQ3,Resultados!BZ3,Resultados!CI3)))</f>
        <v>3.321280987033596</v>
      </c>
      <c r="G3">
        <f>IF(COUNT(Resultados!G3,Resultados!P3,Resultados!Y3,Resultados!AH3,Resultados!AQ3,Resultados!AZ3,Resultados!BI3,Resultados!BR3,Resultados!CA3,Resultados!CJ3)&lt;=1, "", _xlfn.STDEV.S(ABS(Resultados!G3),ABS(Resultados!P3),ABS(Resultados!Y3),ABS(Resultados!AH3),ABS(Resultados!AQ3),ABS(Resultados!AZ3),ABS(Resultados!BI3),ABS(Resultados!BR3),ABS(Resultados!CA3),ABS(Resultados!CJ3))/SQRT(COUNT(Resultados!G3,Resultados!P3,Resultados!Y3,Resultados!AH3,Resultados!AQ3,Resultados!AZ3,Resultados!BI3,Resultados!BR3,Resultados!CA3,Resultados!CJ3)))</f>
        <v>1.8503717077085941E-17</v>
      </c>
      <c r="H3">
        <f>IF(COUNT(Resultados!H3,Resultados!Q3,Resultados!Z3,Resultados!AI3,Resultados!AR3,Resultados!BA3,Resultados!BJ3,Resultados!BS3,Resultados!CB3,Resultados!CK3)&lt;=1, "", _xlfn.STDEV.S(ABS(Resultados!H3),ABS(Resultados!Q3),ABS(Resultados!Z3),ABS(Resultados!AI3),ABS(Resultados!AR3),ABS(Resultados!BA3),ABS(Resultados!BJ3),ABS(Resultados!BS3),ABS(Resultados!CB3),ABS(Resultados!CK3))/SQRT(COUNT(Resultados!H3,Resultados!Q3,Resultados!Z3,Resultados!AI3,Resultados!AR3,Resultados!BA3,Resultados!BJ3,Resultados!BS3,Resultados!CB3,Resultados!CK3)))</f>
        <v>5.399999999999999E-4</v>
      </c>
      <c r="I3">
        <f>IF(COUNT(Resultados!I3,Resultados!R3,Resultados!AA3,Resultados!AJ3,Resultados!AS3,Resultados!BB3,Resultados!BK3,Resultados!BT3,Resultados!CC3,Resultados!CL3)&lt;=1, "", _xlfn.STDEV.S(ABS(Resultados!I3),ABS(Resultados!R3),ABS(Resultados!AA3),ABS(Resultados!AJ3),ABS(Resultados!AS3),ABS(Resultados!BB3),ABS(Resultados!BK3),ABS(Resultados!BT3),ABS(Resultados!CC3),ABS(Resultados!CL3))/SQRT(COUNT(Resultados!I3,Resultados!R3,Resultados!AA3,Resultados!AJ3,Resultados!AS3,Resultados!BB3,Resultados!BK3,Resultados!BT3,Resultados!CC3,Resultados!CL3)))</f>
        <v>4.0111498628477578E-2</v>
      </c>
    </row>
    <row r="4" spans="1:9" x14ac:dyDescent="0.3">
      <c r="A4">
        <f>IF(COUNT(Resultados!A4,Resultados!J4,Resultados!S4,Resultados!AB4,Resultados!AK4,Resultados!AT4,Resultados!BC4,Resultados!BL4,Resultados!BU4,Resultados!CD4)&lt;=1, "", _xlfn.STDEV.S(ABS(Resultados!A4),ABS(Resultados!J4),ABS(Resultados!S4),ABS(Resultados!AB4),ABS(Resultados!AK4),ABS(Resultados!AT4),ABS(Resultados!BC4),ABS(Resultados!BL4),ABS(Resultados!BU4),ABS(Resultados!CD4))/SQRT(COUNT(Resultados!A4,Resultados!J4,Resultados!S4,Resultados!AB4,Resultados!AK4,Resultados!AT4,Resultados!BC4,Resultados!BL4,Resultados!BU4,Resultados!CD4)))</f>
        <v>0</v>
      </c>
      <c r="B4" t="str">
        <f>IF(COUNT(Resultados!B4,Resultados!K4,Resultados!T4,Resultados!AC4,Resultados!AL4,Resultados!AU4,Resultados!BD4,Resultados!BM4,Resultados!BV4,Resultados!CE4)&lt;=1, "", _xlfn.STDEV.S(ABS(Resultados!B4),ABS(Resultados!K4),ABS(Resultados!T4),ABS(Resultados!AC4),ABS(Resultados!AL4),ABS(Resultados!AU4),ABS(Resultados!BD4),ABS(Resultados!BM4),ABS(Resultados!BV4),ABS(Resultados!CE4))/SQRT(COUNT(Resultados!B4,Resultados!K4,Resultados!T4,Resultados!AC4,Resultados!AL4,Resultados!AU4,Resultados!BD4,Resultados!BM4,Resultados!BV4,Resultados!CE4)))</f>
        <v/>
      </c>
      <c r="C4">
        <f>IF(COUNT(Resultados!C4,Resultados!L4,Resultados!U4,Resultados!AD4,Resultados!AM4,Resultados!AV4,Resultados!BE4,Resultados!BN4,Resultados!BW4,Resultados!CF4)&lt;=1, "", _xlfn.STDEV.S(ABS(Resultados!C4),ABS(Resultados!L4),ABS(Resultados!U4),ABS(Resultados!AD4),ABS(Resultados!AM4),ABS(Resultados!AV4),ABS(Resultados!BE4),ABS(Resultados!BN4),ABS(Resultados!BW4),ABS(Resultados!CF4))/SQRT(COUNT(Resultados!C4,Resultados!L4,Resultados!U4,Resultados!AD4,Resultados!AM4,Resultados!AV4,Resultados!BE4,Resultados!BN4,Resultados!BW4,Resultados!CF4)))</f>
        <v>0.73711147958319934</v>
      </c>
      <c r="D4">
        <f>IF(COUNT(Resultados!D4,Resultados!M4,Resultados!V4,Resultados!AE4,Resultados!AN4,Resultados!AW4,Resultados!BF4,Resultados!BO4,Resultados!BX4,Resultados!CG4)&lt;=1, "", _xlfn.STDEV.S(ABS(Resultados!D4),ABS(Resultados!M4),ABS(Resultados!V4),ABS(Resultados!AE4),ABS(Resultados!AN4),ABS(Resultados!AW4),ABS(Resultados!BF4),ABS(Resultados!BO4),ABS(Resultados!BX4),ABS(Resultados!CG4))/SQRT(COUNT(Resultados!D4,Resultados!M4,Resultados!V4,Resultados!AE4,Resultados!AN4,Resultados!AW4,Resultados!BF4,Resultados!BO4,Resultados!BX4,Resultados!CG4)))</f>
        <v>7.8102496759066531E-5</v>
      </c>
      <c r="E4">
        <f>IF(COUNT(Resultados!E4,Resultados!N4,Resultados!W4,Resultados!AF4,Resultados!AO4,Resultados!AX4,Resultados!BG4,Resultados!BP4,Resultados!BY4,Resultados!CH4)&lt;=1, "", _xlfn.STDEV.S(ABS(Resultados!E4),ABS(Resultados!N4),ABS(Resultados!W4),ABS(Resultados!AF4),ABS(Resultados!AO4),ABS(Resultados!AX4),ABS(Resultados!BG4),ABS(Resultados!BP4),ABS(Resultados!BY4),ABS(Resultados!CH4))/SQRT(COUNT(Resultados!E4,Resultados!N4,Resultados!W4,Resultados!AF4,Resultados!AO4,Resultados!AX4,Resultados!BG4,Resultados!BP4,Resultados!BY4,Resultados!CH4)))</f>
        <v>2.8072673954247031E-2</v>
      </c>
      <c r="F4">
        <f>IF(COUNT(Resultados!F4,Resultados!O4,Resultados!X4,Resultados!AG4,Resultados!AP4,Resultados!AY4,Resultados!BH4,Resultados!BQ4,Resultados!BZ4,Resultados!CI4)&lt;=1, "", _xlfn.STDEV.S(ABS(Resultados!F4),ABS(Resultados!O4),ABS(Resultados!X4),ABS(Resultados!AG4),ABS(Resultados!AP4),ABS(Resultados!AY4),ABS(Resultados!BH4),ABS(Resultados!BQ4),ABS(Resultados!BZ4),ABS(Resultados!CI4))/SQRT(COUNT(Resultados!F4,Resultados!O4,Resultados!X4,Resultados!AG4,Resultados!AP4,Resultados!AY4,Resultados!BH4,Resultados!BQ4,Resultados!BZ4,Resultados!CI4)))</f>
        <v>7.6071717305170914</v>
      </c>
      <c r="G4">
        <f>IF(COUNT(Resultados!G4,Resultados!P4,Resultados!Y4,Resultados!AH4,Resultados!AQ4,Resultados!AZ4,Resultados!BI4,Resultados!BR4,Resultados!CA4,Resultados!CJ4)&lt;=1, "", _xlfn.STDEV.S(ABS(Resultados!G4),ABS(Resultados!P4),ABS(Resultados!Y4),ABS(Resultados!AH4),ABS(Resultados!AQ4),ABS(Resultados!AZ4),ABS(Resultados!BI4),ABS(Resultados!BR4),ABS(Resultados!CA4),ABS(Resultados!CJ4))/SQRT(COUNT(Resultados!G4,Resultados!P4,Resultados!Y4,Resultados!AH4,Resultados!AQ4,Resultados!AZ4,Resultados!BI4,Resultados!BR4,Resultados!CA4,Resultados!CJ4)))</f>
        <v>1.8503717077085941E-17</v>
      </c>
      <c r="H4">
        <f>IF(COUNT(Resultados!H4,Resultados!Q4,Resultados!Z4,Resultados!AI4,Resultados!AR4,Resultados!BA4,Resultados!BJ4,Resultados!BS4,Resultados!CB4,Resultados!CK4)&lt;=1, "", _xlfn.STDEV.S(ABS(Resultados!H4),ABS(Resultados!Q4),ABS(Resultados!Z4),ABS(Resultados!AI4),ABS(Resultados!AR4),ABS(Resultados!BA4),ABS(Resultados!BJ4),ABS(Resultados!BS4),ABS(Resultados!CB4),ABS(Resultados!CK4))/SQRT(COUNT(Resultados!H4,Resultados!Q4,Resultados!Z4,Resultados!AI4,Resultados!AR4,Resultados!BA4,Resultados!BJ4,Resultados!BS4,Resultados!CB4,Resultados!CK4)))</f>
        <v>4.2999999999999994E-4</v>
      </c>
      <c r="I4">
        <f>IF(COUNT(Resultados!I4,Resultados!R4,Resultados!AA4,Resultados!AJ4,Resultados!AS4,Resultados!BB4,Resultados!BK4,Resultados!BT4,Resultados!CC4,Resultados!CL4)&lt;=1, "", _xlfn.STDEV.S(ABS(Resultados!I4),ABS(Resultados!R4),ABS(Resultados!AA4),ABS(Resultados!AJ4),ABS(Resultados!AS4),ABS(Resultados!BB4),ABS(Resultados!BK4),ABS(Resultados!BT4),ABS(Resultados!CC4),ABS(Resultados!CL4))/SQRT(COUNT(Resultados!I4,Resultados!R4,Resultados!AA4,Resultados!AJ4,Resultados!AS4,Resultados!BB4,Resultados!BK4,Resultados!BT4,Resultados!CC4,Resultados!CL4)))</f>
        <v>4.0049097784252571E-2</v>
      </c>
    </row>
    <row r="5" spans="1:9" x14ac:dyDescent="0.3">
      <c r="A5">
        <f>IF(COUNT(Resultados!A5,Resultados!J5,Resultados!S5,Resultados!AB5,Resultados!AK5,Resultados!AT5,Resultados!BC5,Resultados!BL5,Resultados!BU5,Resultados!CD5)&lt;=1, "", _xlfn.STDEV.S(ABS(Resultados!A5),ABS(Resultados!J5),ABS(Resultados!S5),ABS(Resultados!AB5),ABS(Resultados!AK5),ABS(Resultados!AT5),ABS(Resultados!BC5),ABS(Resultados!BL5),ABS(Resultados!BU5),ABS(Resultados!CD5))/SQRT(COUNT(Resultados!A5,Resultados!J5,Resultados!S5,Resultados!AB5,Resultados!AK5,Resultados!AT5,Resultados!BC5,Resultados!BL5,Resultados!BU5,Resultados!CD5)))</f>
        <v>0</v>
      </c>
      <c r="B5" t="str">
        <f>IF(COUNT(Resultados!B5,Resultados!K5,Resultados!T5,Resultados!AC5,Resultados!AL5,Resultados!AU5,Resultados!BD5,Resultados!BM5,Resultados!BV5,Resultados!CE5)&lt;=1, "", _xlfn.STDEV.S(ABS(Resultados!B5),ABS(Resultados!K5),ABS(Resultados!T5),ABS(Resultados!AC5),ABS(Resultados!AL5),ABS(Resultados!AU5),ABS(Resultados!BD5),ABS(Resultados!BM5),ABS(Resultados!BV5),ABS(Resultados!CE5))/SQRT(COUNT(Resultados!B5,Resultados!K5,Resultados!T5,Resultados!AC5,Resultados!AL5,Resultados!AU5,Resultados!BD5,Resultados!BM5,Resultados!BV5,Resultados!CE5)))</f>
        <v/>
      </c>
      <c r="C5">
        <f>IF(COUNT(Resultados!C5,Resultados!L5,Resultados!U5,Resultados!AD5,Resultados!AM5,Resultados!AV5,Resultados!BE5,Resultados!BN5,Resultados!BW5,Resultados!CF5)&lt;=1, "", _xlfn.STDEV.S(ABS(Resultados!C5),ABS(Resultados!L5),ABS(Resultados!U5),ABS(Resultados!AD5),ABS(Resultados!AM5),ABS(Resultados!AV5),ABS(Resultados!BE5),ABS(Resultados!BN5),ABS(Resultados!BW5),ABS(Resultados!CF5))/SQRT(COUNT(Resultados!C5,Resultados!L5,Resultados!U5,Resultados!AD5,Resultados!AM5,Resultados!AV5,Resultados!BE5,Resultados!BN5,Resultados!BW5,Resultados!CF5)))</f>
        <v>0.73711147958319934</v>
      </c>
      <c r="D5">
        <f>IF(COUNT(Resultados!D5,Resultados!M5,Resultados!V5,Resultados!AE5,Resultados!AN5,Resultados!AW5,Resultados!BF5,Resultados!BO5,Resultados!BX5,Resultados!CG5)&lt;=1, "", _xlfn.STDEV.S(ABS(Resultados!D5),ABS(Resultados!M5),ABS(Resultados!V5),ABS(Resultados!AE5),ABS(Resultados!AN5),ABS(Resultados!AW5),ABS(Resultados!BF5),ABS(Resultados!BO5),ABS(Resultados!BX5),ABS(Resultados!CG5))/SQRT(COUNT(Resultados!D5,Resultados!M5,Resultados!V5,Resultados!AE5,Resultados!AN5,Resultados!AW5,Resultados!BF5,Resultados!BO5,Resultados!BX5,Resultados!CG5)))</f>
        <v>1.4236104336041747E-4</v>
      </c>
      <c r="E5">
        <f>IF(COUNT(Resultados!E5,Resultados!N5,Resultados!W5,Resultados!AF5,Resultados!AO5,Resultados!AX5,Resultados!BG5,Resultados!BP5,Resultados!BY5,Resultados!CH5)&lt;=1, "", _xlfn.STDEV.S(ABS(Resultados!E5),ABS(Resultados!N5),ABS(Resultados!W5),ABS(Resultados!AF5),ABS(Resultados!AO5),ABS(Resultados!AX5),ABS(Resultados!BG5),ABS(Resultados!BP5),ABS(Resultados!BY5),ABS(Resultados!CH5))/SQRT(COUNT(Resultados!E5,Resultados!N5,Resultados!W5,Resultados!AF5,Resultados!AO5,Resultados!AX5,Resultados!BG5,Resultados!BP5,Resultados!BY5,Resultados!CH5)))</f>
        <v>2.098303438251968E-2</v>
      </c>
      <c r="F5">
        <f>IF(COUNT(Resultados!F5,Resultados!O5,Resultados!X5,Resultados!AG5,Resultados!AP5,Resultados!AY5,Resultados!BH5,Resultados!BQ5,Resultados!BZ5,Resultados!CI5)&lt;=1, "", _xlfn.STDEV.S(ABS(Resultados!F5),ABS(Resultados!O5),ABS(Resultados!X5),ABS(Resultados!AG5),ABS(Resultados!AP5),ABS(Resultados!AY5),ABS(Resultados!BH5),ABS(Resultados!BQ5),ABS(Resultados!BZ5),ABS(Resultados!CI5))/SQRT(COUNT(Resultados!F5,Resultados!O5,Resultados!X5,Resultados!AG5,Resultados!AP5,Resultados!AY5,Resultados!BH5,Resultados!BQ5,Resultados!BZ5,Resultados!CI5)))</f>
        <v>8.2712426540317523</v>
      </c>
      <c r="G5">
        <f>IF(COUNT(Resultados!G5,Resultados!P5,Resultados!Y5,Resultados!AH5,Resultados!AQ5,Resultados!AZ5,Resultados!BI5,Resultados!BR5,Resultados!CA5,Resultados!CJ5)&lt;=1, "", _xlfn.STDEV.S(ABS(Resultados!G5),ABS(Resultados!P5),ABS(Resultados!Y5),ABS(Resultados!AH5),ABS(Resultados!AQ5),ABS(Resultados!AZ5),ABS(Resultados!BI5),ABS(Resultados!BR5),ABS(Resultados!CA5),ABS(Resultados!CJ5))/SQRT(COUNT(Resultados!G5,Resultados!P5,Resultados!Y5,Resultados!AH5,Resultados!AQ5,Resultados!AZ5,Resultados!BI5,Resultados!BR5,Resultados!CA5,Resultados!CJ5)))</f>
        <v>1.8503717077085941E-17</v>
      </c>
      <c r="H5">
        <f>IF(COUNT(Resultados!H5,Resultados!Q5,Resultados!Z5,Resultados!AI5,Resultados!AR5,Resultados!BA5,Resultados!BJ5,Resultados!BS5,Resultados!CB5,Resultados!CK5)&lt;=1, "", _xlfn.STDEV.S(ABS(Resultados!H5),ABS(Resultados!Q5),ABS(Resultados!Z5),ABS(Resultados!AI5),ABS(Resultados!AR5),ABS(Resultados!BA5),ABS(Resultados!BJ5),ABS(Resultados!BS5),ABS(Resultados!CB5),ABS(Resultados!CK5))/SQRT(COUNT(Resultados!H5,Resultados!Q5,Resultados!Z5,Resultados!AI5,Resultados!AR5,Resultados!BA5,Resultados!BJ5,Resultados!BS5,Resultados!CB5,Resultados!CK5)))</f>
        <v>3.2000000000000003E-4</v>
      </c>
      <c r="I5">
        <f>IF(COUNT(Resultados!I5,Resultados!R5,Resultados!AA5,Resultados!AJ5,Resultados!AS5,Resultados!BB5,Resultados!BK5,Resultados!BT5,Resultados!CC5,Resultados!CL5)&lt;=1, "", _xlfn.STDEV.S(ABS(Resultados!I5),ABS(Resultados!R5),ABS(Resultados!AA5),ABS(Resultados!AJ5),ABS(Resultados!AS5),ABS(Resultados!BB5),ABS(Resultados!BK5),ABS(Resultados!BT5),ABS(Resultados!CC5),ABS(Resultados!CL5))/SQRT(COUNT(Resultados!I5,Resultados!R5,Resultados!AA5,Resultados!AJ5,Resultados!AS5,Resultados!BB5,Resultados!BK5,Resultados!BT5,Resultados!CC5,Resultados!CL5)))</f>
        <v>4.0050282423749868E-2</v>
      </c>
    </row>
    <row r="6" spans="1:9" x14ac:dyDescent="0.3">
      <c r="A6">
        <f>IF(COUNT(Resultados!A6,Resultados!J6,Resultados!S6,Resultados!AB6,Resultados!AK6,Resultados!AT6,Resultados!BC6,Resultados!BL6,Resultados!BU6,Resultados!CD6)&lt;=1, "", _xlfn.STDEV.S(ABS(Resultados!A6),ABS(Resultados!J6),ABS(Resultados!S6),ABS(Resultados!AB6),ABS(Resultados!AK6),ABS(Resultados!AT6),ABS(Resultados!BC6),ABS(Resultados!BL6),ABS(Resultados!BU6),ABS(Resultados!CD6))/SQRT(COUNT(Resultados!A6,Resultados!J6,Resultados!S6,Resultados!AB6,Resultados!AK6,Resultados!AT6,Resultados!BC6,Resultados!BL6,Resultados!BU6,Resultados!CD6)))</f>
        <v>0</v>
      </c>
      <c r="B6" t="str">
        <f>IF(COUNT(Resultados!B6,Resultados!K6,Resultados!T6,Resultados!AC6,Resultados!AL6,Resultados!AU6,Resultados!BD6,Resultados!BM6,Resultados!BV6,Resultados!CE6)&lt;=1, "", _xlfn.STDEV.S(ABS(Resultados!B6),ABS(Resultados!K6),ABS(Resultados!T6),ABS(Resultados!AC6),ABS(Resultados!AL6),ABS(Resultados!AU6),ABS(Resultados!BD6),ABS(Resultados!BM6),ABS(Resultados!BV6),ABS(Resultados!CE6))/SQRT(COUNT(Resultados!B6,Resultados!K6,Resultados!T6,Resultados!AC6,Resultados!AL6,Resultados!AU6,Resultados!BD6,Resultados!BM6,Resultados!BV6,Resultados!CE6)))</f>
        <v/>
      </c>
      <c r="C6">
        <f>IF(COUNT(Resultados!C6,Resultados!L6,Resultados!U6,Resultados!AD6,Resultados!AM6,Resultados!AV6,Resultados!BE6,Resultados!BN6,Resultados!BW6,Resultados!CF6)&lt;=1, "", _xlfn.STDEV.S(ABS(Resultados!C6),ABS(Resultados!L6),ABS(Resultados!U6),ABS(Resultados!AD6),ABS(Resultados!AM6),ABS(Resultados!AV6),ABS(Resultados!BE6),ABS(Resultados!BN6),ABS(Resultados!BW6),ABS(Resultados!CF6))/SQRT(COUNT(Resultados!C6,Resultados!L6,Resultados!U6,Resultados!AD6,Resultados!AM6,Resultados!AV6,Resultados!BE6,Resultados!BN6,Resultados!BW6,Resultados!CF6)))</f>
        <v>0.73711147958319934</v>
      </c>
      <c r="D6">
        <f>IF(COUNT(Resultados!D6,Resultados!M6,Resultados!V6,Resultados!AE6,Resultados!AN6,Resultados!AW6,Resultados!BF6,Resultados!BO6,Resultados!BX6,Resultados!CG6)&lt;=1, "", _xlfn.STDEV.S(ABS(Resultados!D6),ABS(Resultados!M6),ABS(Resultados!V6),ABS(Resultados!AE6),ABS(Resultados!AN6),ABS(Resultados!AW6),ABS(Resultados!BF6),ABS(Resultados!BO6),ABS(Resultados!BX6),ABS(Resultados!CG6))/SQRT(COUNT(Resultados!D6,Resultados!M6,Resultados!V6,Resultados!AE6,Resultados!AN6,Resultados!AW6,Resultados!BF6,Resultados!BO6,Resultados!BX6,Resultados!CG6)))</f>
        <v>1.1259563836036355E-4</v>
      </c>
      <c r="E6">
        <f>IF(COUNT(Resultados!E6,Resultados!N6,Resultados!W6,Resultados!AF6,Resultados!AO6,Resultados!AX6,Resultados!BG6,Resultados!BP6,Resultados!BY6,Resultados!CH6)&lt;=1, "", _xlfn.STDEV.S(ABS(Resultados!E6),ABS(Resultados!N6),ABS(Resultados!W6),ABS(Resultados!AF6),ABS(Resultados!AO6),ABS(Resultados!AX6),ABS(Resultados!BG6),ABS(Resultados!BP6),ABS(Resultados!BY6),ABS(Resultados!CH6))/SQRT(COUNT(Resultados!E6,Resultados!N6,Resultados!W6,Resultados!AF6,Resultados!AO6,Resultados!AX6,Resultados!BG6,Resultados!BP6,Resultados!BY6,Resultados!CH6)))</f>
        <v>1.392357298538731E-2</v>
      </c>
      <c r="F6">
        <f>IF(COUNT(Resultados!F6,Resultados!O6,Resultados!X6,Resultados!AG6,Resultados!AP6,Resultados!AY6,Resultados!BH6,Resultados!BQ6,Resultados!BZ6,Resultados!CI6)&lt;=1, "", _xlfn.STDEV.S(ABS(Resultados!F6),ABS(Resultados!O6),ABS(Resultados!X6),ABS(Resultados!AG6),ABS(Resultados!AP6),ABS(Resultados!AY6),ABS(Resultados!BH6),ABS(Resultados!BQ6),ABS(Resultados!BZ6),ABS(Resultados!CI6))/SQRT(COUNT(Resultados!F6,Resultados!O6,Resultados!X6,Resultados!AG6,Resultados!AP6,Resultados!AY6,Resultados!BH6,Resultados!BQ6,Resultados!BZ6,Resultados!CI6)))</f>
        <v>8.9333449951078361</v>
      </c>
      <c r="G6">
        <f>IF(COUNT(Resultados!G6,Resultados!P6,Resultados!Y6,Resultados!AH6,Resultados!AQ6,Resultados!AZ6,Resultados!BI6,Resultados!BR6,Resultados!CA6,Resultados!CJ6)&lt;=1, "", _xlfn.STDEV.S(ABS(Resultados!G6),ABS(Resultados!P6),ABS(Resultados!Y6),ABS(Resultados!AH6),ABS(Resultados!AQ6),ABS(Resultados!AZ6),ABS(Resultados!BI6),ABS(Resultados!BR6),ABS(Resultados!CA6),ABS(Resultados!CJ6))/SQRT(COUNT(Resultados!G6,Resultados!P6,Resultados!Y6,Resultados!AH6,Resultados!AQ6,Resultados!AZ6,Resultados!BI6,Resultados!BR6,Resultados!CA6,Resultados!CJ6)))</f>
        <v>1.8503717077085941E-17</v>
      </c>
      <c r="H6">
        <f>IF(COUNT(Resultados!H6,Resultados!Q6,Resultados!Z6,Resultados!AI6,Resultados!AR6,Resultados!BA6,Resultados!BJ6,Resultados!BS6,Resultados!CB6,Resultados!CK6)&lt;=1, "", _xlfn.STDEV.S(ABS(Resultados!H6),ABS(Resultados!Q6),ABS(Resultados!Z6),ABS(Resultados!AI6),ABS(Resultados!AR6),ABS(Resultados!BA6),ABS(Resultados!BJ6),ABS(Resultados!BS6),ABS(Resultados!CB6),ABS(Resultados!CK6))/SQRT(COUNT(Resultados!H6,Resultados!Q6,Resultados!Z6,Resultados!AI6,Resultados!AR6,Resultados!BA6,Resultados!BJ6,Resultados!BS6,Resultados!CB6,Resultados!CK6)))</f>
        <v>2.1612753436596439E-4</v>
      </c>
      <c r="I6">
        <f>IF(COUNT(Resultados!I6,Resultados!R6,Resultados!AA6,Resultados!AJ6,Resultados!AS6,Resultados!BB6,Resultados!BK6,Resultados!BT6,Resultados!CC6,Resultados!CL6)&lt;=1, "", _xlfn.STDEV.S(ABS(Resultados!I6),ABS(Resultados!R6),ABS(Resultados!AA6),ABS(Resultados!AJ6),ABS(Resultados!AS6),ABS(Resultados!BB6),ABS(Resultados!BK6),ABS(Resultados!BT6),ABS(Resultados!CC6),ABS(Resultados!CL6))/SQRT(COUNT(Resultados!I6,Resultados!R6,Resultados!AA6,Resultados!AJ6,Resultados!AS6,Resultados!BB6,Resultados!BK6,Resultados!BT6,Resultados!CC6,Resultados!CL6)))</f>
        <v>4.0038740128920634E-2</v>
      </c>
    </row>
    <row r="7" spans="1:9" x14ac:dyDescent="0.3">
      <c r="A7">
        <f>IF(COUNT(Resultados!A7,Resultados!J7,Resultados!S7,Resultados!AB7,Resultados!AK7,Resultados!AT7,Resultados!BC7,Resultados!BL7,Resultados!BU7,Resultados!CD7)&lt;=1, "", _xlfn.STDEV.S(ABS(Resultados!A7),ABS(Resultados!J7),ABS(Resultados!S7),ABS(Resultados!AB7),ABS(Resultados!AK7),ABS(Resultados!AT7),ABS(Resultados!BC7),ABS(Resultados!BL7),ABS(Resultados!BU7),ABS(Resultados!CD7))/SQRT(COUNT(Resultados!A7,Resultados!J7,Resultados!S7,Resultados!AB7,Resultados!AK7,Resultados!AT7,Resultados!BC7,Resultados!BL7,Resultados!BU7,Resultados!CD7)))</f>
        <v>0</v>
      </c>
      <c r="B7" t="str">
        <f>IF(COUNT(Resultados!B7,Resultados!K7,Resultados!T7,Resultados!AC7,Resultados!AL7,Resultados!AU7,Resultados!BD7,Resultados!BM7,Resultados!BV7,Resultados!CE7)&lt;=1, "", _xlfn.STDEV.S(ABS(Resultados!B7),ABS(Resultados!K7),ABS(Resultados!T7),ABS(Resultados!AC7),ABS(Resultados!AL7),ABS(Resultados!AU7),ABS(Resultados!BD7),ABS(Resultados!BM7),ABS(Resultados!BV7),ABS(Resultados!CE7))/SQRT(COUNT(Resultados!B7,Resultados!K7,Resultados!T7,Resultados!AC7,Resultados!AL7,Resultados!AU7,Resultados!BD7,Resultados!BM7,Resultados!BV7,Resultados!CE7)))</f>
        <v/>
      </c>
      <c r="C7">
        <f>IF(COUNT(Resultados!C7,Resultados!L7,Resultados!U7,Resultados!AD7,Resultados!AM7,Resultados!AV7,Resultados!BE7,Resultados!BN7,Resultados!BW7,Resultados!CF7)&lt;=1, "", _xlfn.STDEV.S(ABS(Resultados!C7),ABS(Resultados!L7),ABS(Resultados!U7),ABS(Resultados!AD7),ABS(Resultados!AM7),ABS(Resultados!AV7),ABS(Resultados!BE7),ABS(Resultados!BN7),ABS(Resultados!BW7),ABS(Resultados!CF7))/SQRT(COUNT(Resultados!C7,Resultados!L7,Resultados!U7,Resultados!AD7,Resultados!AM7,Resultados!AV7,Resultados!BE7,Resultados!BN7,Resultados!BW7,Resultados!CF7)))</f>
        <v>0.73711147958319934</v>
      </c>
      <c r="D7">
        <f>IF(COUNT(Resultados!D7,Resultados!M7,Resultados!V7,Resultados!AE7,Resultados!AN7,Resultados!AW7,Resultados!BF7,Resultados!BO7,Resultados!BX7,Resultados!CG7)&lt;=1, "", _xlfn.STDEV.S(ABS(Resultados!D7),ABS(Resultados!M7),ABS(Resultados!V7),ABS(Resultados!AE7),ABS(Resultados!AN7),ABS(Resultados!AW7),ABS(Resultados!BF7),ABS(Resultados!BO7),ABS(Resultados!BX7),ABS(Resultados!CG7))/SQRT(COUNT(Resultados!D7,Resultados!M7,Resultados!V7,Resultados!AE7,Resultados!AN7,Resultados!AW7,Resultados!BF7,Resultados!BO7,Resultados!BX7,Resultados!CG7)))</f>
        <v>8.1717671147541761E-5</v>
      </c>
      <c r="E7">
        <f>IF(COUNT(Resultados!E7,Resultados!N7,Resultados!W7,Resultados!AF7,Resultados!AO7,Resultados!AX7,Resultados!BG7,Resultados!BP7,Resultados!BY7,Resultados!CH7)&lt;=1, "", _xlfn.STDEV.S(ABS(Resultados!E7),ABS(Resultados!N7),ABS(Resultados!W7),ABS(Resultados!AF7),ABS(Resultados!AO7),ABS(Resultados!AX7),ABS(Resultados!BG7),ABS(Resultados!BP7),ABS(Resultados!BY7),ABS(Resultados!CH7))/SQRT(COUNT(Resultados!E7,Resultados!N7,Resultados!W7,Resultados!AF7,Resultados!AO7,Resultados!AX7,Resultados!BG7,Resultados!BP7,Resultados!BY7,Resultados!CH7)))</f>
        <v>6.7100629583769179E-3</v>
      </c>
      <c r="F7">
        <f>IF(COUNT(Resultados!F7,Resultados!O7,Resultados!X7,Resultados!AG7,Resultados!AP7,Resultados!AY7,Resultados!BH7,Resultados!BQ7,Resultados!BZ7,Resultados!CI7)&lt;=1, "", _xlfn.STDEV.S(ABS(Resultados!F7),ABS(Resultados!O7),ABS(Resultados!X7),ABS(Resultados!AG7),ABS(Resultados!AP7),ABS(Resultados!AY7),ABS(Resultados!BH7),ABS(Resultados!BQ7),ABS(Resultados!BZ7),ABS(Resultados!CI7))/SQRT(COUNT(Resultados!F7,Resultados!O7,Resultados!X7,Resultados!AG7,Resultados!AP7,Resultados!AY7,Resultados!BH7,Resultados!BQ7,Resultados!BZ7,Resultados!CI7)))</f>
        <v>9.6112736720774272</v>
      </c>
      <c r="G7">
        <f>IF(COUNT(Resultados!G7,Resultados!P7,Resultados!Y7,Resultados!AH7,Resultados!AQ7,Resultados!AZ7,Resultados!BI7,Resultados!BR7,Resultados!CA7,Resultados!CJ7)&lt;=1, "", _xlfn.STDEV.S(ABS(Resultados!G7),ABS(Resultados!P7),ABS(Resultados!Y7),ABS(Resultados!AH7),ABS(Resultados!AQ7),ABS(Resultados!AZ7),ABS(Resultados!BI7),ABS(Resultados!BR7),ABS(Resultados!CA7),ABS(Resultados!CJ7))/SQRT(COUNT(Resultados!G7,Resultados!P7,Resultados!Y7,Resultados!AH7,Resultados!AQ7,Resultados!AZ7,Resultados!BI7,Resultados!BR7,Resultados!CA7,Resultados!CJ7)))</f>
        <v>1.8503717077085941E-17</v>
      </c>
      <c r="H7">
        <f>IF(COUNT(Resultados!H7,Resultados!Q7,Resultados!Z7,Resultados!AI7,Resultados!AR7,Resultados!BA7,Resultados!BJ7,Resultados!BS7,Resultados!CB7,Resultados!CK7)&lt;=1, "", _xlfn.STDEV.S(ABS(Resultados!H7),ABS(Resultados!Q7),ABS(Resultados!Z7),ABS(Resultados!AI7),ABS(Resultados!AR7),ABS(Resultados!BA7),ABS(Resultados!BJ7),ABS(Resultados!BS7),ABS(Resultados!CB7),ABS(Resultados!CK7))/SQRT(COUNT(Resultados!H7,Resultados!Q7,Resultados!Z7,Resultados!AI7,Resultados!AR7,Resultados!BA7,Resultados!BJ7,Resultados!BS7,Resultados!CB7,Resultados!CK7)))</f>
        <v>9.9999999999999991E-5</v>
      </c>
      <c r="I7">
        <f>IF(COUNT(Resultados!I7,Resultados!R7,Resultados!AA7,Resultados!AJ7,Resultados!AS7,Resultados!BB7,Resultados!BK7,Resultados!BT7,Resultados!CC7,Resultados!CL7)&lt;=1, "", _xlfn.STDEV.S(ABS(Resultados!I7),ABS(Resultados!R7),ABS(Resultados!AA7),ABS(Resultados!AJ7),ABS(Resultados!AS7),ABS(Resultados!BB7),ABS(Resultados!BK7),ABS(Resultados!BT7),ABS(Resultados!CC7),ABS(Resultados!CL7))/SQRT(COUNT(Resultados!I7,Resultados!R7,Resultados!AA7,Resultados!AJ7,Resultados!AS7,Resultados!BB7,Resultados!BK7,Resultados!BT7,Resultados!CC7,Resultados!CL7)))</f>
        <v>4.0168204673181072E-2</v>
      </c>
    </row>
    <row r="8" spans="1:9" x14ac:dyDescent="0.3">
      <c r="A8">
        <f>IF(COUNT(Resultados!A8,Resultados!J8,Resultados!S8,Resultados!AB8,Resultados!AK8,Resultados!AT8,Resultados!BC8,Resultados!BL8,Resultados!BU8,Resultados!CD8)&lt;=1, "", _xlfn.STDEV.S(ABS(Resultados!A8),ABS(Resultados!J8),ABS(Resultados!S8),ABS(Resultados!AB8),ABS(Resultados!AK8),ABS(Resultados!AT8),ABS(Resultados!BC8),ABS(Resultados!BL8),ABS(Resultados!BU8),ABS(Resultados!CD8))/SQRT(COUNT(Resultados!A8,Resultados!J8,Resultados!S8,Resultados!AB8,Resultados!AK8,Resultados!AT8,Resultados!BC8,Resultados!BL8,Resultados!BU8,Resultados!CD8)))</f>
        <v>0</v>
      </c>
      <c r="B8" t="str">
        <f>IF(COUNT(Resultados!B8,Resultados!K8,Resultados!T8,Resultados!AC8,Resultados!AL8,Resultados!AU8,Resultados!BD8,Resultados!BM8,Resultados!BV8,Resultados!CE8)&lt;=1, "", _xlfn.STDEV.S(ABS(Resultados!B8),ABS(Resultados!K8),ABS(Resultados!T8),ABS(Resultados!AC8),ABS(Resultados!AL8),ABS(Resultados!AU8),ABS(Resultados!BD8),ABS(Resultados!BM8),ABS(Resultados!BV8),ABS(Resultados!CE8))/SQRT(COUNT(Resultados!B8,Resultados!K8,Resultados!T8,Resultados!AC8,Resultados!AL8,Resultados!AU8,Resultados!BD8,Resultados!BM8,Resultados!BV8,Resultados!CE8)))</f>
        <v/>
      </c>
      <c r="C8">
        <f>IF(COUNT(Resultados!C8,Resultados!L8,Resultados!U8,Resultados!AD8,Resultados!AM8,Resultados!AV8,Resultados!BE8,Resultados!BN8,Resultados!BW8,Resultados!CF8)&lt;=1, "", _xlfn.STDEV.S(ABS(Resultados!C8),ABS(Resultados!L8),ABS(Resultados!U8),ABS(Resultados!AD8),ABS(Resultados!AM8),ABS(Resultados!AV8),ABS(Resultados!BE8),ABS(Resultados!BN8),ABS(Resultados!BW8),ABS(Resultados!CF8))/SQRT(COUNT(Resultados!C8,Resultados!L8,Resultados!U8,Resultados!AD8,Resultados!AM8,Resultados!AV8,Resultados!BE8,Resultados!BN8,Resultados!BW8,Resultados!CF8)))</f>
        <v>0.73711147958319934</v>
      </c>
      <c r="D8">
        <f>IF(COUNT(Resultados!D8,Resultados!M8,Resultados!V8,Resultados!AE8,Resultados!AN8,Resultados!AW8,Resultados!BF8,Resultados!BO8,Resultados!BX8,Resultados!CG8)&lt;=1, "", _xlfn.STDEV.S(ABS(Resultados!D8),ABS(Resultados!M8),ABS(Resultados!V8),ABS(Resultados!AE8),ABS(Resultados!AN8),ABS(Resultados!AW8),ABS(Resultados!BF8),ABS(Resultados!BO8),ABS(Resultados!BX8),ABS(Resultados!CG8))/SQRT(COUNT(Resultados!D8,Resultados!M8,Resultados!V8,Resultados!AE8,Resultados!AN8,Resultados!AW8,Resultados!BF8,Resultados!BO8,Resultados!BX8,Resultados!CG8)))</f>
        <v>7.3105707331537687E-5</v>
      </c>
      <c r="E8">
        <f>IF(COUNT(Resultados!E8,Resultados!N8,Resultados!W8,Resultados!AF8,Resultados!AO8,Resultados!AX8,Resultados!BG8,Resultados!BP8,Resultados!BY8,Resultados!CH8)&lt;=1, "", _xlfn.STDEV.S(ABS(Resultados!E8),ABS(Resultados!N8),ABS(Resultados!W8),ABS(Resultados!AF8),ABS(Resultados!AO8),ABS(Resultados!AX8),ABS(Resultados!BG8),ABS(Resultados!BP8),ABS(Resultados!BY8),ABS(Resultados!CH8))/SQRT(COUNT(Resultados!E8,Resultados!N8,Resultados!W8,Resultados!AF8,Resultados!AO8,Resultados!AX8,Resultados!BG8,Resultados!BP8,Resultados!BY8,Resultados!CH8)))</f>
        <v>6.5686297464075268E-4</v>
      </c>
      <c r="F8">
        <f>IF(COUNT(Resultados!F8,Resultados!O8,Resultados!X8,Resultados!AG8,Resultados!AP8,Resultados!AY8,Resultados!BH8,Resultados!BQ8,Resultados!BZ8,Resultados!CI8)&lt;=1, "", _xlfn.STDEV.S(ABS(Resultados!F8),ABS(Resultados!O8),ABS(Resultados!X8),ABS(Resultados!AG8),ABS(Resultados!AP8),ABS(Resultados!AY8),ABS(Resultados!BH8),ABS(Resultados!BQ8),ABS(Resultados!BZ8),ABS(Resultados!CI8))/SQRT(COUNT(Resultados!F8,Resultados!O8,Resultados!X8,Resultados!AG8,Resultados!AP8,Resultados!AY8,Resultados!BH8,Resultados!BQ8,Resultados!BZ8,Resultados!CI8)))</f>
        <v>10.288265711437028</v>
      </c>
      <c r="G8">
        <f>IF(COUNT(Resultados!G8,Resultados!P8,Resultados!Y8,Resultados!AH8,Resultados!AQ8,Resultados!AZ8,Resultados!BI8,Resultados!BR8,Resultados!CA8,Resultados!CJ8)&lt;=1, "", _xlfn.STDEV.S(ABS(Resultados!G8),ABS(Resultados!P8),ABS(Resultados!Y8),ABS(Resultados!AH8),ABS(Resultados!AQ8),ABS(Resultados!AZ8),ABS(Resultados!BI8),ABS(Resultados!BR8),ABS(Resultados!CA8),ABS(Resultados!CJ8))/SQRT(COUNT(Resultados!G8,Resultados!P8,Resultados!Y8,Resultados!AH8,Resultados!AQ8,Resultados!AZ8,Resultados!BI8,Resultados!BR8,Resultados!CA8,Resultados!CJ8)))</f>
        <v>1.8503717077085941E-17</v>
      </c>
      <c r="H8">
        <f>IF(COUNT(Resultados!H8,Resultados!Q8,Resultados!Z8,Resultados!AI8,Resultados!AR8,Resultados!BA8,Resultados!BJ8,Resultados!BS8,Resultados!CB8,Resultados!CK8)&lt;=1, "", _xlfn.STDEV.S(ABS(Resultados!H8),ABS(Resultados!Q8),ABS(Resultados!Z8),ABS(Resultados!AI8),ABS(Resultados!AR8),ABS(Resultados!BA8),ABS(Resultados!BJ8),ABS(Resultados!BS8),ABS(Resultados!CB8),ABS(Resultados!CK8))/SQRT(COUNT(Resultados!H8,Resultados!Q8,Resultados!Z8,Resultados!AI8,Resultados!AR8,Resultados!BA8,Resultados!BJ8,Resultados!BS8,Resultados!CB8,Resultados!CK8)))</f>
        <v>1.4907119849998586E-5</v>
      </c>
      <c r="I8">
        <f>IF(COUNT(Resultados!I8,Resultados!R8,Resultados!AA8,Resultados!AJ8,Resultados!AS8,Resultados!BB8,Resultados!BK8,Resultados!BT8,Resultados!CC8,Resultados!CL8)&lt;=1, "", _xlfn.STDEV.S(ABS(Resultados!I8),ABS(Resultados!R8),ABS(Resultados!AA8),ABS(Resultados!AJ8),ABS(Resultados!AS8),ABS(Resultados!BB8),ABS(Resultados!BK8),ABS(Resultados!BT8),ABS(Resultados!CC8),ABS(Resultados!CL8))/SQRT(COUNT(Resultados!I8,Resultados!R8,Resultados!AA8,Resultados!AJ8,Resultados!AS8,Resultados!BB8,Resultados!BK8,Resultados!BT8,Resultados!CC8,Resultados!CL8)))</f>
        <v>4.0157451225001667E-2</v>
      </c>
    </row>
    <row r="9" spans="1:9" x14ac:dyDescent="0.3">
      <c r="A9">
        <f>IF(COUNT(Resultados!A9,Resultados!J9,Resultados!S9,Resultados!AB9,Resultados!AK9,Resultados!AT9,Resultados!BC9,Resultados!BL9,Resultados!BU9,Resultados!CD9)&lt;=1, "", _xlfn.STDEV.S(ABS(Resultados!A9),ABS(Resultados!J9),ABS(Resultados!S9),ABS(Resultados!AB9),ABS(Resultados!AK9),ABS(Resultados!AT9),ABS(Resultados!BC9),ABS(Resultados!BL9),ABS(Resultados!BU9),ABS(Resultados!CD9))/SQRT(COUNT(Resultados!A9,Resultados!J9,Resultados!S9,Resultados!AB9,Resultados!AK9,Resultados!AT9,Resultados!BC9,Resultados!BL9,Resultados!BU9,Resultados!CD9)))</f>
        <v>0</v>
      </c>
      <c r="B9" t="str">
        <f>IF(COUNT(Resultados!B9,Resultados!K9,Resultados!T9,Resultados!AC9,Resultados!AL9,Resultados!AU9,Resultados!BD9,Resultados!BM9,Resultados!BV9,Resultados!CE9)&lt;=1, "", _xlfn.STDEV.S(ABS(Resultados!B9),ABS(Resultados!K9),ABS(Resultados!T9),ABS(Resultados!AC9),ABS(Resultados!AL9),ABS(Resultados!AU9),ABS(Resultados!BD9),ABS(Resultados!BM9),ABS(Resultados!BV9),ABS(Resultados!CE9))/SQRT(COUNT(Resultados!B9,Resultados!K9,Resultados!T9,Resultados!AC9,Resultados!AL9,Resultados!AU9,Resultados!BD9,Resultados!BM9,Resultados!BV9,Resultados!CE9)))</f>
        <v/>
      </c>
      <c r="C9">
        <f>IF(COUNT(Resultados!C9,Resultados!L9,Resultados!U9,Resultados!AD9,Resultados!AM9,Resultados!AV9,Resultados!BE9,Resultados!BN9,Resultados!BW9,Resultados!CF9)&lt;=1, "", _xlfn.STDEV.S(ABS(Resultados!C9),ABS(Resultados!L9),ABS(Resultados!U9),ABS(Resultados!AD9),ABS(Resultados!AM9),ABS(Resultados!AV9),ABS(Resultados!BE9),ABS(Resultados!BN9),ABS(Resultados!BW9),ABS(Resultados!CF9))/SQRT(COUNT(Resultados!C9,Resultados!L9,Resultados!U9,Resultados!AD9,Resultados!AM9,Resultados!AV9,Resultados!BE9,Resultados!BN9,Resultados!BW9,Resultados!CF9)))</f>
        <v>0.73711147958319934</v>
      </c>
      <c r="D9">
        <f>IF(COUNT(Resultados!D9,Resultados!M9,Resultados!V9,Resultados!AE9,Resultados!AN9,Resultados!AW9,Resultados!BF9,Resultados!BO9,Resultados!BX9,Resultados!CG9)&lt;=1, "", _xlfn.STDEV.S(ABS(Resultados!D9),ABS(Resultados!M9),ABS(Resultados!V9),ABS(Resultados!AE9),ABS(Resultados!AN9),ABS(Resultados!AW9),ABS(Resultados!BF9),ABS(Resultados!BO9),ABS(Resultados!BX9),ABS(Resultados!CG9))/SQRT(COUNT(Resultados!D9,Resultados!M9,Resultados!V9,Resultados!AE9,Resultados!AN9,Resultados!AW9,Resultados!BF9,Resultados!BO9,Resultados!BX9,Resultados!CG9)))</f>
        <v>1.2333333333333334E-4</v>
      </c>
      <c r="E9">
        <f>IF(COUNT(Resultados!E9,Resultados!N9,Resultados!W9,Resultados!AF9,Resultados!AO9,Resultados!AX9,Resultados!BG9,Resultados!BP9,Resultados!BY9,Resultados!CH9)&lt;=1, "", _xlfn.STDEV.S(ABS(Resultados!E9),ABS(Resultados!N9),ABS(Resultados!W9),ABS(Resultados!AF9),ABS(Resultados!AO9),ABS(Resultados!AX9),ABS(Resultados!BG9),ABS(Resultados!BP9),ABS(Resultados!BY9),ABS(Resultados!CH9))/SQRT(COUNT(Resultados!E9,Resultados!N9,Resultados!W9,Resultados!AF9,Resultados!AO9,Resultados!AX9,Resultados!BG9,Resultados!BP9,Resultados!BY9,Resultados!CH9)))</f>
        <v>1.0888301494658794E-2</v>
      </c>
      <c r="F9">
        <f>IF(COUNT(Resultados!F9,Resultados!O9,Resultados!X9,Resultados!AG9,Resultados!AP9,Resultados!AY9,Resultados!BH9,Resultados!BQ9,Resultados!BZ9,Resultados!CI9)&lt;=1, "", _xlfn.STDEV.S(ABS(Resultados!F9),ABS(Resultados!O9),ABS(Resultados!X9),ABS(Resultados!AG9),ABS(Resultados!AP9),ABS(Resultados!AY9),ABS(Resultados!BH9),ABS(Resultados!BQ9),ABS(Resultados!BZ9),ABS(Resultados!CI9))/SQRT(COUNT(Resultados!F9,Resultados!O9,Resultados!X9,Resultados!AG9,Resultados!AP9,Resultados!AY9,Resultados!BH9,Resultados!BQ9,Resultados!BZ9,Resultados!CI9)))</f>
        <v>14.676656890574064</v>
      </c>
      <c r="G9">
        <f>IF(COUNT(Resultados!G9,Resultados!P9,Resultados!Y9,Resultados!AH9,Resultados!AQ9,Resultados!AZ9,Resultados!BI9,Resultados!BR9,Resultados!CA9,Resultados!CJ9)&lt;=1, "", _xlfn.STDEV.S(ABS(Resultados!G9),ABS(Resultados!P9),ABS(Resultados!Y9),ABS(Resultados!AH9),ABS(Resultados!AQ9),ABS(Resultados!AZ9),ABS(Resultados!BI9),ABS(Resultados!BR9),ABS(Resultados!CA9),ABS(Resultados!CJ9))/SQRT(COUNT(Resultados!G9,Resultados!P9,Resultados!Y9,Resultados!AH9,Resultados!AQ9,Resultados!AZ9,Resultados!BI9,Resultados!BR9,Resultados!CA9,Resultados!CJ9)))</f>
        <v>1.8503717077085941E-17</v>
      </c>
      <c r="H9">
        <f>IF(COUNT(Resultados!H9,Resultados!Q9,Resultados!Z9,Resultados!AI9,Resultados!AR9,Resultados!BA9,Resultados!BJ9,Resultados!BS9,Resultados!CB9,Resultados!CK9)&lt;=1, "", _xlfn.STDEV.S(ABS(Resultados!H9),ABS(Resultados!Q9),ABS(Resultados!Z9),ABS(Resultados!AI9),ABS(Resultados!AR9),ABS(Resultados!BA9),ABS(Resultados!BJ9),ABS(Resultados!BS9),ABS(Resultados!CB9),ABS(Resultados!CK9))/SQRT(COUNT(Resultados!H9,Resultados!Q9,Resultados!Z9,Resultados!AI9,Resultados!AR9,Resultados!BA9,Resultados!BJ9,Resultados!BS9,Resultados!CB9,Resultados!CK9)))</f>
        <v>1.7065234314893606E-4</v>
      </c>
      <c r="I9">
        <f>IF(COUNT(Resultados!I9,Resultados!R9,Resultados!AA9,Resultados!AJ9,Resultados!AS9,Resultados!BB9,Resultados!BK9,Resultados!BT9,Resultados!CC9,Resultados!CL9)&lt;=1, "", _xlfn.STDEV.S(ABS(Resultados!I9),ABS(Resultados!R9),ABS(Resultados!AA9),ABS(Resultados!AJ9),ABS(Resultados!AS9),ABS(Resultados!BB9),ABS(Resultados!BK9),ABS(Resultados!BT9),ABS(Resultados!CC9),ABS(Resultados!CL9))/SQRT(COUNT(Resultados!I9,Resultados!R9,Resultados!AA9,Resultados!AJ9,Resultados!AS9,Resultados!BB9,Resultados!BK9,Resultados!BT9,Resultados!CC9,Resultados!CL9)))</f>
        <v>4.0170785542617604E-2</v>
      </c>
    </row>
    <row r="10" spans="1:9" x14ac:dyDescent="0.3">
      <c r="A10">
        <f>IF(COUNT(Resultados!A10,Resultados!J10,Resultados!S10,Resultados!AB10,Resultados!AK10,Resultados!AT10,Resultados!BC10,Resultados!BL10,Resultados!BU10,Resultados!CD10)&lt;=1, "", _xlfn.STDEV.S(ABS(Resultados!A10),ABS(Resultados!J10),ABS(Resultados!S10),ABS(Resultados!AB10),ABS(Resultados!AK10),ABS(Resultados!AT10),ABS(Resultados!BC10),ABS(Resultados!BL10),ABS(Resultados!BU10),ABS(Resultados!CD10))/SQRT(COUNT(Resultados!A10,Resultados!J10,Resultados!S10,Resultados!AB10,Resultados!AK10,Resultados!AT10,Resultados!BC10,Resultados!BL10,Resultados!BU10,Resultados!CD10)))</f>
        <v>0</v>
      </c>
      <c r="B10" t="str">
        <f>IF(COUNT(Resultados!B10,Resultados!K10,Resultados!T10,Resultados!AC10,Resultados!AL10,Resultados!AU10,Resultados!BD10,Resultados!BM10,Resultados!BV10,Resultados!CE10)&lt;=1, "", _xlfn.STDEV.S(ABS(Resultados!B10),ABS(Resultados!K10),ABS(Resultados!T10),ABS(Resultados!AC10),ABS(Resultados!AL10),ABS(Resultados!AU10),ABS(Resultados!BD10),ABS(Resultados!BM10),ABS(Resultados!BV10),ABS(Resultados!CE10))/SQRT(COUNT(Resultados!B10,Resultados!K10,Resultados!T10,Resultados!AC10,Resultados!AL10,Resultados!AU10,Resultados!BD10,Resultados!BM10,Resultados!BV10,Resultados!CE10)))</f>
        <v/>
      </c>
      <c r="C10">
        <f>IF(COUNT(Resultados!C10,Resultados!L10,Resultados!U10,Resultados!AD10,Resultados!AM10,Resultados!AV10,Resultados!BE10,Resultados!BN10,Resultados!BW10,Resultados!CF10)&lt;=1, "", _xlfn.STDEV.S(ABS(Resultados!C10),ABS(Resultados!L10),ABS(Resultados!U10),ABS(Resultados!AD10),ABS(Resultados!AM10),ABS(Resultados!AV10),ABS(Resultados!BE10),ABS(Resultados!BN10),ABS(Resultados!BW10),ABS(Resultados!CF10))/SQRT(COUNT(Resultados!C10,Resultados!L10,Resultados!U10,Resultados!AD10,Resultados!AM10,Resultados!AV10,Resultados!BE10,Resultados!BN10,Resultados!BW10,Resultados!CF10)))</f>
        <v>0.73711147958319934</v>
      </c>
      <c r="D10">
        <f>IF(COUNT(Resultados!D10,Resultados!M10,Resultados!V10,Resultados!AE10,Resultados!AN10,Resultados!AW10,Resultados!BF10,Resultados!BO10,Resultados!BX10,Resultados!CG10)&lt;=1, "", _xlfn.STDEV.S(ABS(Resultados!D10),ABS(Resultados!M10),ABS(Resultados!V10),ABS(Resultados!AE10),ABS(Resultados!AN10),ABS(Resultados!AW10),ABS(Resultados!BF10),ABS(Resultados!BO10),ABS(Resultados!BX10),ABS(Resultados!CG10))/SQRT(COUNT(Resultados!D10,Resultados!M10,Resultados!V10,Resultados!AE10,Resultados!AN10,Resultados!AW10,Resultados!BF10,Resultados!BO10,Resultados!BX10,Resultados!CG10)))</f>
        <v>2.601068156653254E-4</v>
      </c>
      <c r="E10">
        <f>IF(COUNT(Resultados!E10,Resultados!N10,Resultados!W10,Resultados!AF10,Resultados!AO10,Resultados!AX10,Resultados!BG10,Resultados!BP10,Resultados!BY10,Resultados!CH10)&lt;=1, "", _xlfn.STDEV.S(ABS(Resultados!E10),ABS(Resultados!N10),ABS(Resultados!W10),ABS(Resultados!AF10),ABS(Resultados!AO10),ABS(Resultados!AX10),ABS(Resultados!BG10),ABS(Resultados!BP10),ABS(Resultados!BY10),ABS(Resultados!CH10))/SQRT(COUNT(Resultados!E10,Resultados!N10,Resultados!W10,Resultados!AF10,Resultados!AO10,Resultados!AX10,Resultados!BG10,Resultados!BP10,Resultados!BY10,Resultados!CH10)))</f>
        <v>1.7394177119587805E-2</v>
      </c>
      <c r="F10">
        <f>IF(COUNT(Resultados!F10,Resultados!O10,Resultados!X10,Resultados!AG10,Resultados!AP10,Resultados!AY10,Resultados!BH10,Resultados!BQ10,Resultados!BZ10,Resultados!CI10)&lt;=1, "", _xlfn.STDEV.S(ABS(Resultados!F10),ABS(Resultados!O10),ABS(Resultados!X10),ABS(Resultados!AG10),ABS(Resultados!AP10),ABS(Resultados!AY10),ABS(Resultados!BH10),ABS(Resultados!BQ10),ABS(Resultados!BZ10),ABS(Resultados!CI10))/SQRT(COUNT(Resultados!F10,Resultados!O10,Resultados!X10,Resultados!AG10,Resultados!AP10,Resultados!AY10,Resultados!BH10,Resultados!BQ10,Resultados!BZ10,Resultados!CI10)))</f>
        <v>11.575604698337505</v>
      </c>
      <c r="G10">
        <f>IF(COUNT(Resultados!G10,Resultados!P10,Resultados!Y10,Resultados!AH10,Resultados!AQ10,Resultados!AZ10,Resultados!BI10,Resultados!BR10,Resultados!CA10,Resultados!CJ10)&lt;=1, "", _xlfn.STDEV.S(ABS(Resultados!G10),ABS(Resultados!P10),ABS(Resultados!Y10),ABS(Resultados!AH10),ABS(Resultados!AQ10),ABS(Resultados!AZ10),ABS(Resultados!BI10),ABS(Resultados!BR10),ABS(Resultados!CA10),ABS(Resultados!CJ10))/SQRT(COUNT(Resultados!G10,Resultados!P10,Resultados!Y10,Resultados!AH10,Resultados!AQ10,Resultados!AZ10,Resultados!BI10,Resultados!BR10,Resultados!CA10,Resultados!CJ10)))</f>
        <v>1.8503717077085941E-17</v>
      </c>
      <c r="H10">
        <f>IF(COUNT(Resultados!H10,Resultados!Q10,Resultados!Z10,Resultados!AI10,Resultados!AR10,Resultados!BA10,Resultados!BJ10,Resultados!BS10,Resultados!CB10,Resultados!CK10)&lt;=1, "", _xlfn.STDEV.S(ABS(Resultados!H10),ABS(Resultados!Q10),ABS(Resultados!Z10),ABS(Resultados!AI10),ABS(Resultados!AR10),ABS(Resultados!BA10),ABS(Resultados!BJ10),ABS(Resultados!BS10),ABS(Resultados!CB10),ABS(Resultados!CK10))/SQRT(COUNT(Resultados!H10,Resultados!Q10,Resultados!Z10,Resultados!AI10,Resultados!AR10,Resultados!BA10,Resultados!BJ10,Resultados!BS10,Resultados!CB10,Resultados!CK10)))</f>
        <v>2.7039066387564322E-4</v>
      </c>
      <c r="I10">
        <f>IF(COUNT(Resultados!I10,Resultados!R10,Resultados!AA10,Resultados!AJ10,Resultados!AS10,Resultados!BB10,Resultados!BK10,Resultados!BT10,Resultados!CC10,Resultados!CL10)&lt;=1, "", _xlfn.STDEV.S(ABS(Resultados!I10),ABS(Resultados!R10),ABS(Resultados!AA10),ABS(Resultados!AJ10),ABS(Resultados!AS10),ABS(Resultados!BB10),ABS(Resultados!BK10),ABS(Resultados!BT10),ABS(Resultados!CC10),ABS(Resultados!CL10))/SQRT(COUNT(Resultados!I10,Resultados!R10,Resultados!AA10,Resultados!AJ10,Resultados!AS10,Resultados!BB10,Resultados!BK10,Resultados!BT10,Resultados!CC10,Resultados!CL10)))</f>
        <v>4.0176294281854853E-2</v>
      </c>
    </row>
    <row r="11" spans="1:9" x14ac:dyDescent="0.3">
      <c r="A11">
        <f>IF(COUNT(Resultados!A11,Resultados!J11,Resultados!S11,Resultados!AB11,Resultados!AK11,Resultados!AT11,Resultados!BC11,Resultados!BL11,Resultados!BU11,Resultados!CD11)&lt;=1, "", _xlfn.STDEV.S(ABS(Resultados!A11),ABS(Resultados!J11),ABS(Resultados!S11),ABS(Resultados!AB11),ABS(Resultados!AK11),ABS(Resultados!AT11),ABS(Resultados!BC11),ABS(Resultados!BL11),ABS(Resultados!BU11),ABS(Resultados!CD11))/SQRT(COUNT(Resultados!A11,Resultados!J11,Resultados!S11,Resultados!AB11,Resultados!AK11,Resultados!AT11,Resultados!BC11,Resultados!BL11,Resultados!BU11,Resultados!CD11)))</f>
        <v>0</v>
      </c>
      <c r="B11" t="str">
        <f>IF(COUNT(Resultados!B11,Resultados!K11,Resultados!T11,Resultados!AC11,Resultados!AL11,Resultados!AU11,Resultados!BD11,Resultados!BM11,Resultados!BV11,Resultados!CE11)&lt;=1, "", _xlfn.STDEV.S(ABS(Resultados!B11),ABS(Resultados!K11),ABS(Resultados!T11),ABS(Resultados!AC11),ABS(Resultados!AL11),ABS(Resultados!AU11),ABS(Resultados!BD11),ABS(Resultados!BM11),ABS(Resultados!BV11),ABS(Resultados!CE11))/SQRT(COUNT(Resultados!B11,Resultados!K11,Resultados!T11,Resultados!AC11,Resultados!AL11,Resultados!AU11,Resultados!BD11,Resultados!BM11,Resultados!BV11,Resultados!CE11)))</f>
        <v/>
      </c>
      <c r="C11">
        <f>IF(COUNT(Resultados!C11,Resultados!L11,Resultados!U11,Resultados!AD11,Resultados!AM11,Resultados!AV11,Resultados!BE11,Resultados!BN11,Resultados!BW11,Resultados!CF11)&lt;=1, "", _xlfn.STDEV.S(ABS(Resultados!C11),ABS(Resultados!L11),ABS(Resultados!U11),ABS(Resultados!AD11),ABS(Resultados!AM11),ABS(Resultados!AV11),ABS(Resultados!BE11),ABS(Resultados!BN11),ABS(Resultados!BW11),ABS(Resultados!CF11))/SQRT(COUNT(Resultados!C11,Resultados!L11,Resultados!U11,Resultados!AD11,Resultados!AM11,Resultados!AV11,Resultados!BE11,Resultados!BN11,Resultados!BW11,Resultados!CF11)))</f>
        <v>0.73711147958319934</v>
      </c>
      <c r="D11">
        <f>IF(COUNT(Resultados!D11,Resultados!M11,Resultados!V11,Resultados!AE11,Resultados!AN11,Resultados!AW11,Resultados!BF11,Resultados!BO11,Resultados!BX11,Resultados!CG11)&lt;=1, "", _xlfn.STDEV.S(ABS(Resultados!D11),ABS(Resultados!M11),ABS(Resultados!V11),ABS(Resultados!AE11),ABS(Resultados!AN11),ABS(Resultados!AW11),ABS(Resultados!BF11),ABS(Resultados!BO11),ABS(Resultados!BX11),ABS(Resultados!CG11))/SQRT(COUNT(Resultados!D11,Resultados!M11,Resultados!V11,Resultados!AE11,Resultados!AN11,Resultados!AW11,Resultados!BF11,Resultados!BO11,Resultados!BX11,Resultados!CG11)))</f>
        <v>3.473870719784744E-4</v>
      </c>
      <c r="E11">
        <f>IF(COUNT(Resultados!E11,Resultados!N11,Resultados!W11,Resultados!AF11,Resultados!AO11,Resultados!AX11,Resultados!BG11,Resultados!BP11,Resultados!BY11,Resultados!CH11)&lt;=1, "", _xlfn.STDEV.S(ABS(Resultados!E11),ABS(Resultados!N11),ABS(Resultados!W11),ABS(Resultados!AF11),ABS(Resultados!AO11),ABS(Resultados!AX11),ABS(Resultados!BG11),ABS(Resultados!BP11),ABS(Resultados!BY11),ABS(Resultados!CH11))/SQRT(COUNT(Resultados!E11,Resultados!N11,Resultados!W11,Resultados!AF11,Resultados!AO11,Resultados!AX11,Resultados!BG11,Resultados!BP11,Resultados!BY11,Resultados!CH11)))</f>
        <v>2.4388189815974477E-2</v>
      </c>
      <c r="F11">
        <f>IF(COUNT(Resultados!F11,Resultados!O11,Resultados!X11,Resultados!AG11,Resultados!AP11,Resultados!AY11,Resultados!BH11,Resultados!BQ11,Resultados!BZ11,Resultados!CI11)&lt;=1, "", _xlfn.STDEV.S(ABS(Resultados!F11),ABS(Resultados!O11),ABS(Resultados!X11),ABS(Resultados!AG11),ABS(Resultados!AP11),ABS(Resultados!AY11),ABS(Resultados!BH11),ABS(Resultados!BQ11),ABS(Resultados!BZ11),ABS(Resultados!CI11))/SQRT(COUNT(Resultados!F11,Resultados!O11,Resultados!X11,Resultados!AG11,Resultados!AP11,Resultados!AY11,Resultados!BH11,Resultados!BQ11,Resultados!BZ11,Resultados!CI11)))</f>
        <v>12.241032986105443</v>
      </c>
      <c r="G11">
        <f>IF(COUNT(Resultados!G11,Resultados!P11,Resultados!Y11,Resultados!AH11,Resultados!AQ11,Resultados!AZ11,Resultados!BI11,Resultados!BR11,Resultados!CA11,Resultados!CJ11)&lt;=1, "", _xlfn.STDEV.S(ABS(Resultados!G11),ABS(Resultados!P11),ABS(Resultados!Y11),ABS(Resultados!AH11),ABS(Resultados!AQ11),ABS(Resultados!AZ11),ABS(Resultados!BI11),ABS(Resultados!BR11),ABS(Resultados!CA11),ABS(Resultados!CJ11))/SQRT(COUNT(Resultados!G11,Resultados!P11,Resultados!Y11,Resultados!AH11,Resultados!AQ11,Resultados!AZ11,Resultados!BI11,Resultados!BR11,Resultados!CA11,Resultados!CJ11)))</f>
        <v>1.8503717077085941E-17</v>
      </c>
      <c r="H11">
        <f>IF(COUNT(Resultados!H11,Resultados!Q11,Resultados!Z11,Resultados!AI11,Resultados!AR11,Resultados!BA11,Resultados!BJ11,Resultados!BS11,Resultados!CB11,Resultados!CK11)&lt;=1, "", _xlfn.STDEV.S(ABS(Resultados!H11),ABS(Resultados!Q11),ABS(Resultados!Z11),ABS(Resultados!AI11),ABS(Resultados!AR11),ABS(Resultados!BA11),ABS(Resultados!BJ11),ABS(Resultados!BS11),ABS(Resultados!CB11),ABS(Resultados!CK11))/SQRT(COUNT(Resultados!H11,Resultados!Q11,Resultados!Z11,Resultados!AI11,Resultados!AR11,Resultados!BA11,Resultados!BJ11,Resultados!BS11,Resultados!CB11,Resultados!CK11)))</f>
        <v>3.8310137909783971E-4</v>
      </c>
      <c r="I11">
        <f>IF(COUNT(Resultados!I11,Resultados!R11,Resultados!AA11,Resultados!AJ11,Resultados!AS11,Resultados!BB11,Resultados!BK11,Resultados!BT11,Resultados!CC11,Resultados!CL11)&lt;=1, "", _xlfn.STDEV.S(ABS(Resultados!I11),ABS(Resultados!R11),ABS(Resultados!AA11),ABS(Resultados!AJ11),ABS(Resultados!AS11),ABS(Resultados!BB11),ABS(Resultados!BK11),ABS(Resultados!BT11),ABS(Resultados!CC11),ABS(Resultados!CL11))/SQRT(COUNT(Resultados!I11,Resultados!R11,Resultados!AA11,Resultados!AJ11,Resultados!AS11,Resultados!BB11,Resultados!BK11,Resultados!BT11,Resultados!CC11,Resultados!CL11)))</f>
        <v>4.0175620163920747E-2</v>
      </c>
    </row>
    <row r="12" spans="1:9" x14ac:dyDescent="0.3">
      <c r="A12">
        <f>IF(COUNT(Resultados!A12,Resultados!J12,Resultados!S12,Resultados!AB12,Resultados!AK12,Resultados!AT12,Resultados!BC12,Resultados!BL12,Resultados!BU12,Resultados!CD12)&lt;=1, "", _xlfn.STDEV.S(ABS(Resultados!A12),ABS(Resultados!J12),ABS(Resultados!S12),ABS(Resultados!AB12),ABS(Resultados!AK12),ABS(Resultados!AT12),ABS(Resultados!BC12),ABS(Resultados!BL12),ABS(Resultados!BU12),ABS(Resultados!CD12))/SQRT(COUNT(Resultados!A12,Resultados!J12,Resultados!S12,Resultados!AB12,Resultados!AK12,Resultados!AT12,Resultados!BC12,Resultados!BL12,Resultados!BU12,Resultados!CD12)))</f>
        <v>0</v>
      </c>
      <c r="B12" t="str">
        <f>IF(COUNT(Resultados!B12,Resultados!K12,Resultados!T12,Resultados!AC12,Resultados!AL12,Resultados!AU12,Resultados!BD12,Resultados!BM12,Resultados!BV12,Resultados!CE12)&lt;=1, "", _xlfn.STDEV.S(ABS(Resultados!B12),ABS(Resultados!K12),ABS(Resultados!T12),ABS(Resultados!AC12),ABS(Resultados!AL12),ABS(Resultados!AU12),ABS(Resultados!BD12),ABS(Resultados!BM12),ABS(Resultados!BV12),ABS(Resultados!CE12))/SQRT(COUNT(Resultados!B12,Resultados!K12,Resultados!T12,Resultados!AC12,Resultados!AL12,Resultados!AU12,Resultados!BD12,Resultados!BM12,Resultados!BV12,Resultados!CE12)))</f>
        <v/>
      </c>
      <c r="C12">
        <f>IF(COUNT(Resultados!C12,Resultados!L12,Resultados!U12,Resultados!AD12,Resultados!AM12,Resultados!AV12,Resultados!BE12,Resultados!BN12,Resultados!BW12,Resultados!CF12)&lt;=1, "", _xlfn.STDEV.S(ABS(Resultados!C12),ABS(Resultados!L12),ABS(Resultados!U12),ABS(Resultados!AD12),ABS(Resultados!AM12),ABS(Resultados!AV12),ABS(Resultados!BE12),ABS(Resultados!BN12),ABS(Resultados!BW12),ABS(Resultados!CF12))/SQRT(COUNT(Resultados!C12,Resultados!L12,Resultados!U12,Resultados!AD12,Resultados!AM12,Resultados!AV12,Resultados!BE12,Resultados!BN12,Resultados!BW12,Resultados!CF12)))</f>
        <v>0.67986926847903795</v>
      </c>
      <c r="D12">
        <f>IF(COUNT(Resultados!D12,Resultados!M12,Resultados!V12,Resultados!AE12,Resultados!AN12,Resultados!AW12,Resultados!BF12,Resultados!BO12,Resultados!BX12,Resultados!CG12)&lt;=1, "", _xlfn.STDEV.S(ABS(Resultados!D12),ABS(Resultados!M12),ABS(Resultados!V12),ABS(Resultados!AE12),ABS(Resultados!AN12),ABS(Resultados!AW12),ABS(Resultados!BF12),ABS(Resultados!BO12),ABS(Resultados!BX12),ABS(Resultados!CG12))/SQRT(COUNT(Resultados!D12,Resultados!M12,Resultados!V12,Resultados!AE12,Resultados!AN12,Resultados!AW12,Resultados!BF12,Resultados!BO12,Resultados!BX12,Resultados!CG12)))</f>
        <v>4.2734321361432919E-4</v>
      </c>
      <c r="E12">
        <f>IF(COUNT(Resultados!E12,Resultados!N12,Resultados!W12,Resultados!AF12,Resultados!AO12,Resultados!AX12,Resultados!BG12,Resultados!BP12,Resultados!BY12,Resultados!CH12)&lt;=1, "", _xlfn.STDEV.S(ABS(Resultados!E12),ABS(Resultados!N12),ABS(Resultados!W12),ABS(Resultados!AF12),ABS(Resultados!AO12),ABS(Resultados!AX12),ABS(Resultados!BG12),ABS(Resultados!BP12),ABS(Resultados!BY12),ABS(Resultados!CH12))/SQRT(COUNT(Resultados!E12,Resultados!N12,Resultados!W12,Resultados!AF12,Resultados!AO12,Resultados!AX12,Resultados!BG12,Resultados!BP12,Resultados!BY12,Resultados!CH12)))</f>
        <v>3.1516903135803638E-2</v>
      </c>
      <c r="F12">
        <f>IF(COUNT(Resultados!F12,Resultados!O12,Resultados!X12,Resultados!AG12,Resultados!AP12,Resultados!AY12,Resultados!BH12,Resultados!BQ12,Resultados!BZ12,Resultados!CI12)&lt;=1, "", _xlfn.STDEV.S(ABS(Resultados!F12),ABS(Resultados!O12),ABS(Resultados!X12),ABS(Resultados!AG12),ABS(Resultados!AP12),ABS(Resultados!AY12),ABS(Resultados!BH12),ABS(Resultados!BQ12),ABS(Resultados!BZ12),ABS(Resultados!CI12))/SQRT(COUNT(Resultados!F12,Resultados!O12,Resultados!X12,Resultados!AG12,Resultados!AP12,Resultados!AY12,Resultados!BH12,Resultados!BQ12,Resultados!BZ12,Resultados!CI12)))</f>
        <v>12.901705175101272</v>
      </c>
      <c r="G12">
        <f>IF(COUNT(Resultados!G12,Resultados!P12,Resultados!Y12,Resultados!AH12,Resultados!AQ12,Resultados!AZ12,Resultados!BI12,Resultados!BR12,Resultados!CA12,Resultados!CJ12)&lt;=1, "", _xlfn.STDEV.S(ABS(Resultados!G12),ABS(Resultados!P12),ABS(Resultados!Y12),ABS(Resultados!AH12),ABS(Resultados!AQ12),ABS(Resultados!AZ12),ABS(Resultados!BI12),ABS(Resultados!BR12),ABS(Resultados!CA12),ABS(Resultados!CJ12))/SQRT(COUNT(Resultados!G12,Resultados!P12,Resultados!Y12,Resultados!AH12,Resultados!AQ12,Resultados!AZ12,Resultados!BI12,Resultados!BR12,Resultados!CA12,Resultados!CJ12)))</f>
        <v>1.8503717077085941E-17</v>
      </c>
      <c r="H12">
        <f>IF(COUNT(Resultados!H12,Resultados!Q12,Resultados!Z12,Resultados!AI12,Resultados!AR12,Resultados!BA12,Resultados!BJ12,Resultados!BS12,Resultados!CB12,Resultados!CK12)&lt;=1, "", _xlfn.STDEV.S(ABS(Resultados!H12),ABS(Resultados!Q12),ABS(Resultados!Z12),ABS(Resultados!AI12),ABS(Resultados!AR12),ABS(Resultados!BA12),ABS(Resultados!BJ12),ABS(Resultados!BS12),ABS(Resultados!CB12),ABS(Resultados!CK12))/SQRT(COUNT(Resultados!H12,Resultados!Q12,Resultados!Z12,Resultados!AI12,Resultados!AR12,Resultados!BA12,Resultados!BJ12,Resultados!BS12,Resultados!CB12,Resultados!CK12)))</f>
        <v>4.9554683599702923E-4</v>
      </c>
      <c r="I12">
        <f>IF(COUNT(Resultados!I12,Resultados!R12,Resultados!AA12,Resultados!AJ12,Resultados!AS12,Resultados!BB12,Resultados!BK12,Resultados!BT12,Resultados!CC12,Resultados!CL12)&lt;=1, "", _xlfn.STDEV.S(ABS(Resultados!I12),ABS(Resultados!R12),ABS(Resultados!AA12),ABS(Resultados!AJ12),ABS(Resultados!AS12),ABS(Resultados!BB12),ABS(Resultados!BK12),ABS(Resultados!BT12),ABS(Resultados!CC12),ABS(Resultados!CL12))/SQRT(COUNT(Resultados!I12,Resultados!R12,Resultados!AA12,Resultados!AJ12,Resultados!AS12,Resultados!BB12,Resultados!BK12,Resultados!BT12,Resultados!CC12,Resultados!CL12)))</f>
        <v>4.0127482408493002E-2</v>
      </c>
    </row>
    <row r="13" spans="1:9" x14ac:dyDescent="0.3">
      <c r="A13">
        <f>IF(COUNT(Resultados!A13,Resultados!J13,Resultados!S13,Resultados!AB13,Resultados!AK13,Resultados!AT13,Resultados!BC13,Resultados!BL13,Resultados!BU13,Resultados!CD13)&lt;=1, "", _xlfn.STDEV.S(ABS(Resultados!A13),ABS(Resultados!J13),ABS(Resultados!S13),ABS(Resultados!AB13),ABS(Resultados!AK13),ABS(Resultados!AT13),ABS(Resultados!BC13),ABS(Resultados!BL13),ABS(Resultados!BU13),ABS(Resultados!CD13))/SQRT(COUNT(Resultados!A13,Resultados!J13,Resultados!S13,Resultados!AB13,Resultados!AK13,Resultados!AT13,Resultados!BC13,Resultados!BL13,Resultados!BU13,Resultados!CD13)))</f>
        <v>0</v>
      </c>
      <c r="B13" t="str">
        <f>IF(COUNT(Resultados!B13,Resultados!K13,Resultados!T13,Resultados!AC13,Resultados!AL13,Resultados!AU13,Resultados!BD13,Resultados!BM13,Resultados!BV13,Resultados!CE13)&lt;=1, "", _xlfn.STDEV.S(ABS(Resultados!B13),ABS(Resultados!K13),ABS(Resultados!T13),ABS(Resultados!AC13),ABS(Resultados!AL13),ABS(Resultados!AU13),ABS(Resultados!BD13),ABS(Resultados!BM13),ABS(Resultados!BV13),ABS(Resultados!CE13))/SQRT(COUNT(Resultados!B13,Resultados!K13,Resultados!T13,Resultados!AC13,Resultados!AL13,Resultados!AU13,Resultados!BD13,Resultados!BM13,Resultados!BV13,Resultados!CE13)))</f>
        <v/>
      </c>
      <c r="C13">
        <f>IF(COUNT(Resultados!C13,Resultados!L13,Resultados!U13,Resultados!AD13,Resultados!AM13,Resultados!AV13,Resultados!BE13,Resultados!BN13,Resultados!BW13,Resultados!CF13)&lt;=1, "", _xlfn.STDEV.S(ABS(Resultados!C13),ABS(Resultados!L13),ABS(Resultados!U13),ABS(Resultados!AD13),ABS(Resultados!AM13),ABS(Resultados!AV13),ABS(Resultados!BE13),ABS(Resultados!BN13),ABS(Resultados!BW13),ABS(Resultados!CF13))/SQRT(COUNT(Resultados!C13,Resultados!L13,Resultados!U13,Resultados!AD13,Resultados!AM13,Resultados!AV13,Resultados!BE13,Resultados!BN13,Resultados!BW13,Resultados!CF13)))</f>
        <v>0.67986926847903795</v>
      </c>
      <c r="D13">
        <f>IF(COUNT(Resultados!D13,Resultados!M13,Resultados!V13,Resultados!AE13,Resultados!AN13,Resultados!AW13,Resultados!BF13,Resultados!BO13,Resultados!BX13,Resultados!CG13)&lt;=1, "", _xlfn.STDEV.S(ABS(Resultados!D13),ABS(Resultados!M13),ABS(Resultados!V13),ABS(Resultados!AE13),ABS(Resultados!AN13),ABS(Resultados!AW13),ABS(Resultados!BF13),ABS(Resultados!BO13),ABS(Resultados!BX13),ABS(Resultados!CG13))/SQRT(COUNT(Resultados!D13,Resultados!M13,Resultados!V13,Resultados!AE13,Resultados!AN13,Resultados!AW13,Resultados!BF13,Resultados!BO13,Resultados!BX13,Resultados!CG13)))</f>
        <v>4.5038255344145427E-4</v>
      </c>
      <c r="E13">
        <f>IF(COUNT(Resultados!E13,Resultados!N13,Resultados!W13,Resultados!AF13,Resultados!AO13,Resultados!AX13,Resultados!BG13,Resultados!BP13,Resultados!BY13,Resultados!CH13)&lt;=1, "", _xlfn.STDEV.S(ABS(Resultados!E13),ABS(Resultados!N13),ABS(Resultados!W13),ABS(Resultados!AF13),ABS(Resultados!AO13),ABS(Resultados!AX13),ABS(Resultados!BG13),ABS(Resultados!BP13),ABS(Resultados!BY13),ABS(Resultados!CH13))/SQRT(COUNT(Resultados!E13,Resultados!N13,Resultados!W13,Resultados!AF13,Resultados!AO13,Resultados!AX13,Resultados!BG13,Resultados!BP13,Resultados!BY13,Resultados!CH13)))</f>
        <v>3.861998752604786E-2</v>
      </c>
      <c r="F13">
        <f>IF(COUNT(Resultados!F13,Resultados!O13,Resultados!X13,Resultados!AG13,Resultados!AP13,Resultados!AY13,Resultados!BH13,Resultados!BQ13,Resultados!BZ13,Resultados!CI13)&lt;=1, "", _xlfn.STDEV.S(ABS(Resultados!F13),ABS(Resultados!O13),ABS(Resultados!X13),ABS(Resultados!AG13),ABS(Resultados!AP13),ABS(Resultados!AY13),ABS(Resultados!BH13),ABS(Resultados!BQ13),ABS(Resultados!BZ13),ABS(Resultados!CI13))/SQRT(COUNT(Resultados!F13,Resultados!O13,Resultados!X13,Resultados!AG13,Resultados!AP13,Resultados!AY13,Resultados!BH13,Resultados!BQ13,Resultados!BZ13,Resultados!CI13)))</f>
        <v>13.551989916864843</v>
      </c>
      <c r="G13">
        <f>IF(COUNT(Resultados!G13,Resultados!P13,Resultados!Y13,Resultados!AH13,Resultados!AQ13,Resultados!AZ13,Resultados!BI13,Resultados!BR13,Resultados!CA13,Resultados!CJ13)&lt;=1, "", _xlfn.STDEV.S(ABS(Resultados!G13),ABS(Resultados!P13),ABS(Resultados!Y13),ABS(Resultados!AH13),ABS(Resultados!AQ13),ABS(Resultados!AZ13),ABS(Resultados!BI13),ABS(Resultados!BR13),ABS(Resultados!CA13),ABS(Resultados!CJ13))/SQRT(COUNT(Resultados!G13,Resultados!P13,Resultados!Y13,Resultados!AH13,Resultados!AQ13,Resultados!AZ13,Resultados!BI13,Resultados!BR13,Resultados!CA13,Resultados!CJ13)))</f>
        <v>1.8503717077085941E-17</v>
      </c>
      <c r="H13">
        <f>IF(COUNT(Resultados!H13,Resultados!Q13,Resultados!Z13,Resultados!AI13,Resultados!AR13,Resultados!BA13,Resultados!BJ13,Resultados!BS13,Resultados!CB13,Resultados!CK13)&lt;=1, "", _xlfn.STDEV.S(ABS(Resultados!H13),ABS(Resultados!Q13),ABS(Resultados!Z13),ABS(Resultados!AI13),ABS(Resultados!AR13),ABS(Resultados!BA13),ABS(Resultados!BJ13),ABS(Resultados!BS13),ABS(Resultados!CB13),ABS(Resultados!CK13))/SQRT(COUNT(Resultados!H13,Resultados!Q13,Resultados!Z13,Resultados!AI13,Resultados!AR13,Resultados!BA13,Resultados!BJ13,Resultados!BS13,Resultados!CB13,Resultados!CK13)))</f>
        <v>5.9748547169691821E-4</v>
      </c>
      <c r="I13">
        <f>IF(COUNT(Resultados!I13,Resultados!R13,Resultados!AA13,Resultados!AJ13,Resultados!AS13,Resultados!BB13,Resultados!BK13,Resultados!BT13,Resultados!CC13,Resultados!CL13)&lt;=1, "", _xlfn.STDEV.S(ABS(Resultados!I13),ABS(Resultados!R13),ABS(Resultados!AA13),ABS(Resultados!AJ13),ABS(Resultados!AS13),ABS(Resultados!BB13),ABS(Resultados!BK13),ABS(Resultados!BT13),ABS(Resultados!CC13),ABS(Resultados!CL13))/SQRT(COUNT(Resultados!I13,Resultados!R13,Resultados!AA13,Resultados!AJ13,Resultados!AS13,Resultados!BB13,Resultados!BK13,Resultados!BT13,Resultados!CC13,Resultados!CL13)))</f>
        <v>4.0103773166901772E-2</v>
      </c>
    </row>
    <row r="14" spans="1:9" x14ac:dyDescent="0.3">
      <c r="A14">
        <f>IF(COUNT(Resultados!A14,Resultados!J14,Resultados!S14,Resultados!AB14,Resultados!AK14,Resultados!AT14,Resultados!BC14,Resultados!BL14,Resultados!BU14,Resultados!CD14)&lt;=1, "", _xlfn.STDEV.S(ABS(Resultados!A14),ABS(Resultados!J14),ABS(Resultados!S14),ABS(Resultados!AB14),ABS(Resultados!AK14),ABS(Resultados!AT14),ABS(Resultados!BC14),ABS(Resultados!BL14),ABS(Resultados!BU14),ABS(Resultados!CD14))/SQRT(COUNT(Resultados!A14,Resultados!J14,Resultados!S14,Resultados!AB14,Resultados!AK14,Resultados!AT14,Resultados!BC14,Resultados!BL14,Resultados!BU14,Resultados!CD14)))</f>
        <v>0</v>
      </c>
      <c r="B14" t="str">
        <f>IF(COUNT(Resultados!B14,Resultados!K14,Resultados!T14,Resultados!AC14,Resultados!AL14,Resultados!AU14,Resultados!BD14,Resultados!BM14,Resultados!BV14,Resultados!CE14)&lt;=1, "", _xlfn.STDEV.S(ABS(Resultados!B14),ABS(Resultados!K14),ABS(Resultados!T14),ABS(Resultados!AC14),ABS(Resultados!AL14),ABS(Resultados!AU14),ABS(Resultados!BD14),ABS(Resultados!BM14),ABS(Resultados!BV14),ABS(Resultados!CE14))/SQRT(COUNT(Resultados!B14,Resultados!K14,Resultados!T14,Resultados!AC14,Resultados!AL14,Resultados!AU14,Resultados!BD14,Resultados!BM14,Resultados!BV14,Resultados!CE14)))</f>
        <v/>
      </c>
      <c r="C14">
        <f>IF(COUNT(Resultados!C14,Resultados!L14,Resultados!U14,Resultados!AD14,Resultados!AM14,Resultados!AV14,Resultados!BE14,Resultados!BN14,Resultados!BW14,Resultados!CF14)&lt;=1, "", _xlfn.STDEV.S(ABS(Resultados!C14),ABS(Resultados!L14),ABS(Resultados!U14),ABS(Resultados!AD14),ABS(Resultados!AM14),ABS(Resultados!AV14),ABS(Resultados!BE14),ABS(Resultados!BN14),ABS(Resultados!BW14),ABS(Resultados!CF14))/SQRT(COUNT(Resultados!C14,Resultados!L14,Resultados!U14,Resultados!AD14,Resultados!AM14,Resultados!AV14,Resultados!BE14,Resultados!BN14,Resultados!BW14,Resultados!CF14)))</f>
        <v>0.67986926847903795</v>
      </c>
      <c r="D14">
        <f>IF(COUNT(Resultados!D14,Resultados!M14,Resultados!V14,Resultados!AE14,Resultados!AN14,Resultados!AW14,Resultados!BF14,Resultados!BO14,Resultados!BX14,Resultados!CG14)&lt;=1, "", _xlfn.STDEV.S(ABS(Resultados!D14),ABS(Resultados!M14),ABS(Resultados!V14),ABS(Resultados!AE14),ABS(Resultados!AN14),ABS(Resultados!AW14),ABS(Resultados!BF14),ABS(Resultados!BO14),ABS(Resultados!BX14),ABS(Resultados!CG14))/SQRT(COUNT(Resultados!D14,Resultados!M14,Resultados!V14,Resultados!AE14,Resultados!AN14,Resultados!AW14,Resultados!BF14,Resultados!BO14,Resultados!BX14,Resultados!CG14)))</f>
        <v>5.4776312804390582E-4</v>
      </c>
      <c r="E14">
        <f>IF(COUNT(Resultados!E14,Resultados!N14,Resultados!W14,Resultados!AF14,Resultados!AO14,Resultados!AX14,Resultados!BG14,Resultados!BP14,Resultados!BY14,Resultados!CH14)&lt;=1, "", _xlfn.STDEV.S(ABS(Resultados!E14),ABS(Resultados!N14),ABS(Resultados!W14),ABS(Resultados!AF14),ABS(Resultados!AO14),ABS(Resultados!AX14),ABS(Resultados!BG14),ABS(Resultados!BP14),ABS(Resultados!BY14),ABS(Resultados!CH14))/SQRT(COUNT(Resultados!E14,Resultados!N14,Resultados!W14,Resultados!AF14,Resultados!AO14,Resultados!AX14,Resultados!BG14,Resultados!BP14,Resultados!BY14,Resultados!CH14)))</f>
        <v>4.5755315056006628E-2</v>
      </c>
      <c r="F14">
        <f>IF(COUNT(Resultados!F14,Resultados!O14,Resultados!X14,Resultados!AG14,Resultados!AP14,Resultados!AY14,Resultados!BH14,Resultados!BQ14,Resultados!BZ14,Resultados!CI14)&lt;=1, "", _xlfn.STDEV.S(ABS(Resultados!F14),ABS(Resultados!O14),ABS(Resultados!X14),ABS(Resultados!AG14),ABS(Resultados!AP14),ABS(Resultados!AY14),ABS(Resultados!BH14),ABS(Resultados!BQ14),ABS(Resultados!BZ14),ABS(Resultados!CI14))/SQRT(COUNT(Resultados!F14,Resultados!O14,Resultados!X14,Resultados!AG14,Resultados!AP14,Resultados!AY14,Resultados!BH14,Resultados!BQ14,Resultados!BZ14,Resultados!CI14)))</f>
        <v>14.198260085650563</v>
      </c>
      <c r="G14">
        <f>IF(COUNT(Resultados!G14,Resultados!P14,Resultados!Y14,Resultados!AH14,Resultados!AQ14,Resultados!AZ14,Resultados!BI14,Resultados!BR14,Resultados!CA14,Resultados!CJ14)&lt;=1, "", _xlfn.STDEV.S(ABS(Resultados!G14),ABS(Resultados!P14),ABS(Resultados!Y14),ABS(Resultados!AH14),ABS(Resultados!AQ14),ABS(Resultados!AZ14),ABS(Resultados!BI14),ABS(Resultados!BR14),ABS(Resultados!CA14),ABS(Resultados!CJ14))/SQRT(COUNT(Resultados!G14,Resultados!P14,Resultados!Y14,Resultados!AH14,Resultados!AQ14,Resultados!AZ14,Resultados!BI14,Resultados!BR14,Resultados!CA14,Resultados!CJ14)))</f>
        <v>1.8503717077085941E-17</v>
      </c>
      <c r="H14">
        <f>IF(COUNT(Resultados!H14,Resultados!Q14,Resultados!Z14,Resultados!AI14,Resultados!AR14,Resultados!BA14,Resultados!BJ14,Resultados!BS14,Resultados!CB14,Resultados!CK14)&lt;=1, "", _xlfn.STDEV.S(ABS(Resultados!H14),ABS(Resultados!Q14),ABS(Resultados!Z14),ABS(Resultados!AI14),ABS(Resultados!AR14),ABS(Resultados!BA14),ABS(Resultados!BJ14),ABS(Resultados!BS14),ABS(Resultados!CB14),ABS(Resultados!CK14))/SQRT(COUNT(Resultados!H14,Resultados!Q14,Resultados!Z14,Resultados!AI14,Resultados!AR14,Resultados!BA14,Resultados!BJ14,Resultados!BS14,Resultados!CB14,Resultados!CK14)))</f>
        <v>7.138393843622435E-4</v>
      </c>
      <c r="I14">
        <f>IF(COUNT(Resultados!I14,Resultados!R14,Resultados!AA14,Resultados!AJ14,Resultados!AS14,Resultados!BB14,Resultados!BK14,Resultados!BT14,Resultados!CC14,Resultados!CL14)&lt;=1, "", _xlfn.STDEV.S(ABS(Resultados!I14),ABS(Resultados!R14),ABS(Resultados!AA14),ABS(Resultados!AJ14),ABS(Resultados!AS14),ABS(Resultados!BB14),ABS(Resultados!BK14),ABS(Resultados!BT14),ABS(Resultados!CC14),ABS(Resultados!CL14))/SQRT(COUNT(Resultados!I14,Resultados!R14,Resultados!AA14,Resultados!AJ14,Resultados!AS14,Resultados!BB14,Resultados!BK14,Resultados!BT14,Resultados!CC14,Resultados!CL14)))</f>
        <v>4.0046378807021069E-2</v>
      </c>
    </row>
    <row r="15" spans="1:9" x14ac:dyDescent="0.3">
      <c r="A15">
        <f>IF(COUNT(Resultados!A15,Resultados!J15,Resultados!S15,Resultados!AB15,Resultados!AK15,Resultados!AT15,Resultados!BC15,Resultados!BL15,Resultados!BU15,Resultados!CD15)&lt;=1, "", _xlfn.STDEV.S(ABS(Resultados!A15),ABS(Resultados!J15),ABS(Resultados!S15),ABS(Resultados!AB15),ABS(Resultados!AK15),ABS(Resultados!AT15),ABS(Resultados!BC15),ABS(Resultados!BL15),ABS(Resultados!BU15),ABS(Resultados!CD15))/SQRT(COUNT(Resultados!A15,Resultados!J15,Resultados!S15,Resultados!AB15,Resultados!AK15,Resultados!AT15,Resultados!BC15,Resultados!BL15,Resultados!BU15,Resultados!CD15)))</f>
        <v>0</v>
      </c>
      <c r="B15" t="str">
        <f>IF(COUNT(Resultados!B15,Resultados!K15,Resultados!T15,Resultados!AC15,Resultados!AL15,Resultados!AU15,Resultados!BD15,Resultados!BM15,Resultados!BV15,Resultados!CE15)&lt;=1, "", _xlfn.STDEV.S(ABS(Resultados!B15),ABS(Resultados!K15),ABS(Resultados!T15),ABS(Resultados!AC15),ABS(Resultados!AL15),ABS(Resultados!AU15),ABS(Resultados!BD15),ABS(Resultados!BM15),ABS(Resultados!BV15),ABS(Resultados!CE15))/SQRT(COUNT(Resultados!B15,Resultados!K15,Resultados!T15,Resultados!AC15,Resultados!AL15,Resultados!AU15,Resultados!BD15,Resultados!BM15,Resultados!BV15,Resultados!CE15)))</f>
        <v/>
      </c>
      <c r="C15">
        <f>IF(COUNT(Resultados!C15,Resultados!L15,Resultados!U15,Resultados!AD15,Resultados!AM15,Resultados!AV15,Resultados!BE15,Resultados!BN15,Resultados!BW15,Resultados!CF15)&lt;=1, "", _xlfn.STDEV.S(ABS(Resultados!C15),ABS(Resultados!L15),ABS(Resultados!U15),ABS(Resultados!AD15),ABS(Resultados!AM15),ABS(Resultados!AV15),ABS(Resultados!BE15),ABS(Resultados!BN15),ABS(Resultados!BW15),ABS(Resultados!CF15))/SQRT(COUNT(Resultados!C15,Resultados!L15,Resultados!U15,Resultados!AD15,Resultados!AM15,Resultados!AV15,Resultados!BE15,Resultados!BN15,Resultados!BW15,Resultados!CF15)))</f>
        <v>0.67986926847903795</v>
      </c>
      <c r="D15">
        <f>IF(COUNT(Resultados!D15,Resultados!M15,Resultados!V15,Resultados!AE15,Resultados!AN15,Resultados!AW15,Resultados!BF15,Resultados!BO15,Resultados!BX15,Resultados!CG15)&lt;=1, "", _xlfn.STDEV.S(ABS(Resultados!D15),ABS(Resultados!M15),ABS(Resultados!V15),ABS(Resultados!AE15),ABS(Resultados!AN15),ABS(Resultados!AW15),ABS(Resultados!BF15),ABS(Resultados!BO15),ABS(Resultados!BX15),ABS(Resultados!CG15))/SQRT(COUNT(Resultados!D15,Resultados!M15,Resultados!V15,Resultados!AE15,Resultados!AN15,Resultados!AW15,Resultados!BF15,Resultados!BO15,Resultados!BX15,Resultados!CG15)))</f>
        <v>6.2830459704403443E-4</v>
      </c>
      <c r="E15">
        <f>IF(COUNT(Resultados!E15,Resultados!N15,Resultados!W15,Resultados!AF15,Resultados!AO15,Resultados!AX15,Resultados!BG15,Resultados!BP15,Resultados!BY15,Resultados!CH15)&lt;=1, "", _xlfn.STDEV.S(ABS(Resultados!E15),ABS(Resultados!N15),ABS(Resultados!W15),ABS(Resultados!AF15),ABS(Resultados!AO15),ABS(Resultados!AX15),ABS(Resultados!BG15),ABS(Resultados!BP15),ABS(Resultados!BY15),ABS(Resultados!CH15))/SQRT(COUNT(Resultados!E15,Resultados!N15,Resultados!W15,Resultados!AF15,Resultados!AO15,Resultados!AX15,Resultados!BG15,Resultados!BP15,Resultados!BY15,Resultados!CH15)))</f>
        <v>5.2728340756868129E-2</v>
      </c>
      <c r="F15">
        <f>IF(COUNT(Resultados!F15,Resultados!O15,Resultados!X15,Resultados!AG15,Resultados!AP15,Resultados!AY15,Resultados!BH15,Resultados!BQ15,Resultados!BZ15,Resultados!CI15)&lt;=1, "", _xlfn.STDEV.S(ABS(Resultados!F15),ABS(Resultados!O15),ABS(Resultados!X15),ABS(Resultados!AG15),ABS(Resultados!AP15),ABS(Resultados!AY15),ABS(Resultados!BH15),ABS(Resultados!BQ15),ABS(Resultados!BZ15),ABS(Resultados!CI15))/SQRT(COUNT(Resultados!F15,Resultados!O15,Resultados!X15,Resultados!AG15,Resultados!AP15,Resultados!AY15,Resultados!BH15,Resultados!BQ15,Resultados!BZ15,Resultados!CI15)))</f>
        <v>14.826411039528415</v>
      </c>
      <c r="G15">
        <f>IF(COUNT(Resultados!G15,Resultados!P15,Resultados!Y15,Resultados!AH15,Resultados!AQ15,Resultados!AZ15,Resultados!BI15,Resultados!BR15,Resultados!CA15,Resultados!CJ15)&lt;=1, "", _xlfn.STDEV.S(ABS(Resultados!G15),ABS(Resultados!P15),ABS(Resultados!Y15),ABS(Resultados!AH15),ABS(Resultados!AQ15),ABS(Resultados!AZ15),ABS(Resultados!BI15),ABS(Resultados!BR15),ABS(Resultados!CA15),ABS(Resultados!CJ15))/SQRT(COUNT(Resultados!G15,Resultados!P15,Resultados!Y15,Resultados!AH15,Resultados!AQ15,Resultados!AZ15,Resultados!BI15,Resultados!BR15,Resultados!CA15,Resultados!CJ15)))</f>
        <v>1.8503717077085941E-17</v>
      </c>
      <c r="H15">
        <f>IF(COUNT(Resultados!H15,Resultados!Q15,Resultados!Z15,Resultados!AI15,Resultados!AR15,Resultados!BA15,Resultados!BJ15,Resultados!BS15,Resultados!CB15,Resultados!CK15)&lt;=1, "", _xlfn.STDEV.S(ABS(Resultados!H15),ABS(Resultados!Q15),ABS(Resultados!Z15),ABS(Resultados!AI15),ABS(Resultados!AR15),ABS(Resultados!BA15),ABS(Resultados!BJ15),ABS(Resultados!BS15),ABS(Resultados!CB15),ABS(Resultados!CK15))/SQRT(COUNT(Resultados!H15,Resultados!Q15,Resultados!Z15,Resultados!AI15,Resultados!AR15,Resultados!BA15,Resultados!BJ15,Resultados!BS15,Resultados!CB15,Resultados!CK15)))</f>
        <v>8.1900345949615337E-4</v>
      </c>
      <c r="I15">
        <f>IF(COUNT(Resultados!I15,Resultados!R15,Resultados!AA15,Resultados!AJ15,Resultados!AS15,Resultados!BB15,Resultados!BK15,Resultados!BT15,Resultados!CC15,Resultados!CL15)&lt;=1, "", _xlfn.STDEV.S(ABS(Resultados!I15),ABS(Resultados!R15),ABS(Resultados!AA15),ABS(Resultados!AJ15),ABS(Resultados!AS15),ABS(Resultados!BB15),ABS(Resultados!BK15),ABS(Resultados!BT15),ABS(Resultados!CC15),ABS(Resultados!CL15))/SQRT(COUNT(Resultados!I15,Resultados!R15,Resultados!AA15,Resultados!AJ15,Resultados!AS15,Resultados!BB15,Resultados!BK15,Resultados!BT15,Resultados!CC15,Resultados!CL15)))</f>
        <v>4.0214249685620158E-2</v>
      </c>
    </row>
    <row r="16" spans="1:9" x14ac:dyDescent="0.3">
      <c r="A16">
        <f>IF(COUNT(Resultados!A16,Resultados!J16,Resultados!S16,Resultados!AB16,Resultados!AK16,Resultados!AT16,Resultados!BC16,Resultados!BL16,Resultados!BU16,Resultados!CD16)&lt;=1, "", _xlfn.STDEV.S(ABS(Resultados!A16),ABS(Resultados!J16),ABS(Resultados!S16),ABS(Resultados!AB16),ABS(Resultados!AK16),ABS(Resultados!AT16),ABS(Resultados!BC16),ABS(Resultados!BL16),ABS(Resultados!BU16),ABS(Resultados!CD16))/SQRT(COUNT(Resultados!A16,Resultados!J16,Resultados!S16,Resultados!AB16,Resultados!AK16,Resultados!AT16,Resultados!BC16,Resultados!BL16,Resultados!BU16,Resultados!CD16)))</f>
        <v>0</v>
      </c>
      <c r="B16" t="str">
        <f>IF(COUNT(Resultados!B16,Resultados!K16,Resultados!T16,Resultados!AC16,Resultados!AL16,Resultados!AU16,Resultados!BD16,Resultados!BM16,Resultados!BV16,Resultados!CE16)&lt;=1, "", _xlfn.STDEV.S(ABS(Resultados!B16),ABS(Resultados!K16),ABS(Resultados!T16),ABS(Resultados!AC16),ABS(Resultados!AL16),ABS(Resultados!AU16),ABS(Resultados!BD16),ABS(Resultados!BM16),ABS(Resultados!BV16),ABS(Resultados!CE16))/SQRT(COUNT(Resultados!B16,Resultados!K16,Resultados!T16,Resultados!AC16,Resultados!AL16,Resultados!AU16,Resultados!BD16,Resultados!BM16,Resultados!BV16,Resultados!CE16)))</f>
        <v/>
      </c>
      <c r="C16">
        <f>IF(COUNT(Resultados!C16,Resultados!L16,Resultados!U16,Resultados!AD16,Resultados!AM16,Resultados!AV16,Resultados!BE16,Resultados!BN16,Resultados!BW16,Resultados!CF16)&lt;=1, "", _xlfn.STDEV.S(ABS(Resultados!C16),ABS(Resultados!L16),ABS(Resultados!U16),ABS(Resultados!AD16),ABS(Resultados!AM16),ABS(Resultados!AV16),ABS(Resultados!BE16),ABS(Resultados!BN16),ABS(Resultados!BW16),ABS(Resultados!CF16))/SQRT(COUNT(Resultados!C16,Resultados!L16,Resultados!U16,Resultados!AD16,Resultados!AM16,Resultados!AV16,Resultados!BE16,Resultados!BN16,Resultados!BW16,Resultados!CF16)))</f>
        <v>0.67986926847903795</v>
      </c>
      <c r="D16">
        <f>IF(COUNT(Resultados!D16,Resultados!M16,Resultados!V16,Resultados!AE16,Resultados!AN16,Resultados!AW16,Resultados!BF16,Resultados!BO16,Resultados!BX16,Resultados!CG16)&lt;=1, "", _xlfn.STDEV.S(ABS(Resultados!D16),ABS(Resultados!M16),ABS(Resultados!V16),ABS(Resultados!AE16),ABS(Resultados!AN16),ABS(Resultados!AW16),ABS(Resultados!BF16),ABS(Resultados!BO16),ABS(Resultados!BX16),ABS(Resultados!CG16))/SQRT(COUNT(Resultados!D16,Resultados!M16,Resultados!V16,Resultados!AE16,Resultados!AN16,Resultados!AW16,Resultados!BF16,Resultados!BO16,Resultados!BX16,Resultados!CG16)))</f>
        <v>7.3567051803855173E-4</v>
      </c>
      <c r="E16">
        <f>IF(COUNT(Resultados!E16,Resultados!N16,Resultados!W16,Resultados!AF16,Resultados!AO16,Resultados!AX16,Resultados!BG16,Resultados!BP16,Resultados!BY16,Resultados!CH16)&lt;=1, "", _xlfn.STDEV.S(ABS(Resultados!E16),ABS(Resultados!N16),ABS(Resultados!W16),ABS(Resultados!AF16),ABS(Resultados!AO16),ABS(Resultados!AX16),ABS(Resultados!BG16),ABS(Resultados!BP16),ABS(Resultados!BY16),ABS(Resultados!CH16))/SQRT(COUNT(Resultados!E16,Resultados!N16,Resultados!W16,Resultados!AF16,Resultados!AO16,Resultados!AX16,Resultados!BG16,Resultados!BP16,Resultados!BY16,Resultados!CH16)))</f>
        <v>5.9663932963337038E-2</v>
      </c>
      <c r="F16">
        <f>IF(COUNT(Resultados!F16,Resultados!O16,Resultados!X16,Resultados!AG16,Resultados!AP16,Resultados!AY16,Resultados!BH16,Resultados!BQ16,Resultados!BZ16,Resultados!CI16)&lt;=1, "", _xlfn.STDEV.S(ABS(Resultados!F16),ABS(Resultados!O16),ABS(Resultados!X16),ABS(Resultados!AG16),ABS(Resultados!AP16),ABS(Resultados!AY16),ABS(Resultados!BH16),ABS(Resultados!BQ16),ABS(Resultados!BZ16),ABS(Resultados!CI16))/SQRT(COUNT(Resultados!F16,Resultados!O16,Resultados!X16,Resultados!AG16,Resultados!AP16,Resultados!AY16,Resultados!BH16,Resultados!BQ16,Resultados!BZ16,Resultados!CI16)))</f>
        <v>5.6621072382206821</v>
      </c>
      <c r="G16">
        <f>IF(COUNT(Resultados!G16,Resultados!P16,Resultados!Y16,Resultados!AH16,Resultados!AQ16,Resultados!AZ16,Resultados!BI16,Resultados!BR16,Resultados!CA16,Resultados!CJ16)&lt;=1, "", _xlfn.STDEV.S(ABS(Resultados!G16),ABS(Resultados!P16),ABS(Resultados!Y16),ABS(Resultados!AH16),ABS(Resultados!AQ16),ABS(Resultados!AZ16),ABS(Resultados!BI16),ABS(Resultados!BR16),ABS(Resultados!CA16),ABS(Resultados!CJ16))/SQRT(COUNT(Resultados!G16,Resultados!P16,Resultados!Y16,Resultados!AH16,Resultados!AQ16,Resultados!AZ16,Resultados!BI16,Resultados!BR16,Resultados!CA16,Resultados!CJ16)))</f>
        <v>1.8503717077085941E-17</v>
      </c>
      <c r="H16">
        <f>IF(COUNT(Resultados!H16,Resultados!Q16,Resultados!Z16,Resultados!AI16,Resultados!AR16,Resultados!BA16,Resultados!BJ16,Resultados!BS16,Resultados!CB16,Resultados!CK16)&lt;=1, "", _xlfn.STDEV.S(ABS(Resultados!H16),ABS(Resultados!Q16),ABS(Resultados!Z16),ABS(Resultados!AI16),ABS(Resultados!AR16),ABS(Resultados!BA16),ABS(Resultados!BJ16),ABS(Resultados!BS16),ABS(Resultados!CB16),ABS(Resultados!CK16))/SQRT(COUNT(Resultados!H16,Resultados!Q16,Resultados!Z16,Resultados!AI16,Resultados!AR16,Resultados!BA16,Resultados!BJ16,Resultados!BS16,Resultados!CB16,Resultados!CK16)))</f>
        <v>9.3190366693368329E-4</v>
      </c>
      <c r="I16">
        <f>IF(COUNT(Resultados!I16,Resultados!R16,Resultados!AA16,Resultados!AJ16,Resultados!AS16,Resultados!BB16,Resultados!BK16,Resultados!BT16,Resultados!CC16,Resultados!CL16)&lt;=1, "", _xlfn.STDEV.S(ABS(Resultados!I16),ABS(Resultados!R16),ABS(Resultados!AA16),ABS(Resultados!AJ16),ABS(Resultados!AS16),ABS(Resultados!BB16),ABS(Resultados!BK16),ABS(Resultados!BT16),ABS(Resultados!CC16),ABS(Resultados!CL16))/SQRT(COUNT(Resultados!I16,Resultados!R16,Resultados!AA16,Resultados!AJ16,Resultados!AS16,Resultados!BB16,Resultados!BK16,Resultados!BT16,Resultados!CC16,Resultados!CL16)))</f>
        <v>3.9886807064210619E-2</v>
      </c>
    </row>
    <row r="17" spans="1:9" x14ac:dyDescent="0.3">
      <c r="A17">
        <f>IF(COUNT(Resultados!A17,Resultados!J17,Resultados!S17,Resultados!AB17,Resultados!AK17,Resultados!AT17,Resultados!BC17,Resultados!BL17,Resultados!BU17,Resultados!CD17)&lt;=1, "", _xlfn.STDEV.S(ABS(Resultados!A17),ABS(Resultados!J17),ABS(Resultados!S17),ABS(Resultados!AB17),ABS(Resultados!AK17),ABS(Resultados!AT17),ABS(Resultados!BC17),ABS(Resultados!BL17),ABS(Resultados!BU17),ABS(Resultados!CD17))/SQRT(COUNT(Resultados!A17,Resultados!J17,Resultados!S17,Resultados!AB17,Resultados!AK17,Resultados!AT17,Resultados!BC17,Resultados!BL17,Resultados!BU17,Resultados!CD17)))</f>
        <v>0</v>
      </c>
      <c r="B17" t="str">
        <f>IF(COUNT(Resultados!B17,Resultados!K17,Resultados!T17,Resultados!AC17,Resultados!AL17,Resultados!AU17,Resultados!BD17,Resultados!BM17,Resultados!BV17,Resultados!CE17)&lt;=1, "", _xlfn.STDEV.S(ABS(Resultados!B17),ABS(Resultados!K17),ABS(Resultados!T17),ABS(Resultados!AC17),ABS(Resultados!AL17),ABS(Resultados!AU17),ABS(Resultados!BD17),ABS(Resultados!BM17),ABS(Resultados!BV17),ABS(Resultados!CE17))/SQRT(COUNT(Resultados!B17,Resultados!K17,Resultados!T17,Resultados!AC17,Resultados!AL17,Resultados!AU17,Resultados!BD17,Resultados!BM17,Resultados!BV17,Resultados!CE17)))</f>
        <v/>
      </c>
      <c r="C17">
        <f>IF(COUNT(Resultados!C17,Resultados!L17,Resultados!U17,Resultados!AD17,Resultados!AM17,Resultados!AV17,Resultados!BE17,Resultados!BN17,Resultados!BW17,Resultados!CF17)&lt;=1, "", _xlfn.STDEV.S(ABS(Resultados!C17),ABS(Resultados!L17),ABS(Resultados!U17),ABS(Resultados!AD17),ABS(Resultados!AM17),ABS(Resultados!AV17),ABS(Resultados!BE17),ABS(Resultados!BN17),ABS(Resultados!BW17),ABS(Resultados!CF17))/SQRT(COUNT(Resultados!C17,Resultados!L17,Resultados!U17,Resultados!AD17,Resultados!AM17,Resultados!AV17,Resultados!BE17,Resultados!BN17,Resultados!BW17,Resultados!CF17)))</f>
        <v>0.67986926847903795</v>
      </c>
      <c r="D17">
        <f>IF(COUNT(Resultados!D17,Resultados!M17,Resultados!V17,Resultados!AE17,Resultados!AN17,Resultados!AW17,Resultados!BF17,Resultados!BO17,Resultados!BX17,Resultados!CG17)&lt;=1, "", _xlfn.STDEV.S(ABS(Resultados!D17),ABS(Resultados!M17),ABS(Resultados!V17),ABS(Resultados!AE17),ABS(Resultados!AN17),ABS(Resultados!AW17),ABS(Resultados!BF17),ABS(Resultados!BO17),ABS(Resultados!BX17),ABS(Resultados!CG17))/SQRT(COUNT(Resultados!D17,Resultados!M17,Resultados!V17,Resultados!AE17,Resultados!AN17,Resultados!AW17,Resultados!BF17,Resultados!BO17,Resultados!BX17,Resultados!CG17)))</f>
        <v>8.4443274845701392E-4</v>
      </c>
      <c r="E17">
        <f>IF(COUNT(Resultados!E17,Resultados!N17,Resultados!W17,Resultados!AF17,Resultados!AO17,Resultados!AX17,Resultados!BG17,Resultados!BP17,Resultados!BY17,Resultados!CH17)&lt;=1, "", _xlfn.STDEV.S(ABS(Resultados!E17),ABS(Resultados!N17),ABS(Resultados!W17),ABS(Resultados!AF17),ABS(Resultados!AO17),ABS(Resultados!AX17),ABS(Resultados!BG17),ABS(Resultados!BP17),ABS(Resultados!BY17),ABS(Resultados!CH17))/SQRT(COUNT(Resultados!E17,Resultados!N17,Resultados!W17,Resultados!AF17,Resultados!AO17,Resultados!AX17,Resultados!BG17,Resultados!BP17,Resultados!BY17,Resultados!CH17)))</f>
        <v>6.6384096053756947E-2</v>
      </c>
      <c r="F17">
        <f>IF(COUNT(Resultados!F17,Resultados!O17,Resultados!X17,Resultados!AG17,Resultados!AP17,Resultados!AY17,Resultados!BH17,Resultados!BQ17,Resultados!BZ17,Resultados!CI17)&lt;=1, "", _xlfn.STDEV.S(ABS(Resultados!F17),ABS(Resultados!O17),ABS(Resultados!X17),ABS(Resultados!AG17),ABS(Resultados!AP17),ABS(Resultados!AY17),ABS(Resultados!BH17),ABS(Resultados!BQ17),ABS(Resultados!BZ17),ABS(Resultados!CI17))/SQRT(COUNT(Resultados!F17,Resultados!O17,Resultados!X17,Resultados!AG17,Resultados!AP17,Resultados!AY17,Resultados!BH17,Resultados!BQ17,Resultados!BZ17,Resultados!CI17)))</f>
        <v>6.2998507155015391</v>
      </c>
      <c r="G17">
        <f>IF(COUNT(Resultados!G17,Resultados!P17,Resultados!Y17,Resultados!AH17,Resultados!AQ17,Resultados!AZ17,Resultados!BI17,Resultados!BR17,Resultados!CA17,Resultados!CJ17)&lt;=1, "", _xlfn.STDEV.S(ABS(Resultados!G17),ABS(Resultados!P17),ABS(Resultados!Y17),ABS(Resultados!AH17),ABS(Resultados!AQ17),ABS(Resultados!AZ17),ABS(Resultados!BI17),ABS(Resultados!BR17),ABS(Resultados!CA17),ABS(Resultados!CJ17))/SQRT(COUNT(Resultados!G17,Resultados!P17,Resultados!Y17,Resultados!AH17,Resultados!AQ17,Resultados!AZ17,Resultados!BI17,Resultados!BR17,Resultados!CA17,Resultados!CJ17)))</f>
        <v>1.8503717077085941E-17</v>
      </c>
      <c r="H17">
        <f>IF(COUNT(Resultados!H17,Resultados!Q17,Resultados!Z17,Resultados!AI17,Resultados!AR17,Resultados!BA17,Resultados!BJ17,Resultados!BS17,Resultados!CB17,Resultados!CK17)&lt;=1, "", _xlfn.STDEV.S(ABS(Resultados!H17),ABS(Resultados!Q17),ABS(Resultados!Z17),ABS(Resultados!AI17),ABS(Resultados!AR17),ABS(Resultados!BA17),ABS(Resultados!BJ17),ABS(Resultados!BS17),ABS(Resultados!CB17),ABS(Resultados!CK17))/SQRT(COUNT(Resultados!H17,Resultados!Q17,Resultados!Z17,Resultados!AI17,Resultados!AR17,Resultados!BA17,Resultados!BJ17,Resultados!BS17,Resultados!CB17,Resultados!CK17)))</f>
        <v>1.0266666666666651E-3</v>
      </c>
      <c r="I17">
        <f>IF(COUNT(Resultados!I17,Resultados!R17,Resultados!AA17,Resultados!AJ17,Resultados!AS17,Resultados!BB17,Resultados!BK17,Resultados!BT17,Resultados!CC17,Resultados!CL17)&lt;=1, "", _xlfn.STDEV.S(ABS(Resultados!I17),ABS(Resultados!R17),ABS(Resultados!AA17),ABS(Resultados!AJ17),ABS(Resultados!AS17),ABS(Resultados!BB17),ABS(Resultados!BK17),ABS(Resultados!BT17),ABS(Resultados!CC17),ABS(Resultados!CL17))/SQRT(COUNT(Resultados!I17,Resultados!R17,Resultados!AA17,Resultados!AJ17,Resultados!AS17,Resultados!BB17,Resultados!BK17,Resultados!BT17,Resultados!CC17,Resultados!CL17)))</f>
        <v>4.0113664754046277E-2</v>
      </c>
    </row>
    <row r="18" spans="1:9" x14ac:dyDescent="0.3">
      <c r="A18">
        <f>IF(COUNT(Resultados!A18,Resultados!J18,Resultados!S18,Resultados!AB18,Resultados!AK18,Resultados!AT18,Resultados!BC18,Resultados!BL18,Resultados!BU18,Resultados!CD18)&lt;=1, "", _xlfn.STDEV.S(ABS(Resultados!A18),ABS(Resultados!J18),ABS(Resultados!S18),ABS(Resultados!AB18),ABS(Resultados!AK18),ABS(Resultados!AT18),ABS(Resultados!BC18),ABS(Resultados!BL18),ABS(Resultados!BU18),ABS(Resultados!CD18))/SQRT(COUNT(Resultados!A18,Resultados!J18,Resultados!S18,Resultados!AB18,Resultados!AK18,Resultados!AT18,Resultados!BC18,Resultados!BL18,Resultados!BU18,Resultados!CD18)))</f>
        <v>0</v>
      </c>
      <c r="B18" t="str">
        <f>IF(COUNT(Resultados!B18,Resultados!K18,Resultados!T18,Resultados!AC18,Resultados!AL18,Resultados!AU18,Resultados!BD18,Resultados!BM18,Resultados!BV18,Resultados!CE18)&lt;=1, "", _xlfn.STDEV.S(ABS(Resultados!B18),ABS(Resultados!K18),ABS(Resultados!T18),ABS(Resultados!AC18),ABS(Resultados!AL18),ABS(Resultados!AU18),ABS(Resultados!BD18),ABS(Resultados!BM18),ABS(Resultados!BV18),ABS(Resultados!CE18))/SQRT(COUNT(Resultados!B18,Resultados!K18,Resultados!T18,Resultados!AC18,Resultados!AL18,Resultados!AU18,Resultados!BD18,Resultados!BM18,Resultados!BV18,Resultados!CE18)))</f>
        <v/>
      </c>
      <c r="C18">
        <f>IF(COUNT(Resultados!C18,Resultados!L18,Resultados!U18,Resultados!AD18,Resultados!AM18,Resultados!AV18,Resultados!BE18,Resultados!BN18,Resultados!BW18,Resultados!CF18)&lt;=1, "", _xlfn.STDEV.S(ABS(Resultados!C18),ABS(Resultados!L18),ABS(Resultados!U18),ABS(Resultados!AD18),ABS(Resultados!AM18),ABS(Resultados!AV18),ABS(Resultados!BE18),ABS(Resultados!BN18),ABS(Resultados!BW18),ABS(Resultados!CF18))/SQRT(COUNT(Resultados!C18,Resultados!L18,Resultados!U18,Resultados!AD18,Resultados!AM18,Resultados!AV18,Resultados!BE18,Resultados!BN18,Resultados!BW18,Resultados!CF18)))</f>
        <v>0.67986926847903795</v>
      </c>
      <c r="D18">
        <f>IF(COUNT(Resultados!D18,Resultados!M18,Resultados!V18,Resultados!AE18,Resultados!AN18,Resultados!AW18,Resultados!BF18,Resultados!BO18,Resultados!BX18,Resultados!CG18)&lt;=1, "", _xlfn.STDEV.S(ABS(Resultados!D18),ABS(Resultados!M18),ABS(Resultados!V18),ABS(Resultados!AE18),ABS(Resultados!AN18),ABS(Resultados!AW18),ABS(Resultados!BF18),ABS(Resultados!BO18),ABS(Resultados!BX18),ABS(Resultados!CG18))/SQRT(COUNT(Resultados!D18,Resultados!M18,Resultados!V18,Resultados!AE18,Resultados!AN18,Resultados!AW18,Resultados!BF18,Resultados!BO18,Resultados!BX18,Resultados!CG18)))</f>
        <v>9.6760873635300842E-4</v>
      </c>
      <c r="E18">
        <f>IF(COUNT(Resultados!E18,Resultados!N18,Resultados!W18,Resultados!AF18,Resultados!AO18,Resultados!AX18,Resultados!BG18,Resultados!BP18,Resultados!BY18,Resultados!CH18)&lt;=1, "", _xlfn.STDEV.S(ABS(Resultados!E18),ABS(Resultados!N18),ABS(Resultados!W18),ABS(Resultados!AF18),ABS(Resultados!AO18),ABS(Resultados!AX18),ABS(Resultados!BG18),ABS(Resultados!BP18),ABS(Resultados!BY18),ABS(Resultados!CH18))/SQRT(COUNT(Resultados!E18,Resultados!N18,Resultados!W18,Resultados!AF18,Resultados!AO18,Resultados!AX18,Resultados!BG18,Resultados!BP18,Resultados!BY18,Resultados!CH18)))</f>
        <v>7.301539535999356E-2</v>
      </c>
      <c r="F18">
        <f>IF(COUNT(Resultados!F18,Resultados!O18,Resultados!X18,Resultados!AG18,Resultados!AP18,Resultados!AY18,Resultados!BH18,Resultados!BQ18,Resultados!BZ18,Resultados!CI18)&lt;=1, "", _xlfn.STDEV.S(ABS(Resultados!F18),ABS(Resultados!O18),ABS(Resultados!X18),ABS(Resultados!AG18),ABS(Resultados!AP18),ABS(Resultados!AY18),ABS(Resultados!BH18),ABS(Resultados!BQ18),ABS(Resultados!BZ18),ABS(Resultados!CI18))/SQRT(COUNT(Resultados!F18,Resultados!O18,Resultados!X18,Resultados!AG18,Resultados!AP18,Resultados!AY18,Resultados!BH18,Resultados!BQ18,Resultados!BZ18,Resultados!CI18)))</f>
        <v>6.9291610196633888</v>
      </c>
      <c r="G18">
        <f>IF(COUNT(Resultados!G18,Resultados!P18,Resultados!Y18,Resultados!AH18,Resultados!AQ18,Resultados!AZ18,Resultados!BI18,Resultados!BR18,Resultados!CA18,Resultados!CJ18)&lt;=1, "", _xlfn.STDEV.S(ABS(Resultados!G18),ABS(Resultados!P18),ABS(Resultados!Y18),ABS(Resultados!AH18),ABS(Resultados!AQ18),ABS(Resultados!AZ18),ABS(Resultados!BI18),ABS(Resultados!BR18),ABS(Resultados!CA18),ABS(Resultados!CJ18))/SQRT(COUNT(Resultados!G18,Resultados!P18,Resultados!Y18,Resultados!AH18,Resultados!AQ18,Resultados!AZ18,Resultados!BI18,Resultados!BR18,Resultados!CA18,Resultados!CJ18)))</f>
        <v>1.8503717077085941E-17</v>
      </c>
      <c r="H18">
        <f>IF(COUNT(Resultados!H18,Resultados!Q18,Resultados!Z18,Resultados!AI18,Resultados!AR18,Resultados!BA18,Resultados!BJ18,Resultados!BS18,Resultados!CB18,Resultados!CK18)&lt;=1, "", _xlfn.STDEV.S(ABS(Resultados!H18),ABS(Resultados!Q18),ABS(Resultados!Z18),ABS(Resultados!AI18),ABS(Resultados!AR18),ABS(Resultados!BA18),ABS(Resultados!BJ18),ABS(Resultados!BS18),ABS(Resultados!CB18),ABS(Resultados!CK18))/SQRT(COUNT(Resultados!H18,Resultados!Q18,Resultados!Z18,Resultados!AI18,Resultados!AR18,Resultados!BA18,Resultados!BJ18,Resultados!BS18,Resultados!CB18,Resultados!CK18)))</f>
        <v>1.1362902602572811E-3</v>
      </c>
      <c r="I18">
        <f>IF(COUNT(Resultados!I18,Resultados!R18,Resultados!AA18,Resultados!AJ18,Resultados!AS18,Resultados!BB18,Resultados!BK18,Resultados!BT18,Resultados!CC18,Resultados!CL18)&lt;=1, "", _xlfn.STDEV.S(ABS(Resultados!I18),ABS(Resultados!R18),ABS(Resultados!AA18),ABS(Resultados!AJ18),ABS(Resultados!AS18),ABS(Resultados!BB18),ABS(Resultados!BK18),ABS(Resultados!BT18),ABS(Resultados!CC18),ABS(Resultados!CL18))/SQRT(COUNT(Resultados!I18,Resultados!R18,Resultados!AA18,Resultados!AJ18,Resultados!AS18,Resultados!BB18,Resultados!BK18,Resultados!BT18,Resultados!CC18,Resultados!CL18)))</f>
        <v>4.0150644245554618E-2</v>
      </c>
    </row>
    <row r="19" spans="1:9" x14ac:dyDescent="0.3">
      <c r="A19">
        <f>IF(COUNT(Resultados!A19,Resultados!J19,Resultados!S19,Resultados!AB19,Resultados!AK19,Resultados!AT19,Resultados!BC19,Resultados!BL19,Resultados!BU19,Resultados!CD19)&lt;=1, "", _xlfn.STDEV.S(ABS(Resultados!A19),ABS(Resultados!J19),ABS(Resultados!S19),ABS(Resultados!AB19),ABS(Resultados!AK19),ABS(Resultados!AT19),ABS(Resultados!BC19),ABS(Resultados!BL19),ABS(Resultados!BU19),ABS(Resultados!CD19))/SQRT(COUNT(Resultados!A19,Resultados!J19,Resultados!S19,Resultados!AB19,Resultados!AK19,Resultados!AT19,Resultados!BC19,Resultados!BL19,Resultados!BU19,Resultados!CD19)))</f>
        <v>0</v>
      </c>
      <c r="B19" t="str">
        <f>IF(COUNT(Resultados!B19,Resultados!K19,Resultados!T19,Resultados!AC19,Resultados!AL19,Resultados!AU19,Resultados!BD19,Resultados!BM19,Resultados!BV19,Resultados!CE19)&lt;=1, "", _xlfn.STDEV.S(ABS(Resultados!B19),ABS(Resultados!K19),ABS(Resultados!T19),ABS(Resultados!AC19),ABS(Resultados!AL19),ABS(Resultados!AU19),ABS(Resultados!BD19),ABS(Resultados!BM19),ABS(Resultados!BV19),ABS(Resultados!CE19))/SQRT(COUNT(Resultados!B19,Resultados!K19,Resultados!T19,Resultados!AC19,Resultados!AL19,Resultados!AU19,Resultados!BD19,Resultados!BM19,Resultados!BV19,Resultados!CE19)))</f>
        <v/>
      </c>
      <c r="C19">
        <f>IF(COUNT(Resultados!C19,Resultados!L19,Resultados!U19,Resultados!AD19,Resultados!AM19,Resultados!AV19,Resultados!BE19,Resultados!BN19,Resultados!BW19,Resultados!CF19)&lt;=1, "", _xlfn.STDEV.S(ABS(Resultados!C19),ABS(Resultados!L19),ABS(Resultados!U19),ABS(Resultados!AD19),ABS(Resultados!AM19),ABS(Resultados!AV19),ABS(Resultados!BE19),ABS(Resultados!BN19),ABS(Resultados!BW19),ABS(Resultados!CF19))/SQRT(COUNT(Resultados!C19,Resultados!L19,Resultados!U19,Resultados!AD19,Resultados!AM19,Resultados!AV19,Resultados!BE19,Resultados!BN19,Resultados!BW19,Resultados!CF19)))</f>
        <v>0.67986926847903795</v>
      </c>
      <c r="D19">
        <f>IF(COUNT(Resultados!D19,Resultados!M19,Resultados!V19,Resultados!AE19,Resultados!AN19,Resultados!AW19,Resultados!BF19,Resultados!BO19,Resultados!BX19,Resultados!CG19)&lt;=1, "", _xlfn.STDEV.S(ABS(Resultados!D19),ABS(Resultados!M19),ABS(Resultados!V19),ABS(Resultados!AE19),ABS(Resultados!AN19),ABS(Resultados!AW19),ABS(Resultados!BF19),ABS(Resultados!BO19),ABS(Resultados!BX19),ABS(Resultados!CG19))/SQRT(COUNT(Resultados!D19,Resultados!M19,Resultados!V19,Resultados!AE19,Resultados!AN19,Resultados!AW19,Resultados!BF19,Resultados!BO19,Resultados!BX19,Resultados!CG19)))</f>
        <v>1.1505361069229119E-3</v>
      </c>
      <c r="E19">
        <f>IF(COUNT(Resultados!E19,Resultados!N19,Resultados!W19,Resultados!AF19,Resultados!AO19,Resultados!AX19,Resultados!BG19,Resultados!BP19,Resultados!BY19,Resultados!CH19)&lt;=1, "", _xlfn.STDEV.S(ABS(Resultados!E19),ABS(Resultados!N19),ABS(Resultados!W19),ABS(Resultados!AF19),ABS(Resultados!AO19),ABS(Resultados!AX19),ABS(Resultados!BG19),ABS(Resultados!BP19),ABS(Resultados!BY19),ABS(Resultados!CH19))/SQRT(COUNT(Resultados!E19,Resultados!N19,Resultados!W19,Resultados!AF19,Resultados!AO19,Resultados!AX19,Resultados!BG19,Resultados!BP19,Resultados!BY19,Resultados!CH19)))</f>
        <v>7.9433318633923639E-2</v>
      </c>
      <c r="F19">
        <f>IF(COUNT(Resultados!F19,Resultados!O19,Resultados!X19,Resultados!AG19,Resultados!AP19,Resultados!AY19,Resultados!BH19,Resultados!BQ19,Resultados!BZ19,Resultados!CI19)&lt;=1, "", _xlfn.STDEV.S(ABS(Resultados!F19),ABS(Resultados!O19),ABS(Resultados!X19),ABS(Resultados!AG19),ABS(Resultados!AP19),ABS(Resultados!AY19),ABS(Resultados!BH19),ABS(Resultados!BQ19),ABS(Resultados!BZ19),ABS(Resultados!CI19))/SQRT(COUNT(Resultados!F19,Resultados!O19,Resultados!X19,Resultados!AG19,Resultados!AP19,Resultados!AY19,Resultados!BH19,Resultados!BQ19,Resultados!BZ19,Resultados!CI19)))</f>
        <v>7.5382219383593574</v>
      </c>
      <c r="G19">
        <f>IF(COUNT(Resultados!G19,Resultados!P19,Resultados!Y19,Resultados!AH19,Resultados!AQ19,Resultados!AZ19,Resultados!BI19,Resultados!BR19,Resultados!CA19,Resultados!CJ19)&lt;=1, "", _xlfn.STDEV.S(ABS(Resultados!G19),ABS(Resultados!P19),ABS(Resultados!Y19),ABS(Resultados!AH19),ABS(Resultados!AQ19),ABS(Resultados!AZ19),ABS(Resultados!BI19),ABS(Resultados!BR19),ABS(Resultados!CA19),ABS(Resultados!CJ19))/SQRT(COUNT(Resultados!G19,Resultados!P19,Resultados!Y19,Resultados!AH19,Resultados!AQ19,Resultados!AZ19,Resultados!BI19,Resultados!BR19,Resultados!CA19,Resultados!CJ19)))</f>
        <v>1.8503717077085941E-17</v>
      </c>
      <c r="H19">
        <f>IF(COUNT(Resultados!H19,Resultados!Q19,Resultados!Z19,Resultados!AI19,Resultados!AR19,Resultados!BA19,Resultados!BJ19,Resultados!BS19,Resultados!CB19,Resultados!CK19)&lt;=1, "", _xlfn.STDEV.S(ABS(Resultados!H19),ABS(Resultados!Q19),ABS(Resultados!Z19),ABS(Resultados!AI19),ABS(Resultados!AR19),ABS(Resultados!BA19),ABS(Resultados!BJ19),ABS(Resultados!BS19),ABS(Resultados!CB19),ABS(Resultados!CK19))/SQRT(COUNT(Resultados!H19,Resultados!Q19,Resultados!Z19,Resultados!AI19,Resultados!AR19,Resultados!BA19,Resultados!BJ19,Resultados!BS19,Resultados!CB19,Resultados!CK19)))</f>
        <v>1.2334414367037357E-3</v>
      </c>
      <c r="I19">
        <f>IF(COUNT(Resultados!I19,Resultados!R19,Resultados!AA19,Resultados!AJ19,Resultados!AS19,Resultados!BB19,Resultados!BK19,Resultados!BT19,Resultados!CC19,Resultados!CL19)&lt;=1, "", _xlfn.STDEV.S(ABS(Resultados!I19),ABS(Resultados!R19),ABS(Resultados!AA19),ABS(Resultados!AJ19),ABS(Resultados!AS19),ABS(Resultados!BB19),ABS(Resultados!BK19),ABS(Resultados!BT19),ABS(Resultados!CC19),ABS(Resultados!CL19))/SQRT(COUNT(Resultados!I19,Resultados!R19,Resultados!AA19,Resultados!AJ19,Resultados!AS19,Resultados!BB19,Resultados!BK19,Resultados!BT19,Resultados!CC19,Resultados!CL19)))</f>
        <v>4.0072662335647838E-2</v>
      </c>
    </row>
    <row r="20" spans="1:9" x14ac:dyDescent="0.3">
      <c r="A20">
        <f>IF(COUNT(Resultados!A20,Resultados!J20,Resultados!S20,Resultados!AB20,Resultados!AK20,Resultados!AT20,Resultados!BC20,Resultados!BL20,Resultados!BU20,Resultados!CD20)&lt;=1, "", _xlfn.STDEV.S(ABS(Resultados!A20),ABS(Resultados!J20),ABS(Resultados!S20),ABS(Resultados!AB20),ABS(Resultados!AK20),ABS(Resultados!AT20),ABS(Resultados!BC20),ABS(Resultados!BL20),ABS(Resultados!BU20),ABS(Resultados!CD20))/SQRT(COUNT(Resultados!A20,Resultados!J20,Resultados!S20,Resultados!AB20,Resultados!AK20,Resultados!AT20,Resultados!BC20,Resultados!BL20,Resultados!BU20,Resultados!CD20)))</f>
        <v>0</v>
      </c>
      <c r="B20" t="str">
        <f>IF(COUNT(Resultados!B20,Resultados!K20,Resultados!T20,Resultados!AC20,Resultados!AL20,Resultados!AU20,Resultados!BD20,Resultados!BM20,Resultados!BV20,Resultados!CE20)&lt;=1, "", _xlfn.STDEV.S(ABS(Resultados!B20),ABS(Resultados!K20),ABS(Resultados!T20),ABS(Resultados!AC20),ABS(Resultados!AL20),ABS(Resultados!AU20),ABS(Resultados!BD20),ABS(Resultados!BM20),ABS(Resultados!BV20),ABS(Resultados!CE20))/SQRT(COUNT(Resultados!B20,Resultados!K20,Resultados!T20,Resultados!AC20,Resultados!AL20,Resultados!AU20,Resultados!BD20,Resultados!BM20,Resultados!BV20,Resultados!CE20)))</f>
        <v/>
      </c>
      <c r="C20">
        <f>IF(COUNT(Resultados!C20,Resultados!L20,Resultados!U20,Resultados!AD20,Resultados!AM20,Resultados!AV20,Resultados!BE20,Resultados!BN20,Resultados!BW20,Resultados!CF20)&lt;=1, "", _xlfn.STDEV.S(ABS(Resultados!C20),ABS(Resultados!L20),ABS(Resultados!U20),ABS(Resultados!AD20),ABS(Resultados!AM20),ABS(Resultados!AV20),ABS(Resultados!BE20),ABS(Resultados!BN20),ABS(Resultados!BW20),ABS(Resultados!CF20))/SQRT(COUNT(Resultados!C20,Resultados!L20,Resultados!U20,Resultados!AD20,Resultados!AM20,Resultados!AV20,Resultados!BE20,Resultados!BN20,Resultados!BW20,Resultados!CF20)))</f>
        <v>0.67986926847903795</v>
      </c>
      <c r="D20">
        <f>IF(COUNT(Resultados!D20,Resultados!M20,Resultados!V20,Resultados!AE20,Resultados!AN20,Resultados!AW20,Resultados!BF20,Resultados!BO20,Resultados!BX20,Resultados!CG20)&lt;=1, "", _xlfn.STDEV.S(ABS(Resultados!D20),ABS(Resultados!M20),ABS(Resultados!V20),ABS(Resultados!AE20),ABS(Resultados!AN20),ABS(Resultados!AW20),ABS(Resultados!BF20),ABS(Resultados!BO20),ABS(Resultados!BX20),ABS(Resultados!CG20))/SQRT(COUNT(Resultados!D20,Resultados!M20,Resultados!V20,Resultados!AE20,Resultados!AN20,Resultados!AW20,Resultados!BF20,Resultados!BO20,Resultados!BX20,Resultados!CG20)))</f>
        <v>1.2483055181591823E-3</v>
      </c>
      <c r="E20">
        <f>IF(COUNT(Resultados!E20,Resultados!N20,Resultados!W20,Resultados!AF20,Resultados!AO20,Resultados!AX20,Resultados!BG20,Resultados!BP20,Resultados!BY20,Resultados!CH20)&lt;=1, "", _xlfn.STDEV.S(ABS(Resultados!E20),ABS(Resultados!N20),ABS(Resultados!W20),ABS(Resultados!AF20),ABS(Resultados!AO20),ABS(Resultados!AX20),ABS(Resultados!BG20),ABS(Resultados!BP20),ABS(Resultados!BY20),ABS(Resultados!CH20))/SQRT(COUNT(Resultados!E20,Resultados!N20,Resultados!W20,Resultados!AF20,Resultados!AO20,Resultados!AX20,Resultados!BG20,Resultados!BP20,Resultados!BY20,Resultados!CH20)))</f>
        <v>8.5644986873861434E-2</v>
      </c>
      <c r="F20">
        <f>IF(COUNT(Resultados!F20,Resultados!O20,Resultados!X20,Resultados!AG20,Resultados!AP20,Resultados!AY20,Resultados!BH20,Resultados!BQ20,Resultados!BZ20,Resultados!CI20)&lt;=1, "", _xlfn.STDEV.S(ABS(Resultados!F20),ABS(Resultados!O20),ABS(Resultados!X20),ABS(Resultados!AG20),ABS(Resultados!AP20),ABS(Resultados!AY20),ABS(Resultados!BH20),ABS(Resultados!BQ20),ABS(Resultados!BZ20),ABS(Resultados!CI20))/SQRT(COUNT(Resultados!F20,Resultados!O20,Resultados!X20,Resultados!AG20,Resultados!AP20,Resultados!AY20,Resultados!BH20,Resultados!BQ20,Resultados!BZ20,Resultados!CI20)))</f>
        <v>8.1277092543294511</v>
      </c>
      <c r="G20">
        <f>IF(COUNT(Resultados!G20,Resultados!P20,Resultados!Y20,Resultados!AH20,Resultados!AQ20,Resultados!AZ20,Resultados!BI20,Resultados!BR20,Resultados!CA20,Resultados!CJ20)&lt;=1, "", _xlfn.STDEV.S(ABS(Resultados!G20),ABS(Resultados!P20),ABS(Resultados!Y20),ABS(Resultados!AH20),ABS(Resultados!AQ20),ABS(Resultados!AZ20),ABS(Resultados!BI20),ABS(Resultados!BR20),ABS(Resultados!CA20),ABS(Resultados!CJ20))/SQRT(COUNT(Resultados!G20,Resultados!P20,Resultados!Y20,Resultados!AH20,Resultados!AQ20,Resultados!AZ20,Resultados!BI20,Resultados!BR20,Resultados!CA20,Resultados!CJ20)))</f>
        <v>1.8503717077085941E-17</v>
      </c>
      <c r="H20">
        <f>IF(COUNT(Resultados!H20,Resultados!Q20,Resultados!Z20,Resultados!AI20,Resultados!AR20,Resultados!BA20,Resultados!BJ20,Resultados!BS20,Resultados!CB20,Resultados!CK20)&lt;=1, "", _xlfn.STDEV.S(ABS(Resultados!H20),ABS(Resultados!Q20),ABS(Resultados!Z20),ABS(Resultados!AI20),ABS(Resultados!AR20),ABS(Resultados!BA20),ABS(Resultados!BJ20),ABS(Resultados!BS20),ABS(Resultados!CB20),ABS(Resultados!CK20))/SQRT(COUNT(Resultados!H20,Resultados!Q20,Resultados!Z20,Resultados!AI20,Resultados!AR20,Resultados!BA20,Resultados!BJ20,Resultados!BS20,Resultados!CB20,Resultados!CK20)))</f>
        <v>1.3298454379697257E-3</v>
      </c>
      <c r="I20">
        <f>IF(COUNT(Resultados!I20,Resultados!R20,Resultados!AA20,Resultados!AJ20,Resultados!AS20,Resultados!BB20,Resultados!BK20,Resultados!BT20,Resultados!CC20,Resultados!CL20)&lt;=1, "", _xlfn.STDEV.S(ABS(Resultados!I20),ABS(Resultados!R20),ABS(Resultados!AA20),ABS(Resultados!AJ20),ABS(Resultados!AS20),ABS(Resultados!BB20),ABS(Resultados!BK20),ABS(Resultados!BT20),ABS(Resultados!CC20),ABS(Resultados!CL20))/SQRT(COUNT(Resultados!I20,Resultados!R20,Resultados!AA20,Resultados!AJ20,Resultados!AS20,Resultados!BB20,Resultados!BK20,Resultados!BT20,Resultados!CC20,Resultados!CL20)))</f>
        <v>4.0174931929689073E-2</v>
      </c>
    </row>
    <row r="21" spans="1:9" x14ac:dyDescent="0.3">
      <c r="A21">
        <f>IF(COUNT(Resultados!A21,Resultados!J21,Resultados!S21,Resultados!AB21,Resultados!AK21,Resultados!AT21,Resultados!BC21,Resultados!BL21,Resultados!BU21,Resultados!CD21)&lt;=1, "", _xlfn.STDEV.S(ABS(Resultados!A21),ABS(Resultados!J21),ABS(Resultados!S21),ABS(Resultados!AB21),ABS(Resultados!AK21),ABS(Resultados!AT21),ABS(Resultados!BC21),ABS(Resultados!BL21),ABS(Resultados!BU21),ABS(Resultados!CD21))/SQRT(COUNT(Resultados!A21,Resultados!J21,Resultados!S21,Resultados!AB21,Resultados!AK21,Resultados!AT21,Resultados!BC21,Resultados!BL21,Resultados!BU21,Resultados!CD21)))</f>
        <v>0</v>
      </c>
      <c r="B21" t="str">
        <f>IF(COUNT(Resultados!B21,Resultados!K21,Resultados!T21,Resultados!AC21,Resultados!AL21,Resultados!AU21,Resultados!BD21,Resultados!BM21,Resultados!BV21,Resultados!CE21)&lt;=1, "", _xlfn.STDEV.S(ABS(Resultados!B21),ABS(Resultados!K21),ABS(Resultados!T21),ABS(Resultados!AC21),ABS(Resultados!AL21),ABS(Resultados!AU21),ABS(Resultados!BD21),ABS(Resultados!BM21),ABS(Resultados!BV21),ABS(Resultados!CE21))/SQRT(COUNT(Resultados!B21,Resultados!K21,Resultados!T21,Resultados!AC21,Resultados!AL21,Resultados!AU21,Resultados!BD21,Resultados!BM21,Resultados!BV21,Resultados!CE21)))</f>
        <v/>
      </c>
      <c r="C21">
        <f>IF(COUNT(Resultados!C21,Resultados!L21,Resultados!U21,Resultados!AD21,Resultados!AM21,Resultados!AV21,Resultados!BE21,Resultados!BN21,Resultados!BW21,Resultados!CF21)&lt;=1, "", _xlfn.STDEV.S(ABS(Resultados!C21),ABS(Resultados!L21),ABS(Resultados!U21),ABS(Resultados!AD21),ABS(Resultados!AM21),ABS(Resultados!AV21),ABS(Resultados!BE21),ABS(Resultados!BN21),ABS(Resultados!BW21),ABS(Resultados!CF21))/SQRT(COUNT(Resultados!C21,Resultados!L21,Resultados!U21,Resultados!AD21,Resultados!AM21,Resultados!AV21,Resultados!BE21,Resultados!BN21,Resultados!BW21,Resultados!CF21)))</f>
        <v>0.67986926847903795</v>
      </c>
      <c r="D21">
        <f>IF(COUNT(Resultados!D21,Resultados!M21,Resultados!V21,Resultados!AE21,Resultados!AN21,Resultados!AW21,Resultados!BF21,Resultados!BO21,Resultados!BX21,Resultados!CG21)&lt;=1, "", _xlfn.STDEV.S(ABS(Resultados!D21),ABS(Resultados!M21),ABS(Resultados!V21),ABS(Resultados!AE21),ABS(Resultados!AN21),ABS(Resultados!AW21),ABS(Resultados!BF21),ABS(Resultados!BO21),ABS(Resultados!BX21),ABS(Resultados!CG21))/SQRT(COUNT(Resultados!D21,Resultados!M21,Resultados!V21,Resultados!AE21,Resultados!AN21,Resultados!AW21,Resultados!BF21,Resultados!BO21,Resultados!BX21,Resultados!CG21)))</f>
        <v>1.3787313008704761E-3</v>
      </c>
      <c r="E21">
        <f>IF(COUNT(Resultados!E21,Resultados!N21,Resultados!W21,Resultados!AF21,Resultados!AO21,Resultados!AX21,Resultados!BG21,Resultados!BP21,Resultados!BY21,Resultados!CH21)&lt;=1, "", _xlfn.STDEV.S(ABS(Resultados!E21),ABS(Resultados!N21),ABS(Resultados!W21),ABS(Resultados!AF21),ABS(Resultados!AO21),ABS(Resultados!AX21),ABS(Resultados!BG21),ABS(Resultados!BP21),ABS(Resultados!BY21),ABS(Resultados!CH21))/SQRT(COUNT(Resultados!E21,Resultados!N21,Resultados!W21,Resultados!AF21,Resultados!AO21,Resultados!AX21,Resultados!BG21,Resultados!BP21,Resultados!BY21,Resultados!CH21)))</f>
        <v>9.1705053678962312E-2</v>
      </c>
      <c r="F21">
        <f>IF(COUNT(Resultados!F21,Resultados!O21,Resultados!X21,Resultados!AG21,Resultados!AP21,Resultados!AY21,Resultados!BH21,Resultados!BQ21,Resultados!BZ21,Resultados!CI21)&lt;=1, "", _xlfn.STDEV.S(ABS(Resultados!F21),ABS(Resultados!O21),ABS(Resultados!X21),ABS(Resultados!AG21),ABS(Resultados!AP21),ABS(Resultados!AY21),ABS(Resultados!BH21),ABS(Resultados!BQ21),ABS(Resultados!BZ21),ABS(Resultados!CI21))/SQRT(COUNT(Resultados!F21,Resultados!O21,Resultados!X21,Resultados!AG21,Resultados!AP21,Resultados!AY21,Resultados!BH21,Resultados!BQ21,Resultados!BZ21,Resultados!CI21)))</f>
        <v>8.7028095941335213</v>
      </c>
      <c r="G21">
        <f>IF(COUNT(Resultados!G21,Resultados!P21,Resultados!Y21,Resultados!AH21,Resultados!AQ21,Resultados!AZ21,Resultados!BI21,Resultados!BR21,Resultados!CA21,Resultados!CJ21)&lt;=1, "", _xlfn.STDEV.S(ABS(Resultados!G21),ABS(Resultados!P21),ABS(Resultados!Y21),ABS(Resultados!AH21),ABS(Resultados!AQ21),ABS(Resultados!AZ21),ABS(Resultados!BI21),ABS(Resultados!BR21),ABS(Resultados!CA21),ABS(Resultados!CJ21))/SQRT(COUNT(Resultados!G21,Resultados!P21,Resultados!Y21,Resultados!AH21,Resultados!AQ21,Resultados!AZ21,Resultados!BI21,Resultados!BR21,Resultados!CA21,Resultados!CJ21)))</f>
        <v>1.8503717077085941E-17</v>
      </c>
      <c r="H21">
        <f>IF(COUNT(Resultados!H21,Resultados!Q21,Resultados!Z21,Resultados!AI21,Resultados!AR21,Resultados!BA21,Resultados!BJ21,Resultados!BS21,Resultados!CB21,Resultados!CK21)&lt;=1, "", _xlfn.STDEV.S(ABS(Resultados!H21),ABS(Resultados!Q21),ABS(Resultados!Z21),ABS(Resultados!AI21),ABS(Resultados!AR21),ABS(Resultados!BA21),ABS(Resultados!BJ21),ABS(Resultados!BS21),ABS(Resultados!CB21),ABS(Resultados!CK21))/SQRT(COUNT(Resultados!H21,Resultados!Q21,Resultados!Z21,Resultados!AI21,Resultados!AR21,Resultados!BA21,Resultados!BJ21,Resultados!BS21,Resultados!CB21,Resultados!CK21)))</f>
        <v>1.4264797385327435E-3</v>
      </c>
      <c r="I21">
        <f>IF(COUNT(Resultados!I21,Resultados!R21,Resultados!AA21,Resultados!AJ21,Resultados!AS21,Resultados!BB21,Resultados!BK21,Resultados!BT21,Resultados!CC21,Resultados!CL21)&lt;=1, "", _xlfn.STDEV.S(ABS(Resultados!I21),ABS(Resultados!R21),ABS(Resultados!AA21),ABS(Resultados!AJ21),ABS(Resultados!AS21),ABS(Resultados!BB21),ABS(Resultados!BK21),ABS(Resultados!BT21),ABS(Resultados!CC21),ABS(Resultados!CL21))/SQRT(COUNT(Resultados!I21,Resultados!R21,Resultados!AA21,Resultados!AJ21,Resultados!AS21,Resultados!BB21,Resultados!BK21,Resultados!BT21,Resultados!CC21,Resultados!CL21)))</f>
        <v>4.005354249834614E-2</v>
      </c>
    </row>
    <row r="22" spans="1:9" x14ac:dyDescent="0.3">
      <c r="A22">
        <f>IF(COUNT(Resultados!A22,Resultados!J22,Resultados!S22,Resultados!AB22,Resultados!AK22,Resultados!AT22,Resultados!BC22,Resultados!BL22,Resultados!BU22,Resultados!CD22)&lt;=1, "", _xlfn.STDEV.S(ABS(Resultados!A22),ABS(Resultados!J22),ABS(Resultados!S22),ABS(Resultados!AB22),ABS(Resultados!AK22),ABS(Resultados!AT22),ABS(Resultados!BC22),ABS(Resultados!BL22),ABS(Resultados!BU22),ABS(Resultados!CD22))/SQRT(COUNT(Resultados!A22,Resultados!J22,Resultados!S22,Resultados!AB22,Resultados!AK22,Resultados!AT22,Resultados!BC22,Resultados!BL22,Resultados!BU22,Resultados!CD22)))</f>
        <v>0</v>
      </c>
      <c r="B22" t="str">
        <f>IF(COUNT(Resultados!B22,Resultados!K22,Resultados!T22,Resultados!AC22,Resultados!AL22,Resultados!AU22,Resultados!BD22,Resultados!BM22,Resultados!BV22,Resultados!CE22)&lt;=1, "", _xlfn.STDEV.S(ABS(Resultados!B22),ABS(Resultados!K22),ABS(Resultados!T22),ABS(Resultados!AC22),ABS(Resultados!AL22),ABS(Resultados!AU22),ABS(Resultados!BD22),ABS(Resultados!BM22),ABS(Resultados!BV22),ABS(Resultados!CE22))/SQRT(COUNT(Resultados!B22,Resultados!K22,Resultados!T22,Resultados!AC22,Resultados!AL22,Resultados!AU22,Resultados!BD22,Resultados!BM22,Resultados!BV22,Resultados!CE22)))</f>
        <v/>
      </c>
      <c r="C22">
        <f>IF(COUNT(Resultados!C22,Resultados!L22,Resultados!U22,Resultados!AD22,Resultados!AM22,Resultados!AV22,Resultados!BE22,Resultados!BN22,Resultados!BW22,Resultados!CF22)&lt;=1, "", _xlfn.STDEV.S(ABS(Resultados!C22),ABS(Resultados!L22),ABS(Resultados!U22),ABS(Resultados!AD22),ABS(Resultados!AM22),ABS(Resultados!AV22),ABS(Resultados!BE22),ABS(Resultados!BN22),ABS(Resultados!BW22),ABS(Resultados!CF22))/SQRT(COUNT(Resultados!C22,Resultados!L22,Resultados!U22,Resultados!AD22,Resultados!AM22,Resultados!AV22,Resultados!BE22,Resultados!BN22,Resultados!BW22,Resultados!CF22)))</f>
        <v>0.67986926847903795</v>
      </c>
      <c r="D22">
        <f>IF(COUNT(Resultados!D22,Resultados!M22,Resultados!V22,Resultados!AE22,Resultados!AN22,Resultados!AW22,Resultados!BF22,Resultados!BO22,Resultados!BX22,Resultados!CG22)&lt;=1, "", _xlfn.STDEV.S(ABS(Resultados!D22),ABS(Resultados!M22),ABS(Resultados!V22),ABS(Resultados!AE22),ABS(Resultados!AN22),ABS(Resultados!AW22),ABS(Resultados!BF22),ABS(Resultados!BO22),ABS(Resultados!BX22),ABS(Resultados!CG22))/SQRT(COUNT(Resultados!D22,Resultados!M22,Resultados!V22,Resultados!AE22,Resultados!AN22,Resultados!AW22,Resultados!BF22,Resultados!BO22,Resultados!BX22,Resultados!CG22)))</f>
        <v>1.4837639824296707E-3</v>
      </c>
      <c r="E22">
        <f>IF(COUNT(Resultados!E22,Resultados!N22,Resultados!W22,Resultados!AF22,Resultados!AO22,Resultados!AX22,Resultados!BG22,Resultados!BP22,Resultados!BY22,Resultados!CH22)&lt;=1, "", _xlfn.STDEV.S(ABS(Resultados!E22),ABS(Resultados!N22),ABS(Resultados!W22),ABS(Resultados!AF22),ABS(Resultados!AO22),ABS(Resultados!AX22),ABS(Resultados!BG22),ABS(Resultados!BP22),ABS(Resultados!BY22),ABS(Resultados!CH22))/SQRT(COUNT(Resultados!E22,Resultados!N22,Resultados!W22,Resultados!AF22,Resultados!AO22,Resultados!AX22,Resultados!BG22,Resultados!BP22,Resultados!BY22,Resultados!CH22)))</f>
        <v>9.7443532963469748E-2</v>
      </c>
      <c r="F22">
        <f>IF(COUNT(Resultados!F22,Resultados!O22,Resultados!X22,Resultados!AG22,Resultados!AP22,Resultados!AY22,Resultados!BH22,Resultados!BQ22,Resultados!BZ22,Resultados!CI22)&lt;=1, "", _xlfn.STDEV.S(ABS(Resultados!F22),ABS(Resultados!O22),ABS(Resultados!X22),ABS(Resultados!AG22),ABS(Resultados!AP22),ABS(Resultados!AY22),ABS(Resultados!BH22),ABS(Resultados!BQ22),ABS(Resultados!BZ22),ABS(Resultados!CI22))/SQRT(COUNT(Resultados!F22,Resultados!O22,Resultados!X22,Resultados!AG22,Resultados!AP22,Resultados!AY22,Resultados!BH22,Resultados!BQ22,Resultados!BZ22,Resultados!CI22)))</f>
        <v>9.2473912782332821</v>
      </c>
      <c r="G22">
        <f>IF(COUNT(Resultados!G22,Resultados!P22,Resultados!Y22,Resultados!AH22,Resultados!AQ22,Resultados!AZ22,Resultados!BI22,Resultados!BR22,Resultados!CA22,Resultados!CJ22)&lt;=1, "", _xlfn.STDEV.S(ABS(Resultados!G22),ABS(Resultados!P22),ABS(Resultados!Y22),ABS(Resultados!AH22),ABS(Resultados!AQ22),ABS(Resultados!AZ22),ABS(Resultados!BI22),ABS(Resultados!BR22),ABS(Resultados!CA22),ABS(Resultados!CJ22))/SQRT(COUNT(Resultados!G22,Resultados!P22,Resultados!Y22,Resultados!AH22,Resultados!AQ22,Resultados!AZ22,Resultados!BI22,Resultados!BR22,Resultados!CA22,Resultados!CJ22)))</f>
        <v>1.8503717077085941E-17</v>
      </c>
      <c r="H22">
        <f>IF(COUNT(Resultados!H22,Resultados!Q22,Resultados!Z22,Resultados!AI22,Resultados!AR22,Resultados!BA22,Resultados!BJ22,Resultados!BS22,Resultados!CB22,Resultados!CK22)&lt;=1, "", _xlfn.STDEV.S(ABS(Resultados!H22),ABS(Resultados!Q22),ABS(Resultados!Z22),ABS(Resultados!AI22),ABS(Resultados!AR22),ABS(Resultados!BA22),ABS(Resultados!BJ22),ABS(Resultados!BS22),ABS(Resultados!CB22),ABS(Resultados!CK22))/SQRT(COUNT(Resultados!H22,Resultados!Q22,Resultados!Z22,Resultados!AI22,Resultados!AR22,Resultados!BA22,Resultados!BJ22,Resultados!BS22,Resultados!CB22,Resultados!CK22)))</f>
        <v>1.5099521699562407E-3</v>
      </c>
      <c r="I22">
        <f>IF(COUNT(Resultados!I22,Resultados!R22,Resultados!AA22,Resultados!AJ22,Resultados!AS22,Resultados!BB22,Resultados!BK22,Resultados!BT22,Resultados!CC22,Resultados!CL22)&lt;=1, "", _xlfn.STDEV.S(ABS(Resultados!I22),ABS(Resultados!R22),ABS(Resultados!AA22),ABS(Resultados!AJ22),ABS(Resultados!AS22),ABS(Resultados!BB22),ABS(Resultados!BK22),ABS(Resultados!BT22),ABS(Resultados!CC22),ABS(Resultados!CL22))/SQRT(COUNT(Resultados!I22,Resultados!R22,Resultados!AA22,Resultados!AJ22,Resultados!AS22,Resultados!BB22,Resultados!BK22,Resultados!BT22,Resultados!CC22,Resultados!CL22)))</f>
        <v>4.010153626870995E-2</v>
      </c>
    </row>
    <row r="23" spans="1:9" x14ac:dyDescent="0.3">
      <c r="A23">
        <f>IF(COUNT(Resultados!A23,Resultados!J23,Resultados!S23,Resultados!AB23,Resultados!AK23,Resultados!AT23,Resultados!BC23,Resultados!BL23,Resultados!BU23,Resultados!CD23)&lt;=1, "", _xlfn.STDEV.S(ABS(Resultados!A23),ABS(Resultados!J23),ABS(Resultados!S23),ABS(Resultados!AB23),ABS(Resultados!AK23),ABS(Resultados!AT23),ABS(Resultados!BC23),ABS(Resultados!BL23),ABS(Resultados!BU23),ABS(Resultados!CD23))/SQRT(COUNT(Resultados!A23,Resultados!J23,Resultados!S23,Resultados!AB23,Resultados!AK23,Resultados!AT23,Resultados!BC23,Resultados!BL23,Resultados!BU23,Resultados!CD23)))</f>
        <v>0</v>
      </c>
      <c r="B23" t="str">
        <f>IF(COUNT(Resultados!B23,Resultados!K23,Resultados!T23,Resultados!AC23,Resultados!AL23,Resultados!AU23,Resultados!BD23,Resultados!BM23,Resultados!BV23,Resultados!CE23)&lt;=1, "", _xlfn.STDEV.S(ABS(Resultados!B23),ABS(Resultados!K23),ABS(Resultados!T23),ABS(Resultados!AC23),ABS(Resultados!AL23),ABS(Resultados!AU23),ABS(Resultados!BD23),ABS(Resultados!BM23),ABS(Resultados!BV23),ABS(Resultados!CE23))/SQRT(COUNT(Resultados!B23,Resultados!K23,Resultados!T23,Resultados!AC23,Resultados!AL23,Resultados!AU23,Resultados!BD23,Resultados!BM23,Resultados!BV23,Resultados!CE23)))</f>
        <v/>
      </c>
      <c r="C23">
        <f>IF(COUNT(Resultados!C23,Resultados!L23,Resultados!U23,Resultados!AD23,Resultados!AM23,Resultados!AV23,Resultados!BE23,Resultados!BN23,Resultados!BW23,Resultados!CF23)&lt;=1, "", _xlfn.STDEV.S(ABS(Resultados!C23),ABS(Resultados!L23),ABS(Resultados!U23),ABS(Resultados!AD23),ABS(Resultados!AM23),ABS(Resultados!AV23),ABS(Resultados!BE23),ABS(Resultados!BN23),ABS(Resultados!BW23),ABS(Resultados!CF23))/SQRT(COUNT(Resultados!C23,Resultados!L23,Resultados!U23,Resultados!AD23,Resultados!AM23,Resultados!AV23,Resultados!BE23,Resultados!BN23,Resultados!BW23,Resultados!CF23)))</f>
        <v>0.67986926847903795</v>
      </c>
      <c r="D23">
        <f>IF(COUNT(Resultados!D23,Resultados!M23,Resultados!V23,Resultados!AE23,Resultados!AN23,Resultados!AW23,Resultados!BF23,Resultados!BO23,Resultados!BX23,Resultados!CG23)&lt;=1, "", _xlfn.STDEV.S(ABS(Resultados!D23),ABS(Resultados!M23),ABS(Resultados!V23),ABS(Resultados!AE23),ABS(Resultados!AN23),ABS(Resultados!AW23),ABS(Resultados!BF23),ABS(Resultados!BO23),ABS(Resultados!BX23),ABS(Resultados!CG23))/SQRT(COUNT(Resultados!D23,Resultados!M23,Resultados!V23,Resultados!AE23,Resultados!AN23,Resultados!AW23,Resultados!BF23,Resultados!BO23,Resultados!BX23,Resultados!CG23)))</f>
        <v>1.6000833311633079E-3</v>
      </c>
      <c r="E23">
        <f>IF(COUNT(Resultados!E23,Resultados!N23,Resultados!W23,Resultados!AF23,Resultados!AO23,Resultados!AX23,Resultados!BG23,Resultados!BP23,Resultados!BY23,Resultados!CH23)&lt;=1, "", _xlfn.STDEV.S(ABS(Resultados!E23),ABS(Resultados!N23),ABS(Resultados!W23),ABS(Resultados!AF23),ABS(Resultados!AO23),ABS(Resultados!AX23),ABS(Resultados!BG23),ABS(Resultados!BP23),ABS(Resultados!BY23),ABS(Resultados!CH23))/SQRT(COUNT(Resultados!E23,Resultados!N23,Resultados!W23,Resultados!AF23,Resultados!AO23,Resultados!AX23,Resultados!BG23,Resultados!BP23,Resultados!BY23,Resultados!CH23)))</f>
        <v>0.10292612195639519</v>
      </c>
      <c r="F23">
        <f>IF(COUNT(Resultados!F23,Resultados!O23,Resultados!X23,Resultados!AG23,Resultados!AP23,Resultados!AY23,Resultados!BH23,Resultados!BQ23,Resultados!BZ23,Resultados!CI23)&lt;=1, "", _xlfn.STDEV.S(ABS(Resultados!F23),ABS(Resultados!O23),ABS(Resultados!X23),ABS(Resultados!AG23),ABS(Resultados!AP23),ABS(Resultados!AY23),ABS(Resultados!BH23),ABS(Resultados!BQ23),ABS(Resultados!BZ23),ABS(Resultados!CI23))/SQRT(COUNT(Resultados!F23,Resultados!O23,Resultados!X23,Resultados!AG23,Resultados!AP23,Resultados!AY23,Resultados!BH23,Resultados!BQ23,Resultados!BZ23,Resultados!CI23)))</f>
        <v>9.7676889736619099</v>
      </c>
      <c r="G23">
        <f>IF(COUNT(Resultados!G23,Resultados!P23,Resultados!Y23,Resultados!AH23,Resultados!AQ23,Resultados!AZ23,Resultados!BI23,Resultados!BR23,Resultados!CA23,Resultados!CJ23)&lt;=1, "", _xlfn.STDEV.S(ABS(Resultados!G23),ABS(Resultados!P23),ABS(Resultados!Y23),ABS(Resultados!AH23),ABS(Resultados!AQ23),ABS(Resultados!AZ23),ABS(Resultados!BI23),ABS(Resultados!BR23),ABS(Resultados!CA23),ABS(Resultados!CJ23))/SQRT(COUNT(Resultados!G23,Resultados!P23,Resultados!Y23,Resultados!AH23,Resultados!AQ23,Resultados!AZ23,Resultados!BI23,Resultados!BR23,Resultados!CA23,Resultados!CJ23)))</f>
        <v>1.8503717077085941E-17</v>
      </c>
      <c r="H23">
        <f>IF(COUNT(Resultados!H23,Resultados!Q23,Resultados!Z23,Resultados!AI23,Resultados!AR23,Resultados!BA23,Resultados!BJ23,Resultados!BS23,Resultados!CB23,Resultados!CK23)&lt;=1, "", _xlfn.STDEV.S(ABS(Resultados!H23),ABS(Resultados!Q23),ABS(Resultados!Z23),ABS(Resultados!AI23),ABS(Resultados!AR23),ABS(Resultados!BA23),ABS(Resultados!BJ23),ABS(Resultados!BS23),ABS(Resultados!CB23),ABS(Resultados!CK23))/SQRT(COUNT(Resultados!H23,Resultados!Q23,Resultados!Z23,Resultados!AI23,Resultados!AR23,Resultados!BA23,Resultados!BJ23,Resultados!BS23,Resultados!CB23,Resultados!CK23)))</f>
        <v>1.5979883186890511E-3</v>
      </c>
      <c r="I23">
        <f>IF(COUNT(Resultados!I23,Resultados!R23,Resultados!AA23,Resultados!AJ23,Resultados!AS23,Resultados!BB23,Resultados!BK23,Resultados!BT23,Resultados!CC23,Resultados!CL23)&lt;=1, "", _xlfn.STDEV.S(ABS(Resultados!I23),ABS(Resultados!R23),ABS(Resultados!AA23),ABS(Resultados!AJ23),ABS(Resultados!AS23),ABS(Resultados!BB23),ABS(Resultados!BK23),ABS(Resultados!BT23),ABS(Resultados!CC23),ABS(Resultados!CL23))/SQRT(COUNT(Resultados!I23,Resultados!R23,Resultados!AA23,Resultados!AJ23,Resultados!AS23,Resultados!BB23,Resultados!BK23,Resultados!BT23,Resultados!CC23,Resultados!CL23)))</f>
        <v>4.0224650954905974E-2</v>
      </c>
    </row>
    <row r="24" spans="1:9" x14ac:dyDescent="0.3">
      <c r="A24">
        <f>IF(COUNT(Resultados!A24,Resultados!J24,Resultados!S24,Resultados!AB24,Resultados!AK24,Resultados!AT24,Resultados!BC24,Resultados!BL24,Resultados!BU24,Resultados!CD24)&lt;=1, "", _xlfn.STDEV.S(ABS(Resultados!A24),ABS(Resultados!J24),ABS(Resultados!S24),ABS(Resultados!AB24),ABS(Resultados!AK24),ABS(Resultados!AT24),ABS(Resultados!BC24),ABS(Resultados!BL24),ABS(Resultados!BU24),ABS(Resultados!CD24))/SQRT(COUNT(Resultados!A24,Resultados!J24,Resultados!S24,Resultados!AB24,Resultados!AK24,Resultados!AT24,Resultados!BC24,Resultados!BL24,Resultados!BU24,Resultados!CD24)))</f>
        <v>0</v>
      </c>
      <c r="B24" t="str">
        <f>IF(COUNT(Resultados!B24,Resultados!K24,Resultados!T24,Resultados!AC24,Resultados!AL24,Resultados!AU24,Resultados!BD24,Resultados!BM24,Resultados!BV24,Resultados!CE24)&lt;=1, "", _xlfn.STDEV.S(ABS(Resultados!B24),ABS(Resultados!K24),ABS(Resultados!T24),ABS(Resultados!AC24),ABS(Resultados!AL24),ABS(Resultados!AU24),ABS(Resultados!BD24),ABS(Resultados!BM24),ABS(Resultados!BV24),ABS(Resultados!CE24))/SQRT(COUNT(Resultados!B24,Resultados!K24,Resultados!T24,Resultados!AC24,Resultados!AL24,Resultados!AU24,Resultados!BD24,Resultados!BM24,Resultados!BV24,Resultados!CE24)))</f>
        <v/>
      </c>
      <c r="C24">
        <f>IF(COUNT(Resultados!C24,Resultados!L24,Resultados!U24,Resultados!AD24,Resultados!AM24,Resultados!AV24,Resultados!BE24,Resultados!BN24,Resultados!BW24,Resultados!CF24)&lt;=1, "", _xlfn.STDEV.S(ABS(Resultados!C24),ABS(Resultados!L24),ABS(Resultados!U24),ABS(Resultados!AD24),ABS(Resultados!AM24),ABS(Resultados!AV24),ABS(Resultados!BE24),ABS(Resultados!BN24),ABS(Resultados!BW24),ABS(Resultados!CF24))/SQRT(COUNT(Resultados!C24,Resultados!L24,Resultados!U24,Resultados!AD24,Resultados!AM24,Resultados!AV24,Resultados!BE24,Resultados!BN24,Resultados!BW24,Resultados!CF24)))</f>
        <v>0.67986926847903795</v>
      </c>
      <c r="D24">
        <f>IF(COUNT(Resultados!D24,Resultados!M24,Resultados!V24,Resultados!AE24,Resultados!AN24,Resultados!AW24,Resultados!BF24,Resultados!BO24,Resultados!BX24,Resultados!CG24)&lt;=1, "", _xlfn.STDEV.S(ABS(Resultados!D24),ABS(Resultados!M24),ABS(Resultados!V24),ABS(Resultados!AE24),ABS(Resultados!AN24),ABS(Resultados!AW24),ABS(Resultados!BF24),ABS(Resultados!BO24),ABS(Resultados!BX24),ABS(Resultados!CG24))/SQRT(COUNT(Resultados!D24,Resultados!M24,Resultados!V24,Resultados!AE24,Resultados!AN24,Resultados!AW24,Resultados!BF24,Resultados!BO24,Resultados!BX24,Resultados!CG24)))</f>
        <v>1.6953695106901535E-3</v>
      </c>
      <c r="E24">
        <f>IF(COUNT(Resultados!E24,Resultados!N24,Resultados!W24,Resultados!AF24,Resultados!AO24,Resultados!AX24,Resultados!BG24,Resultados!BP24,Resultados!BY24,Resultados!CH24)&lt;=1, "", _xlfn.STDEV.S(ABS(Resultados!E24),ABS(Resultados!N24),ABS(Resultados!W24),ABS(Resultados!AF24),ABS(Resultados!AO24),ABS(Resultados!AX24),ABS(Resultados!BG24),ABS(Resultados!BP24),ABS(Resultados!BY24),ABS(Resultados!CH24))/SQRT(COUNT(Resultados!E24,Resultados!N24,Resultados!W24,Resultados!AF24,Resultados!AO24,Resultados!AX24,Resultados!BG24,Resultados!BP24,Resultados!BY24,Resultados!CH24)))</f>
        <v>0.10824307249727441</v>
      </c>
      <c r="F24">
        <f>IF(COUNT(Resultados!F24,Resultados!O24,Resultados!X24,Resultados!AG24,Resultados!AP24,Resultados!AY24,Resultados!BH24,Resultados!BQ24,Resultados!BZ24,Resultados!CI24)&lt;=1, "", _xlfn.STDEV.S(ABS(Resultados!F24),ABS(Resultados!O24),ABS(Resultados!X24),ABS(Resultados!AG24),ABS(Resultados!AP24),ABS(Resultados!AY24),ABS(Resultados!BH24),ABS(Resultados!BQ24),ABS(Resultados!BZ24),ABS(Resultados!CI24))/SQRT(COUNT(Resultados!F24,Resultados!O24,Resultados!X24,Resultados!AG24,Resultados!AP24,Resultados!AY24,Resultados!BH24,Resultados!BQ24,Resultados!BZ24,Resultados!CI24)))</f>
        <v>10.272267579991345</v>
      </c>
      <c r="G24">
        <f>IF(COUNT(Resultados!G24,Resultados!P24,Resultados!Y24,Resultados!AH24,Resultados!AQ24,Resultados!AZ24,Resultados!BI24,Resultados!BR24,Resultados!CA24,Resultados!CJ24)&lt;=1, "", _xlfn.STDEV.S(ABS(Resultados!G24),ABS(Resultados!P24),ABS(Resultados!Y24),ABS(Resultados!AH24),ABS(Resultados!AQ24),ABS(Resultados!AZ24),ABS(Resultados!BI24),ABS(Resultados!BR24),ABS(Resultados!CA24),ABS(Resultados!CJ24))/SQRT(COUNT(Resultados!G24,Resultados!P24,Resultados!Y24,Resultados!AH24,Resultados!AQ24,Resultados!AZ24,Resultados!BI24,Resultados!BR24,Resultados!CA24,Resultados!CJ24)))</f>
        <v>1.8503717077085941E-17</v>
      </c>
      <c r="H24">
        <f>IF(COUNT(Resultados!H24,Resultados!Q24,Resultados!Z24,Resultados!AI24,Resultados!AR24,Resultados!BA24,Resultados!BJ24,Resultados!BS24,Resultados!CB24,Resultados!CK24)&lt;=1, "", _xlfn.STDEV.S(ABS(Resultados!H24),ABS(Resultados!Q24),ABS(Resultados!Z24),ABS(Resultados!AI24),ABS(Resultados!AR24),ABS(Resultados!BA24),ABS(Resultados!BJ24),ABS(Resultados!BS24),ABS(Resultados!CB24),ABS(Resultados!CK24))/SQRT(COUNT(Resultados!H24,Resultados!Q24,Resultados!Z24,Resultados!AI24,Resultados!AR24,Resultados!BA24,Resultados!BJ24,Resultados!BS24,Resultados!CB24,Resultados!CK24)))</f>
        <v>1.6835148416994238E-3</v>
      </c>
      <c r="I24">
        <f>IF(COUNT(Resultados!I24,Resultados!R24,Resultados!AA24,Resultados!AJ24,Resultados!AS24,Resultados!BB24,Resultados!BK24,Resultados!BT24,Resultados!CC24,Resultados!CL24)&lt;=1, "", _xlfn.STDEV.S(ABS(Resultados!I24),ABS(Resultados!R24),ABS(Resultados!AA24),ABS(Resultados!AJ24),ABS(Resultados!AS24),ABS(Resultados!BB24),ABS(Resultados!BK24),ABS(Resultados!BT24),ABS(Resultados!CC24),ABS(Resultados!CL24))/SQRT(COUNT(Resultados!I24,Resultados!R24,Resultados!AA24,Resultados!AJ24,Resultados!AS24,Resultados!BB24,Resultados!BK24,Resultados!BT24,Resultados!CC24,Resultados!CL24)))</f>
        <v>3.9955630391721668E-2</v>
      </c>
    </row>
    <row r="25" spans="1:9" x14ac:dyDescent="0.3">
      <c r="A25">
        <f>IF(COUNT(Resultados!A25,Resultados!J25,Resultados!S25,Resultados!AB25,Resultados!AK25,Resultados!AT25,Resultados!BC25,Resultados!BL25,Resultados!BU25,Resultados!CD25)&lt;=1, "", _xlfn.STDEV.S(ABS(Resultados!A25),ABS(Resultados!J25),ABS(Resultados!S25),ABS(Resultados!AB25),ABS(Resultados!AK25),ABS(Resultados!AT25),ABS(Resultados!BC25),ABS(Resultados!BL25),ABS(Resultados!BU25),ABS(Resultados!CD25))/SQRT(COUNT(Resultados!A25,Resultados!J25,Resultados!S25,Resultados!AB25,Resultados!AK25,Resultados!AT25,Resultados!BC25,Resultados!BL25,Resultados!BU25,Resultados!CD25)))</f>
        <v>0</v>
      </c>
      <c r="B25" t="str">
        <f>IF(COUNT(Resultados!B25,Resultados!K25,Resultados!T25,Resultados!AC25,Resultados!AL25,Resultados!AU25,Resultados!BD25,Resultados!BM25,Resultados!BV25,Resultados!CE25)&lt;=1, "", _xlfn.STDEV.S(ABS(Resultados!B25),ABS(Resultados!K25),ABS(Resultados!T25),ABS(Resultados!AC25),ABS(Resultados!AL25),ABS(Resultados!AU25),ABS(Resultados!BD25),ABS(Resultados!BM25),ABS(Resultados!BV25),ABS(Resultados!CE25))/SQRT(COUNT(Resultados!B25,Resultados!K25,Resultados!T25,Resultados!AC25,Resultados!AL25,Resultados!AU25,Resultados!BD25,Resultados!BM25,Resultados!BV25,Resultados!CE25)))</f>
        <v/>
      </c>
      <c r="C25">
        <f>IF(COUNT(Resultados!C25,Resultados!L25,Resultados!U25,Resultados!AD25,Resultados!AM25,Resultados!AV25,Resultados!BE25,Resultados!BN25,Resultados!BW25,Resultados!CF25)&lt;=1, "", _xlfn.STDEV.S(ABS(Resultados!C25),ABS(Resultados!L25),ABS(Resultados!U25),ABS(Resultados!AD25),ABS(Resultados!AM25),ABS(Resultados!AV25),ABS(Resultados!BE25),ABS(Resultados!BN25),ABS(Resultados!BW25),ABS(Resultados!CF25))/SQRT(COUNT(Resultados!C25,Resultados!L25,Resultados!U25,Resultados!AD25,Resultados!AM25,Resultados!AV25,Resultados!BE25,Resultados!BN25,Resultados!BW25,Resultados!CF25)))</f>
        <v>0.67986926847903795</v>
      </c>
      <c r="D25">
        <f>IF(COUNT(Resultados!D25,Resultados!M25,Resultados!V25,Resultados!AE25,Resultados!AN25,Resultados!AW25,Resultados!BF25,Resultados!BO25,Resultados!BX25,Resultados!CG25)&lt;=1, "", _xlfn.STDEV.S(ABS(Resultados!D25),ABS(Resultados!M25),ABS(Resultados!V25),ABS(Resultados!AE25),ABS(Resultados!AN25),ABS(Resultados!AW25),ABS(Resultados!BF25),ABS(Resultados!BO25),ABS(Resultados!BX25),ABS(Resultados!CG25))/SQRT(COUNT(Resultados!D25,Resultados!M25,Resultados!V25,Resultados!AE25,Resultados!AN25,Resultados!AW25,Resultados!BF25,Resultados!BO25,Resultados!BX25,Resultados!CG25)))</f>
        <v>1.8010984302795788E-3</v>
      </c>
      <c r="E25">
        <f>IF(COUNT(Resultados!E25,Resultados!N25,Resultados!W25,Resultados!AF25,Resultados!AO25,Resultados!AX25,Resultados!BG25,Resultados!BP25,Resultados!BY25,Resultados!CH25)&lt;=1, "", _xlfn.STDEV.S(ABS(Resultados!E25),ABS(Resultados!N25),ABS(Resultados!W25),ABS(Resultados!AF25),ABS(Resultados!AO25),ABS(Resultados!AX25),ABS(Resultados!BG25),ABS(Resultados!BP25),ABS(Resultados!BY25),ABS(Resultados!CH25))/SQRT(COUNT(Resultados!E25,Resultados!N25,Resultados!W25,Resultados!AF25,Resultados!AO25,Resultados!AX25,Resultados!BG25,Resultados!BP25,Resultados!BY25,Resultados!CH25)))</f>
        <v>0.11317719785624684</v>
      </c>
      <c r="F25">
        <f>IF(COUNT(Resultados!F25,Resultados!O25,Resultados!X25,Resultados!AG25,Resultados!AP25,Resultados!AY25,Resultados!BH25,Resultados!BQ25,Resultados!BZ25,Resultados!CI25)&lt;=1, "", _xlfn.STDEV.S(ABS(Resultados!F25),ABS(Resultados!O25),ABS(Resultados!X25),ABS(Resultados!AG25),ABS(Resultados!AP25),ABS(Resultados!AY25),ABS(Resultados!BH25),ABS(Resultados!BQ25),ABS(Resultados!BZ25),ABS(Resultados!CI25))/SQRT(COUNT(Resultados!F25,Resultados!O25,Resultados!X25,Resultados!AG25,Resultados!AP25,Resultados!AY25,Resultados!BH25,Resultados!BQ25,Resultados!BZ25,Resultados!CI25)))</f>
        <v>10.74051607655783</v>
      </c>
      <c r="G25">
        <f>IF(COUNT(Resultados!G25,Resultados!P25,Resultados!Y25,Resultados!AH25,Resultados!AQ25,Resultados!AZ25,Resultados!BI25,Resultados!BR25,Resultados!CA25,Resultados!CJ25)&lt;=1, "", _xlfn.STDEV.S(ABS(Resultados!G25),ABS(Resultados!P25),ABS(Resultados!Y25),ABS(Resultados!AH25),ABS(Resultados!AQ25),ABS(Resultados!AZ25),ABS(Resultados!BI25),ABS(Resultados!BR25),ABS(Resultados!CA25),ABS(Resultados!CJ25))/SQRT(COUNT(Resultados!G25,Resultados!P25,Resultados!Y25,Resultados!AH25,Resultados!AQ25,Resultados!AZ25,Resultados!BI25,Resultados!BR25,Resultados!CA25,Resultados!CJ25)))</f>
        <v>1.8503717077085941E-17</v>
      </c>
      <c r="H25">
        <f>IF(COUNT(Resultados!H25,Resultados!Q25,Resultados!Z25,Resultados!AI25,Resultados!AR25,Resultados!BA25,Resultados!BJ25,Resultados!BS25,Resultados!CB25,Resultados!CK25)&lt;=1, "", _xlfn.STDEV.S(ABS(Resultados!H25),ABS(Resultados!Q25),ABS(Resultados!Z25),ABS(Resultados!AI25),ABS(Resultados!AR25),ABS(Resultados!BA25),ABS(Resultados!BJ25),ABS(Resultados!BS25),ABS(Resultados!CB25),ABS(Resultados!CK25))/SQRT(COUNT(Resultados!H25,Resultados!Q25,Resultados!Z25,Resultados!AI25,Resultados!AR25,Resultados!BA25,Resultados!BJ25,Resultados!BS25,Resultados!CB25,Resultados!CK25)))</f>
        <v>1.7604292405862577E-3</v>
      </c>
      <c r="I25">
        <f>IF(COUNT(Resultados!I25,Resultados!R25,Resultados!AA25,Resultados!AJ25,Resultados!AS25,Resultados!BB25,Resultados!BK25,Resultados!BT25,Resultados!CC25,Resultados!CL25)&lt;=1, "", _xlfn.STDEV.S(ABS(Resultados!I25),ABS(Resultados!R25),ABS(Resultados!AA25),ABS(Resultados!AJ25),ABS(Resultados!AS25),ABS(Resultados!BB25),ABS(Resultados!BK25),ABS(Resultados!BT25),ABS(Resultados!CC25),ABS(Resultados!CL25))/SQRT(COUNT(Resultados!I25,Resultados!R25,Resultados!AA25,Resultados!AJ25,Resultados!AS25,Resultados!BB25,Resultados!BK25,Resultados!BT25,Resultados!CC25,Resultados!CL25)))</f>
        <v>4.0043769941294521E-2</v>
      </c>
    </row>
    <row r="26" spans="1:9" x14ac:dyDescent="0.3">
      <c r="A26">
        <f>IF(COUNT(Resultados!A26,Resultados!J26,Resultados!S26,Resultados!AB26,Resultados!AK26,Resultados!AT26,Resultados!BC26,Resultados!BL26,Resultados!BU26,Resultados!CD26)&lt;=1, "", _xlfn.STDEV.S(ABS(Resultados!A26),ABS(Resultados!J26),ABS(Resultados!S26),ABS(Resultados!AB26),ABS(Resultados!AK26),ABS(Resultados!AT26),ABS(Resultados!BC26),ABS(Resultados!BL26),ABS(Resultados!BU26),ABS(Resultados!CD26))/SQRT(COUNT(Resultados!A26,Resultados!J26,Resultados!S26,Resultados!AB26,Resultados!AK26,Resultados!AT26,Resultados!BC26,Resultados!BL26,Resultados!BU26,Resultados!CD26)))</f>
        <v>0</v>
      </c>
      <c r="B26" t="str">
        <f>IF(COUNT(Resultados!B26,Resultados!K26,Resultados!T26,Resultados!AC26,Resultados!AL26,Resultados!AU26,Resultados!BD26,Resultados!BM26,Resultados!BV26,Resultados!CE26)&lt;=1, "", _xlfn.STDEV.S(ABS(Resultados!B26),ABS(Resultados!K26),ABS(Resultados!T26),ABS(Resultados!AC26),ABS(Resultados!AL26),ABS(Resultados!AU26),ABS(Resultados!BD26),ABS(Resultados!BM26),ABS(Resultados!BV26),ABS(Resultados!CE26))/SQRT(COUNT(Resultados!B26,Resultados!K26,Resultados!T26,Resultados!AC26,Resultados!AL26,Resultados!AU26,Resultados!BD26,Resultados!BM26,Resultados!BV26,Resultados!CE26)))</f>
        <v/>
      </c>
      <c r="C26">
        <f>IF(COUNT(Resultados!C26,Resultados!L26,Resultados!U26,Resultados!AD26,Resultados!AM26,Resultados!AV26,Resultados!BE26,Resultados!BN26,Resultados!BW26,Resultados!CF26)&lt;=1, "", _xlfn.STDEV.S(ABS(Resultados!C26),ABS(Resultados!L26),ABS(Resultados!U26),ABS(Resultados!AD26),ABS(Resultados!AM26),ABS(Resultados!AV26),ABS(Resultados!BE26),ABS(Resultados!BN26),ABS(Resultados!BW26),ABS(Resultados!CF26))/SQRT(COUNT(Resultados!C26,Resultados!L26,Resultados!U26,Resultados!AD26,Resultados!AM26,Resultados!AV26,Resultados!BE26,Resultados!BN26,Resultados!BW26,Resultados!CF26)))</f>
        <v>0.71569701845279621</v>
      </c>
      <c r="D26">
        <f>IF(COUNT(Resultados!D26,Resultados!M26,Resultados!V26,Resultados!AE26,Resultados!AN26,Resultados!AW26,Resultados!BF26,Resultados!BO26,Resultados!BX26,Resultados!CG26)&lt;=1, "", _xlfn.STDEV.S(ABS(Resultados!D26),ABS(Resultados!M26),ABS(Resultados!V26),ABS(Resultados!AE26),ABS(Resultados!AN26),ABS(Resultados!AW26),ABS(Resultados!BF26),ABS(Resultados!BO26),ABS(Resultados!BX26),ABS(Resultados!CG26))/SQRT(COUNT(Resultados!D26,Resultados!M26,Resultados!V26,Resultados!AE26,Resultados!AN26,Resultados!AW26,Resultados!BF26,Resultados!BO26,Resultados!BX26,Resultados!CG26)))</f>
        <v>1.8085015282763163E-3</v>
      </c>
      <c r="E26">
        <f>IF(COUNT(Resultados!E26,Resultados!N26,Resultados!W26,Resultados!AF26,Resultados!AO26,Resultados!AX26,Resultados!BG26,Resultados!BP26,Resultados!BY26,Resultados!CH26)&lt;=1, "", _xlfn.STDEV.S(ABS(Resultados!E26),ABS(Resultados!N26),ABS(Resultados!W26),ABS(Resultados!AF26),ABS(Resultados!AO26),ABS(Resultados!AX26),ABS(Resultados!BG26),ABS(Resultados!BP26),ABS(Resultados!BY26),ABS(Resultados!CH26))/SQRT(COUNT(Resultados!E26,Resultados!N26,Resultados!W26,Resultados!AF26,Resultados!AO26,Resultados!AX26,Resultados!BG26,Resultados!BP26,Resultados!BY26,Resultados!CH26)))</f>
        <v>0.11782290872812771</v>
      </c>
      <c r="F26">
        <f>IF(COUNT(Resultados!F26,Resultados!O26,Resultados!X26,Resultados!AG26,Resultados!AP26,Resultados!AY26,Resultados!BH26,Resultados!BQ26,Resultados!BZ26,Resultados!CI26)&lt;=1, "", _xlfn.STDEV.S(ABS(Resultados!F26),ABS(Resultados!O26),ABS(Resultados!X26),ABS(Resultados!AG26),ABS(Resultados!AP26),ABS(Resultados!AY26),ABS(Resultados!BH26),ABS(Resultados!BQ26),ABS(Resultados!BZ26),ABS(Resultados!CI26))/SQRT(COUNT(Resultados!F26,Resultados!O26,Resultados!X26,Resultados!AG26,Resultados!AP26,Resultados!AY26,Resultados!BH26,Resultados!BQ26,Resultados!BZ26,Resultados!CI26)))</f>
        <v>11.181394038299313</v>
      </c>
      <c r="G26">
        <f>IF(COUNT(Resultados!G26,Resultados!P26,Resultados!Y26,Resultados!AH26,Resultados!AQ26,Resultados!AZ26,Resultados!BI26,Resultados!BR26,Resultados!CA26,Resultados!CJ26)&lt;=1, "", _xlfn.STDEV.S(ABS(Resultados!G26),ABS(Resultados!P26),ABS(Resultados!Y26),ABS(Resultados!AH26),ABS(Resultados!AQ26),ABS(Resultados!AZ26),ABS(Resultados!BI26),ABS(Resultados!BR26),ABS(Resultados!CA26),ABS(Resultados!CJ26))/SQRT(COUNT(Resultados!G26,Resultados!P26,Resultados!Y26,Resultados!AH26,Resultados!AQ26,Resultados!AZ26,Resultados!BI26,Resultados!BR26,Resultados!CA26,Resultados!CJ26)))</f>
        <v>1.8503717077085941E-17</v>
      </c>
      <c r="H26">
        <f>IF(COUNT(Resultados!H26,Resultados!Q26,Resultados!Z26,Resultados!AI26,Resultados!AR26,Resultados!BA26,Resultados!BJ26,Resultados!BS26,Resultados!CB26,Resultados!CK26)&lt;=1, "", _xlfn.STDEV.S(ABS(Resultados!H26),ABS(Resultados!Q26),ABS(Resultados!Z26),ABS(Resultados!AI26),ABS(Resultados!AR26),ABS(Resultados!BA26),ABS(Resultados!BJ26),ABS(Resultados!BS26),ABS(Resultados!CB26),ABS(Resultados!CK26))/SQRT(COUNT(Resultados!H26,Resultados!Q26,Resultados!Z26,Resultados!AI26,Resultados!AR26,Resultados!BA26,Resultados!BJ26,Resultados!BS26,Resultados!CB26,Resultados!CK26)))</f>
        <v>1.8299635697648893E-3</v>
      </c>
      <c r="I26">
        <f>IF(COUNT(Resultados!I26,Resultados!R26,Resultados!AA26,Resultados!AJ26,Resultados!AS26,Resultados!BB26,Resultados!BK26,Resultados!BT26,Resultados!CC26,Resultados!CL26)&lt;=1, "", _xlfn.STDEV.S(ABS(Resultados!I26),ABS(Resultados!R26),ABS(Resultados!AA26),ABS(Resultados!AJ26),ABS(Resultados!AS26),ABS(Resultados!BB26),ABS(Resultados!BK26),ABS(Resultados!BT26),ABS(Resultados!CC26),ABS(Resultados!CL26))/SQRT(COUNT(Resultados!I26,Resultados!R26,Resultados!AA26,Resultados!AJ26,Resultados!AS26,Resultados!BB26,Resultados!BK26,Resultados!BT26,Resultados!CC26,Resultados!CL26)))</f>
        <v>4.0175282755000548E-2</v>
      </c>
    </row>
    <row r="27" spans="1:9" x14ac:dyDescent="0.3">
      <c r="A27">
        <f>IF(COUNT(Resultados!A27,Resultados!J27,Resultados!S27,Resultados!AB27,Resultados!AK27,Resultados!AT27,Resultados!BC27,Resultados!BL27,Resultados!BU27,Resultados!CD27)&lt;=1, "", _xlfn.STDEV.S(ABS(Resultados!A27),ABS(Resultados!J27),ABS(Resultados!S27),ABS(Resultados!AB27),ABS(Resultados!AK27),ABS(Resultados!AT27),ABS(Resultados!BC27),ABS(Resultados!BL27),ABS(Resultados!BU27),ABS(Resultados!CD27))/SQRT(COUNT(Resultados!A27,Resultados!J27,Resultados!S27,Resultados!AB27,Resultados!AK27,Resultados!AT27,Resultados!BC27,Resultados!BL27,Resultados!BU27,Resultados!CD27)))</f>
        <v>0</v>
      </c>
      <c r="B27" t="str">
        <f>IF(COUNT(Resultados!B27,Resultados!K27,Resultados!T27,Resultados!AC27,Resultados!AL27,Resultados!AU27,Resultados!BD27,Resultados!BM27,Resultados!BV27,Resultados!CE27)&lt;=1, "", _xlfn.STDEV.S(ABS(Resultados!B27),ABS(Resultados!K27),ABS(Resultados!T27),ABS(Resultados!AC27),ABS(Resultados!AL27),ABS(Resultados!AU27),ABS(Resultados!BD27),ABS(Resultados!BM27),ABS(Resultados!BV27),ABS(Resultados!CE27))/SQRT(COUNT(Resultados!B27,Resultados!K27,Resultados!T27,Resultados!AC27,Resultados!AL27,Resultados!AU27,Resultados!BD27,Resultados!BM27,Resultados!BV27,Resultados!CE27)))</f>
        <v/>
      </c>
      <c r="C27">
        <f>IF(COUNT(Resultados!C27,Resultados!L27,Resultados!U27,Resultados!AD27,Resultados!AM27,Resultados!AV27,Resultados!BE27,Resultados!BN27,Resultados!BW27,Resultados!CF27)&lt;=1, "", _xlfn.STDEV.S(ABS(Resultados!C27),ABS(Resultados!L27),ABS(Resultados!U27),ABS(Resultados!AD27),ABS(Resultados!AM27),ABS(Resultados!AV27),ABS(Resultados!BE27),ABS(Resultados!BN27),ABS(Resultados!BW27),ABS(Resultados!CF27))/SQRT(COUNT(Resultados!C27,Resultados!L27,Resultados!U27,Resultados!AD27,Resultados!AM27,Resultados!AV27,Resultados!BE27,Resultados!BN27,Resultados!BW27,Resultados!CF27)))</f>
        <v>0.71569701845279621</v>
      </c>
      <c r="D27">
        <f>IF(COUNT(Resultados!D27,Resultados!M27,Resultados!V27,Resultados!AE27,Resultados!AN27,Resultados!AW27,Resultados!BF27,Resultados!BO27,Resultados!BX27,Resultados!CG27)&lt;=1, "", _xlfn.STDEV.S(ABS(Resultados!D27),ABS(Resultados!M27),ABS(Resultados!V27),ABS(Resultados!AE27),ABS(Resultados!AN27),ABS(Resultados!AW27),ABS(Resultados!BF27),ABS(Resultados!BO27),ABS(Resultados!BX27),ABS(Resultados!CG27))/SQRT(COUNT(Resultados!D27,Resultados!M27,Resultados!V27,Resultados!AE27,Resultados!AN27,Resultados!AW27,Resultados!BF27,Resultados!BO27,Resultados!BX27,Resultados!CG27)))</f>
        <v>1.8335181725003113E-3</v>
      </c>
      <c r="E27">
        <f>IF(COUNT(Resultados!E27,Resultados!N27,Resultados!W27,Resultados!AF27,Resultados!AO27,Resultados!AX27,Resultados!BG27,Resultados!BP27,Resultados!BY27,Resultados!CH27)&lt;=1, "", _xlfn.STDEV.S(ABS(Resultados!E27),ABS(Resultados!N27),ABS(Resultados!W27),ABS(Resultados!AF27),ABS(Resultados!AO27),ABS(Resultados!AX27),ABS(Resultados!BG27),ABS(Resultados!BP27),ABS(Resultados!BY27),ABS(Resultados!CH27))/SQRT(COUNT(Resultados!E27,Resultados!N27,Resultados!W27,Resultados!AF27,Resultados!AO27,Resultados!AX27,Resultados!BG27,Resultados!BP27,Resultados!BY27,Resultados!CH27)))</f>
        <v>0.1222498147972309</v>
      </c>
      <c r="F27">
        <f>IF(COUNT(Resultados!F27,Resultados!O27,Resultados!X27,Resultados!AG27,Resultados!AP27,Resultados!AY27,Resultados!BH27,Resultados!BQ27,Resultados!BZ27,Resultados!CI27)&lt;=1, "", _xlfn.STDEV.S(ABS(Resultados!F27),ABS(Resultados!O27),ABS(Resultados!X27),ABS(Resultados!AG27),ABS(Resultados!AP27),ABS(Resultados!AY27),ABS(Resultados!BH27),ABS(Resultados!BQ27),ABS(Resultados!BZ27),ABS(Resultados!CI27))/SQRT(COUNT(Resultados!F27,Resultados!O27,Resultados!X27,Resultados!AG27,Resultados!AP27,Resultados!AY27,Resultados!BH27,Resultados!BQ27,Resultados!BZ27,Resultados!CI27)))</f>
        <v>11.60150742425721</v>
      </c>
      <c r="G27">
        <f>IF(COUNT(Resultados!G27,Resultados!P27,Resultados!Y27,Resultados!AH27,Resultados!AQ27,Resultados!AZ27,Resultados!BI27,Resultados!BR27,Resultados!CA27,Resultados!CJ27)&lt;=1, "", _xlfn.STDEV.S(ABS(Resultados!G27),ABS(Resultados!P27),ABS(Resultados!Y27),ABS(Resultados!AH27),ABS(Resultados!AQ27),ABS(Resultados!AZ27),ABS(Resultados!BI27),ABS(Resultados!BR27),ABS(Resultados!CA27),ABS(Resultados!CJ27))/SQRT(COUNT(Resultados!G27,Resultados!P27,Resultados!Y27,Resultados!AH27,Resultados!AQ27,Resultados!AZ27,Resultados!BI27,Resultados!BR27,Resultados!CA27,Resultados!CJ27)))</f>
        <v>1.8503717077085941E-17</v>
      </c>
      <c r="H27">
        <f>IF(COUNT(Resultados!H27,Resultados!Q27,Resultados!Z27,Resultados!AI27,Resultados!AR27,Resultados!BA27,Resultados!BJ27,Resultados!BS27,Resultados!CB27,Resultados!CK27)&lt;=1, "", _xlfn.STDEV.S(ABS(Resultados!H27),ABS(Resultados!Q27),ABS(Resultados!Z27),ABS(Resultados!AI27),ABS(Resultados!AR27),ABS(Resultados!BA27),ABS(Resultados!BJ27),ABS(Resultados!BS27),ABS(Resultados!CB27),ABS(Resultados!CK27))/SQRT(COUNT(Resultados!H27,Resultados!Q27,Resultados!Z27,Resultados!AI27,Resultados!AR27,Resultados!BA27,Resultados!BJ27,Resultados!BS27,Resultados!CB27,Resultados!CK27)))</f>
        <v>1.8949904719783926E-3</v>
      </c>
      <c r="I27">
        <f>IF(COUNT(Resultados!I27,Resultados!R27,Resultados!AA27,Resultados!AJ27,Resultados!AS27,Resultados!BB27,Resultados!BK27,Resultados!BT27,Resultados!CC27,Resultados!CL27)&lt;=1, "", _xlfn.STDEV.S(ABS(Resultados!I27),ABS(Resultados!R27),ABS(Resultados!AA27),ABS(Resultados!AJ27),ABS(Resultados!AS27),ABS(Resultados!BB27),ABS(Resultados!BK27),ABS(Resultados!BT27),ABS(Resultados!CC27),ABS(Resultados!CL27))/SQRT(COUNT(Resultados!I27,Resultados!R27,Resultados!AA27,Resultados!AJ27,Resultados!AS27,Resultados!BB27,Resultados!BK27,Resultados!BT27,Resultados!CC27,Resultados!CL27)))</f>
        <v>4.005859721846429E-2</v>
      </c>
    </row>
    <row r="28" spans="1:9" x14ac:dyDescent="0.3">
      <c r="A28">
        <f>IF(COUNT(Resultados!A28,Resultados!J28,Resultados!S28,Resultados!AB28,Resultados!AK28,Resultados!AT28,Resultados!BC28,Resultados!BL28,Resultados!BU28,Resultados!CD28)&lt;=1, "", _xlfn.STDEV.S(ABS(Resultados!A28),ABS(Resultados!J28),ABS(Resultados!S28),ABS(Resultados!AB28),ABS(Resultados!AK28),ABS(Resultados!AT28),ABS(Resultados!BC28),ABS(Resultados!BL28),ABS(Resultados!BU28),ABS(Resultados!CD28))/SQRT(COUNT(Resultados!A28,Resultados!J28,Resultados!S28,Resultados!AB28,Resultados!AK28,Resultados!AT28,Resultados!BC28,Resultados!BL28,Resultados!BU28,Resultados!CD28)))</f>
        <v>0</v>
      </c>
      <c r="B28" t="str">
        <f>IF(COUNT(Resultados!B28,Resultados!K28,Resultados!T28,Resultados!AC28,Resultados!AL28,Resultados!AU28,Resultados!BD28,Resultados!BM28,Resultados!BV28,Resultados!CE28)&lt;=1, "", _xlfn.STDEV.S(ABS(Resultados!B28),ABS(Resultados!K28),ABS(Resultados!T28),ABS(Resultados!AC28),ABS(Resultados!AL28),ABS(Resultados!AU28),ABS(Resultados!BD28),ABS(Resultados!BM28),ABS(Resultados!BV28),ABS(Resultados!CE28))/SQRT(COUNT(Resultados!B28,Resultados!K28,Resultados!T28,Resultados!AC28,Resultados!AL28,Resultados!AU28,Resultados!BD28,Resultados!BM28,Resultados!BV28,Resultados!CE28)))</f>
        <v/>
      </c>
      <c r="C28">
        <f>IF(COUNT(Resultados!C28,Resultados!L28,Resultados!U28,Resultados!AD28,Resultados!AM28,Resultados!AV28,Resultados!BE28,Resultados!BN28,Resultados!BW28,Resultados!CF28)&lt;=1, "", _xlfn.STDEV.S(ABS(Resultados!C28),ABS(Resultados!L28),ABS(Resultados!U28),ABS(Resultados!AD28),ABS(Resultados!AM28),ABS(Resultados!AV28),ABS(Resultados!BE28),ABS(Resultados!BN28),ABS(Resultados!BW28),ABS(Resultados!CF28))/SQRT(COUNT(Resultados!C28,Resultados!L28,Resultados!U28,Resultados!AD28,Resultados!AM28,Resultados!AV28,Resultados!BE28,Resultados!BN28,Resultados!BW28,Resultados!CF28)))</f>
        <v>0.71569701845279621</v>
      </c>
      <c r="D28">
        <f>IF(COUNT(Resultados!D28,Resultados!M28,Resultados!V28,Resultados!AE28,Resultados!AN28,Resultados!AW28,Resultados!BF28,Resultados!BO28,Resultados!BX28,Resultados!CG28)&lt;=1, "", _xlfn.STDEV.S(ABS(Resultados!D28),ABS(Resultados!M28),ABS(Resultados!V28),ABS(Resultados!AE28),ABS(Resultados!AN28),ABS(Resultados!AW28),ABS(Resultados!BF28),ABS(Resultados!BO28),ABS(Resultados!BX28),ABS(Resultados!CG28))/SQRT(COUNT(Resultados!D28,Resultados!M28,Resultados!V28,Resultados!AE28,Resultados!AN28,Resultados!AW28,Resultados!BF28,Resultados!BO28,Resultados!BX28,Resultados!CG28)))</f>
        <v>1.8986574203894732E-3</v>
      </c>
      <c r="E28">
        <f>IF(COUNT(Resultados!E28,Resultados!N28,Resultados!W28,Resultados!AF28,Resultados!AO28,Resultados!AX28,Resultados!BG28,Resultados!BP28,Resultados!BY28,Resultados!CH28)&lt;=1, "", _xlfn.STDEV.S(ABS(Resultados!E28),ABS(Resultados!N28),ABS(Resultados!W28),ABS(Resultados!AF28),ABS(Resultados!AO28),ABS(Resultados!AX28),ABS(Resultados!BG28),ABS(Resultados!BP28),ABS(Resultados!BY28),ABS(Resultados!CH28))/SQRT(COUNT(Resultados!E28,Resultados!N28,Resultados!W28,Resultados!AF28,Resultados!AO28,Resultados!AX28,Resultados!BG28,Resultados!BP28,Resultados!BY28,Resultados!CH28)))</f>
        <v>0.12624255172962232</v>
      </c>
      <c r="F28">
        <f>IF(COUNT(Resultados!F28,Resultados!O28,Resultados!X28,Resultados!AG28,Resultados!AP28,Resultados!AY28,Resultados!BH28,Resultados!BQ28,Resultados!BZ28,Resultados!CI28)&lt;=1, "", _xlfn.STDEV.S(ABS(Resultados!F28),ABS(Resultados!O28),ABS(Resultados!X28),ABS(Resultados!AG28),ABS(Resultados!AP28),ABS(Resultados!AY28),ABS(Resultados!BH28),ABS(Resultados!BQ28),ABS(Resultados!BZ28),ABS(Resultados!CI28))/SQRT(COUNT(Resultados!F28,Resultados!O28,Resultados!X28,Resultados!AG28,Resultados!AP28,Resultados!AY28,Resultados!BH28,Resultados!BQ28,Resultados!BZ28,Resultados!CI28)))</f>
        <v>11.980418159141157</v>
      </c>
      <c r="G28">
        <f>IF(COUNT(Resultados!G28,Resultados!P28,Resultados!Y28,Resultados!AH28,Resultados!AQ28,Resultados!AZ28,Resultados!BI28,Resultados!BR28,Resultados!CA28,Resultados!CJ28)&lt;=1, "", _xlfn.STDEV.S(ABS(Resultados!G28),ABS(Resultados!P28),ABS(Resultados!Y28),ABS(Resultados!AH28),ABS(Resultados!AQ28),ABS(Resultados!AZ28),ABS(Resultados!BI28),ABS(Resultados!BR28),ABS(Resultados!CA28),ABS(Resultados!CJ28))/SQRT(COUNT(Resultados!G28,Resultados!P28,Resultados!Y28,Resultados!AH28,Resultados!AQ28,Resultados!AZ28,Resultados!BI28,Resultados!BR28,Resultados!CA28,Resultados!CJ28)))</f>
        <v>1.8503717077085941E-17</v>
      </c>
      <c r="H28">
        <f>IF(COUNT(Resultados!H28,Resultados!Q28,Resultados!Z28,Resultados!AI28,Resultados!AR28,Resultados!BA28,Resultados!BJ28,Resultados!BS28,Resultados!CB28,Resultados!CK28)&lt;=1, "", _xlfn.STDEV.S(ABS(Resultados!H28),ABS(Resultados!Q28),ABS(Resultados!Z28),ABS(Resultados!AI28),ABS(Resultados!AR28),ABS(Resultados!BA28),ABS(Resultados!BJ28),ABS(Resultados!BS28),ABS(Resultados!CB28),ABS(Resultados!CK28))/SQRT(COUNT(Resultados!H28,Resultados!Q28,Resultados!Z28,Resultados!AI28,Resultados!AR28,Resultados!BA28,Resultados!BJ28,Resultados!BS28,Resultados!CB28,Resultados!CK28)))</f>
        <v>1.9638652363812201E-3</v>
      </c>
      <c r="I28">
        <f>IF(COUNT(Resultados!I28,Resultados!R28,Resultados!AA28,Resultados!AJ28,Resultados!AS28,Resultados!BB28,Resultados!BK28,Resultados!BT28,Resultados!CC28,Resultados!CL28)&lt;=1, "", _xlfn.STDEV.S(ABS(Resultados!I28),ABS(Resultados!R28),ABS(Resultados!AA28),ABS(Resultados!AJ28),ABS(Resultados!AS28),ABS(Resultados!BB28),ABS(Resultados!BK28),ABS(Resultados!BT28),ABS(Resultados!CC28),ABS(Resultados!CL28))/SQRT(COUNT(Resultados!I28,Resultados!R28,Resultados!AA28,Resultados!AJ28,Resultados!AS28,Resultados!BB28,Resultados!BK28,Resultados!BT28,Resultados!CC28,Resultados!CL28)))</f>
        <v>4.0172641879212358E-2</v>
      </c>
    </row>
    <row r="29" spans="1:9" x14ac:dyDescent="0.3">
      <c r="A29">
        <f>IF(COUNT(Resultados!A29,Resultados!J29,Resultados!S29,Resultados!AB29,Resultados!AK29,Resultados!AT29,Resultados!BC29,Resultados!BL29,Resultados!BU29,Resultados!CD29)&lt;=1, "", _xlfn.STDEV.S(ABS(Resultados!A29),ABS(Resultados!J29),ABS(Resultados!S29),ABS(Resultados!AB29),ABS(Resultados!AK29),ABS(Resultados!AT29),ABS(Resultados!BC29),ABS(Resultados!BL29),ABS(Resultados!BU29),ABS(Resultados!CD29))/SQRT(COUNT(Resultados!A29,Resultados!J29,Resultados!S29,Resultados!AB29,Resultados!AK29,Resultados!AT29,Resultados!BC29,Resultados!BL29,Resultados!BU29,Resultados!CD29)))</f>
        <v>0</v>
      </c>
      <c r="B29" t="str">
        <f>IF(COUNT(Resultados!B29,Resultados!K29,Resultados!T29,Resultados!AC29,Resultados!AL29,Resultados!AU29,Resultados!BD29,Resultados!BM29,Resultados!BV29,Resultados!CE29)&lt;=1, "", _xlfn.STDEV.S(ABS(Resultados!B29),ABS(Resultados!K29),ABS(Resultados!T29),ABS(Resultados!AC29),ABS(Resultados!AL29),ABS(Resultados!AU29),ABS(Resultados!BD29),ABS(Resultados!BM29),ABS(Resultados!BV29),ABS(Resultados!CE29))/SQRT(COUNT(Resultados!B29,Resultados!K29,Resultados!T29,Resultados!AC29,Resultados!AL29,Resultados!AU29,Resultados!BD29,Resultados!BM29,Resultados!BV29,Resultados!CE29)))</f>
        <v/>
      </c>
      <c r="C29">
        <f>IF(COUNT(Resultados!C29,Resultados!L29,Resultados!U29,Resultados!AD29,Resultados!AM29,Resultados!AV29,Resultados!BE29,Resultados!BN29,Resultados!BW29,Resultados!CF29)&lt;=1, "", _xlfn.STDEV.S(ABS(Resultados!C29),ABS(Resultados!L29),ABS(Resultados!U29),ABS(Resultados!AD29),ABS(Resultados!AM29),ABS(Resultados!AV29),ABS(Resultados!BE29),ABS(Resultados!BN29),ABS(Resultados!BW29),ABS(Resultados!CF29))/SQRT(COUNT(Resultados!C29,Resultados!L29,Resultados!U29,Resultados!AD29,Resultados!AM29,Resultados!AV29,Resultados!BE29,Resultados!BN29,Resultados!BW29,Resultados!CF29)))</f>
        <v>0.71569701845279621</v>
      </c>
      <c r="D29">
        <f>IF(COUNT(Resultados!D29,Resultados!M29,Resultados!V29,Resultados!AE29,Resultados!AN29,Resultados!AW29,Resultados!BF29,Resultados!BO29,Resultados!BX29,Resultados!CG29)&lt;=1, "", _xlfn.STDEV.S(ABS(Resultados!D29),ABS(Resultados!M29),ABS(Resultados!V29),ABS(Resultados!AE29),ABS(Resultados!AN29),ABS(Resultados!AW29),ABS(Resultados!BF29),ABS(Resultados!BO29),ABS(Resultados!BX29),ABS(Resultados!CG29))/SQRT(COUNT(Resultados!D29,Resultados!M29,Resultados!V29,Resultados!AE29,Resultados!AN29,Resultados!AW29,Resultados!BF29,Resultados!BO29,Resultados!BX29,Resultados!CG29)))</f>
        <v>1.9706992554815537E-3</v>
      </c>
      <c r="E29">
        <f>IF(COUNT(Resultados!E29,Resultados!N29,Resultados!W29,Resultados!AF29,Resultados!AO29,Resultados!AX29,Resultados!BG29,Resultados!BP29,Resultados!BY29,Resultados!CH29)&lt;=1, "", _xlfn.STDEV.S(ABS(Resultados!E29),ABS(Resultados!N29),ABS(Resultados!W29),ABS(Resultados!AF29),ABS(Resultados!AO29),ABS(Resultados!AX29),ABS(Resultados!BG29),ABS(Resultados!BP29),ABS(Resultados!BY29),ABS(Resultados!CH29))/SQRT(COUNT(Resultados!E29,Resultados!N29,Resultados!W29,Resultados!AF29,Resultados!AO29,Resultados!AX29,Resultados!BG29,Resultados!BP29,Resultados!BY29,Resultados!CH29)))</f>
        <v>0.12999693062115883</v>
      </c>
      <c r="F29">
        <f>IF(COUNT(Resultados!F29,Resultados!O29,Resultados!X29,Resultados!AG29,Resultados!AP29,Resultados!AY29,Resultados!BH29,Resultados!BQ29,Resultados!BZ29,Resultados!CI29)&lt;=1, "", _xlfn.STDEV.S(ABS(Resultados!F29),ABS(Resultados!O29),ABS(Resultados!X29),ABS(Resultados!AG29),ABS(Resultados!AP29),ABS(Resultados!AY29),ABS(Resultados!BH29),ABS(Resultados!BQ29),ABS(Resultados!BZ29),ABS(Resultados!CI29))/SQRT(COUNT(Resultados!F29,Resultados!O29,Resultados!X29,Resultados!AG29,Resultados!AP29,Resultados!AY29,Resultados!BH29,Resultados!BQ29,Resultados!BZ29,Resultados!CI29)))</f>
        <v>12.336708715947976</v>
      </c>
      <c r="G29">
        <f>IF(COUNT(Resultados!G29,Resultados!P29,Resultados!Y29,Resultados!AH29,Resultados!AQ29,Resultados!AZ29,Resultados!BI29,Resultados!BR29,Resultados!CA29,Resultados!CJ29)&lt;=1, "", _xlfn.STDEV.S(ABS(Resultados!G29),ABS(Resultados!P29),ABS(Resultados!Y29),ABS(Resultados!AH29),ABS(Resultados!AQ29),ABS(Resultados!AZ29),ABS(Resultados!BI29),ABS(Resultados!BR29),ABS(Resultados!CA29),ABS(Resultados!CJ29))/SQRT(COUNT(Resultados!G29,Resultados!P29,Resultados!Y29,Resultados!AH29,Resultados!AQ29,Resultados!AZ29,Resultados!BI29,Resultados!BR29,Resultados!CA29,Resultados!CJ29)))</f>
        <v>1.8503717077085941E-17</v>
      </c>
      <c r="H29">
        <f>IF(COUNT(Resultados!H29,Resultados!Q29,Resultados!Z29,Resultados!AI29,Resultados!AR29,Resultados!BA29,Resultados!BJ29,Resultados!BS29,Resultados!CB29,Resultados!CK29)&lt;=1, "", _xlfn.STDEV.S(ABS(Resultados!H29),ABS(Resultados!Q29),ABS(Resultados!Z29),ABS(Resultados!AI29),ABS(Resultados!AR29),ABS(Resultados!BA29),ABS(Resultados!BJ29),ABS(Resultados!BS29),ABS(Resultados!CB29),ABS(Resultados!CK29))/SQRT(COUNT(Resultados!H29,Resultados!Q29,Resultados!Z29,Resultados!AI29,Resultados!AR29,Resultados!BA29,Resultados!BJ29,Resultados!BS29,Resultados!CB29,Resultados!CK29)))</f>
        <v>2.0203437551290326E-3</v>
      </c>
      <c r="I29">
        <f>IF(COUNT(Resultados!I29,Resultados!R29,Resultados!AA29,Resultados!AJ29,Resultados!AS29,Resultados!BB29,Resultados!BK29,Resultados!BT29,Resultados!CC29,Resultados!CL29)&lt;=1, "", _xlfn.STDEV.S(ABS(Resultados!I29),ABS(Resultados!R29),ABS(Resultados!AA29),ABS(Resultados!AJ29),ABS(Resultados!AS29),ABS(Resultados!BB29),ABS(Resultados!BK29),ABS(Resultados!BT29),ABS(Resultados!CC29),ABS(Resultados!CL29))/SQRT(COUNT(Resultados!I29,Resultados!R29,Resultados!AA29,Resultados!AJ29,Resultados!AS29,Resultados!BB29,Resultados!BK29,Resultados!BT29,Resultados!CC29,Resultados!CL29)))</f>
        <v>4.02078660076471E-2</v>
      </c>
    </row>
    <row r="30" spans="1:9" x14ac:dyDescent="0.3">
      <c r="A30">
        <f>IF(COUNT(Resultados!A30,Resultados!J30,Resultados!S30,Resultados!AB30,Resultados!AK30,Resultados!AT30,Resultados!BC30,Resultados!BL30,Resultados!BU30,Resultados!CD30)&lt;=1, "", _xlfn.STDEV.S(ABS(Resultados!A30),ABS(Resultados!J30),ABS(Resultados!S30),ABS(Resultados!AB30),ABS(Resultados!AK30),ABS(Resultados!AT30),ABS(Resultados!BC30),ABS(Resultados!BL30),ABS(Resultados!BU30),ABS(Resultados!CD30))/SQRT(COUNT(Resultados!A30,Resultados!J30,Resultados!S30,Resultados!AB30,Resultados!AK30,Resultados!AT30,Resultados!BC30,Resultados!BL30,Resultados!BU30,Resultados!CD30)))</f>
        <v>0</v>
      </c>
      <c r="B30" t="str">
        <f>IF(COUNT(Resultados!B30,Resultados!K30,Resultados!T30,Resultados!AC30,Resultados!AL30,Resultados!AU30,Resultados!BD30,Resultados!BM30,Resultados!BV30,Resultados!CE30)&lt;=1, "", _xlfn.STDEV.S(ABS(Resultados!B30),ABS(Resultados!K30),ABS(Resultados!T30),ABS(Resultados!AC30),ABS(Resultados!AL30),ABS(Resultados!AU30),ABS(Resultados!BD30),ABS(Resultados!BM30),ABS(Resultados!BV30),ABS(Resultados!CE30))/SQRT(COUNT(Resultados!B30,Resultados!K30,Resultados!T30,Resultados!AC30,Resultados!AL30,Resultados!AU30,Resultados!BD30,Resultados!BM30,Resultados!BV30,Resultados!CE30)))</f>
        <v/>
      </c>
      <c r="C30">
        <f>IF(COUNT(Resultados!C30,Resultados!L30,Resultados!U30,Resultados!AD30,Resultados!AM30,Resultados!AV30,Resultados!BE30,Resultados!BN30,Resultados!BW30,Resultados!CF30)&lt;=1, "", _xlfn.STDEV.S(ABS(Resultados!C30),ABS(Resultados!L30),ABS(Resultados!U30),ABS(Resultados!AD30),ABS(Resultados!AM30),ABS(Resultados!AV30),ABS(Resultados!BE30),ABS(Resultados!BN30),ABS(Resultados!BW30),ABS(Resultados!CF30))/SQRT(COUNT(Resultados!C30,Resultados!L30,Resultados!U30,Resultados!AD30,Resultados!AM30,Resultados!AV30,Resultados!BE30,Resultados!BN30,Resultados!BW30,Resultados!CF30)))</f>
        <v>0.71569701845279621</v>
      </c>
      <c r="D30">
        <f>IF(COUNT(Resultados!D30,Resultados!M30,Resultados!V30,Resultados!AE30,Resultados!AN30,Resultados!AW30,Resultados!BF30,Resultados!BO30,Resultados!BX30,Resultados!CG30)&lt;=1, "", _xlfn.STDEV.S(ABS(Resultados!D30),ABS(Resultados!M30),ABS(Resultados!V30),ABS(Resultados!AE30),ABS(Resultados!AN30),ABS(Resultados!AW30),ABS(Resultados!BF30),ABS(Resultados!BO30),ABS(Resultados!BX30),ABS(Resultados!CG30))/SQRT(COUNT(Resultados!D30,Resultados!M30,Resultados!V30,Resultados!AE30,Resultados!AN30,Resultados!AW30,Resultados!BF30,Resultados!BO30,Resultados!BX30,Resultados!CG30)))</f>
        <v>2.0496205610903806E-3</v>
      </c>
      <c r="E30">
        <f>IF(COUNT(Resultados!E30,Resultados!N30,Resultados!W30,Resultados!AF30,Resultados!AO30,Resultados!AX30,Resultados!BG30,Resultados!BP30,Resultados!BY30,Resultados!CH30)&lt;=1, "", _xlfn.STDEV.S(ABS(Resultados!E30),ABS(Resultados!N30),ABS(Resultados!W30),ABS(Resultados!AF30),ABS(Resultados!AO30),ABS(Resultados!AX30),ABS(Resultados!BG30),ABS(Resultados!BP30),ABS(Resultados!BY30),ABS(Resultados!CH30))/SQRT(COUNT(Resultados!E30,Resultados!N30,Resultados!W30,Resultados!AF30,Resultados!AO30,Resultados!AX30,Resultados!BG30,Resultados!BP30,Resultados!BY30,Resultados!CH30)))</f>
        <v>0.13331910399495855</v>
      </c>
      <c r="F30">
        <f>IF(COUNT(Resultados!F30,Resultados!O30,Resultados!X30,Resultados!AG30,Resultados!AP30,Resultados!AY30,Resultados!BH30,Resultados!BQ30,Resultados!BZ30,Resultados!CI30)&lt;=1, "", _xlfn.STDEV.S(ABS(Resultados!F30),ABS(Resultados!O30),ABS(Resultados!X30),ABS(Resultados!AG30),ABS(Resultados!AP30),ABS(Resultados!AY30),ABS(Resultados!BH30),ABS(Resultados!BQ30),ABS(Resultados!BZ30),ABS(Resultados!CI30))/SQRT(COUNT(Resultados!F30,Resultados!O30,Resultados!X30,Resultados!AG30,Resultados!AP30,Resultados!AY30,Resultados!BH30,Resultados!BQ30,Resultados!BZ30,Resultados!CI30)))</f>
        <v>12.651982969121571</v>
      </c>
      <c r="G30">
        <f>IF(COUNT(Resultados!G30,Resultados!P30,Resultados!Y30,Resultados!AH30,Resultados!AQ30,Resultados!AZ30,Resultados!BI30,Resultados!BR30,Resultados!CA30,Resultados!CJ30)&lt;=1, "", _xlfn.STDEV.S(ABS(Resultados!G30),ABS(Resultados!P30),ABS(Resultados!Y30),ABS(Resultados!AH30),ABS(Resultados!AQ30),ABS(Resultados!AZ30),ABS(Resultados!BI30),ABS(Resultados!BR30),ABS(Resultados!CA30),ABS(Resultados!CJ30))/SQRT(COUNT(Resultados!G30,Resultados!P30,Resultados!Y30,Resultados!AH30,Resultados!AQ30,Resultados!AZ30,Resultados!BI30,Resultados!BR30,Resultados!CA30,Resultados!CJ30)))</f>
        <v>1.8503717077085941E-17</v>
      </c>
      <c r="H30">
        <f>IF(COUNT(Resultados!H30,Resultados!Q30,Resultados!Z30,Resultados!AI30,Resultados!AR30,Resultados!BA30,Resultados!BJ30,Resultados!BS30,Resultados!CB30,Resultados!CK30)&lt;=1, "", _xlfn.STDEV.S(ABS(Resultados!H30),ABS(Resultados!Q30),ABS(Resultados!Z30),ABS(Resultados!AI30),ABS(Resultados!AR30),ABS(Resultados!BA30),ABS(Resultados!BJ30),ABS(Resultados!BS30),ABS(Resultados!CB30),ABS(Resultados!CK30))/SQRT(COUNT(Resultados!H30,Resultados!Q30,Resultados!Z30,Resultados!AI30,Resultados!AR30,Resultados!BA30,Resultados!BJ30,Resultados!BS30,Resultados!CB30,Resultados!CK30)))</f>
        <v>2.0700402572574944E-3</v>
      </c>
      <c r="I30">
        <f>IF(COUNT(Resultados!I30,Resultados!R30,Resultados!AA30,Resultados!AJ30,Resultados!AS30,Resultados!BB30,Resultados!BK30,Resultados!BT30,Resultados!CC30,Resultados!CL30)&lt;=1, "", _xlfn.STDEV.S(ABS(Resultados!I30),ABS(Resultados!R30),ABS(Resultados!AA30),ABS(Resultados!AJ30),ABS(Resultados!AS30),ABS(Resultados!BB30),ABS(Resultados!BK30),ABS(Resultados!BT30),ABS(Resultados!CC30),ABS(Resultados!CL30))/SQRT(COUNT(Resultados!I30,Resultados!R30,Resultados!AA30,Resultados!AJ30,Resultados!AS30,Resultados!BB30,Resultados!BK30,Resultados!BT30,Resultados!CC30,Resultados!CL30)))</f>
        <v>4.0534975295691555E-2</v>
      </c>
    </row>
    <row r="31" spans="1:9" x14ac:dyDescent="0.3">
      <c r="A31">
        <f>IF(COUNT(Resultados!A31,Resultados!J31,Resultados!S31,Resultados!AB31,Resultados!AK31,Resultados!AT31,Resultados!BC31,Resultados!BL31,Resultados!BU31,Resultados!CD31)&lt;=1, "", _xlfn.STDEV.S(ABS(Resultados!A31),ABS(Resultados!J31),ABS(Resultados!S31),ABS(Resultados!AB31),ABS(Resultados!AK31),ABS(Resultados!AT31),ABS(Resultados!BC31),ABS(Resultados!BL31),ABS(Resultados!BU31),ABS(Resultados!CD31))/SQRT(COUNT(Resultados!A31,Resultados!J31,Resultados!S31,Resultados!AB31,Resultados!AK31,Resultados!AT31,Resultados!BC31,Resultados!BL31,Resultados!BU31,Resultados!CD31)))</f>
        <v>0</v>
      </c>
      <c r="B31" t="str">
        <f>IF(COUNT(Resultados!B31,Resultados!K31,Resultados!T31,Resultados!AC31,Resultados!AL31,Resultados!AU31,Resultados!BD31,Resultados!BM31,Resultados!BV31,Resultados!CE31)&lt;=1, "", _xlfn.STDEV.S(ABS(Resultados!B31),ABS(Resultados!K31),ABS(Resultados!T31),ABS(Resultados!AC31),ABS(Resultados!AL31),ABS(Resultados!AU31),ABS(Resultados!BD31),ABS(Resultados!BM31),ABS(Resultados!BV31),ABS(Resultados!CE31))/SQRT(COUNT(Resultados!B31,Resultados!K31,Resultados!T31,Resultados!AC31,Resultados!AL31,Resultados!AU31,Resultados!BD31,Resultados!BM31,Resultados!BV31,Resultados!CE31)))</f>
        <v/>
      </c>
      <c r="C31">
        <f>IF(COUNT(Resultados!C31,Resultados!L31,Resultados!U31,Resultados!AD31,Resultados!AM31,Resultados!AV31,Resultados!BE31,Resultados!BN31,Resultados!BW31,Resultados!CF31)&lt;=1, "", _xlfn.STDEV.S(ABS(Resultados!C31),ABS(Resultados!L31),ABS(Resultados!U31),ABS(Resultados!AD31),ABS(Resultados!AM31),ABS(Resultados!AV31),ABS(Resultados!BE31),ABS(Resultados!BN31),ABS(Resultados!BW31),ABS(Resultados!CF31))/SQRT(COUNT(Resultados!C31,Resultados!L31,Resultados!U31,Resultados!AD31,Resultados!AM31,Resultados!AV31,Resultados!BE31,Resultados!BN31,Resultados!BW31,Resultados!CF31)))</f>
        <v>0.71569701845279621</v>
      </c>
      <c r="D31">
        <f>IF(COUNT(Resultados!D31,Resultados!M31,Resultados!V31,Resultados!AE31,Resultados!AN31,Resultados!AW31,Resultados!BF31,Resultados!BO31,Resultados!BX31,Resultados!CG31)&lt;=1, "", _xlfn.STDEV.S(ABS(Resultados!D31),ABS(Resultados!M31),ABS(Resultados!V31),ABS(Resultados!AE31),ABS(Resultados!AN31),ABS(Resultados!AW31),ABS(Resultados!BF31),ABS(Resultados!BO31),ABS(Resultados!BX31),ABS(Resultados!CG31))/SQRT(COUNT(Resultados!D31,Resultados!M31,Resultados!V31,Resultados!AE31,Resultados!AN31,Resultados!AW31,Resultados!BF31,Resultados!BO31,Resultados!BX31,Resultados!CG31)))</f>
        <v>2.0389567048970042E-3</v>
      </c>
      <c r="E31">
        <f>IF(COUNT(Resultados!E31,Resultados!N31,Resultados!W31,Resultados!AF31,Resultados!AO31,Resultados!AX31,Resultados!BG31,Resultados!BP31,Resultados!BY31,Resultados!CH31)&lt;=1, "", _xlfn.STDEV.S(ABS(Resultados!E31),ABS(Resultados!N31),ABS(Resultados!W31),ABS(Resultados!AF31),ABS(Resultados!AO31),ABS(Resultados!AX31),ABS(Resultados!BG31),ABS(Resultados!BP31),ABS(Resultados!BY31),ABS(Resultados!CH31))/SQRT(COUNT(Resultados!E31,Resultados!N31,Resultados!W31,Resultados!AF31,Resultados!AO31,Resultados!AX31,Resultados!BG31,Resultados!BP31,Resultados!BY31,Resultados!CH31)))</f>
        <v>0.13648712146458702</v>
      </c>
      <c r="F31">
        <f>IF(COUNT(Resultados!F31,Resultados!O31,Resultados!X31,Resultados!AG31,Resultados!AP31,Resultados!AY31,Resultados!BH31,Resultados!BQ31,Resultados!BZ31,Resultados!CI31)&lt;=1, "", _xlfn.STDEV.S(ABS(Resultados!F31),ABS(Resultados!O31),ABS(Resultados!X31),ABS(Resultados!AG31),ABS(Resultados!AP31),ABS(Resultados!AY31),ABS(Resultados!BH31),ABS(Resultados!BQ31),ABS(Resultados!BZ31),ABS(Resultados!CI31))/SQRT(COUNT(Resultados!F31,Resultados!O31,Resultados!X31,Resultados!AG31,Resultados!AP31,Resultados!AY31,Resultados!BH31,Resultados!BQ31,Resultados!BZ31,Resultados!CI31)))</f>
        <v>12.952627826989309</v>
      </c>
      <c r="G31">
        <f>IF(COUNT(Resultados!G31,Resultados!P31,Resultados!Y31,Resultados!AH31,Resultados!AQ31,Resultados!AZ31,Resultados!BI31,Resultados!BR31,Resultados!CA31,Resultados!CJ31)&lt;=1, "", _xlfn.STDEV.S(ABS(Resultados!G31),ABS(Resultados!P31),ABS(Resultados!Y31),ABS(Resultados!AH31),ABS(Resultados!AQ31),ABS(Resultados!AZ31),ABS(Resultados!BI31),ABS(Resultados!BR31),ABS(Resultados!CA31),ABS(Resultados!CJ31))/SQRT(COUNT(Resultados!G31,Resultados!P31,Resultados!Y31,Resultados!AH31,Resultados!AQ31,Resultados!AZ31,Resultados!BI31,Resultados!BR31,Resultados!CA31,Resultados!CJ31)))</f>
        <v>1.8503717077085941E-17</v>
      </c>
      <c r="H31">
        <f>IF(COUNT(Resultados!H31,Resultados!Q31,Resultados!Z31,Resultados!AI31,Resultados!AR31,Resultados!BA31,Resultados!BJ31,Resultados!BS31,Resultados!CB31,Resultados!CK31)&lt;=1, "", _xlfn.STDEV.S(ABS(Resultados!H31),ABS(Resultados!Q31),ABS(Resultados!Z31),ABS(Resultados!AI31),ABS(Resultados!AR31),ABS(Resultados!BA31),ABS(Resultados!BJ31),ABS(Resultados!BS31),ABS(Resultados!CB31),ABS(Resultados!CK31))/SQRT(COUNT(Resultados!H31,Resultados!Q31,Resultados!Z31,Resultados!AI31,Resultados!AR31,Resultados!BA31,Resultados!BJ31,Resultados!BS31,Resultados!CB31,Resultados!CK31)))</f>
        <v>2.1207152881359023E-3</v>
      </c>
      <c r="I31">
        <f>IF(COUNT(Resultados!I31,Resultados!R31,Resultados!AA31,Resultados!AJ31,Resultados!AS31,Resultados!BB31,Resultados!BK31,Resultados!BT31,Resultados!CC31,Resultados!CL31)&lt;=1, "", _xlfn.STDEV.S(ABS(Resultados!I31),ABS(Resultados!R31),ABS(Resultados!AA31),ABS(Resultados!AJ31),ABS(Resultados!AS31),ABS(Resultados!BB31),ABS(Resultados!BK31),ABS(Resultados!BT31),ABS(Resultados!CC31),ABS(Resultados!CL31))/SQRT(COUNT(Resultados!I31,Resultados!R31,Resultados!AA31,Resultados!AJ31,Resultados!AS31,Resultados!BB31,Resultados!BK31,Resultados!BT31,Resultados!CC31,Resultados!CL31)))</f>
        <v>4.0231969184267038E-2</v>
      </c>
    </row>
    <row r="32" spans="1:9" x14ac:dyDescent="0.3">
      <c r="A32">
        <f>IF(COUNT(Resultados!A32,Resultados!J32,Resultados!S32,Resultados!AB32,Resultados!AK32,Resultados!AT32,Resultados!BC32,Resultados!BL32,Resultados!BU32,Resultados!CD32)&lt;=1, "", _xlfn.STDEV.S(ABS(Resultados!A32),ABS(Resultados!J32),ABS(Resultados!S32),ABS(Resultados!AB32),ABS(Resultados!AK32),ABS(Resultados!AT32),ABS(Resultados!BC32),ABS(Resultados!BL32),ABS(Resultados!BU32),ABS(Resultados!CD32))/SQRT(COUNT(Resultados!A32,Resultados!J32,Resultados!S32,Resultados!AB32,Resultados!AK32,Resultados!AT32,Resultados!BC32,Resultados!BL32,Resultados!BU32,Resultados!CD32)))</f>
        <v>0</v>
      </c>
      <c r="B32" t="str">
        <f>IF(COUNT(Resultados!B32,Resultados!K32,Resultados!T32,Resultados!AC32,Resultados!AL32,Resultados!AU32,Resultados!BD32,Resultados!BM32,Resultados!BV32,Resultados!CE32)&lt;=1, "", _xlfn.STDEV.S(ABS(Resultados!B32),ABS(Resultados!K32),ABS(Resultados!T32),ABS(Resultados!AC32),ABS(Resultados!AL32),ABS(Resultados!AU32),ABS(Resultados!BD32),ABS(Resultados!BM32),ABS(Resultados!BV32),ABS(Resultados!CE32))/SQRT(COUNT(Resultados!B32,Resultados!K32,Resultados!T32,Resultados!AC32,Resultados!AL32,Resultados!AU32,Resultados!BD32,Resultados!BM32,Resultados!BV32,Resultados!CE32)))</f>
        <v/>
      </c>
      <c r="C32">
        <f>IF(COUNT(Resultados!C32,Resultados!L32,Resultados!U32,Resultados!AD32,Resultados!AM32,Resultados!AV32,Resultados!BE32,Resultados!BN32,Resultados!BW32,Resultados!CF32)&lt;=1, "", _xlfn.STDEV.S(ABS(Resultados!C32),ABS(Resultados!L32),ABS(Resultados!U32),ABS(Resultados!AD32),ABS(Resultados!AM32),ABS(Resultados!AV32),ABS(Resultados!BE32),ABS(Resultados!BN32),ABS(Resultados!BW32),ABS(Resultados!CF32))/SQRT(COUNT(Resultados!C32,Resultados!L32,Resultados!U32,Resultados!AD32,Resultados!AM32,Resultados!AV32,Resultados!BE32,Resultados!BN32,Resultados!BW32,Resultados!CF32)))</f>
        <v>0.71569701845279621</v>
      </c>
      <c r="D32">
        <f>IF(COUNT(Resultados!D32,Resultados!M32,Resultados!V32,Resultados!AE32,Resultados!AN32,Resultados!AW32,Resultados!BF32,Resultados!BO32,Resultados!BX32,Resultados!CG32)&lt;=1, "", _xlfn.STDEV.S(ABS(Resultados!D32),ABS(Resultados!M32),ABS(Resultados!V32),ABS(Resultados!AE32),ABS(Resultados!AN32),ABS(Resultados!AW32),ABS(Resultados!BF32),ABS(Resultados!BO32),ABS(Resultados!BX32),ABS(Resultados!CG32))/SQRT(COUNT(Resultados!D32,Resultados!M32,Resultados!V32,Resultados!AE32,Resultados!AN32,Resultados!AW32,Resultados!BF32,Resultados!BO32,Resultados!BX32,Resultados!CG32)))</f>
        <v>2.1074602935497694E-3</v>
      </c>
      <c r="E32">
        <f>IF(COUNT(Resultados!E32,Resultados!N32,Resultados!W32,Resultados!AF32,Resultados!AO32,Resultados!AX32,Resultados!BG32,Resultados!BP32,Resultados!BY32,Resultados!CH32)&lt;=1, "", _xlfn.STDEV.S(ABS(Resultados!E32),ABS(Resultados!N32),ABS(Resultados!W32),ABS(Resultados!AF32),ABS(Resultados!AO32),ABS(Resultados!AX32),ABS(Resultados!BG32),ABS(Resultados!BP32),ABS(Resultados!BY32),ABS(Resultados!CH32))/SQRT(COUNT(Resultados!E32,Resultados!N32,Resultados!W32,Resultados!AF32,Resultados!AO32,Resultados!AX32,Resultados!BG32,Resultados!BP32,Resultados!BY32,Resultados!CH32)))</f>
        <v>0.13925592910908058</v>
      </c>
      <c r="F32">
        <f>IF(COUNT(Resultados!F32,Resultados!O32,Resultados!X32,Resultados!AG32,Resultados!AP32,Resultados!AY32,Resultados!BH32,Resultados!BQ32,Resultados!BZ32,Resultados!CI32)&lt;=1, "", _xlfn.STDEV.S(ABS(Resultados!F32),ABS(Resultados!O32),ABS(Resultados!X32),ABS(Resultados!AG32),ABS(Resultados!AP32),ABS(Resultados!AY32),ABS(Resultados!BH32),ABS(Resultados!BQ32),ABS(Resultados!BZ32),ABS(Resultados!CI32))/SQRT(COUNT(Resultados!F32,Resultados!O32,Resultados!X32,Resultados!AG32,Resultados!AP32,Resultados!AY32,Resultados!BH32,Resultados!BQ32,Resultados!BZ32,Resultados!CI32)))</f>
        <v>13.215387672451746</v>
      </c>
      <c r="G32">
        <f>IF(COUNT(Resultados!G32,Resultados!P32,Resultados!Y32,Resultados!AH32,Resultados!AQ32,Resultados!AZ32,Resultados!BI32,Resultados!BR32,Resultados!CA32,Resultados!CJ32)&lt;=1, "", _xlfn.STDEV.S(ABS(Resultados!G32),ABS(Resultados!P32),ABS(Resultados!Y32),ABS(Resultados!AH32),ABS(Resultados!AQ32),ABS(Resultados!AZ32),ABS(Resultados!BI32),ABS(Resultados!BR32),ABS(Resultados!CA32),ABS(Resultados!CJ32))/SQRT(COUNT(Resultados!G32,Resultados!P32,Resultados!Y32,Resultados!AH32,Resultados!AQ32,Resultados!AZ32,Resultados!BI32,Resultados!BR32,Resultados!CA32,Resultados!CJ32)))</f>
        <v>1.8503717077085941E-17</v>
      </c>
      <c r="H32">
        <f>IF(COUNT(Resultados!H32,Resultados!Q32,Resultados!Z32,Resultados!AI32,Resultados!AR32,Resultados!BA32,Resultados!BJ32,Resultados!BS32,Resultados!CB32,Resultados!CK32)&lt;=1, "", _xlfn.STDEV.S(ABS(Resultados!H32),ABS(Resultados!Q32),ABS(Resultados!Z32),ABS(Resultados!AI32),ABS(Resultados!AR32),ABS(Resultados!BA32),ABS(Resultados!BJ32),ABS(Resultados!BS32),ABS(Resultados!CB32),ABS(Resultados!CK32))/SQRT(COUNT(Resultados!H32,Resultados!Q32,Resultados!Z32,Resultados!AI32,Resultados!AR32,Resultados!BA32,Resultados!BJ32,Resultados!BS32,Resultados!CB32,Resultados!CK32)))</f>
        <v>2.1599922839368384E-3</v>
      </c>
      <c r="I32">
        <f>IF(COUNT(Resultados!I32,Resultados!R32,Resultados!AA32,Resultados!AJ32,Resultados!AS32,Resultados!BB32,Resultados!BK32,Resultados!BT32,Resultados!CC32,Resultados!CL32)&lt;=1, "", _xlfn.STDEV.S(ABS(Resultados!I32),ABS(Resultados!R32),ABS(Resultados!AA32),ABS(Resultados!AJ32),ABS(Resultados!AS32),ABS(Resultados!BB32),ABS(Resultados!BK32),ABS(Resultados!BT32),ABS(Resultados!CC32),ABS(Resultados!CL32))/SQRT(COUNT(Resultados!I32,Resultados!R32,Resultados!AA32,Resultados!AJ32,Resultados!AS32,Resultados!BB32,Resultados!BK32,Resultados!BT32,Resultados!CC32,Resultados!CL32)))</f>
        <v>4.0083712957316033E-2</v>
      </c>
    </row>
    <row r="33" spans="1:9" x14ac:dyDescent="0.3">
      <c r="A33">
        <f>IF(COUNT(Resultados!A33,Resultados!J33,Resultados!S33,Resultados!AB33,Resultados!AK33,Resultados!AT33,Resultados!BC33,Resultados!BL33,Resultados!BU33,Resultados!CD33)&lt;=1, "", _xlfn.STDEV.S(ABS(Resultados!A33),ABS(Resultados!J33),ABS(Resultados!S33),ABS(Resultados!AB33),ABS(Resultados!AK33),ABS(Resultados!AT33),ABS(Resultados!BC33),ABS(Resultados!BL33),ABS(Resultados!BU33),ABS(Resultados!CD33))/SQRT(COUNT(Resultados!A33,Resultados!J33,Resultados!S33,Resultados!AB33,Resultados!AK33,Resultados!AT33,Resultados!BC33,Resultados!BL33,Resultados!BU33,Resultados!CD33)))</f>
        <v>0</v>
      </c>
      <c r="B33" t="str">
        <f>IF(COUNT(Resultados!B33,Resultados!K33,Resultados!T33,Resultados!AC33,Resultados!AL33,Resultados!AU33,Resultados!BD33,Resultados!BM33,Resultados!BV33,Resultados!CE33)&lt;=1, "", _xlfn.STDEV.S(ABS(Resultados!B33),ABS(Resultados!K33),ABS(Resultados!T33),ABS(Resultados!AC33),ABS(Resultados!AL33),ABS(Resultados!AU33),ABS(Resultados!BD33),ABS(Resultados!BM33),ABS(Resultados!BV33),ABS(Resultados!CE33))/SQRT(COUNT(Resultados!B33,Resultados!K33,Resultados!T33,Resultados!AC33,Resultados!AL33,Resultados!AU33,Resultados!BD33,Resultados!BM33,Resultados!BV33,Resultados!CE33)))</f>
        <v/>
      </c>
      <c r="C33">
        <f>IF(COUNT(Resultados!C33,Resultados!L33,Resultados!U33,Resultados!AD33,Resultados!AM33,Resultados!AV33,Resultados!BE33,Resultados!BN33,Resultados!BW33,Resultados!CF33)&lt;=1, "", _xlfn.STDEV.S(ABS(Resultados!C33),ABS(Resultados!L33),ABS(Resultados!U33),ABS(Resultados!AD33),ABS(Resultados!AM33),ABS(Resultados!AV33),ABS(Resultados!BE33),ABS(Resultados!BN33),ABS(Resultados!BW33),ABS(Resultados!CF33))/SQRT(COUNT(Resultados!C33,Resultados!L33,Resultados!U33,Resultados!AD33,Resultados!AM33,Resultados!AV33,Resultados!BE33,Resultados!BN33,Resultados!BW33,Resultados!CF33)))</f>
        <v>0.71569701845279621</v>
      </c>
      <c r="D33">
        <f>IF(COUNT(Resultados!D33,Resultados!M33,Resultados!V33,Resultados!AE33,Resultados!AN33,Resultados!AW33,Resultados!BF33,Resultados!BO33,Resultados!BX33,Resultados!CG33)&lt;=1, "", _xlfn.STDEV.S(ABS(Resultados!D33),ABS(Resultados!M33),ABS(Resultados!V33),ABS(Resultados!AE33),ABS(Resultados!AN33),ABS(Resultados!AW33),ABS(Resultados!BF33),ABS(Resultados!BO33),ABS(Resultados!BX33),ABS(Resultados!CG33))/SQRT(COUNT(Resultados!D33,Resultados!M33,Resultados!V33,Resultados!AE33,Resultados!AN33,Resultados!AW33,Resultados!BF33,Resultados!BO33,Resultados!BX33,Resultados!CG33)))</f>
        <v>2.1448750287345192E-3</v>
      </c>
      <c r="E33">
        <f>IF(COUNT(Resultados!E33,Resultados!N33,Resultados!W33,Resultados!AF33,Resultados!AO33,Resultados!AX33,Resultados!BG33,Resultados!BP33,Resultados!BY33,Resultados!CH33)&lt;=1, "", _xlfn.STDEV.S(ABS(Resultados!E33),ABS(Resultados!N33),ABS(Resultados!W33),ABS(Resultados!AF33),ABS(Resultados!AO33),ABS(Resultados!AX33),ABS(Resultados!BG33),ABS(Resultados!BP33),ABS(Resultados!BY33),ABS(Resultados!CH33))/SQRT(COUNT(Resultados!E33,Resultados!N33,Resultados!W33,Resultados!AF33,Resultados!AO33,Resultados!AX33,Resultados!BG33,Resultados!BP33,Resultados!BY33,Resultados!CH33)))</f>
        <v>0.14170170903944343</v>
      </c>
      <c r="F33">
        <f>IF(COUNT(Resultados!F33,Resultados!O33,Resultados!X33,Resultados!AG33,Resultados!AP33,Resultados!AY33,Resultados!BH33,Resultados!BQ33,Resultados!BZ33,Resultados!CI33)&lt;=1, "", _xlfn.STDEV.S(ABS(Resultados!F33),ABS(Resultados!O33),ABS(Resultados!X33),ABS(Resultados!AG33),ABS(Resultados!AP33),ABS(Resultados!AY33),ABS(Resultados!BH33),ABS(Resultados!BQ33),ABS(Resultados!BZ33),ABS(Resultados!CI33))/SQRT(COUNT(Resultados!F33,Resultados!O33,Resultados!X33,Resultados!AG33,Resultados!AP33,Resultados!AY33,Resultados!BH33,Resultados!BQ33,Resultados!BZ33,Resultados!CI33)))</f>
        <v>13.447492187843181</v>
      </c>
      <c r="G33">
        <f>IF(COUNT(Resultados!G33,Resultados!P33,Resultados!Y33,Resultados!AH33,Resultados!AQ33,Resultados!AZ33,Resultados!BI33,Resultados!BR33,Resultados!CA33,Resultados!CJ33)&lt;=1, "", _xlfn.STDEV.S(ABS(Resultados!G33),ABS(Resultados!P33),ABS(Resultados!Y33),ABS(Resultados!AH33),ABS(Resultados!AQ33),ABS(Resultados!AZ33),ABS(Resultados!BI33),ABS(Resultados!BR33),ABS(Resultados!CA33),ABS(Resultados!CJ33))/SQRT(COUNT(Resultados!G33,Resultados!P33,Resultados!Y33,Resultados!AH33,Resultados!AQ33,Resultados!AZ33,Resultados!BI33,Resultados!BR33,Resultados!CA33,Resultados!CJ33)))</f>
        <v>1.8503717077085941E-17</v>
      </c>
      <c r="H33">
        <f>IF(COUNT(Resultados!H33,Resultados!Q33,Resultados!Z33,Resultados!AI33,Resultados!AR33,Resultados!BA33,Resultados!BJ33,Resultados!BS33,Resultados!CB33,Resultados!CK33)&lt;=1, "", _xlfn.STDEV.S(ABS(Resultados!H33),ABS(Resultados!Q33),ABS(Resultados!Z33),ABS(Resultados!AI33),ABS(Resultados!AR33),ABS(Resultados!BA33),ABS(Resultados!BJ33),ABS(Resultados!BS33),ABS(Resultados!CB33),ABS(Resultados!CK33))/SQRT(COUNT(Resultados!H33,Resultados!Q33,Resultados!Z33,Resultados!AI33,Resultados!AR33,Resultados!BA33,Resultados!BJ33,Resultados!BS33,Resultados!CB33,Resultados!CK33)))</f>
        <v>2.1966540212079071E-3</v>
      </c>
      <c r="I33">
        <f>IF(COUNT(Resultados!I33,Resultados!R33,Resultados!AA33,Resultados!AJ33,Resultados!AS33,Resultados!BB33,Resultados!BK33,Resultados!BT33,Resultados!CC33,Resultados!CL33)&lt;=1, "", _xlfn.STDEV.S(ABS(Resultados!I33),ABS(Resultados!R33),ABS(Resultados!AA33),ABS(Resultados!AJ33),ABS(Resultados!AS33),ABS(Resultados!BB33),ABS(Resultados!BK33),ABS(Resultados!BT33),ABS(Resultados!CC33),ABS(Resultados!CL33))/SQRT(COUNT(Resultados!I33,Resultados!R33,Resultados!AA33,Resultados!AJ33,Resultados!AS33,Resultados!BB33,Resultados!BK33,Resultados!BT33,Resultados!CC33,Resultados!CL33)))</f>
        <v>4.0101188123153657E-2</v>
      </c>
    </row>
    <row r="34" spans="1:9" x14ac:dyDescent="0.3">
      <c r="A34">
        <f>IF(COUNT(Resultados!A34,Resultados!J34,Resultados!S34,Resultados!AB34,Resultados!AK34,Resultados!AT34,Resultados!BC34,Resultados!BL34,Resultados!BU34,Resultados!CD34)&lt;=1, "", _xlfn.STDEV.S(ABS(Resultados!A34),ABS(Resultados!J34),ABS(Resultados!S34),ABS(Resultados!AB34),ABS(Resultados!AK34),ABS(Resultados!AT34),ABS(Resultados!BC34),ABS(Resultados!BL34),ABS(Resultados!BU34),ABS(Resultados!CD34))/SQRT(COUNT(Resultados!A34,Resultados!J34,Resultados!S34,Resultados!AB34,Resultados!AK34,Resultados!AT34,Resultados!BC34,Resultados!BL34,Resultados!BU34,Resultados!CD34)))</f>
        <v>0</v>
      </c>
      <c r="B34" t="str">
        <f>IF(COUNT(Resultados!B34,Resultados!K34,Resultados!T34,Resultados!AC34,Resultados!AL34,Resultados!AU34,Resultados!BD34,Resultados!BM34,Resultados!BV34,Resultados!CE34)&lt;=1, "", _xlfn.STDEV.S(ABS(Resultados!B34),ABS(Resultados!K34),ABS(Resultados!T34),ABS(Resultados!AC34),ABS(Resultados!AL34),ABS(Resultados!AU34),ABS(Resultados!BD34),ABS(Resultados!BM34),ABS(Resultados!BV34),ABS(Resultados!CE34))/SQRT(COUNT(Resultados!B34,Resultados!K34,Resultados!T34,Resultados!AC34,Resultados!AL34,Resultados!AU34,Resultados!BD34,Resultados!BM34,Resultados!BV34,Resultados!CE34)))</f>
        <v/>
      </c>
      <c r="C34">
        <f>IF(COUNT(Resultados!C34,Resultados!L34,Resultados!U34,Resultados!AD34,Resultados!AM34,Resultados!AV34,Resultados!BE34,Resultados!BN34,Resultados!BW34,Resultados!CF34)&lt;=1, "", _xlfn.STDEV.S(ABS(Resultados!C34),ABS(Resultados!L34),ABS(Resultados!U34),ABS(Resultados!AD34),ABS(Resultados!AM34),ABS(Resultados!AV34),ABS(Resultados!BE34),ABS(Resultados!BN34),ABS(Resultados!BW34),ABS(Resultados!CF34))/SQRT(COUNT(Resultados!C34,Resultados!L34,Resultados!U34,Resultados!AD34,Resultados!AM34,Resultados!AV34,Resultados!BE34,Resultados!BN34,Resultados!BW34,Resultados!CF34)))</f>
        <v>0.71569701845279621</v>
      </c>
      <c r="D34">
        <f>IF(COUNT(Resultados!D34,Resultados!M34,Resultados!V34,Resultados!AE34,Resultados!AN34,Resultados!AW34,Resultados!BF34,Resultados!BO34,Resultados!BX34,Resultados!CG34)&lt;=1, "", _xlfn.STDEV.S(ABS(Resultados!D34),ABS(Resultados!M34),ABS(Resultados!V34),ABS(Resultados!AE34),ABS(Resultados!AN34),ABS(Resultados!AW34),ABS(Resultados!BF34),ABS(Resultados!BO34),ABS(Resultados!BX34),ABS(Resultados!CG34))/SQRT(COUNT(Resultados!D34,Resultados!M34,Resultados!V34,Resultados!AE34,Resultados!AN34,Resultados!AW34,Resultados!BF34,Resultados!BO34,Resultados!BX34,Resultados!CG34)))</f>
        <v>2.1660101569475647E-3</v>
      </c>
      <c r="E34">
        <f>IF(COUNT(Resultados!E34,Resultados!N34,Resultados!W34,Resultados!AF34,Resultados!AO34,Resultados!AX34,Resultados!BG34,Resultados!BP34,Resultados!BY34,Resultados!CH34)&lt;=1, "", _xlfn.STDEV.S(ABS(Resultados!E34),ABS(Resultados!N34),ABS(Resultados!W34),ABS(Resultados!AF34),ABS(Resultados!AO34),ABS(Resultados!AX34),ABS(Resultados!BG34),ABS(Resultados!BP34),ABS(Resultados!BY34),ABS(Resultados!CH34))/SQRT(COUNT(Resultados!E34,Resultados!N34,Resultados!W34,Resultados!AF34,Resultados!AO34,Resultados!AX34,Resultados!BG34,Resultados!BP34,Resultados!BY34,Resultados!CH34)))</f>
        <v>0.14379974758576228</v>
      </c>
      <c r="F34">
        <f>IF(COUNT(Resultados!F34,Resultados!O34,Resultados!X34,Resultados!AG34,Resultados!AP34,Resultados!AY34,Resultados!BH34,Resultados!BQ34,Resultados!BZ34,Resultados!CI34)&lt;=1, "", _xlfn.STDEV.S(ABS(Resultados!F34),ABS(Resultados!O34),ABS(Resultados!X34),ABS(Resultados!AG34),ABS(Resultados!AP34),ABS(Resultados!AY34),ABS(Resultados!BH34),ABS(Resultados!BQ34),ABS(Resultados!BZ34),ABS(Resultados!CI34))/SQRT(COUNT(Resultados!F34,Resultados!O34,Resultados!X34,Resultados!AG34,Resultados!AP34,Resultados!AY34,Resultados!BH34,Resultados!BQ34,Resultados!BZ34,Resultados!CI34)))</f>
        <v>13.646596045888856</v>
      </c>
      <c r="G34">
        <f>IF(COUNT(Resultados!G34,Resultados!P34,Resultados!Y34,Resultados!AH34,Resultados!AQ34,Resultados!AZ34,Resultados!BI34,Resultados!BR34,Resultados!CA34,Resultados!CJ34)&lt;=1, "", _xlfn.STDEV.S(ABS(Resultados!G34),ABS(Resultados!P34),ABS(Resultados!Y34),ABS(Resultados!AH34),ABS(Resultados!AQ34),ABS(Resultados!AZ34),ABS(Resultados!BI34),ABS(Resultados!BR34),ABS(Resultados!CA34),ABS(Resultados!CJ34))/SQRT(COUNT(Resultados!G34,Resultados!P34,Resultados!Y34,Resultados!AH34,Resultados!AQ34,Resultados!AZ34,Resultados!BI34,Resultados!BR34,Resultados!CA34,Resultados!CJ34)))</f>
        <v>1.8503717077085941E-17</v>
      </c>
      <c r="H34">
        <f>IF(COUNT(Resultados!H34,Resultados!Q34,Resultados!Z34,Resultados!AI34,Resultados!AR34,Resultados!BA34,Resultados!BJ34,Resultados!BS34,Resultados!CB34,Resultados!CK34)&lt;=1, "", _xlfn.STDEV.S(ABS(Resultados!H34),ABS(Resultados!Q34),ABS(Resultados!Z34),ABS(Resultados!AI34),ABS(Resultados!AR34),ABS(Resultados!BA34),ABS(Resultados!BJ34),ABS(Resultados!BS34),ABS(Resultados!CB34),ABS(Resultados!CK34))/SQRT(COUNT(Resultados!H34,Resultados!Q34,Resultados!Z34,Resultados!AI34,Resultados!AR34,Resultados!BA34,Resultados!BJ34,Resultados!BS34,Resultados!CB34,Resultados!CK34)))</f>
        <v>2.2311058543541405E-3</v>
      </c>
      <c r="I34">
        <f>IF(COUNT(Resultados!I34,Resultados!R34,Resultados!AA34,Resultados!AJ34,Resultados!AS34,Resultados!BB34,Resultados!BK34,Resultados!BT34,Resultados!CC34,Resultados!CL34)&lt;=1, "", _xlfn.STDEV.S(ABS(Resultados!I34),ABS(Resultados!R34),ABS(Resultados!AA34),ABS(Resultados!AJ34),ABS(Resultados!AS34),ABS(Resultados!BB34),ABS(Resultados!BK34),ABS(Resultados!BT34),ABS(Resultados!CC34),ABS(Resultados!CL34))/SQRT(COUNT(Resultados!I34,Resultados!R34,Resultados!AA34,Resultados!AJ34,Resultados!AS34,Resultados!BB34,Resultados!BK34,Resultados!BT34,Resultados!CC34,Resultados!CL34)))</f>
        <v>4.001039253882515E-2</v>
      </c>
    </row>
    <row r="35" spans="1:9" x14ac:dyDescent="0.3">
      <c r="A35">
        <f>IF(COUNT(Resultados!A35,Resultados!J35,Resultados!S35,Resultados!AB35,Resultados!AK35,Resultados!AT35,Resultados!BC35,Resultados!BL35,Resultados!BU35,Resultados!CD35)&lt;=1, "", _xlfn.STDEV.S(ABS(Resultados!A35),ABS(Resultados!J35),ABS(Resultados!S35),ABS(Resultados!AB35),ABS(Resultados!AK35),ABS(Resultados!AT35),ABS(Resultados!BC35),ABS(Resultados!BL35),ABS(Resultados!BU35),ABS(Resultados!CD35))/SQRT(COUNT(Resultados!A35,Resultados!J35,Resultados!S35,Resultados!AB35,Resultados!AK35,Resultados!AT35,Resultados!BC35,Resultados!BL35,Resultados!BU35,Resultados!CD35)))</f>
        <v>0</v>
      </c>
      <c r="B35" t="str">
        <f>IF(COUNT(Resultados!B35,Resultados!K35,Resultados!T35,Resultados!AC35,Resultados!AL35,Resultados!AU35,Resultados!BD35,Resultados!BM35,Resultados!BV35,Resultados!CE35)&lt;=1, "", _xlfn.STDEV.S(ABS(Resultados!B35),ABS(Resultados!K35),ABS(Resultados!T35),ABS(Resultados!AC35),ABS(Resultados!AL35),ABS(Resultados!AU35),ABS(Resultados!BD35),ABS(Resultados!BM35),ABS(Resultados!BV35),ABS(Resultados!CE35))/SQRT(COUNT(Resultados!B35,Resultados!K35,Resultados!T35,Resultados!AC35,Resultados!AL35,Resultados!AU35,Resultados!BD35,Resultados!BM35,Resultados!BV35,Resultados!CE35)))</f>
        <v/>
      </c>
      <c r="C35">
        <f>IF(COUNT(Resultados!C35,Resultados!L35,Resultados!U35,Resultados!AD35,Resultados!AM35,Resultados!AV35,Resultados!BE35,Resultados!BN35,Resultados!BW35,Resultados!CF35)&lt;=1, "", _xlfn.STDEV.S(ABS(Resultados!C35),ABS(Resultados!L35),ABS(Resultados!U35),ABS(Resultados!AD35),ABS(Resultados!AM35),ABS(Resultados!AV35),ABS(Resultados!BE35),ABS(Resultados!BN35),ABS(Resultados!BW35),ABS(Resultados!CF35))/SQRT(COUNT(Resultados!C35,Resultados!L35,Resultados!U35,Resultados!AD35,Resultados!AM35,Resultados!AV35,Resultados!BE35,Resultados!BN35,Resultados!BW35,Resultados!CF35)))</f>
        <v>0.71569701845279621</v>
      </c>
      <c r="D35">
        <f>IF(COUNT(Resultados!D35,Resultados!M35,Resultados!V35,Resultados!AE35,Resultados!AN35,Resultados!AW35,Resultados!BF35,Resultados!BO35,Resultados!BX35,Resultados!CG35)&lt;=1, "", _xlfn.STDEV.S(ABS(Resultados!D35),ABS(Resultados!M35),ABS(Resultados!V35),ABS(Resultados!AE35),ABS(Resultados!AN35),ABS(Resultados!AW35),ABS(Resultados!BF35),ABS(Resultados!BO35),ABS(Resultados!BX35),ABS(Resultados!CG35))/SQRT(COUNT(Resultados!D35,Resultados!M35,Resultados!V35,Resultados!AE35,Resultados!AN35,Resultados!AW35,Resultados!BF35,Resultados!BO35,Resultados!BX35,Resultados!CG35)))</f>
        <v>2.184480614598249E-3</v>
      </c>
      <c r="E35">
        <f>IF(COUNT(Resultados!E35,Resultados!N35,Resultados!W35,Resultados!AF35,Resultados!AO35,Resultados!AX35,Resultados!BG35,Resultados!BP35,Resultados!BY35,Resultados!CH35)&lt;=1, "", _xlfn.STDEV.S(ABS(Resultados!E35),ABS(Resultados!N35),ABS(Resultados!W35),ABS(Resultados!AF35),ABS(Resultados!AO35),ABS(Resultados!AX35),ABS(Resultados!BG35),ABS(Resultados!BP35),ABS(Resultados!BY35),ABS(Resultados!CH35))/SQRT(COUNT(Resultados!E35,Resultados!N35,Resultados!W35,Resultados!AF35,Resultados!AO35,Resultados!AX35,Resultados!BG35,Resultados!BP35,Resultados!BY35,Resultados!CH35)))</f>
        <v>0.14546885012630953</v>
      </c>
      <c r="F35">
        <f>IF(COUNT(Resultados!F35,Resultados!O35,Resultados!X35,Resultados!AG35,Resultados!AP35,Resultados!AY35,Resultados!BH35,Resultados!BQ35,Resultados!BZ35,Resultados!CI35)&lt;=1, "", _xlfn.STDEV.S(ABS(Resultados!F35),ABS(Resultados!O35),ABS(Resultados!X35),ABS(Resultados!AG35),ABS(Resultados!AP35),ABS(Resultados!AY35),ABS(Resultados!BH35),ABS(Resultados!BQ35),ABS(Resultados!BZ35),ABS(Resultados!CI35))/SQRT(COUNT(Resultados!F35,Resultados!O35,Resultados!X35,Resultados!AG35,Resultados!AP35,Resultados!AY35,Resultados!BH35,Resultados!BQ35,Resultados!BZ35,Resultados!CI35)))</f>
        <v>13.804993876986771</v>
      </c>
      <c r="G35">
        <f>IF(COUNT(Resultados!G35,Resultados!P35,Resultados!Y35,Resultados!AH35,Resultados!AQ35,Resultados!AZ35,Resultados!BI35,Resultados!BR35,Resultados!CA35,Resultados!CJ35)&lt;=1, "", _xlfn.STDEV.S(ABS(Resultados!G35),ABS(Resultados!P35),ABS(Resultados!Y35),ABS(Resultados!AH35),ABS(Resultados!AQ35),ABS(Resultados!AZ35),ABS(Resultados!BI35),ABS(Resultados!BR35),ABS(Resultados!CA35),ABS(Resultados!CJ35))/SQRT(COUNT(Resultados!G35,Resultados!P35,Resultados!Y35,Resultados!AH35,Resultados!AQ35,Resultados!AZ35,Resultados!BI35,Resultados!BR35,Resultados!CA35,Resultados!CJ35)))</f>
        <v>1.8503717077085941E-17</v>
      </c>
      <c r="H35">
        <f>IF(COUNT(Resultados!H35,Resultados!Q35,Resultados!Z35,Resultados!AI35,Resultados!AR35,Resultados!BA35,Resultados!BJ35,Resultados!BS35,Resultados!CB35,Resultados!CK35)&lt;=1, "", _xlfn.STDEV.S(ABS(Resultados!H35),ABS(Resultados!Q35),ABS(Resultados!Z35),ABS(Resultados!AI35),ABS(Resultados!AR35),ABS(Resultados!BA35),ABS(Resultados!BJ35),ABS(Resultados!BS35),ABS(Resultados!CB35),ABS(Resultados!CK35))/SQRT(COUNT(Resultados!H35,Resultados!Q35,Resultados!Z35,Resultados!AI35,Resultados!AR35,Resultados!BA35,Resultados!BJ35,Resultados!BS35,Resultados!CB35,Resultados!CK35)))</f>
        <v>2.2661298383906624E-3</v>
      </c>
      <c r="I35">
        <f>IF(COUNT(Resultados!I35,Resultados!R35,Resultados!AA35,Resultados!AJ35,Resultados!AS35,Resultados!BB35,Resultados!BK35,Resultados!BT35,Resultados!CC35,Resultados!CL35)&lt;=1, "", _xlfn.STDEV.S(ABS(Resultados!I35),ABS(Resultados!R35),ABS(Resultados!AA35),ABS(Resultados!AJ35),ABS(Resultados!AS35),ABS(Resultados!BB35),ABS(Resultados!BK35),ABS(Resultados!BT35),ABS(Resultados!CC35),ABS(Resultados!CL35))/SQRT(COUNT(Resultados!I35,Resultados!R35,Resultados!AA35,Resultados!AJ35,Resultados!AS35,Resultados!BB35,Resultados!BK35,Resultados!BT35,Resultados!CC35,Resultados!CL35)))</f>
        <v>4.0095461643980701E-2</v>
      </c>
    </row>
    <row r="36" spans="1:9" x14ac:dyDescent="0.3">
      <c r="A36">
        <f>IF(COUNT(Resultados!A36,Resultados!J36,Resultados!S36,Resultados!AB36,Resultados!AK36,Resultados!AT36,Resultados!BC36,Resultados!BL36,Resultados!BU36,Resultados!CD36)&lt;=1, "", _xlfn.STDEV.S(ABS(Resultados!A36),ABS(Resultados!J36),ABS(Resultados!S36),ABS(Resultados!AB36),ABS(Resultados!AK36),ABS(Resultados!AT36),ABS(Resultados!BC36),ABS(Resultados!BL36),ABS(Resultados!BU36),ABS(Resultados!CD36))/SQRT(COUNT(Resultados!A36,Resultados!J36,Resultados!S36,Resultados!AB36,Resultados!AK36,Resultados!AT36,Resultados!BC36,Resultados!BL36,Resultados!BU36,Resultados!CD36)))</f>
        <v>0</v>
      </c>
      <c r="B36" t="str">
        <f>IF(COUNT(Resultados!B36,Resultados!K36,Resultados!T36,Resultados!AC36,Resultados!AL36,Resultados!AU36,Resultados!BD36,Resultados!BM36,Resultados!BV36,Resultados!CE36)&lt;=1, "", _xlfn.STDEV.S(ABS(Resultados!B36),ABS(Resultados!K36),ABS(Resultados!T36),ABS(Resultados!AC36),ABS(Resultados!AL36),ABS(Resultados!AU36),ABS(Resultados!BD36),ABS(Resultados!BM36),ABS(Resultados!BV36),ABS(Resultados!CE36))/SQRT(COUNT(Resultados!B36,Resultados!K36,Resultados!T36,Resultados!AC36,Resultados!AL36,Resultados!AU36,Resultados!BD36,Resultados!BM36,Resultados!BV36,Resultados!CE36)))</f>
        <v/>
      </c>
      <c r="C36">
        <f>IF(COUNT(Resultados!C36,Resultados!L36,Resultados!U36,Resultados!AD36,Resultados!AM36,Resultados!AV36,Resultados!BE36,Resultados!BN36,Resultados!BW36,Resultados!CF36)&lt;=1, "", _xlfn.STDEV.S(ABS(Resultados!C36),ABS(Resultados!L36),ABS(Resultados!U36),ABS(Resultados!AD36),ABS(Resultados!AM36),ABS(Resultados!AV36),ABS(Resultados!BE36),ABS(Resultados!BN36),ABS(Resultados!BW36),ABS(Resultados!CF36))/SQRT(COUNT(Resultados!C36,Resultados!L36,Resultados!U36,Resultados!AD36,Resultados!AM36,Resultados!AV36,Resultados!BE36,Resultados!BN36,Resultados!BW36,Resultados!CF36)))</f>
        <v>0.71569701845279621</v>
      </c>
      <c r="D36">
        <f>IF(COUNT(Resultados!D36,Resultados!M36,Resultados!V36,Resultados!AE36,Resultados!AN36,Resultados!AW36,Resultados!BF36,Resultados!BO36,Resultados!BX36,Resultados!CG36)&lt;=1, "", _xlfn.STDEV.S(ABS(Resultados!D36),ABS(Resultados!M36),ABS(Resultados!V36),ABS(Resultados!AE36),ABS(Resultados!AN36),ABS(Resultados!AW36),ABS(Resultados!BF36),ABS(Resultados!BO36),ABS(Resultados!BX36),ABS(Resultados!CG36))/SQRT(COUNT(Resultados!D36,Resultados!M36,Resultados!V36,Resultados!AE36,Resultados!AN36,Resultados!AW36,Resultados!BF36,Resultados!BO36,Resultados!BX36,Resultados!CG36)))</f>
        <v>2.1884672464738616E-3</v>
      </c>
      <c r="E36">
        <f>IF(COUNT(Resultados!E36,Resultados!N36,Resultados!W36,Resultados!AF36,Resultados!AO36,Resultados!AX36,Resultados!BG36,Resultados!BP36,Resultados!BY36,Resultados!CH36)&lt;=1, "", _xlfn.STDEV.S(ABS(Resultados!E36),ABS(Resultados!N36),ABS(Resultados!W36),ABS(Resultados!AF36),ABS(Resultados!AO36),ABS(Resultados!AX36),ABS(Resultados!BG36),ABS(Resultados!BP36),ABS(Resultados!BY36),ABS(Resultados!CH36))/SQRT(COUNT(Resultados!E36,Resultados!N36,Resultados!W36,Resultados!AF36,Resultados!AO36,Resultados!AX36,Resultados!BG36,Resultados!BP36,Resultados!BY36,Resultados!CH36)))</f>
        <v>0.14695663665440686</v>
      </c>
      <c r="F36">
        <f>IF(COUNT(Resultados!F36,Resultados!O36,Resultados!X36,Resultados!AG36,Resultados!AP36,Resultados!AY36,Resultados!BH36,Resultados!BQ36,Resultados!BZ36,Resultados!CI36)&lt;=1, "", _xlfn.STDEV.S(ABS(Resultados!F36),ABS(Resultados!O36),ABS(Resultados!X36),ABS(Resultados!AG36),ABS(Resultados!AP36),ABS(Resultados!AY36),ABS(Resultados!BH36),ABS(Resultados!BQ36),ABS(Resultados!BZ36),ABS(Resultados!CI36))/SQRT(COUNT(Resultados!F36,Resultados!O36,Resultados!X36,Resultados!AG36,Resultados!AP36,Resultados!AY36,Resultados!BH36,Resultados!BQ36,Resultados!BZ36,Resultados!CI36)))</f>
        <v>13.94618481850322</v>
      </c>
      <c r="G36">
        <f>IF(COUNT(Resultados!G36,Resultados!P36,Resultados!Y36,Resultados!AH36,Resultados!AQ36,Resultados!AZ36,Resultados!BI36,Resultados!BR36,Resultados!CA36,Resultados!CJ36)&lt;=1, "", _xlfn.STDEV.S(ABS(Resultados!G36),ABS(Resultados!P36),ABS(Resultados!Y36),ABS(Resultados!AH36),ABS(Resultados!AQ36),ABS(Resultados!AZ36),ABS(Resultados!BI36),ABS(Resultados!BR36),ABS(Resultados!CA36),ABS(Resultados!CJ36))/SQRT(COUNT(Resultados!G36,Resultados!P36,Resultados!Y36,Resultados!AH36,Resultados!AQ36,Resultados!AZ36,Resultados!BI36,Resultados!BR36,Resultados!CA36,Resultados!CJ36)))</f>
        <v>1.8503717077085941E-17</v>
      </c>
      <c r="H36">
        <f>IF(COUNT(Resultados!H36,Resultados!Q36,Resultados!Z36,Resultados!AI36,Resultados!AR36,Resultados!BA36,Resultados!BJ36,Resultados!BS36,Resultados!CB36,Resultados!CK36)&lt;=1, "", _xlfn.STDEV.S(ABS(Resultados!H36),ABS(Resultados!Q36),ABS(Resultados!Z36),ABS(Resultados!AI36),ABS(Resultados!AR36),ABS(Resultados!BA36),ABS(Resultados!BJ36),ABS(Resultados!BS36),ABS(Resultados!CB36),ABS(Resultados!CK36))/SQRT(COUNT(Resultados!H36,Resultados!Q36,Resultados!Z36,Resultados!AI36,Resultados!AR36,Resultados!BA36,Resultados!BJ36,Resultados!BS36,Resultados!CB36,Resultados!CK36)))</f>
        <v>2.2791348261030058E-3</v>
      </c>
      <c r="I36">
        <f>IF(COUNT(Resultados!I36,Resultados!R36,Resultados!AA36,Resultados!AJ36,Resultados!AS36,Resultados!BB36,Resultados!BK36,Resultados!BT36,Resultados!CC36,Resultados!CL36)&lt;=1, "", _xlfn.STDEV.S(ABS(Resultados!I36),ABS(Resultados!R36),ABS(Resultados!AA36),ABS(Resultados!AJ36),ABS(Resultados!AS36),ABS(Resultados!BB36),ABS(Resultados!BK36),ABS(Resultados!BT36),ABS(Resultados!CC36),ABS(Resultados!CL36))/SQRT(COUNT(Resultados!I36,Resultados!R36,Resultados!AA36,Resultados!AJ36,Resultados!AS36,Resultados!BB36,Resultados!BK36,Resultados!BT36,Resultados!CC36,Resultados!CL36)))</f>
        <v>3.9985792060015325E-2</v>
      </c>
    </row>
    <row r="37" spans="1:9" x14ac:dyDescent="0.3">
      <c r="A37">
        <f>IF(COUNT(Resultados!A37,Resultados!J37,Resultados!S37,Resultados!AB37,Resultados!AK37,Resultados!AT37,Resultados!BC37,Resultados!BL37,Resultados!BU37,Resultados!CD37)&lt;=1, "", _xlfn.STDEV.S(ABS(Resultados!A37),ABS(Resultados!J37),ABS(Resultados!S37),ABS(Resultados!AB37),ABS(Resultados!AK37),ABS(Resultados!AT37),ABS(Resultados!BC37),ABS(Resultados!BL37),ABS(Resultados!BU37),ABS(Resultados!CD37))/SQRT(COUNT(Resultados!A37,Resultados!J37,Resultados!S37,Resultados!AB37,Resultados!AK37,Resultados!AT37,Resultados!BC37,Resultados!BL37,Resultados!BU37,Resultados!CD37)))</f>
        <v>0</v>
      </c>
      <c r="B37" t="str">
        <f>IF(COUNT(Resultados!B37,Resultados!K37,Resultados!T37,Resultados!AC37,Resultados!AL37,Resultados!AU37,Resultados!BD37,Resultados!BM37,Resultados!BV37,Resultados!CE37)&lt;=1, "", _xlfn.STDEV.S(ABS(Resultados!B37),ABS(Resultados!K37),ABS(Resultados!T37),ABS(Resultados!AC37),ABS(Resultados!AL37),ABS(Resultados!AU37),ABS(Resultados!BD37),ABS(Resultados!BM37),ABS(Resultados!BV37),ABS(Resultados!CE37))/SQRT(COUNT(Resultados!B37,Resultados!K37,Resultados!T37,Resultados!AC37,Resultados!AL37,Resultados!AU37,Resultados!BD37,Resultados!BM37,Resultados!BV37,Resultados!CE37)))</f>
        <v/>
      </c>
      <c r="C37">
        <f>IF(COUNT(Resultados!C37,Resultados!L37,Resultados!U37,Resultados!AD37,Resultados!AM37,Resultados!AV37,Resultados!BE37,Resultados!BN37,Resultados!BW37,Resultados!CF37)&lt;=1, "", _xlfn.STDEV.S(ABS(Resultados!C37),ABS(Resultados!L37),ABS(Resultados!U37),ABS(Resultados!AD37),ABS(Resultados!AM37),ABS(Resultados!AV37),ABS(Resultados!BE37),ABS(Resultados!BN37),ABS(Resultados!BW37),ABS(Resultados!CF37))/SQRT(COUNT(Resultados!C37,Resultados!L37,Resultados!U37,Resultados!AD37,Resultados!AM37,Resultados!AV37,Resultados!BE37,Resultados!BN37,Resultados!BW37,Resultados!CF37)))</f>
        <v>0.71569701845279621</v>
      </c>
      <c r="D37">
        <f>IF(COUNT(Resultados!D37,Resultados!M37,Resultados!V37,Resultados!AE37,Resultados!AN37,Resultados!AW37,Resultados!BF37,Resultados!BO37,Resultados!BX37,Resultados!CG37)&lt;=1, "", _xlfn.STDEV.S(ABS(Resultados!D37),ABS(Resultados!M37),ABS(Resultados!V37),ABS(Resultados!AE37),ABS(Resultados!AN37),ABS(Resultados!AW37),ABS(Resultados!BF37),ABS(Resultados!BO37),ABS(Resultados!BX37),ABS(Resultados!CG37))/SQRT(COUNT(Resultados!D37,Resultados!M37,Resultados!V37,Resultados!AE37,Resultados!AN37,Resultados!AW37,Resultados!BF37,Resultados!BO37,Resultados!BX37,Resultados!CG37)))</f>
        <v>2.2231334242960258E-3</v>
      </c>
      <c r="E37">
        <f>IF(COUNT(Resultados!E37,Resultados!N37,Resultados!W37,Resultados!AF37,Resultados!AO37,Resultados!AX37,Resultados!BG37,Resultados!BP37,Resultados!BY37,Resultados!CH37)&lt;=1, "", _xlfn.STDEV.S(ABS(Resultados!E37),ABS(Resultados!N37),ABS(Resultados!W37),ABS(Resultados!AF37),ABS(Resultados!AO37),ABS(Resultados!AX37),ABS(Resultados!BG37),ABS(Resultados!BP37),ABS(Resultados!BY37),ABS(Resultados!CH37))/SQRT(COUNT(Resultados!E37,Resultados!N37,Resultados!W37,Resultados!AF37,Resultados!AO37,Resultados!AX37,Resultados!BG37,Resultados!BP37,Resultados!BY37,Resultados!CH37)))</f>
        <v>0.14805512345462413</v>
      </c>
      <c r="F37">
        <f>IF(COUNT(Resultados!F37,Resultados!O37,Resultados!X37,Resultados!AG37,Resultados!AP37,Resultados!AY37,Resultados!BH37,Resultados!BQ37,Resultados!BZ37,Resultados!CI37)&lt;=1, "", _xlfn.STDEV.S(ABS(Resultados!F37),ABS(Resultados!O37),ABS(Resultados!X37),ABS(Resultados!AG37),ABS(Resultados!AP37),ABS(Resultados!AY37),ABS(Resultados!BH37),ABS(Resultados!BQ37),ABS(Resultados!BZ37),ABS(Resultados!CI37))/SQRT(COUNT(Resultados!F37,Resultados!O37,Resultados!X37,Resultados!AG37,Resultados!AP37,Resultados!AY37,Resultados!BH37,Resultados!BQ37,Resultados!BZ37,Resultados!CI37)))</f>
        <v>14.050431215843824</v>
      </c>
      <c r="G37">
        <f>IF(COUNT(Resultados!G37,Resultados!P37,Resultados!Y37,Resultados!AH37,Resultados!AQ37,Resultados!AZ37,Resultados!BI37,Resultados!BR37,Resultados!CA37,Resultados!CJ37)&lt;=1, "", _xlfn.STDEV.S(ABS(Resultados!G37),ABS(Resultados!P37),ABS(Resultados!Y37),ABS(Resultados!AH37),ABS(Resultados!AQ37),ABS(Resultados!AZ37),ABS(Resultados!BI37),ABS(Resultados!BR37),ABS(Resultados!CA37),ABS(Resultados!CJ37))/SQRT(COUNT(Resultados!G37,Resultados!P37,Resultados!Y37,Resultados!AH37,Resultados!AQ37,Resultados!AZ37,Resultados!BI37,Resultados!BR37,Resultados!CA37,Resultados!CJ37)))</f>
        <v>1.8503717077085941E-17</v>
      </c>
      <c r="H37">
        <f>IF(COUNT(Resultados!H37,Resultados!Q37,Resultados!Z37,Resultados!AI37,Resultados!AR37,Resultados!BA37,Resultados!BJ37,Resultados!BS37,Resultados!CB37,Resultados!CK37)&lt;=1, "", _xlfn.STDEV.S(ABS(Resultados!H37),ABS(Resultados!Q37),ABS(Resultados!Z37),ABS(Resultados!AI37),ABS(Resultados!AR37),ABS(Resultados!BA37),ABS(Resultados!BJ37),ABS(Resultados!BS37),ABS(Resultados!CB37),ABS(Resultados!CK37))/SQRT(COUNT(Resultados!H37,Resultados!Q37,Resultados!Z37,Resultados!AI37,Resultados!AR37,Resultados!BA37,Resultados!BJ37,Resultados!BS37,Resultados!CB37,Resultados!CK37)))</f>
        <v>2.3000483086714242E-3</v>
      </c>
      <c r="I37">
        <f>IF(COUNT(Resultados!I37,Resultados!R37,Resultados!AA37,Resultados!AJ37,Resultados!AS37,Resultados!BB37,Resultados!BK37,Resultados!BT37,Resultados!CC37,Resultados!CL37)&lt;=1, "", _xlfn.STDEV.S(ABS(Resultados!I37),ABS(Resultados!R37),ABS(Resultados!AA37),ABS(Resultados!AJ37),ABS(Resultados!AS37),ABS(Resultados!BB37),ABS(Resultados!BK37),ABS(Resultados!BT37),ABS(Resultados!CC37),ABS(Resultados!CL37))/SQRT(COUNT(Resultados!I37,Resultados!R37,Resultados!AA37,Resultados!AJ37,Resultados!AS37,Resultados!BB37,Resultados!BK37,Resultados!BT37,Resultados!CC37,Resultados!CL37)))</f>
        <v>4.0028284583110432E-2</v>
      </c>
    </row>
    <row r="38" spans="1:9" x14ac:dyDescent="0.3">
      <c r="A38">
        <f>IF(COUNT(Resultados!A38,Resultados!J38,Resultados!S38,Resultados!AB38,Resultados!AK38,Resultados!AT38,Resultados!BC38,Resultados!BL38,Resultados!BU38,Resultados!CD38)&lt;=1, "", _xlfn.STDEV.S(ABS(Resultados!A38),ABS(Resultados!J38),ABS(Resultados!S38),ABS(Resultados!AB38),ABS(Resultados!AK38),ABS(Resultados!AT38),ABS(Resultados!BC38),ABS(Resultados!BL38),ABS(Resultados!BU38),ABS(Resultados!CD38))/SQRT(COUNT(Resultados!A38,Resultados!J38,Resultados!S38,Resultados!AB38,Resultados!AK38,Resultados!AT38,Resultados!BC38,Resultados!BL38,Resultados!BU38,Resultados!CD38)))</f>
        <v>0</v>
      </c>
      <c r="B38" t="str">
        <f>IF(COUNT(Resultados!B38,Resultados!K38,Resultados!T38,Resultados!AC38,Resultados!AL38,Resultados!AU38,Resultados!BD38,Resultados!BM38,Resultados!BV38,Resultados!CE38)&lt;=1, "", _xlfn.STDEV.S(ABS(Resultados!B38),ABS(Resultados!K38),ABS(Resultados!T38),ABS(Resultados!AC38),ABS(Resultados!AL38),ABS(Resultados!AU38),ABS(Resultados!BD38),ABS(Resultados!BM38),ABS(Resultados!BV38),ABS(Resultados!CE38))/SQRT(COUNT(Resultados!B38,Resultados!K38,Resultados!T38,Resultados!AC38,Resultados!AL38,Resultados!AU38,Resultados!BD38,Resultados!BM38,Resultados!BV38,Resultados!CE38)))</f>
        <v/>
      </c>
      <c r="C38">
        <f>IF(COUNT(Resultados!C38,Resultados!L38,Resultados!U38,Resultados!AD38,Resultados!AM38,Resultados!AV38,Resultados!BE38,Resultados!BN38,Resultados!BW38,Resultados!CF38)&lt;=1, "", _xlfn.STDEV.S(ABS(Resultados!C38),ABS(Resultados!L38),ABS(Resultados!U38),ABS(Resultados!AD38),ABS(Resultados!AM38),ABS(Resultados!AV38),ABS(Resultados!BE38),ABS(Resultados!BN38),ABS(Resultados!BW38),ABS(Resultados!CF38))/SQRT(COUNT(Resultados!C38,Resultados!L38,Resultados!U38,Resultados!AD38,Resultados!AM38,Resultados!AV38,Resultados!BE38,Resultados!BN38,Resultados!BW38,Resultados!CF38)))</f>
        <v>0.71569701845279621</v>
      </c>
      <c r="D38">
        <f>IF(COUNT(Resultados!D38,Resultados!M38,Resultados!V38,Resultados!AE38,Resultados!AN38,Resultados!AW38,Resultados!BF38,Resultados!BO38,Resultados!BX38,Resultados!CG38)&lt;=1, "", _xlfn.STDEV.S(ABS(Resultados!D38),ABS(Resultados!M38),ABS(Resultados!V38),ABS(Resultados!AE38),ABS(Resultados!AN38),ABS(Resultados!AW38),ABS(Resultados!BF38),ABS(Resultados!BO38),ABS(Resultados!BX38),ABS(Resultados!CG38))/SQRT(COUNT(Resultados!D38,Resultados!M38,Resultados!V38,Resultados!AE38,Resultados!AN38,Resultados!AW38,Resultados!BF38,Resultados!BO38,Resultados!BX38,Resultados!CG38)))</f>
        <v>2.2577299316890067E-3</v>
      </c>
      <c r="E38">
        <f>IF(COUNT(Resultados!E38,Resultados!N38,Resultados!W38,Resultados!AF38,Resultados!AO38,Resultados!AX38,Resultados!BG38,Resultados!BP38,Resultados!BY38,Resultados!CH38)&lt;=1, "", _xlfn.STDEV.S(ABS(Resultados!E38),ABS(Resultados!N38),ABS(Resultados!W38),ABS(Resultados!AF38),ABS(Resultados!AO38),ABS(Resultados!AX38),ABS(Resultados!BG38),ABS(Resultados!BP38),ABS(Resultados!BY38),ABS(Resultados!CH38))/SQRT(COUNT(Resultados!E38,Resultados!N38,Resultados!W38,Resultados!AF38,Resultados!AO38,Resultados!AX38,Resultados!BG38,Resultados!BP38,Resultados!BY38,Resultados!CH38)))</f>
        <v>0.14886383023521188</v>
      </c>
      <c r="F38">
        <f>IF(COUNT(Resultados!F38,Resultados!O38,Resultados!X38,Resultados!AG38,Resultados!AP38,Resultados!AY38,Resultados!BH38,Resultados!BQ38,Resultados!BZ38,Resultados!CI38)&lt;=1, "", _xlfn.STDEV.S(ABS(Resultados!F38),ABS(Resultados!O38),ABS(Resultados!X38),ABS(Resultados!AG38),ABS(Resultados!AP38),ABS(Resultados!AY38),ABS(Resultados!BH38),ABS(Resultados!BQ38),ABS(Resultados!BZ38),ABS(Resultados!CI38))/SQRT(COUNT(Resultados!F38,Resultados!O38,Resultados!X38,Resultados!AG38,Resultados!AP38,Resultados!AY38,Resultados!BH38,Resultados!BQ38,Resultados!BZ38,Resultados!CI38)))</f>
        <v>14.127177489321609</v>
      </c>
      <c r="G38">
        <f>IF(COUNT(Resultados!G38,Resultados!P38,Resultados!Y38,Resultados!AH38,Resultados!AQ38,Resultados!AZ38,Resultados!BI38,Resultados!BR38,Resultados!CA38,Resultados!CJ38)&lt;=1, "", _xlfn.STDEV.S(ABS(Resultados!G38),ABS(Resultados!P38),ABS(Resultados!Y38),ABS(Resultados!AH38),ABS(Resultados!AQ38),ABS(Resultados!AZ38),ABS(Resultados!BI38),ABS(Resultados!BR38),ABS(Resultados!CA38),ABS(Resultados!CJ38))/SQRT(COUNT(Resultados!G38,Resultados!P38,Resultados!Y38,Resultados!AH38,Resultados!AQ38,Resultados!AZ38,Resultados!BI38,Resultados!BR38,Resultados!CA38,Resultados!CJ38)))</f>
        <v>1.8503717077085941E-17</v>
      </c>
      <c r="H38">
        <f>IF(COUNT(Resultados!H38,Resultados!Q38,Resultados!Z38,Resultados!AI38,Resultados!AR38,Resultados!BA38,Resultados!BJ38,Resultados!BS38,Resultados!CB38,Resultados!CK38)&lt;=1, "", _xlfn.STDEV.S(ABS(Resultados!H38),ABS(Resultados!Q38),ABS(Resultados!Z38),ABS(Resultados!AI38),ABS(Resultados!AR38),ABS(Resultados!BA38),ABS(Resultados!BJ38),ABS(Resultados!BS38),ABS(Resultados!CB38),ABS(Resultados!CK38))/SQRT(COUNT(Resultados!H38,Resultados!Q38,Resultados!Z38,Resultados!AI38,Resultados!AR38,Resultados!BA38,Resultados!BJ38,Resultados!BS38,Resultados!CB38,Resultados!CK38)))</f>
        <v>2.3124806305495076E-3</v>
      </c>
      <c r="I38">
        <f>IF(COUNT(Resultados!I38,Resultados!R38,Resultados!AA38,Resultados!AJ38,Resultados!AS38,Resultados!BB38,Resultados!BK38,Resultados!BT38,Resultados!CC38,Resultados!CL38)&lt;=1, "", _xlfn.STDEV.S(ABS(Resultados!I38),ABS(Resultados!R38),ABS(Resultados!AA38),ABS(Resultados!AJ38),ABS(Resultados!AS38),ABS(Resultados!BB38),ABS(Resultados!BK38),ABS(Resultados!BT38),ABS(Resultados!CC38),ABS(Resultados!CL38))/SQRT(COUNT(Resultados!I38,Resultados!R38,Resultados!AA38,Resultados!AJ38,Resultados!AS38,Resultados!BB38,Resultados!BK38,Resultados!BT38,Resultados!CC38,Resultados!CL38)))</f>
        <v>4.004774220296875E-2</v>
      </c>
    </row>
    <row r="39" spans="1:9" x14ac:dyDescent="0.3">
      <c r="A39">
        <f>IF(COUNT(Resultados!A39,Resultados!J39,Resultados!S39,Resultados!AB39,Resultados!AK39,Resultados!AT39,Resultados!BC39,Resultados!BL39,Resultados!BU39,Resultados!CD39)&lt;=1, "", _xlfn.STDEV.S(ABS(Resultados!A39),ABS(Resultados!J39),ABS(Resultados!S39),ABS(Resultados!AB39),ABS(Resultados!AK39),ABS(Resultados!AT39),ABS(Resultados!BC39),ABS(Resultados!BL39),ABS(Resultados!BU39),ABS(Resultados!CD39))/SQRT(COUNT(Resultados!A39,Resultados!J39,Resultados!S39,Resultados!AB39,Resultados!AK39,Resultados!AT39,Resultados!BC39,Resultados!BL39,Resultados!BU39,Resultados!CD39)))</f>
        <v>0</v>
      </c>
      <c r="B39" t="str">
        <f>IF(COUNT(Resultados!B39,Resultados!K39,Resultados!T39,Resultados!AC39,Resultados!AL39,Resultados!AU39,Resultados!BD39,Resultados!BM39,Resultados!BV39,Resultados!CE39)&lt;=1, "", _xlfn.STDEV.S(ABS(Resultados!B39),ABS(Resultados!K39),ABS(Resultados!T39),ABS(Resultados!AC39),ABS(Resultados!AL39),ABS(Resultados!AU39),ABS(Resultados!BD39),ABS(Resultados!BM39),ABS(Resultados!BV39),ABS(Resultados!CE39))/SQRT(COUNT(Resultados!B39,Resultados!K39,Resultados!T39,Resultados!AC39,Resultados!AL39,Resultados!AU39,Resultados!BD39,Resultados!BM39,Resultados!BV39,Resultados!CE39)))</f>
        <v/>
      </c>
      <c r="C39">
        <f>IF(COUNT(Resultados!C39,Resultados!L39,Resultados!U39,Resultados!AD39,Resultados!AM39,Resultados!AV39,Resultados!BE39,Resultados!BN39,Resultados!BW39,Resultados!CF39)&lt;=1, "", _xlfn.STDEV.S(ABS(Resultados!C39),ABS(Resultados!L39),ABS(Resultados!U39),ABS(Resultados!AD39),ABS(Resultados!AM39),ABS(Resultados!AV39),ABS(Resultados!BE39),ABS(Resultados!BN39),ABS(Resultados!BW39),ABS(Resultados!CF39))/SQRT(COUNT(Resultados!C39,Resultados!L39,Resultados!U39,Resultados!AD39,Resultados!AM39,Resultados!AV39,Resultados!BE39,Resultados!BN39,Resultados!BW39,Resultados!CF39)))</f>
        <v>0.71569701845279621</v>
      </c>
      <c r="D39">
        <f>IF(COUNT(Resultados!D39,Resultados!M39,Resultados!V39,Resultados!AE39,Resultados!AN39,Resultados!AW39,Resultados!BF39,Resultados!BO39,Resultados!BX39,Resultados!CG39)&lt;=1, "", _xlfn.STDEV.S(ABS(Resultados!D39),ABS(Resultados!M39),ABS(Resultados!V39),ABS(Resultados!AE39),ABS(Resultados!AN39),ABS(Resultados!AW39),ABS(Resultados!BF39),ABS(Resultados!BO39),ABS(Resultados!BX39),ABS(Resultados!CG39))/SQRT(COUNT(Resultados!D39,Resultados!M39,Resultados!V39,Resultados!AE39,Resultados!AN39,Resultados!AW39,Resultados!BF39,Resultados!BO39,Resultados!BX39,Resultados!CG39)))</f>
        <v>2.3013063922718091E-3</v>
      </c>
      <c r="E39">
        <f>IF(COUNT(Resultados!E39,Resultados!N39,Resultados!W39,Resultados!AF39,Resultados!AO39,Resultados!AX39,Resultados!BG39,Resultados!BP39,Resultados!BY39,Resultados!CH39)&lt;=1, "", _xlfn.STDEV.S(ABS(Resultados!E39),ABS(Resultados!N39),ABS(Resultados!W39),ABS(Resultados!AF39),ABS(Resultados!AO39),ABS(Resultados!AX39),ABS(Resultados!BG39),ABS(Resultados!BP39),ABS(Resultados!BY39),ABS(Resultados!CH39))/SQRT(COUNT(Resultados!E39,Resultados!N39,Resultados!W39,Resultados!AF39,Resultados!AO39,Resultados!AX39,Resultados!BG39,Resultados!BP39,Resultados!BY39,Resultados!CH39)))</f>
        <v>0.14934516707296649</v>
      </c>
      <c r="F39">
        <f>IF(COUNT(Resultados!F39,Resultados!O39,Resultados!X39,Resultados!AG39,Resultados!AP39,Resultados!AY39,Resultados!BH39,Resultados!BQ39,Resultados!BZ39,Resultados!CI39)&lt;=1, "", _xlfn.STDEV.S(ABS(Resultados!F39),ABS(Resultados!O39),ABS(Resultados!X39),ABS(Resultados!AG39),ABS(Resultados!AP39),ABS(Resultados!AY39),ABS(Resultados!BH39),ABS(Resultados!BQ39),ABS(Resultados!BZ39),ABS(Resultados!CI39))/SQRT(COUNT(Resultados!F39,Resultados!O39,Resultados!X39,Resultados!AG39,Resultados!AP39,Resultados!AY39,Resultados!BH39,Resultados!BQ39,Resultados!BZ39,Resultados!CI39)))</f>
        <v>14.172856355224519</v>
      </c>
      <c r="G39">
        <f>IF(COUNT(Resultados!G39,Resultados!P39,Resultados!Y39,Resultados!AH39,Resultados!AQ39,Resultados!AZ39,Resultados!BI39,Resultados!BR39,Resultados!CA39,Resultados!CJ39)&lt;=1, "", _xlfn.STDEV.S(ABS(Resultados!G39),ABS(Resultados!P39),ABS(Resultados!Y39),ABS(Resultados!AH39),ABS(Resultados!AQ39),ABS(Resultados!AZ39),ABS(Resultados!BI39),ABS(Resultados!BR39),ABS(Resultados!CA39),ABS(Resultados!CJ39))/SQRT(COUNT(Resultados!G39,Resultados!P39,Resultados!Y39,Resultados!AH39,Resultados!AQ39,Resultados!AZ39,Resultados!BI39,Resultados!BR39,Resultados!CA39,Resultados!CJ39)))</f>
        <v>1.8503717077085941E-17</v>
      </c>
      <c r="H39">
        <f>IF(COUNT(Resultados!H39,Resultados!Q39,Resultados!Z39,Resultados!AI39,Resultados!AR39,Resultados!BA39,Resultados!BJ39,Resultados!BS39,Resultados!CB39,Resultados!CK39)&lt;=1, "", _xlfn.STDEV.S(ABS(Resultados!H39),ABS(Resultados!Q39),ABS(Resultados!Z39),ABS(Resultados!AI39),ABS(Resultados!AR39),ABS(Resultados!BA39),ABS(Resultados!BJ39),ABS(Resultados!BS39),ABS(Resultados!CB39),ABS(Resultados!CK39))/SQRT(COUNT(Resultados!H39,Resultados!Q39,Resultados!Z39,Resultados!AI39,Resultados!AR39,Resultados!BA39,Resultados!BJ39,Resultados!BS39,Resultados!CB39,Resultados!CK39)))</f>
        <v>2.318114655394686E-3</v>
      </c>
      <c r="I39">
        <f>IF(COUNT(Resultados!I39,Resultados!R39,Resultados!AA39,Resultados!AJ39,Resultados!AS39,Resultados!BB39,Resultados!BK39,Resultados!BT39,Resultados!CC39,Resultados!CL39)&lt;=1, "", _xlfn.STDEV.S(ABS(Resultados!I39),ABS(Resultados!R39),ABS(Resultados!AA39),ABS(Resultados!AJ39),ABS(Resultados!AS39),ABS(Resultados!BB39),ABS(Resultados!BK39),ABS(Resultados!BT39),ABS(Resultados!CC39),ABS(Resultados!CL39))/SQRT(COUNT(Resultados!I39,Resultados!R39,Resultados!AA39,Resultados!AJ39,Resultados!AS39,Resultados!BB39,Resultados!BK39,Resultados!BT39,Resultados!CC39,Resultados!CL39)))</f>
        <v>4.0123638917725711E-2</v>
      </c>
    </row>
    <row r="40" spans="1:9" x14ac:dyDescent="0.3">
      <c r="A40">
        <f>IF(COUNT(Resultados!A40,Resultados!J40,Resultados!S40,Resultados!AB40,Resultados!AK40,Resultados!AT40,Resultados!BC40,Resultados!BL40,Resultados!BU40,Resultados!CD40)&lt;=1, "", _xlfn.STDEV.S(ABS(Resultados!A40),ABS(Resultados!J40),ABS(Resultados!S40),ABS(Resultados!AB40),ABS(Resultados!AK40),ABS(Resultados!AT40),ABS(Resultados!BC40),ABS(Resultados!BL40),ABS(Resultados!BU40),ABS(Resultados!CD40))/SQRT(COUNT(Resultados!A40,Resultados!J40,Resultados!S40,Resultados!AB40,Resultados!AK40,Resultados!AT40,Resultados!BC40,Resultados!BL40,Resultados!BU40,Resultados!CD40)))</f>
        <v>0</v>
      </c>
      <c r="B40" t="str">
        <f>IF(COUNT(Resultados!B40,Resultados!K40,Resultados!T40,Resultados!AC40,Resultados!AL40,Resultados!AU40,Resultados!BD40,Resultados!BM40,Resultados!BV40,Resultados!CE40)&lt;=1, "", _xlfn.STDEV.S(ABS(Resultados!B40),ABS(Resultados!K40),ABS(Resultados!T40),ABS(Resultados!AC40),ABS(Resultados!AL40),ABS(Resultados!AU40),ABS(Resultados!BD40),ABS(Resultados!BM40),ABS(Resultados!BV40),ABS(Resultados!CE40))/SQRT(COUNT(Resultados!B40,Resultados!K40,Resultados!T40,Resultados!AC40,Resultados!AL40,Resultados!AU40,Resultados!BD40,Resultados!BM40,Resultados!BV40,Resultados!CE40)))</f>
        <v/>
      </c>
      <c r="C40">
        <f>IF(COUNT(Resultados!C40,Resultados!L40,Resultados!U40,Resultados!AD40,Resultados!AM40,Resultados!AV40,Resultados!BE40,Resultados!BN40,Resultados!BW40,Resultados!CF40)&lt;=1, "", _xlfn.STDEV.S(ABS(Resultados!C40),ABS(Resultados!L40),ABS(Resultados!U40),ABS(Resultados!AD40),ABS(Resultados!AM40),ABS(Resultados!AV40),ABS(Resultados!BE40),ABS(Resultados!BN40),ABS(Resultados!BW40),ABS(Resultados!CF40))/SQRT(COUNT(Resultados!C40,Resultados!L40,Resultados!U40,Resultados!AD40,Resultados!AM40,Resultados!AV40,Resultados!BE40,Resultados!BN40,Resultados!BW40,Resultados!CF40)))</f>
        <v>0.71569701845279621</v>
      </c>
      <c r="D40">
        <f>IF(COUNT(Resultados!D40,Resultados!M40,Resultados!V40,Resultados!AE40,Resultados!AN40,Resultados!AW40,Resultados!BF40,Resultados!BO40,Resultados!BX40,Resultados!CG40)&lt;=1, "", _xlfn.STDEV.S(ABS(Resultados!D40),ABS(Resultados!M40),ABS(Resultados!V40),ABS(Resultados!AE40),ABS(Resultados!AN40),ABS(Resultados!AW40),ABS(Resultados!BF40),ABS(Resultados!BO40),ABS(Resultados!BX40),ABS(Resultados!CG40))/SQRT(COUNT(Resultados!D40,Resultados!M40,Resultados!V40,Resultados!AE40,Resultados!AN40,Resultados!AW40,Resultados!BF40,Resultados!BO40,Resultados!BX40,Resultados!CG40)))</f>
        <v>2.2576880997063303E-3</v>
      </c>
      <c r="E40">
        <f>IF(COUNT(Resultados!E40,Resultados!N40,Resultados!W40,Resultados!AF40,Resultados!AO40,Resultados!AX40,Resultados!BG40,Resultados!BP40,Resultados!BY40,Resultados!CH40)&lt;=1, "", _xlfn.STDEV.S(ABS(Resultados!E40),ABS(Resultados!N40),ABS(Resultados!W40),ABS(Resultados!AF40),ABS(Resultados!AO40),ABS(Resultados!AX40),ABS(Resultados!BG40),ABS(Resultados!BP40),ABS(Resultados!BY40),ABS(Resultados!CH40))/SQRT(COUNT(Resultados!E40,Resultados!N40,Resultados!W40,Resultados!AF40,Resultados!AO40,Resultados!AX40,Resultados!BG40,Resultados!BP40,Resultados!BY40,Resultados!CH40)))</f>
        <v>0.14957878047515766</v>
      </c>
      <c r="F40">
        <f>IF(COUNT(Resultados!F40,Resultados!O40,Resultados!X40,Resultados!AG40,Resultados!AP40,Resultados!AY40,Resultados!BH40,Resultados!BQ40,Resultados!BZ40,Resultados!CI40)&lt;=1, "", _xlfn.STDEV.S(ABS(Resultados!F40),ABS(Resultados!O40),ABS(Resultados!X40),ABS(Resultados!AG40),ABS(Resultados!AP40),ABS(Resultados!AY40),ABS(Resultados!BH40),ABS(Resultados!BQ40),ABS(Resultados!BZ40),ABS(Resultados!CI40))/SQRT(COUNT(Resultados!F40,Resultados!O40,Resultados!X40,Resultados!AG40,Resultados!AP40,Resultados!AY40,Resultados!BH40,Resultados!BQ40,Resultados!BZ40,Resultados!CI40)))</f>
        <v>14.195026267092459</v>
      </c>
      <c r="G40">
        <f>IF(COUNT(Resultados!G40,Resultados!P40,Resultados!Y40,Resultados!AH40,Resultados!AQ40,Resultados!AZ40,Resultados!BI40,Resultados!BR40,Resultados!CA40,Resultados!CJ40)&lt;=1, "", _xlfn.STDEV.S(ABS(Resultados!G40),ABS(Resultados!P40),ABS(Resultados!Y40),ABS(Resultados!AH40),ABS(Resultados!AQ40),ABS(Resultados!AZ40),ABS(Resultados!BI40),ABS(Resultados!BR40),ABS(Resultados!CA40),ABS(Resultados!CJ40))/SQRT(COUNT(Resultados!G40,Resultados!P40,Resultados!Y40,Resultados!AH40,Resultados!AQ40,Resultados!AZ40,Resultados!BI40,Resultados!BR40,Resultados!CA40,Resultados!CJ40)))</f>
        <v>1.8503717077085941E-17</v>
      </c>
      <c r="H40">
        <f>IF(COUNT(Resultados!H40,Resultados!Q40,Resultados!Z40,Resultados!AI40,Resultados!AR40,Resultados!BA40,Resultados!BJ40,Resultados!BS40,Resultados!CB40,Resultados!CK40)&lt;=1, "", _xlfn.STDEV.S(ABS(Resultados!H40),ABS(Resultados!Q40),ABS(Resultados!Z40),ABS(Resultados!AI40),ABS(Resultados!AR40),ABS(Resultados!BA40),ABS(Resultados!BJ40),ABS(Resultados!BS40),ABS(Resultados!CB40),ABS(Resultados!CK40))/SQRT(COUNT(Resultados!H40,Resultados!Q40,Resultados!Z40,Resultados!AI40,Resultados!AR40,Resultados!BA40,Resultados!BJ40,Resultados!BS40,Resultados!CB40,Resultados!CK40)))</f>
        <v>2.3225082226860645E-3</v>
      </c>
      <c r="I40">
        <f>IF(COUNT(Resultados!I40,Resultados!R40,Resultados!AA40,Resultados!AJ40,Resultados!AS40,Resultados!BB40,Resultados!BK40,Resultados!BT40,Resultados!CC40,Resultados!CL40)&lt;=1, "", _xlfn.STDEV.S(ABS(Resultados!I40),ABS(Resultados!R40),ABS(Resultados!AA40),ABS(Resultados!AJ40),ABS(Resultados!AS40),ABS(Resultados!BB40),ABS(Resultados!BK40),ABS(Resultados!BT40),ABS(Resultados!CC40),ABS(Resultados!CL40))/SQRT(COUNT(Resultados!I40,Resultados!R40,Resultados!AA40,Resultados!AJ40,Resultados!AS40,Resultados!BB40,Resultados!BK40,Resultados!BT40,Resultados!CC40,Resultados!CL40)))</f>
        <v>3.996833468857422E-2</v>
      </c>
    </row>
    <row r="41" spans="1:9" x14ac:dyDescent="0.3">
      <c r="A41">
        <f>IF(COUNT(Resultados!A41,Resultados!J41,Resultados!S41,Resultados!AB41,Resultados!AK41,Resultados!AT41,Resultados!BC41,Resultados!BL41,Resultados!BU41,Resultados!CD41)&lt;=1, "", _xlfn.STDEV.S(ABS(Resultados!A41),ABS(Resultados!J41),ABS(Resultados!S41),ABS(Resultados!AB41),ABS(Resultados!AK41),ABS(Resultados!AT41),ABS(Resultados!BC41),ABS(Resultados!BL41),ABS(Resultados!BU41),ABS(Resultados!CD41))/SQRT(COUNT(Resultados!A41,Resultados!J41,Resultados!S41,Resultados!AB41,Resultados!AK41,Resultados!AT41,Resultados!BC41,Resultados!BL41,Resultados!BU41,Resultados!CD41)))</f>
        <v>0</v>
      </c>
      <c r="B41" t="str">
        <f>IF(COUNT(Resultados!B41,Resultados!K41,Resultados!T41,Resultados!AC41,Resultados!AL41,Resultados!AU41,Resultados!BD41,Resultados!BM41,Resultados!BV41,Resultados!CE41)&lt;=1, "", _xlfn.STDEV.S(ABS(Resultados!B41),ABS(Resultados!K41),ABS(Resultados!T41),ABS(Resultados!AC41),ABS(Resultados!AL41),ABS(Resultados!AU41),ABS(Resultados!BD41),ABS(Resultados!BM41),ABS(Resultados!BV41),ABS(Resultados!CE41))/SQRT(COUNT(Resultados!B41,Resultados!K41,Resultados!T41,Resultados!AC41,Resultados!AL41,Resultados!AU41,Resultados!BD41,Resultados!BM41,Resultados!BV41,Resultados!CE41)))</f>
        <v/>
      </c>
      <c r="C41">
        <f>IF(COUNT(Resultados!C41,Resultados!L41,Resultados!U41,Resultados!AD41,Resultados!AM41,Resultados!AV41,Resultados!BE41,Resultados!BN41,Resultados!BW41,Resultados!CF41)&lt;=1, "", _xlfn.STDEV.S(ABS(Resultados!C41),ABS(Resultados!L41),ABS(Resultados!U41),ABS(Resultados!AD41),ABS(Resultados!AM41),ABS(Resultados!AV41),ABS(Resultados!BE41),ABS(Resultados!BN41),ABS(Resultados!BW41),ABS(Resultados!CF41))/SQRT(COUNT(Resultados!C41,Resultados!L41,Resultados!U41,Resultados!AD41,Resultados!AM41,Resultados!AV41,Resultados!BE41,Resultados!BN41,Resultados!BW41,Resultados!CF41)))</f>
        <v>0.71569701845279621</v>
      </c>
      <c r="D41">
        <f>IF(COUNT(Resultados!D41,Resultados!M41,Resultados!V41,Resultados!AE41,Resultados!AN41,Resultados!AW41,Resultados!BF41,Resultados!BO41,Resultados!BX41,Resultados!CG41)&lt;=1, "", _xlfn.STDEV.S(ABS(Resultados!D41),ABS(Resultados!M41),ABS(Resultados!V41),ABS(Resultados!AE41),ABS(Resultados!AN41),ABS(Resultados!AW41),ABS(Resultados!BF41),ABS(Resultados!BO41),ABS(Resultados!BX41),ABS(Resultados!CG41))/SQRT(COUNT(Resultados!D41,Resultados!M41,Resultados!V41,Resultados!AE41,Resultados!AN41,Resultados!AW41,Resultados!BF41,Resultados!BO41,Resultados!BX41,Resultados!CG41)))</f>
        <v>2.2964610454639413E-3</v>
      </c>
      <c r="E41">
        <f>IF(COUNT(Resultados!E41,Resultados!N41,Resultados!W41,Resultados!AF41,Resultados!AO41,Resultados!AX41,Resultados!BG41,Resultados!BP41,Resultados!BY41,Resultados!CH41)&lt;=1, "", _xlfn.STDEV.S(ABS(Resultados!E41),ABS(Resultados!N41),ABS(Resultados!W41),ABS(Resultados!AF41),ABS(Resultados!AO41),ABS(Resultados!AX41),ABS(Resultados!BG41),ABS(Resultados!BP41),ABS(Resultados!BY41),ABS(Resultados!CH41))/SQRT(COUNT(Resultados!E41,Resultados!N41,Resultados!W41,Resultados!AF41,Resultados!AO41,Resultados!AX41,Resultados!BG41,Resultados!BP41,Resultados!BY41,Resultados!CH41)))</f>
        <v>0.14949572795507171</v>
      </c>
      <c r="F41">
        <f>IF(COUNT(Resultados!F41,Resultados!O41,Resultados!X41,Resultados!AG41,Resultados!AP41,Resultados!AY41,Resultados!BH41,Resultados!BQ41,Resultados!BZ41,Resultados!CI41)&lt;=1, "", _xlfn.STDEV.S(ABS(Resultados!F41),ABS(Resultados!O41),ABS(Resultados!X41),ABS(Resultados!AG41),ABS(Resultados!AP41),ABS(Resultados!AY41),ABS(Resultados!BH41),ABS(Resultados!BQ41),ABS(Resultados!BZ41),ABS(Resultados!CI41))/SQRT(COUNT(Resultados!F41,Resultados!O41,Resultados!X41,Resultados!AG41,Resultados!AP41,Resultados!AY41,Resultados!BH41,Resultados!BQ41,Resultados!BZ41,Resultados!CI41)))</f>
        <v>14.187144582936311</v>
      </c>
      <c r="G41">
        <f>IF(COUNT(Resultados!G41,Resultados!P41,Resultados!Y41,Resultados!AH41,Resultados!AQ41,Resultados!AZ41,Resultados!BI41,Resultados!BR41,Resultados!CA41,Resultados!CJ41)&lt;=1, "", _xlfn.STDEV.S(ABS(Resultados!G41),ABS(Resultados!P41),ABS(Resultados!Y41),ABS(Resultados!AH41),ABS(Resultados!AQ41),ABS(Resultados!AZ41),ABS(Resultados!BI41),ABS(Resultados!BR41),ABS(Resultados!CA41),ABS(Resultados!CJ41))/SQRT(COUNT(Resultados!G41,Resultados!P41,Resultados!Y41,Resultados!AH41,Resultados!AQ41,Resultados!AZ41,Resultados!BI41,Resultados!BR41,Resultados!CA41,Resultados!CJ41)))</f>
        <v>1.8503717077085941E-17</v>
      </c>
      <c r="H41">
        <f>IF(COUNT(Resultados!H41,Resultados!Q41,Resultados!Z41,Resultados!AI41,Resultados!AR41,Resultados!BA41,Resultados!BJ41,Resultados!BS41,Resultados!CB41,Resultados!CK41)&lt;=1, "", _xlfn.STDEV.S(ABS(Resultados!H41),ABS(Resultados!Q41),ABS(Resultados!Z41),ABS(Resultados!AI41),ABS(Resultados!AR41),ABS(Resultados!BA41),ABS(Resultados!BJ41),ABS(Resultados!BS41),ABS(Resultados!CB41),ABS(Resultados!CK41))/SQRT(COUNT(Resultados!H41,Resultados!Q41,Resultados!Z41,Resultados!AI41,Resultados!AR41,Resultados!BA41,Resultados!BJ41,Resultados!BS41,Resultados!CB41,Resultados!CK41)))</f>
        <v>2.3238951974839366E-3</v>
      </c>
      <c r="I41">
        <f>IF(COUNT(Resultados!I41,Resultados!R41,Resultados!AA41,Resultados!AJ41,Resultados!AS41,Resultados!BB41,Resultados!BK41,Resultados!BT41,Resultados!CC41,Resultados!CL41)&lt;=1, "", _xlfn.STDEV.S(ABS(Resultados!I41),ABS(Resultados!R41),ABS(Resultados!AA41),ABS(Resultados!AJ41),ABS(Resultados!AS41),ABS(Resultados!BB41),ABS(Resultados!BK41),ABS(Resultados!BT41),ABS(Resultados!CC41),ABS(Resultados!CL41))/SQRT(COUNT(Resultados!I41,Resultados!R41,Resultados!AA41,Resultados!AJ41,Resultados!AS41,Resultados!BB41,Resultados!BK41,Resultados!BT41,Resultados!CC41,Resultados!CL41)))</f>
        <v>4.0018223071212521E-2</v>
      </c>
    </row>
    <row r="42" spans="1:9" x14ac:dyDescent="0.3">
      <c r="A42">
        <f>IF(COUNT(Resultados!A42,Resultados!J42,Resultados!S42,Resultados!AB42,Resultados!AK42,Resultados!AT42,Resultados!BC42,Resultados!BL42,Resultados!BU42,Resultados!CD42)&lt;=1, "", _xlfn.STDEV.S(ABS(Resultados!A42),ABS(Resultados!J42),ABS(Resultados!S42),ABS(Resultados!AB42),ABS(Resultados!AK42),ABS(Resultados!AT42),ABS(Resultados!BC42),ABS(Resultados!BL42),ABS(Resultados!BU42),ABS(Resultados!CD42))/SQRT(COUNT(Resultados!A42,Resultados!J42,Resultados!S42,Resultados!AB42,Resultados!AK42,Resultados!AT42,Resultados!BC42,Resultados!BL42,Resultados!BU42,Resultados!CD42)))</f>
        <v>0</v>
      </c>
      <c r="B42" t="str">
        <f>IF(COUNT(Resultados!B42,Resultados!K42,Resultados!T42,Resultados!AC42,Resultados!AL42,Resultados!AU42,Resultados!BD42,Resultados!BM42,Resultados!BV42,Resultados!CE42)&lt;=1, "", _xlfn.STDEV.S(ABS(Resultados!B42),ABS(Resultados!K42),ABS(Resultados!T42),ABS(Resultados!AC42),ABS(Resultados!AL42),ABS(Resultados!AU42),ABS(Resultados!BD42),ABS(Resultados!BM42),ABS(Resultados!BV42),ABS(Resultados!CE42))/SQRT(COUNT(Resultados!B42,Resultados!K42,Resultados!T42,Resultados!AC42,Resultados!AL42,Resultados!AU42,Resultados!BD42,Resultados!BM42,Resultados!BV42,Resultados!CE42)))</f>
        <v/>
      </c>
      <c r="C42">
        <f>IF(COUNT(Resultados!C42,Resultados!L42,Resultados!U42,Resultados!AD42,Resultados!AM42,Resultados!AV42,Resultados!BE42,Resultados!BN42,Resultados!BW42,Resultados!CF42)&lt;=1, "", _xlfn.STDEV.S(ABS(Resultados!C42),ABS(Resultados!L42),ABS(Resultados!U42),ABS(Resultados!AD42),ABS(Resultados!AM42),ABS(Resultados!AV42),ABS(Resultados!BE42),ABS(Resultados!BN42),ABS(Resultados!BW42),ABS(Resultados!CF42))/SQRT(COUNT(Resultados!C42,Resultados!L42,Resultados!U42,Resultados!AD42,Resultados!AM42,Resultados!AV42,Resultados!BE42,Resultados!BN42,Resultados!BW42,Resultados!CF42)))</f>
        <v>0.71569701845279621</v>
      </c>
      <c r="D42">
        <f>IF(COUNT(Resultados!D42,Resultados!M42,Resultados!V42,Resultados!AE42,Resultados!AN42,Resultados!AW42,Resultados!BF42,Resultados!BO42,Resultados!BX42,Resultados!CG42)&lt;=1, "", _xlfn.STDEV.S(ABS(Resultados!D42),ABS(Resultados!M42),ABS(Resultados!V42),ABS(Resultados!AE42),ABS(Resultados!AN42),ABS(Resultados!AW42),ABS(Resultados!BF42),ABS(Resultados!BO42),ABS(Resultados!BX42),ABS(Resultados!CG42))/SQRT(COUNT(Resultados!D42,Resultados!M42,Resultados!V42,Resultados!AE42,Resultados!AN42,Resultados!AW42,Resultados!BF42,Resultados!BO42,Resultados!BX42,Resultados!CG42)))</f>
        <v>2.30113257138982E-3</v>
      </c>
      <c r="E42">
        <f>IF(COUNT(Resultados!E42,Resultados!N42,Resultados!W42,Resultados!AF42,Resultados!AO42,Resultados!AX42,Resultados!BG42,Resultados!BP42,Resultados!BY42,Resultados!CH42)&lt;=1, "", _xlfn.STDEV.S(ABS(Resultados!E42),ABS(Resultados!N42),ABS(Resultados!W42),ABS(Resultados!AF42),ABS(Resultados!AO42),ABS(Resultados!AX42),ABS(Resultados!BG42),ABS(Resultados!BP42),ABS(Resultados!BY42),ABS(Resultados!CH42))/SQRT(COUNT(Resultados!E42,Resultados!N42,Resultados!W42,Resultados!AF42,Resultados!AO42,Resultados!AX42,Resultados!BG42,Resultados!BP42,Resultados!BY42,Resultados!CH42)))</f>
        <v>0.14916528343705773</v>
      </c>
      <c r="F42">
        <f>IF(COUNT(Resultados!F42,Resultados!O42,Resultados!X42,Resultados!AG42,Resultados!AP42,Resultados!AY42,Resultados!BH42,Resultados!BQ42,Resultados!BZ42,Resultados!CI42)&lt;=1, "", _xlfn.STDEV.S(ABS(Resultados!F42),ABS(Resultados!O42),ABS(Resultados!X42),ABS(Resultados!AG42),ABS(Resultados!AP42),ABS(Resultados!AY42),ABS(Resultados!BH42),ABS(Resultados!BQ42),ABS(Resultados!BZ42),ABS(Resultados!CI42))/SQRT(COUNT(Resultados!F42,Resultados!O42,Resultados!X42,Resultados!AG42,Resultados!AP42,Resultados!AY42,Resultados!BH42,Resultados!BQ42,Resultados!BZ42,Resultados!CI42)))</f>
        <v>14.155785398176784</v>
      </c>
      <c r="G42">
        <f>IF(COUNT(Resultados!G42,Resultados!P42,Resultados!Y42,Resultados!AH42,Resultados!AQ42,Resultados!AZ42,Resultados!BI42,Resultados!BR42,Resultados!CA42,Resultados!CJ42)&lt;=1, "", _xlfn.STDEV.S(ABS(Resultados!G42),ABS(Resultados!P42),ABS(Resultados!Y42),ABS(Resultados!AH42),ABS(Resultados!AQ42),ABS(Resultados!AZ42),ABS(Resultados!BI42),ABS(Resultados!BR42),ABS(Resultados!CA42),ABS(Resultados!CJ42))/SQRT(COUNT(Resultados!G42,Resultados!P42,Resultados!Y42,Resultados!AH42,Resultados!AQ42,Resultados!AZ42,Resultados!BI42,Resultados!BR42,Resultados!CA42,Resultados!CJ42)))</f>
        <v>1.8503717077085941E-17</v>
      </c>
      <c r="H42">
        <f>IF(COUNT(Resultados!H42,Resultados!Q42,Resultados!Z42,Resultados!AI42,Resultados!AR42,Resultados!BA42,Resultados!BJ42,Resultados!BS42,Resultados!CB42,Resultados!CK42)&lt;=1, "", _xlfn.STDEV.S(ABS(Resultados!H42),ABS(Resultados!Q42),ABS(Resultados!Z42),ABS(Resultados!AI42),ABS(Resultados!AR42),ABS(Resultados!BA42),ABS(Resultados!BJ42),ABS(Resultados!BS42),ABS(Resultados!CB42),ABS(Resultados!CK42))/SQRT(COUNT(Resultados!H42,Resultados!Q42,Resultados!Z42,Resultados!AI42,Resultados!AR42,Resultados!BA42,Resultados!BJ42,Resultados!BS42,Resultados!CB42,Resultados!CK42)))</f>
        <v>2.3117597914431628E-3</v>
      </c>
      <c r="I42">
        <f>IF(COUNT(Resultados!I42,Resultados!R42,Resultados!AA42,Resultados!AJ42,Resultados!AS42,Resultados!BB42,Resultados!BK42,Resultados!BT42,Resultados!CC42,Resultados!CL42)&lt;=1, "", _xlfn.STDEV.S(ABS(Resultados!I42),ABS(Resultados!R42),ABS(Resultados!AA42),ABS(Resultados!AJ42),ABS(Resultados!AS42),ABS(Resultados!BB42),ABS(Resultados!BK42),ABS(Resultados!BT42),ABS(Resultados!CC42),ABS(Resultados!CL42))/SQRT(COUNT(Resultados!I42,Resultados!R42,Resultados!AA42,Resultados!AJ42,Resultados!AS42,Resultados!BB42,Resultados!BK42,Resultados!BT42,Resultados!CC42,Resultados!CL42)))</f>
        <v>4.0078428112884326E-2</v>
      </c>
    </row>
    <row r="43" spans="1:9" x14ac:dyDescent="0.3">
      <c r="A43">
        <f>IF(COUNT(Resultados!A43,Resultados!J43,Resultados!S43,Resultados!AB43,Resultados!AK43,Resultados!AT43,Resultados!BC43,Resultados!BL43,Resultados!BU43,Resultados!CD43)&lt;=1, "", _xlfn.STDEV.S(ABS(Resultados!A43),ABS(Resultados!J43),ABS(Resultados!S43),ABS(Resultados!AB43),ABS(Resultados!AK43),ABS(Resultados!AT43),ABS(Resultados!BC43),ABS(Resultados!BL43),ABS(Resultados!BU43),ABS(Resultados!CD43))/SQRT(COUNT(Resultados!A43,Resultados!J43,Resultados!S43,Resultados!AB43,Resultados!AK43,Resultados!AT43,Resultados!BC43,Resultados!BL43,Resultados!BU43,Resultados!CD43)))</f>
        <v>0</v>
      </c>
      <c r="B43" t="str">
        <f>IF(COUNT(Resultados!B43,Resultados!K43,Resultados!T43,Resultados!AC43,Resultados!AL43,Resultados!AU43,Resultados!BD43,Resultados!BM43,Resultados!BV43,Resultados!CE43)&lt;=1, "", _xlfn.STDEV.S(ABS(Resultados!B43),ABS(Resultados!K43),ABS(Resultados!T43),ABS(Resultados!AC43),ABS(Resultados!AL43),ABS(Resultados!AU43),ABS(Resultados!BD43),ABS(Resultados!BM43),ABS(Resultados!BV43),ABS(Resultados!CE43))/SQRT(COUNT(Resultados!B43,Resultados!K43,Resultados!T43,Resultados!AC43,Resultados!AL43,Resultados!AU43,Resultados!BD43,Resultados!BM43,Resultados!BV43,Resultados!CE43)))</f>
        <v/>
      </c>
      <c r="C43">
        <f>IF(COUNT(Resultados!C43,Resultados!L43,Resultados!U43,Resultados!AD43,Resultados!AM43,Resultados!AV43,Resultados!BE43,Resultados!BN43,Resultados!BW43,Resultados!CF43)&lt;=1, "", _xlfn.STDEV.S(ABS(Resultados!C43),ABS(Resultados!L43),ABS(Resultados!U43),ABS(Resultados!AD43),ABS(Resultados!AM43),ABS(Resultados!AV43),ABS(Resultados!BE43),ABS(Resultados!BN43),ABS(Resultados!BW43),ABS(Resultados!CF43))/SQRT(COUNT(Resultados!C43,Resultados!L43,Resultados!U43,Resultados!AD43,Resultados!AM43,Resultados!AV43,Resultados!BE43,Resultados!BN43,Resultados!BW43,Resultados!CF43)))</f>
        <v>0.71569701845279621</v>
      </c>
      <c r="D43">
        <f>IF(COUNT(Resultados!D43,Resultados!M43,Resultados!V43,Resultados!AE43,Resultados!AN43,Resultados!AW43,Resultados!BF43,Resultados!BO43,Resultados!BX43,Resultados!CG43)&lt;=1, "", _xlfn.STDEV.S(ABS(Resultados!D43),ABS(Resultados!M43),ABS(Resultados!V43),ABS(Resultados!AE43),ABS(Resultados!AN43),ABS(Resultados!AW43),ABS(Resultados!BF43),ABS(Resultados!BO43),ABS(Resultados!BX43),ABS(Resultados!CG43))/SQRT(COUNT(Resultados!D43,Resultados!M43,Resultados!V43,Resultados!AE43,Resultados!AN43,Resultados!AW43,Resultados!BF43,Resultados!BO43,Resultados!BX43,Resultados!CG43)))</f>
        <v>2.2956504766865377E-3</v>
      </c>
      <c r="E43">
        <f>IF(COUNT(Resultados!E43,Resultados!N43,Resultados!W43,Resultados!AF43,Resultados!AO43,Resultados!AX43,Resultados!BG43,Resultados!BP43,Resultados!BY43,Resultados!CH43)&lt;=1, "", _xlfn.STDEV.S(ABS(Resultados!E43),ABS(Resultados!N43),ABS(Resultados!W43),ABS(Resultados!AF43),ABS(Resultados!AO43),ABS(Resultados!AX43),ABS(Resultados!BG43),ABS(Resultados!BP43),ABS(Resultados!BY43),ABS(Resultados!CH43))/SQRT(COUNT(Resultados!E43,Resultados!N43,Resultados!W43,Resultados!AF43,Resultados!AO43,Resultados!AX43,Resultados!BG43,Resultados!BP43,Resultados!BY43,Resultados!CH43)))</f>
        <v>0.14862397743518241</v>
      </c>
      <c r="F43">
        <f>IF(COUNT(Resultados!F43,Resultados!O43,Resultados!X43,Resultados!AG43,Resultados!AP43,Resultados!AY43,Resultados!BH43,Resultados!BQ43,Resultados!BZ43,Resultados!CI43)&lt;=1, "", _xlfn.STDEV.S(ABS(Resultados!F43),ABS(Resultados!O43),ABS(Resultados!X43),ABS(Resultados!AG43),ABS(Resultados!AP43),ABS(Resultados!AY43),ABS(Resultados!BH43),ABS(Resultados!BQ43),ABS(Resultados!BZ43),ABS(Resultados!CI43))/SQRT(COUNT(Resultados!F43,Resultados!O43,Resultados!X43,Resultados!AG43,Resultados!AP43,Resultados!AY43,Resultados!BH43,Resultados!BQ43,Resultados!BZ43,Resultados!CI43)))</f>
        <v>14.104415458598814</v>
      </c>
      <c r="G43">
        <f>IF(COUNT(Resultados!G43,Resultados!P43,Resultados!Y43,Resultados!AH43,Resultados!AQ43,Resultados!AZ43,Resultados!BI43,Resultados!BR43,Resultados!CA43,Resultados!CJ43)&lt;=1, "", _xlfn.STDEV.S(ABS(Resultados!G43),ABS(Resultados!P43),ABS(Resultados!Y43),ABS(Resultados!AH43),ABS(Resultados!AQ43),ABS(Resultados!AZ43),ABS(Resultados!BI43),ABS(Resultados!BR43),ABS(Resultados!CA43),ABS(Resultados!CJ43))/SQRT(COUNT(Resultados!G43,Resultados!P43,Resultados!Y43,Resultados!AH43,Resultados!AQ43,Resultados!AZ43,Resultados!BI43,Resultados!BR43,Resultados!CA43,Resultados!CJ43)))</f>
        <v>1.8503717077085941E-17</v>
      </c>
      <c r="H43">
        <f>IF(COUNT(Resultados!H43,Resultados!Q43,Resultados!Z43,Resultados!AI43,Resultados!AR43,Resultados!BA43,Resultados!BJ43,Resultados!BS43,Resultados!CB43,Resultados!CK43)&lt;=1, "", _xlfn.STDEV.S(ABS(Resultados!H43),ABS(Resultados!Q43),ABS(Resultados!Z43),ABS(Resultados!AI43),ABS(Resultados!AR43),ABS(Resultados!BA43),ABS(Resultados!BJ43),ABS(Resultados!BS43),ABS(Resultados!CB43),ABS(Resultados!CK43))/SQRT(COUNT(Resultados!H43,Resultados!Q43,Resultados!Z43,Resultados!AI43,Resultados!AR43,Resultados!BA43,Resultados!BJ43,Resultados!BS43,Resultados!CB43,Resultados!CK43)))</f>
        <v>2.3070929278591686E-3</v>
      </c>
      <c r="I43">
        <f>IF(COUNT(Resultados!I43,Resultados!R43,Resultados!AA43,Resultados!AJ43,Resultados!AS43,Resultados!BB43,Resultados!BK43,Resultados!BT43,Resultados!CC43,Resultados!CL43)&lt;=1, "", _xlfn.STDEV.S(ABS(Resultados!I43),ABS(Resultados!R43),ABS(Resultados!AA43),ABS(Resultados!AJ43),ABS(Resultados!AS43),ABS(Resultados!BB43),ABS(Resultados!BK43),ABS(Resultados!BT43),ABS(Resultados!CC43),ABS(Resultados!CL43))/SQRT(COUNT(Resultados!I43,Resultados!R43,Resultados!AA43,Resultados!AJ43,Resultados!AS43,Resultados!BB43,Resultados!BK43,Resultados!BT43,Resultados!CC43,Resultados!CL43)))</f>
        <v>4.0156686035238899E-2</v>
      </c>
    </row>
    <row r="44" spans="1:9" x14ac:dyDescent="0.3">
      <c r="A44">
        <f>IF(COUNT(Resultados!A44,Resultados!J44,Resultados!S44,Resultados!AB44,Resultados!AK44,Resultados!AT44,Resultados!BC44,Resultados!BL44,Resultados!BU44,Resultados!CD44)&lt;=1, "", _xlfn.STDEV.S(ABS(Resultados!A44),ABS(Resultados!J44),ABS(Resultados!S44),ABS(Resultados!AB44),ABS(Resultados!AK44),ABS(Resultados!AT44),ABS(Resultados!BC44),ABS(Resultados!BL44),ABS(Resultados!BU44),ABS(Resultados!CD44))/SQRT(COUNT(Resultados!A44,Resultados!J44,Resultados!S44,Resultados!AB44,Resultados!AK44,Resultados!AT44,Resultados!BC44,Resultados!BL44,Resultados!BU44,Resultados!CD44)))</f>
        <v>0</v>
      </c>
      <c r="B44" t="str">
        <f>IF(COUNT(Resultados!B44,Resultados!K44,Resultados!T44,Resultados!AC44,Resultados!AL44,Resultados!AU44,Resultados!BD44,Resultados!BM44,Resultados!BV44,Resultados!CE44)&lt;=1, "", _xlfn.STDEV.S(ABS(Resultados!B44),ABS(Resultados!K44),ABS(Resultados!T44),ABS(Resultados!AC44),ABS(Resultados!AL44),ABS(Resultados!AU44),ABS(Resultados!BD44),ABS(Resultados!BM44),ABS(Resultados!BV44),ABS(Resultados!CE44))/SQRT(COUNT(Resultados!B44,Resultados!K44,Resultados!T44,Resultados!AC44,Resultados!AL44,Resultados!AU44,Resultados!BD44,Resultados!BM44,Resultados!BV44,Resultados!CE44)))</f>
        <v/>
      </c>
      <c r="C44">
        <f>IF(COUNT(Resultados!C44,Resultados!L44,Resultados!U44,Resultados!AD44,Resultados!AM44,Resultados!AV44,Resultados!BE44,Resultados!BN44,Resultados!BW44,Resultados!CF44)&lt;=1, "", _xlfn.STDEV.S(ABS(Resultados!C44),ABS(Resultados!L44),ABS(Resultados!U44),ABS(Resultados!AD44),ABS(Resultados!AM44),ABS(Resultados!AV44),ABS(Resultados!BE44),ABS(Resultados!BN44),ABS(Resultados!BW44),ABS(Resultados!CF44))/SQRT(COUNT(Resultados!C44,Resultados!L44,Resultados!U44,Resultados!AD44,Resultados!AM44,Resultados!AV44,Resultados!BE44,Resultados!BN44,Resultados!BW44,Resultados!CF44)))</f>
        <v>0.71569701845279621</v>
      </c>
      <c r="D44">
        <f>IF(COUNT(Resultados!D44,Resultados!M44,Resultados!V44,Resultados!AE44,Resultados!AN44,Resultados!AW44,Resultados!BF44,Resultados!BO44,Resultados!BX44,Resultados!CG44)&lt;=1, "", _xlfn.STDEV.S(ABS(Resultados!D44),ABS(Resultados!M44),ABS(Resultados!V44),ABS(Resultados!AE44),ABS(Resultados!AN44),ABS(Resultados!AW44),ABS(Resultados!BF44),ABS(Resultados!BO44),ABS(Resultados!BX44),ABS(Resultados!CG44))/SQRT(COUNT(Resultados!D44,Resultados!M44,Resultados!V44,Resultados!AE44,Resultados!AN44,Resultados!AW44,Resultados!BF44,Resultados!BO44,Resultados!BX44,Resultados!CG44)))</f>
        <v>2.3327737424219497E-3</v>
      </c>
      <c r="E44">
        <f>IF(COUNT(Resultados!E44,Resultados!N44,Resultados!W44,Resultados!AF44,Resultados!AO44,Resultados!AX44,Resultados!BG44,Resultados!BP44,Resultados!BY44,Resultados!CH44)&lt;=1, "", _xlfn.STDEV.S(ABS(Resultados!E44),ABS(Resultados!N44),ABS(Resultados!W44),ABS(Resultados!AF44),ABS(Resultados!AO44),ABS(Resultados!AX44),ABS(Resultados!BG44),ABS(Resultados!BP44),ABS(Resultados!BY44),ABS(Resultados!CH44))/SQRT(COUNT(Resultados!E44,Resultados!N44,Resultados!W44,Resultados!AF44,Resultados!AO44,Resultados!AX44,Resultados!BG44,Resultados!BP44,Resultados!BY44,Resultados!CH44)))</f>
        <v>0.1478433885584525</v>
      </c>
      <c r="F44">
        <f>IF(COUNT(Resultados!F44,Resultados!O44,Resultados!X44,Resultados!AG44,Resultados!AP44,Resultados!AY44,Resultados!BH44,Resultados!BQ44,Resultados!BZ44,Resultados!CI44)&lt;=1, "", _xlfn.STDEV.S(ABS(Resultados!F44),ABS(Resultados!O44),ABS(Resultados!X44),ABS(Resultados!AG44),ABS(Resultados!AP44),ABS(Resultados!AY44),ABS(Resultados!BH44),ABS(Resultados!BQ44),ABS(Resultados!BZ44),ABS(Resultados!CI44))/SQRT(COUNT(Resultados!F44,Resultados!O44,Resultados!X44,Resultados!AG44,Resultados!AP44,Resultados!AY44,Resultados!BH44,Resultados!BQ44,Resultados!BZ44,Resultados!CI44)))</f>
        <v>14.030337574197141</v>
      </c>
      <c r="G44">
        <f>IF(COUNT(Resultados!G44,Resultados!P44,Resultados!Y44,Resultados!AH44,Resultados!AQ44,Resultados!AZ44,Resultados!BI44,Resultados!BR44,Resultados!CA44,Resultados!CJ44)&lt;=1, "", _xlfn.STDEV.S(ABS(Resultados!G44),ABS(Resultados!P44),ABS(Resultados!Y44),ABS(Resultados!AH44),ABS(Resultados!AQ44),ABS(Resultados!AZ44),ABS(Resultados!BI44),ABS(Resultados!BR44),ABS(Resultados!CA44),ABS(Resultados!CJ44))/SQRT(COUNT(Resultados!G44,Resultados!P44,Resultados!Y44,Resultados!AH44,Resultados!AQ44,Resultados!AZ44,Resultados!BI44,Resultados!BR44,Resultados!CA44,Resultados!CJ44)))</f>
        <v>1.8503717077085941E-17</v>
      </c>
      <c r="H44">
        <f>IF(COUNT(Resultados!H44,Resultados!Q44,Resultados!Z44,Resultados!AI44,Resultados!AR44,Resultados!BA44,Resultados!BJ44,Resultados!BS44,Resultados!CB44,Resultados!CK44)&lt;=1, "", _xlfn.STDEV.S(ABS(Resultados!H44),ABS(Resultados!Q44),ABS(Resultados!Z44),ABS(Resultados!AI44),ABS(Resultados!AR44),ABS(Resultados!BA44),ABS(Resultados!BJ44),ABS(Resultados!BS44),ABS(Resultados!CB44),ABS(Resultados!CK44))/SQRT(COUNT(Resultados!H44,Resultados!Q44,Resultados!Z44,Resultados!AI44,Resultados!AR44,Resultados!BA44,Resultados!BJ44,Resultados!BS44,Resultados!CB44,Resultados!CK44)))</f>
        <v>2.2985140127192265E-3</v>
      </c>
      <c r="I44">
        <f>IF(COUNT(Resultados!I44,Resultados!R44,Resultados!AA44,Resultados!AJ44,Resultados!AS44,Resultados!BB44,Resultados!BK44,Resultados!BT44,Resultados!CC44,Resultados!CL44)&lt;=1, "", _xlfn.STDEV.S(ABS(Resultados!I44),ABS(Resultados!R44),ABS(Resultados!AA44),ABS(Resultados!AJ44),ABS(Resultados!AS44),ABS(Resultados!BB44),ABS(Resultados!BK44),ABS(Resultados!BT44),ABS(Resultados!CC44),ABS(Resultados!CL44))/SQRT(COUNT(Resultados!I44,Resultados!R44,Resultados!AA44,Resultados!AJ44,Resultados!AS44,Resultados!BB44,Resultados!BK44,Resultados!BT44,Resultados!CC44,Resultados!CL44)))</f>
        <v>4.0180333636132215E-2</v>
      </c>
    </row>
    <row r="45" spans="1:9" x14ac:dyDescent="0.3">
      <c r="A45">
        <f>IF(COUNT(Resultados!A45,Resultados!J45,Resultados!S45,Resultados!AB45,Resultados!AK45,Resultados!AT45,Resultados!BC45,Resultados!BL45,Resultados!BU45,Resultados!CD45)&lt;=1, "", _xlfn.STDEV.S(ABS(Resultados!A45),ABS(Resultados!J45),ABS(Resultados!S45),ABS(Resultados!AB45),ABS(Resultados!AK45),ABS(Resultados!AT45),ABS(Resultados!BC45),ABS(Resultados!BL45),ABS(Resultados!BU45),ABS(Resultados!CD45))/SQRT(COUNT(Resultados!A45,Resultados!J45,Resultados!S45,Resultados!AB45,Resultados!AK45,Resultados!AT45,Resultados!BC45,Resultados!BL45,Resultados!BU45,Resultados!CD45)))</f>
        <v>0</v>
      </c>
      <c r="B45" t="str">
        <f>IF(COUNT(Resultados!B45,Resultados!K45,Resultados!T45,Resultados!AC45,Resultados!AL45,Resultados!AU45,Resultados!BD45,Resultados!BM45,Resultados!BV45,Resultados!CE45)&lt;=1, "", _xlfn.STDEV.S(ABS(Resultados!B45),ABS(Resultados!K45),ABS(Resultados!T45),ABS(Resultados!AC45),ABS(Resultados!AL45),ABS(Resultados!AU45),ABS(Resultados!BD45),ABS(Resultados!BM45),ABS(Resultados!BV45),ABS(Resultados!CE45))/SQRT(COUNT(Resultados!B45,Resultados!K45,Resultados!T45,Resultados!AC45,Resultados!AL45,Resultados!AU45,Resultados!BD45,Resultados!BM45,Resultados!BV45,Resultados!CE45)))</f>
        <v/>
      </c>
      <c r="C45">
        <f>IF(COUNT(Resultados!C45,Resultados!L45,Resultados!U45,Resultados!AD45,Resultados!AM45,Resultados!AV45,Resultados!BE45,Resultados!BN45,Resultados!BW45,Resultados!CF45)&lt;=1, "", _xlfn.STDEV.S(ABS(Resultados!C45),ABS(Resultados!L45),ABS(Resultados!U45),ABS(Resultados!AD45),ABS(Resultados!AM45),ABS(Resultados!AV45),ABS(Resultados!BE45),ABS(Resultados!BN45),ABS(Resultados!BW45),ABS(Resultados!CF45))/SQRT(COUNT(Resultados!C45,Resultados!L45,Resultados!U45,Resultados!AD45,Resultados!AM45,Resultados!AV45,Resultados!BE45,Resultados!BN45,Resultados!BW45,Resultados!CF45)))</f>
        <v>0.71569701845279621</v>
      </c>
      <c r="D45">
        <f>IF(COUNT(Resultados!D45,Resultados!M45,Resultados!V45,Resultados!AE45,Resultados!AN45,Resultados!AW45,Resultados!BF45,Resultados!BO45,Resultados!BX45,Resultados!CG45)&lt;=1, "", _xlfn.STDEV.S(ABS(Resultados!D45),ABS(Resultados!M45),ABS(Resultados!V45),ABS(Resultados!AE45),ABS(Resultados!AN45),ABS(Resultados!AW45),ABS(Resultados!BF45),ABS(Resultados!BO45),ABS(Resultados!BX45),ABS(Resultados!CG45))/SQRT(COUNT(Resultados!D45,Resultados!M45,Resultados!V45,Resultados!AE45,Resultados!AN45,Resultados!AW45,Resultados!BF45,Resultados!BO45,Resultados!BX45,Resultados!CG45)))</f>
        <v>2.3184022275888391E-3</v>
      </c>
      <c r="E45">
        <f>IF(COUNT(Resultados!E45,Resultados!N45,Resultados!W45,Resultados!AF45,Resultados!AO45,Resultados!AX45,Resultados!BG45,Resultados!BP45,Resultados!BY45,Resultados!CH45)&lt;=1, "", _xlfn.STDEV.S(ABS(Resultados!E45),ABS(Resultados!N45),ABS(Resultados!W45),ABS(Resultados!AF45),ABS(Resultados!AO45),ABS(Resultados!AX45),ABS(Resultados!BG45),ABS(Resultados!BP45),ABS(Resultados!BY45),ABS(Resultados!CH45))/SQRT(COUNT(Resultados!E45,Resultados!N45,Resultados!W45,Resultados!AF45,Resultados!AO45,Resultados!AX45,Resultados!BG45,Resultados!BP45,Resultados!BY45,Resultados!CH45)))</f>
        <v>0.14689203671197096</v>
      </c>
      <c r="F45">
        <f>IF(COUNT(Resultados!F45,Resultados!O45,Resultados!X45,Resultados!AG45,Resultados!AP45,Resultados!AY45,Resultados!BH45,Resultados!BQ45,Resultados!BZ45,Resultados!CI45)&lt;=1, "", _xlfn.STDEV.S(ABS(Resultados!F45),ABS(Resultados!O45),ABS(Resultados!X45),ABS(Resultados!AG45),ABS(Resultados!AP45),ABS(Resultados!AY45),ABS(Resultados!BH45),ABS(Resultados!BQ45),ABS(Resultados!BZ45),ABS(Resultados!CI45))/SQRT(COUNT(Resultados!F45,Resultados!O45,Resultados!X45,Resultados!AG45,Resultados!AP45,Resultados!AY45,Resultados!BH45,Resultados!BQ45,Resultados!BZ45,Resultados!CI45)))</f>
        <v>13.940054283966051</v>
      </c>
      <c r="G45">
        <f>IF(COUNT(Resultados!G45,Resultados!P45,Resultados!Y45,Resultados!AH45,Resultados!AQ45,Resultados!AZ45,Resultados!BI45,Resultados!BR45,Resultados!CA45,Resultados!CJ45)&lt;=1, "", _xlfn.STDEV.S(ABS(Resultados!G45),ABS(Resultados!P45),ABS(Resultados!Y45),ABS(Resultados!AH45),ABS(Resultados!AQ45),ABS(Resultados!AZ45),ABS(Resultados!BI45),ABS(Resultados!BR45),ABS(Resultados!CA45),ABS(Resultados!CJ45))/SQRT(COUNT(Resultados!G45,Resultados!P45,Resultados!Y45,Resultados!AH45,Resultados!AQ45,Resultados!AZ45,Resultados!BI45,Resultados!BR45,Resultados!CA45,Resultados!CJ45)))</f>
        <v>1.8503717077085941E-17</v>
      </c>
      <c r="H45">
        <f>IF(COUNT(Resultados!H45,Resultados!Q45,Resultados!Z45,Resultados!AI45,Resultados!AR45,Resultados!BA45,Resultados!BJ45,Resultados!BS45,Resultados!CB45,Resultados!CK45)&lt;=1, "", _xlfn.STDEV.S(ABS(Resultados!H45),ABS(Resultados!Q45),ABS(Resultados!Z45),ABS(Resultados!AI45),ABS(Resultados!AR45),ABS(Resultados!BA45),ABS(Resultados!BJ45),ABS(Resultados!BS45),ABS(Resultados!CB45),ABS(Resultados!CK45))/SQRT(COUNT(Resultados!H45,Resultados!Q45,Resultados!Z45,Resultados!AI45,Resultados!AR45,Resultados!BA45,Resultados!BJ45,Resultados!BS45,Resultados!CB45,Resultados!CK45)))</f>
        <v>2.2792810757390463E-3</v>
      </c>
      <c r="I45">
        <f>IF(COUNT(Resultados!I45,Resultados!R45,Resultados!AA45,Resultados!AJ45,Resultados!AS45,Resultados!BB45,Resultados!BK45,Resultados!BT45,Resultados!CC45,Resultados!CL45)&lt;=1, "", _xlfn.STDEV.S(ABS(Resultados!I45),ABS(Resultados!R45),ABS(Resultados!AA45),ABS(Resultados!AJ45),ABS(Resultados!AS45),ABS(Resultados!BB45),ABS(Resultados!BK45),ABS(Resultados!BT45),ABS(Resultados!CC45),ABS(Resultados!CL45))/SQRT(COUNT(Resultados!I45,Resultados!R45,Resultados!AA45,Resultados!AJ45,Resultados!AS45,Resultados!BB45,Resultados!BK45,Resultados!BT45,Resultados!CC45,Resultados!CL45)))</f>
        <v>4.0020324836258739E-2</v>
      </c>
    </row>
    <row r="46" spans="1:9" x14ac:dyDescent="0.3">
      <c r="A46">
        <f>IF(COUNT(Resultados!A46,Resultados!J46,Resultados!S46,Resultados!AB46,Resultados!AK46,Resultados!AT46,Resultados!BC46,Resultados!BL46,Resultados!BU46,Resultados!CD46)&lt;=1, "", _xlfn.STDEV.S(ABS(Resultados!A46),ABS(Resultados!J46),ABS(Resultados!S46),ABS(Resultados!AB46),ABS(Resultados!AK46),ABS(Resultados!AT46),ABS(Resultados!BC46),ABS(Resultados!BL46),ABS(Resultados!BU46),ABS(Resultados!CD46))/SQRT(COUNT(Resultados!A46,Resultados!J46,Resultados!S46,Resultados!AB46,Resultados!AK46,Resultados!AT46,Resultados!BC46,Resultados!BL46,Resultados!BU46,Resultados!CD46)))</f>
        <v>0</v>
      </c>
      <c r="B46" t="str">
        <f>IF(COUNT(Resultados!B46,Resultados!K46,Resultados!T46,Resultados!AC46,Resultados!AL46,Resultados!AU46,Resultados!BD46,Resultados!BM46,Resultados!BV46,Resultados!CE46)&lt;=1, "", _xlfn.STDEV.S(ABS(Resultados!B46),ABS(Resultados!K46),ABS(Resultados!T46),ABS(Resultados!AC46),ABS(Resultados!AL46),ABS(Resultados!AU46),ABS(Resultados!BD46),ABS(Resultados!BM46),ABS(Resultados!BV46),ABS(Resultados!CE46))/SQRT(COUNT(Resultados!B46,Resultados!K46,Resultados!T46,Resultados!AC46,Resultados!AL46,Resultados!AU46,Resultados!BD46,Resultados!BM46,Resultados!BV46,Resultados!CE46)))</f>
        <v/>
      </c>
      <c r="C46">
        <f>IF(COUNT(Resultados!C46,Resultados!L46,Resultados!U46,Resultados!AD46,Resultados!AM46,Resultados!AV46,Resultados!BE46,Resultados!BN46,Resultados!BW46,Resultados!CF46)&lt;=1, "", _xlfn.STDEV.S(ABS(Resultados!C46),ABS(Resultados!L46),ABS(Resultados!U46),ABS(Resultados!AD46),ABS(Resultados!AM46),ABS(Resultados!AV46),ABS(Resultados!BE46),ABS(Resultados!BN46),ABS(Resultados!BW46),ABS(Resultados!CF46))/SQRT(COUNT(Resultados!C46,Resultados!L46,Resultados!U46,Resultados!AD46,Resultados!AM46,Resultados!AV46,Resultados!BE46,Resultados!BN46,Resultados!BW46,Resultados!CF46)))</f>
        <v>0.71569701845279621</v>
      </c>
      <c r="D46">
        <f>IF(COUNT(Resultados!D46,Resultados!M46,Resultados!V46,Resultados!AE46,Resultados!AN46,Resultados!AW46,Resultados!BF46,Resultados!BO46,Resultados!BX46,Resultados!CG46)&lt;=1, "", _xlfn.STDEV.S(ABS(Resultados!D46),ABS(Resultados!M46),ABS(Resultados!V46),ABS(Resultados!AE46),ABS(Resultados!AN46),ABS(Resultados!AW46),ABS(Resultados!BF46),ABS(Resultados!BO46),ABS(Resultados!BX46),ABS(Resultados!CG46))/SQRT(COUNT(Resultados!D46,Resultados!M46,Resultados!V46,Resultados!AE46,Resultados!AN46,Resultados!AW46,Resultados!BF46,Resultados!BO46,Resultados!BX46,Resultados!CG46)))</f>
        <v>2.369772609813484E-3</v>
      </c>
      <c r="E46">
        <f>IF(COUNT(Resultados!E46,Resultados!N46,Resultados!W46,Resultados!AF46,Resultados!AO46,Resultados!AX46,Resultados!BG46,Resultados!BP46,Resultados!BY46,Resultados!CH46)&lt;=1, "", _xlfn.STDEV.S(ABS(Resultados!E46),ABS(Resultados!N46),ABS(Resultados!W46),ABS(Resultados!AF46),ABS(Resultados!AO46),ABS(Resultados!AX46),ABS(Resultados!BG46),ABS(Resultados!BP46),ABS(Resultados!BY46),ABS(Resultados!CH46))/SQRT(COUNT(Resultados!E46,Resultados!N46,Resultados!W46,Resultados!AF46,Resultados!AO46,Resultados!AX46,Resultados!BG46,Resultados!BP46,Resultados!BY46,Resultados!CH46)))</f>
        <v>0.14574162785036726</v>
      </c>
      <c r="F46">
        <f>IF(COUNT(Resultados!F46,Resultados!O46,Resultados!X46,Resultados!AG46,Resultados!AP46,Resultados!AY46,Resultados!BH46,Resultados!BQ46,Resultados!BZ46,Resultados!CI46)&lt;=1, "", _xlfn.STDEV.S(ABS(Resultados!F46),ABS(Resultados!O46),ABS(Resultados!X46),ABS(Resultados!AG46),ABS(Resultados!AP46),ABS(Resultados!AY46),ABS(Resultados!BH46),ABS(Resultados!BQ46),ABS(Resultados!BZ46),ABS(Resultados!CI46))/SQRT(COUNT(Resultados!F46,Resultados!O46,Resultados!X46,Resultados!AG46,Resultados!AP46,Resultados!AY46,Resultados!BH46,Resultados!BQ46,Resultados!BZ46,Resultados!CI46)))</f>
        <v>13.830880482999849</v>
      </c>
      <c r="G46">
        <f>IF(COUNT(Resultados!G46,Resultados!P46,Resultados!Y46,Resultados!AH46,Resultados!AQ46,Resultados!AZ46,Resultados!BI46,Resultados!BR46,Resultados!CA46,Resultados!CJ46)&lt;=1, "", _xlfn.STDEV.S(ABS(Resultados!G46),ABS(Resultados!P46),ABS(Resultados!Y46),ABS(Resultados!AH46),ABS(Resultados!AQ46),ABS(Resultados!AZ46),ABS(Resultados!BI46),ABS(Resultados!BR46),ABS(Resultados!CA46),ABS(Resultados!CJ46))/SQRT(COUNT(Resultados!G46,Resultados!P46,Resultados!Y46,Resultados!AH46,Resultados!AQ46,Resultados!AZ46,Resultados!BI46,Resultados!BR46,Resultados!CA46,Resultados!CJ46)))</f>
        <v>1.8503717077085941E-17</v>
      </c>
      <c r="H46">
        <f>IF(COUNT(Resultados!H46,Resultados!Q46,Resultados!Z46,Resultados!AI46,Resultados!AR46,Resultados!BA46,Resultados!BJ46,Resultados!BS46,Resultados!CB46,Resultados!CK46)&lt;=1, "", _xlfn.STDEV.S(ABS(Resultados!H46),ABS(Resultados!Q46),ABS(Resultados!Z46),ABS(Resultados!AI46),ABS(Resultados!AR46),ABS(Resultados!BA46),ABS(Resultados!BJ46),ABS(Resultados!BS46),ABS(Resultados!CB46),ABS(Resultados!CK46))/SQRT(COUNT(Resultados!H46,Resultados!Q46,Resultados!Z46,Resultados!AI46,Resultados!AR46,Resultados!BA46,Resultados!BJ46,Resultados!BS46,Resultados!CB46,Resultados!CK46)))</f>
        <v>2.266080806640021E-3</v>
      </c>
      <c r="I46">
        <f>IF(COUNT(Resultados!I46,Resultados!R46,Resultados!AA46,Resultados!AJ46,Resultados!AS46,Resultados!BB46,Resultados!BK46,Resultados!BT46,Resultados!CC46,Resultados!CL46)&lt;=1, "", _xlfn.STDEV.S(ABS(Resultados!I46),ABS(Resultados!R46),ABS(Resultados!AA46),ABS(Resultados!AJ46),ABS(Resultados!AS46),ABS(Resultados!BB46),ABS(Resultados!BK46),ABS(Resultados!BT46),ABS(Resultados!CC46),ABS(Resultados!CL46))/SQRT(COUNT(Resultados!I46,Resultados!R46,Resultados!AA46,Resultados!AJ46,Resultados!AS46,Resultados!BB46,Resultados!BK46,Resultados!BT46,Resultados!CC46,Resultados!CL46)))</f>
        <v>4.0107317841568062E-2</v>
      </c>
    </row>
    <row r="47" spans="1:9" x14ac:dyDescent="0.3">
      <c r="A47">
        <f>IF(COUNT(Resultados!A47,Resultados!J47,Resultados!S47,Resultados!AB47,Resultados!AK47,Resultados!AT47,Resultados!BC47,Resultados!BL47,Resultados!BU47,Resultados!CD47)&lt;=1, "", _xlfn.STDEV.S(ABS(Resultados!A47),ABS(Resultados!J47),ABS(Resultados!S47),ABS(Resultados!AB47),ABS(Resultados!AK47),ABS(Resultados!AT47),ABS(Resultados!BC47),ABS(Resultados!BL47),ABS(Resultados!BU47),ABS(Resultados!CD47))/SQRT(COUNT(Resultados!A47,Resultados!J47,Resultados!S47,Resultados!AB47,Resultados!AK47,Resultados!AT47,Resultados!BC47,Resultados!BL47,Resultados!BU47,Resultados!CD47)))</f>
        <v>0</v>
      </c>
      <c r="B47" t="str">
        <f>IF(COUNT(Resultados!B47,Resultados!K47,Resultados!T47,Resultados!AC47,Resultados!AL47,Resultados!AU47,Resultados!BD47,Resultados!BM47,Resultados!BV47,Resultados!CE47)&lt;=1, "", _xlfn.STDEV.S(ABS(Resultados!B47),ABS(Resultados!K47),ABS(Resultados!T47),ABS(Resultados!AC47),ABS(Resultados!AL47),ABS(Resultados!AU47),ABS(Resultados!BD47),ABS(Resultados!BM47),ABS(Resultados!BV47),ABS(Resultados!CE47))/SQRT(COUNT(Resultados!B47,Resultados!K47,Resultados!T47,Resultados!AC47,Resultados!AL47,Resultados!AU47,Resultados!BD47,Resultados!BM47,Resultados!BV47,Resultados!CE47)))</f>
        <v/>
      </c>
      <c r="C47">
        <f>IF(COUNT(Resultados!C47,Resultados!L47,Resultados!U47,Resultados!AD47,Resultados!AM47,Resultados!AV47,Resultados!BE47,Resultados!BN47,Resultados!BW47,Resultados!CF47)&lt;=1, "", _xlfn.STDEV.S(ABS(Resultados!C47),ABS(Resultados!L47),ABS(Resultados!U47),ABS(Resultados!AD47),ABS(Resultados!AM47),ABS(Resultados!AV47),ABS(Resultados!BE47),ABS(Resultados!BN47),ABS(Resultados!BW47),ABS(Resultados!CF47))/SQRT(COUNT(Resultados!C47,Resultados!L47,Resultados!U47,Resultados!AD47,Resultados!AM47,Resultados!AV47,Resultados!BE47,Resultados!BN47,Resultados!BW47,Resultados!CF47)))</f>
        <v>0.71569701845279621</v>
      </c>
      <c r="D47">
        <f>IF(COUNT(Resultados!D47,Resultados!M47,Resultados!V47,Resultados!AE47,Resultados!AN47,Resultados!AW47,Resultados!BF47,Resultados!BO47,Resultados!BX47,Resultados!CG47)&lt;=1, "", _xlfn.STDEV.S(ABS(Resultados!D47),ABS(Resultados!M47),ABS(Resultados!V47),ABS(Resultados!AE47),ABS(Resultados!AN47),ABS(Resultados!AW47),ABS(Resultados!BF47),ABS(Resultados!BO47),ABS(Resultados!BX47),ABS(Resultados!CG47))/SQRT(COUNT(Resultados!D47,Resultados!M47,Resultados!V47,Resultados!AE47,Resultados!AN47,Resultados!AW47,Resultados!BF47,Resultados!BO47,Resultados!BX47,Resultados!CG47)))</f>
        <v>2.3820066237430059E-3</v>
      </c>
      <c r="E47">
        <f>IF(COUNT(Resultados!E47,Resultados!N47,Resultados!W47,Resultados!AF47,Resultados!AO47,Resultados!AX47,Resultados!BG47,Resultados!BP47,Resultados!BY47,Resultados!CH47)&lt;=1, "", _xlfn.STDEV.S(ABS(Resultados!E47),ABS(Resultados!N47),ABS(Resultados!W47),ABS(Resultados!AF47),ABS(Resultados!AO47),ABS(Resultados!AX47),ABS(Resultados!BG47),ABS(Resultados!BP47),ABS(Resultados!BY47),ABS(Resultados!CH47))/SQRT(COUNT(Resultados!E47,Resultados!N47,Resultados!W47,Resultados!AF47,Resultados!AO47,Resultados!AX47,Resultados!BG47,Resultados!BP47,Resultados!BY47,Resultados!CH47)))</f>
        <v>0.14445168893213417</v>
      </c>
      <c r="F47">
        <f>IF(COUNT(Resultados!F47,Resultados!O47,Resultados!X47,Resultados!AG47,Resultados!AP47,Resultados!AY47,Resultados!BH47,Resultados!BQ47,Resultados!BZ47,Resultados!CI47)&lt;=1, "", _xlfn.STDEV.S(ABS(Resultados!F47),ABS(Resultados!O47),ABS(Resultados!X47),ABS(Resultados!AG47),ABS(Resultados!AP47),ABS(Resultados!AY47),ABS(Resultados!BH47),ABS(Resultados!BQ47),ABS(Resultados!BZ47),ABS(Resultados!CI47))/SQRT(COUNT(Resultados!F47,Resultados!O47,Resultados!X47,Resultados!AG47,Resultados!AP47,Resultados!AY47,Resultados!BH47,Resultados!BQ47,Resultados!BZ47,Resultados!CI47)))</f>
        <v>13.708465279659535</v>
      </c>
      <c r="G47">
        <f>IF(COUNT(Resultados!G47,Resultados!P47,Resultados!Y47,Resultados!AH47,Resultados!AQ47,Resultados!AZ47,Resultados!BI47,Resultados!BR47,Resultados!CA47,Resultados!CJ47)&lt;=1, "", _xlfn.STDEV.S(ABS(Resultados!G47),ABS(Resultados!P47),ABS(Resultados!Y47),ABS(Resultados!AH47),ABS(Resultados!AQ47),ABS(Resultados!AZ47),ABS(Resultados!BI47),ABS(Resultados!BR47),ABS(Resultados!CA47),ABS(Resultados!CJ47))/SQRT(COUNT(Resultados!G47,Resultados!P47,Resultados!Y47,Resultados!AH47,Resultados!AQ47,Resultados!AZ47,Resultados!BI47,Resultados!BR47,Resultados!CA47,Resultados!CJ47)))</f>
        <v>1.8503717077085941E-17</v>
      </c>
      <c r="H47">
        <f>IF(COUNT(Resultados!H47,Resultados!Q47,Resultados!Z47,Resultados!AI47,Resultados!AR47,Resultados!BA47,Resultados!BJ47,Resultados!BS47,Resultados!CB47,Resultados!CK47)&lt;=1, "", _xlfn.STDEV.S(ABS(Resultados!H47),ABS(Resultados!Q47),ABS(Resultados!Z47),ABS(Resultados!AI47),ABS(Resultados!AR47),ABS(Resultados!BA47),ABS(Resultados!BJ47),ABS(Resultados!BS47),ABS(Resultados!CB47),ABS(Resultados!CK47))/SQRT(COUNT(Resultados!H47,Resultados!Q47,Resultados!Z47,Resultados!AI47,Resultados!AR47,Resultados!BA47,Resultados!BJ47,Resultados!BS47,Resultados!CB47,Resultados!CK47)))</f>
        <v>2.2423103165163452E-3</v>
      </c>
      <c r="I47">
        <f>IF(COUNT(Resultados!I47,Resultados!R47,Resultados!AA47,Resultados!AJ47,Resultados!AS47,Resultados!BB47,Resultados!BK47,Resultados!BT47,Resultados!CC47,Resultados!CL47)&lt;=1, "", _xlfn.STDEV.S(ABS(Resultados!I47),ABS(Resultados!R47),ABS(Resultados!AA47),ABS(Resultados!AJ47),ABS(Resultados!AS47),ABS(Resultados!BB47),ABS(Resultados!BK47),ABS(Resultados!BT47),ABS(Resultados!CC47),ABS(Resultados!CL47))/SQRT(COUNT(Resultados!I47,Resultados!R47,Resultados!AA47,Resultados!AJ47,Resultados!AS47,Resultados!BB47,Resultados!BK47,Resultados!BT47,Resultados!CC47,Resultados!CL47)))</f>
        <v>4.008123085268385E-2</v>
      </c>
    </row>
    <row r="48" spans="1:9" x14ac:dyDescent="0.3">
      <c r="A48">
        <f>IF(COUNT(Resultados!A48,Resultados!J48,Resultados!S48,Resultados!AB48,Resultados!AK48,Resultados!AT48,Resultados!BC48,Resultados!BL48,Resultados!BU48,Resultados!CD48)&lt;=1, "", _xlfn.STDEV.S(ABS(Resultados!A48),ABS(Resultados!J48),ABS(Resultados!S48),ABS(Resultados!AB48),ABS(Resultados!AK48),ABS(Resultados!AT48),ABS(Resultados!BC48),ABS(Resultados!BL48),ABS(Resultados!BU48),ABS(Resultados!CD48))/SQRT(COUNT(Resultados!A48,Resultados!J48,Resultados!S48,Resultados!AB48,Resultados!AK48,Resultados!AT48,Resultados!BC48,Resultados!BL48,Resultados!BU48,Resultados!CD48)))</f>
        <v>0</v>
      </c>
      <c r="B48" t="str">
        <f>IF(COUNT(Resultados!B48,Resultados!K48,Resultados!T48,Resultados!AC48,Resultados!AL48,Resultados!AU48,Resultados!BD48,Resultados!BM48,Resultados!BV48,Resultados!CE48)&lt;=1, "", _xlfn.STDEV.S(ABS(Resultados!B48),ABS(Resultados!K48),ABS(Resultados!T48),ABS(Resultados!AC48),ABS(Resultados!AL48),ABS(Resultados!AU48),ABS(Resultados!BD48),ABS(Resultados!BM48),ABS(Resultados!BV48),ABS(Resultados!CE48))/SQRT(COUNT(Resultados!B48,Resultados!K48,Resultados!T48,Resultados!AC48,Resultados!AL48,Resultados!AU48,Resultados!BD48,Resultados!BM48,Resultados!BV48,Resultados!CE48)))</f>
        <v/>
      </c>
      <c r="C48">
        <f>IF(COUNT(Resultados!C48,Resultados!L48,Resultados!U48,Resultados!AD48,Resultados!AM48,Resultados!AV48,Resultados!BE48,Resultados!BN48,Resultados!BW48,Resultados!CF48)&lt;=1, "", _xlfn.STDEV.S(ABS(Resultados!C48),ABS(Resultados!L48),ABS(Resultados!U48),ABS(Resultados!AD48),ABS(Resultados!AM48),ABS(Resultados!AV48),ABS(Resultados!BE48),ABS(Resultados!BN48),ABS(Resultados!BW48),ABS(Resultados!CF48))/SQRT(COUNT(Resultados!C48,Resultados!L48,Resultados!U48,Resultados!AD48,Resultados!AM48,Resultados!AV48,Resultados!BE48,Resultados!BN48,Resultados!BW48,Resultados!CF48)))</f>
        <v>0.71569701845279621</v>
      </c>
      <c r="D48">
        <f>IF(COUNT(Resultados!D48,Resultados!M48,Resultados!V48,Resultados!AE48,Resultados!AN48,Resultados!AW48,Resultados!BF48,Resultados!BO48,Resultados!BX48,Resultados!CG48)&lt;=1, "", _xlfn.STDEV.S(ABS(Resultados!D48),ABS(Resultados!M48),ABS(Resultados!V48),ABS(Resultados!AE48),ABS(Resultados!AN48),ABS(Resultados!AW48),ABS(Resultados!BF48),ABS(Resultados!BO48),ABS(Resultados!BX48),ABS(Resultados!CG48))/SQRT(COUNT(Resultados!D48,Resultados!M48,Resultados!V48,Resultados!AE48,Resultados!AN48,Resultados!AW48,Resultados!BF48,Resultados!BO48,Resultados!BX48,Resultados!CG48)))</f>
        <v>2.3933611883244455E-3</v>
      </c>
      <c r="E48">
        <f>IF(COUNT(Resultados!E48,Resultados!N48,Resultados!W48,Resultados!AF48,Resultados!AO48,Resultados!AX48,Resultados!BG48,Resultados!BP48,Resultados!BY48,Resultados!CH48)&lt;=1, "", _xlfn.STDEV.S(ABS(Resultados!E48),ABS(Resultados!N48),ABS(Resultados!W48),ABS(Resultados!AF48),ABS(Resultados!AO48),ABS(Resultados!AX48),ABS(Resultados!BG48),ABS(Resultados!BP48),ABS(Resultados!BY48),ABS(Resultados!CH48))/SQRT(COUNT(Resultados!E48,Resultados!N48,Resultados!W48,Resultados!AF48,Resultados!AO48,Resultados!AX48,Resultados!BG48,Resultados!BP48,Resultados!BY48,Resultados!CH48)))</f>
        <v>0.14305398083563739</v>
      </c>
      <c r="F48">
        <f>IF(COUNT(Resultados!F48,Resultados!O48,Resultados!X48,Resultados!AG48,Resultados!AP48,Resultados!AY48,Resultados!BH48,Resultados!BQ48,Resultados!BZ48,Resultados!CI48)&lt;=1, "", _xlfn.STDEV.S(ABS(Resultados!F48),ABS(Resultados!O48),ABS(Resultados!X48),ABS(Resultados!AG48),ABS(Resultados!AP48),ABS(Resultados!AY48),ABS(Resultados!BH48),ABS(Resultados!BQ48),ABS(Resultados!BZ48),ABS(Resultados!CI48))/SQRT(COUNT(Resultados!F48,Resultados!O48,Resultados!X48,Resultados!AG48,Resultados!AP48,Resultados!AY48,Resultados!BH48,Resultados!BQ48,Resultados!BZ48,Resultados!CI48)))</f>
        <v>13.57582278130198</v>
      </c>
      <c r="G48">
        <f>IF(COUNT(Resultados!G48,Resultados!P48,Resultados!Y48,Resultados!AH48,Resultados!AQ48,Resultados!AZ48,Resultados!BI48,Resultados!BR48,Resultados!CA48,Resultados!CJ48)&lt;=1, "", _xlfn.STDEV.S(ABS(Resultados!G48),ABS(Resultados!P48),ABS(Resultados!Y48),ABS(Resultados!AH48),ABS(Resultados!AQ48),ABS(Resultados!AZ48),ABS(Resultados!BI48),ABS(Resultados!BR48),ABS(Resultados!CA48),ABS(Resultados!CJ48))/SQRT(COUNT(Resultados!G48,Resultados!P48,Resultados!Y48,Resultados!AH48,Resultados!AQ48,Resultados!AZ48,Resultados!BI48,Resultados!BR48,Resultados!CA48,Resultados!CJ48)))</f>
        <v>1.8503717077085941E-17</v>
      </c>
      <c r="H48">
        <f>IF(COUNT(Resultados!H48,Resultados!Q48,Resultados!Z48,Resultados!AI48,Resultados!AR48,Resultados!BA48,Resultados!BJ48,Resultados!BS48,Resultados!CB48,Resultados!CK48)&lt;=1, "", _xlfn.STDEV.S(ABS(Resultados!H48),ABS(Resultados!Q48),ABS(Resultados!Z48),ABS(Resultados!AI48),ABS(Resultados!AR48),ABS(Resultados!BA48),ABS(Resultados!BJ48),ABS(Resultados!BS48),ABS(Resultados!CB48),ABS(Resultados!CK48))/SQRT(COUNT(Resultados!H48,Resultados!Q48,Resultados!Z48,Resultados!AI48,Resultados!AR48,Resultados!BA48,Resultados!BJ48,Resultados!BS48,Resultados!CB48,Resultados!CK48)))</f>
        <v>2.221333433373347E-3</v>
      </c>
      <c r="I48">
        <f>IF(COUNT(Resultados!I48,Resultados!R48,Resultados!AA48,Resultados!AJ48,Resultados!AS48,Resultados!BB48,Resultados!BK48,Resultados!BT48,Resultados!CC48,Resultados!CL48)&lt;=1, "", _xlfn.STDEV.S(ABS(Resultados!I48),ABS(Resultados!R48),ABS(Resultados!AA48),ABS(Resultados!AJ48),ABS(Resultados!AS48),ABS(Resultados!BB48),ABS(Resultados!BK48),ABS(Resultados!BT48),ABS(Resultados!CC48),ABS(Resultados!CL48))/SQRT(COUNT(Resultados!I48,Resultados!R48,Resultados!AA48,Resultados!AJ48,Resultados!AS48,Resultados!BB48,Resultados!BK48,Resultados!BT48,Resultados!CC48,Resultados!CL48)))</f>
        <v>4.0175886078862154E-2</v>
      </c>
    </row>
    <row r="49" spans="1:9" x14ac:dyDescent="0.3">
      <c r="A49">
        <f>IF(COUNT(Resultados!A49,Resultados!J49,Resultados!S49,Resultados!AB49,Resultados!AK49,Resultados!AT49,Resultados!BC49,Resultados!BL49,Resultados!BU49,Resultados!CD49)&lt;=1, "", _xlfn.STDEV.S(ABS(Resultados!A49),ABS(Resultados!J49),ABS(Resultados!S49),ABS(Resultados!AB49),ABS(Resultados!AK49),ABS(Resultados!AT49),ABS(Resultados!BC49),ABS(Resultados!BL49),ABS(Resultados!BU49),ABS(Resultados!CD49))/SQRT(COUNT(Resultados!A49,Resultados!J49,Resultados!S49,Resultados!AB49,Resultados!AK49,Resultados!AT49,Resultados!BC49,Resultados!BL49,Resultados!BU49,Resultados!CD49)))</f>
        <v>0</v>
      </c>
      <c r="B49" t="str">
        <f>IF(COUNT(Resultados!B49,Resultados!K49,Resultados!T49,Resultados!AC49,Resultados!AL49,Resultados!AU49,Resultados!BD49,Resultados!BM49,Resultados!BV49,Resultados!CE49)&lt;=1, "", _xlfn.STDEV.S(ABS(Resultados!B49),ABS(Resultados!K49),ABS(Resultados!T49),ABS(Resultados!AC49),ABS(Resultados!AL49),ABS(Resultados!AU49),ABS(Resultados!BD49),ABS(Resultados!BM49),ABS(Resultados!BV49),ABS(Resultados!CE49))/SQRT(COUNT(Resultados!B49,Resultados!K49,Resultados!T49,Resultados!AC49,Resultados!AL49,Resultados!AU49,Resultados!BD49,Resultados!BM49,Resultados!BV49,Resultados!CE49)))</f>
        <v/>
      </c>
      <c r="C49">
        <f>IF(COUNT(Resultados!C49,Resultados!L49,Resultados!U49,Resultados!AD49,Resultados!AM49,Resultados!AV49,Resultados!BE49,Resultados!BN49,Resultados!BW49,Resultados!CF49)&lt;=1, "", _xlfn.STDEV.S(ABS(Resultados!C49),ABS(Resultados!L49),ABS(Resultados!U49),ABS(Resultados!AD49),ABS(Resultados!AM49),ABS(Resultados!AV49),ABS(Resultados!BE49),ABS(Resultados!BN49),ABS(Resultados!BW49),ABS(Resultados!CF49))/SQRT(COUNT(Resultados!C49,Resultados!L49,Resultados!U49,Resultados!AD49,Resultados!AM49,Resultados!AV49,Resultados!BE49,Resultados!BN49,Resultados!BW49,Resultados!CF49)))</f>
        <v>0.71569701845279621</v>
      </c>
      <c r="D49">
        <f>IF(COUNT(Resultados!D49,Resultados!M49,Resultados!V49,Resultados!AE49,Resultados!AN49,Resultados!AW49,Resultados!BF49,Resultados!BO49,Resultados!BX49,Resultados!CG49)&lt;=1, "", _xlfn.STDEV.S(ABS(Resultados!D49),ABS(Resultados!M49),ABS(Resultados!V49),ABS(Resultados!AE49),ABS(Resultados!AN49),ABS(Resultados!AW49),ABS(Resultados!BF49),ABS(Resultados!BO49),ABS(Resultados!BX49),ABS(Resultados!CG49))/SQRT(COUNT(Resultados!D49,Resultados!M49,Resultados!V49,Resultados!AE49,Resultados!AN49,Resultados!AW49,Resultados!BF49,Resultados!BO49,Resultados!BX49,Resultados!CG49)))</f>
        <v>2.2983786555840742E-3</v>
      </c>
      <c r="E49">
        <f>IF(COUNT(Resultados!E49,Resultados!N49,Resultados!W49,Resultados!AF49,Resultados!AO49,Resultados!AX49,Resultados!BG49,Resultados!BP49,Resultados!BY49,Resultados!CH49)&lt;=1, "", _xlfn.STDEV.S(ABS(Resultados!E49),ABS(Resultados!N49),ABS(Resultados!W49),ABS(Resultados!AF49),ABS(Resultados!AO49),ABS(Resultados!AX49),ABS(Resultados!BG49),ABS(Resultados!BP49),ABS(Resultados!BY49),ABS(Resultados!CH49))/SQRT(COUNT(Resultados!E49,Resultados!N49,Resultados!W49,Resultados!AF49,Resultados!AO49,Resultados!AX49,Resultados!BG49,Resultados!BP49,Resultados!BY49,Resultados!CH49)))</f>
        <v>0.14155995719122039</v>
      </c>
      <c r="F49">
        <f>IF(COUNT(Resultados!F49,Resultados!O49,Resultados!X49,Resultados!AG49,Resultados!AP49,Resultados!AY49,Resultados!BH49,Resultados!BQ49,Resultados!BZ49,Resultados!CI49)&lt;=1, "", _xlfn.STDEV.S(ABS(Resultados!F49),ABS(Resultados!O49),ABS(Resultados!X49),ABS(Resultados!AG49),ABS(Resultados!AP49),ABS(Resultados!AY49),ABS(Resultados!BH49),ABS(Resultados!BQ49),ABS(Resultados!BZ49),ABS(Resultados!CI49))/SQRT(COUNT(Resultados!F49,Resultados!O49,Resultados!X49,Resultados!AG49,Resultados!AP49,Resultados!AY49,Resultados!BH49,Resultados!BQ49,Resultados!BZ49,Resultados!CI49)))</f>
        <v>13.434039937446817</v>
      </c>
      <c r="G49">
        <f>IF(COUNT(Resultados!G49,Resultados!P49,Resultados!Y49,Resultados!AH49,Resultados!AQ49,Resultados!AZ49,Resultados!BI49,Resultados!BR49,Resultados!CA49,Resultados!CJ49)&lt;=1, "", _xlfn.STDEV.S(ABS(Resultados!G49),ABS(Resultados!P49),ABS(Resultados!Y49),ABS(Resultados!AH49),ABS(Resultados!AQ49),ABS(Resultados!AZ49),ABS(Resultados!BI49),ABS(Resultados!BR49),ABS(Resultados!CA49),ABS(Resultados!CJ49))/SQRT(COUNT(Resultados!G49,Resultados!P49,Resultados!Y49,Resultados!AH49,Resultados!AQ49,Resultados!AZ49,Resultados!BI49,Resultados!BR49,Resultados!CA49,Resultados!CJ49)))</f>
        <v>1.8503717077085941E-17</v>
      </c>
      <c r="H49">
        <f>IF(COUNT(Resultados!H49,Resultados!Q49,Resultados!Z49,Resultados!AI49,Resultados!AR49,Resultados!BA49,Resultados!BJ49,Resultados!BS49,Resultados!CB49,Resultados!CK49)&lt;=1, "", _xlfn.STDEV.S(ABS(Resultados!H49),ABS(Resultados!Q49),ABS(Resultados!Z49),ABS(Resultados!AI49),ABS(Resultados!AR49),ABS(Resultados!BA49),ABS(Resultados!BJ49),ABS(Resultados!BS49),ABS(Resultados!CB49),ABS(Resultados!CK49))/SQRT(COUNT(Resultados!H49,Resultados!Q49,Resultados!Z49,Resultados!AI49,Resultados!AR49,Resultados!BA49,Resultados!BJ49,Resultados!BS49,Resultados!CB49,Resultados!CK49)))</f>
        <v>2.1974454866200196E-3</v>
      </c>
      <c r="I49">
        <f>IF(COUNT(Resultados!I49,Resultados!R49,Resultados!AA49,Resultados!AJ49,Resultados!AS49,Resultados!BB49,Resultados!BK49,Resultados!BT49,Resultados!CC49,Resultados!CL49)&lt;=1, "", _xlfn.STDEV.S(ABS(Resultados!I49),ABS(Resultados!R49),ABS(Resultados!AA49),ABS(Resultados!AJ49),ABS(Resultados!AS49),ABS(Resultados!BB49),ABS(Resultados!BK49),ABS(Resultados!BT49),ABS(Resultados!CC49),ABS(Resultados!CL49))/SQRT(COUNT(Resultados!I49,Resultados!R49,Resultados!AA49,Resultados!AJ49,Resultados!AS49,Resultados!BB49,Resultados!BK49,Resultados!BT49,Resultados!CC49,Resultados!CL49)))</f>
        <v>4.0121308276000113E-2</v>
      </c>
    </row>
    <row r="50" spans="1:9" x14ac:dyDescent="0.3">
      <c r="A50">
        <f>IF(COUNT(Resultados!A50,Resultados!J50,Resultados!S50,Resultados!AB50,Resultados!AK50,Resultados!AT50,Resultados!BC50,Resultados!BL50,Resultados!BU50,Resultados!CD50)&lt;=1, "", _xlfn.STDEV.S(ABS(Resultados!A50),ABS(Resultados!J50),ABS(Resultados!S50),ABS(Resultados!AB50),ABS(Resultados!AK50),ABS(Resultados!AT50),ABS(Resultados!BC50),ABS(Resultados!BL50),ABS(Resultados!BU50),ABS(Resultados!CD50))/SQRT(COUNT(Resultados!A50,Resultados!J50,Resultados!S50,Resultados!AB50,Resultados!AK50,Resultados!AT50,Resultados!BC50,Resultados!BL50,Resultados!BU50,Resultados!CD50)))</f>
        <v>0</v>
      </c>
      <c r="B50" t="str">
        <f>IF(COUNT(Resultados!B50,Resultados!K50,Resultados!T50,Resultados!AC50,Resultados!AL50,Resultados!AU50,Resultados!BD50,Resultados!BM50,Resultados!BV50,Resultados!CE50)&lt;=1, "", _xlfn.STDEV.S(ABS(Resultados!B50),ABS(Resultados!K50),ABS(Resultados!T50),ABS(Resultados!AC50),ABS(Resultados!AL50),ABS(Resultados!AU50),ABS(Resultados!BD50),ABS(Resultados!BM50),ABS(Resultados!BV50),ABS(Resultados!CE50))/SQRT(COUNT(Resultados!B50,Resultados!K50,Resultados!T50,Resultados!AC50,Resultados!AL50,Resultados!AU50,Resultados!BD50,Resultados!BM50,Resultados!BV50,Resultados!CE50)))</f>
        <v/>
      </c>
      <c r="C50">
        <f>IF(COUNT(Resultados!C50,Resultados!L50,Resultados!U50,Resultados!AD50,Resultados!AM50,Resultados!AV50,Resultados!BE50,Resultados!BN50,Resultados!BW50,Resultados!CF50)&lt;=1, "", _xlfn.STDEV.S(ABS(Resultados!C50),ABS(Resultados!L50),ABS(Resultados!U50),ABS(Resultados!AD50),ABS(Resultados!AM50),ABS(Resultados!AV50),ABS(Resultados!BE50),ABS(Resultados!BN50),ABS(Resultados!BW50),ABS(Resultados!CF50))/SQRT(COUNT(Resultados!C50,Resultados!L50,Resultados!U50,Resultados!AD50,Resultados!AM50,Resultados!AV50,Resultados!BE50,Resultados!BN50,Resultados!BW50,Resultados!CF50)))</f>
        <v>0.71569701845279621</v>
      </c>
      <c r="D50">
        <f>IF(COUNT(Resultados!D50,Resultados!M50,Resultados!V50,Resultados!AE50,Resultados!AN50,Resultados!AW50,Resultados!BF50,Resultados!BO50,Resultados!BX50,Resultados!CG50)&lt;=1, "", _xlfn.STDEV.S(ABS(Resultados!D50),ABS(Resultados!M50),ABS(Resultados!V50),ABS(Resultados!AE50),ABS(Resultados!AN50),ABS(Resultados!AW50),ABS(Resultados!BF50),ABS(Resultados!BO50),ABS(Resultados!BX50),ABS(Resultados!CG50))/SQRT(COUNT(Resultados!D50,Resultados!M50,Resultados!V50,Resultados!AE50,Resultados!AN50,Resultados!AW50,Resultados!BF50,Resultados!BO50,Resultados!BX50,Resultados!CG50)))</f>
        <v>2.2600294983325768E-3</v>
      </c>
      <c r="E50">
        <f>IF(COUNT(Resultados!E50,Resultados!N50,Resultados!W50,Resultados!AF50,Resultados!AO50,Resultados!AX50,Resultados!BG50,Resultados!BP50,Resultados!BY50,Resultados!CH50)&lt;=1, "", _xlfn.STDEV.S(ABS(Resultados!E50),ABS(Resultados!N50),ABS(Resultados!W50),ABS(Resultados!AF50),ABS(Resultados!AO50),ABS(Resultados!AX50),ABS(Resultados!BG50),ABS(Resultados!BP50),ABS(Resultados!BY50),ABS(Resultados!CH50))/SQRT(COUNT(Resultados!E50,Resultados!N50,Resultados!W50,Resultados!AF50,Resultados!AO50,Resultados!AX50,Resultados!BG50,Resultados!BP50,Resultados!BY50,Resultados!CH50)))</f>
        <v>0.14000284469488339</v>
      </c>
      <c r="F50">
        <f>IF(COUNT(Resultados!F50,Resultados!O50,Resultados!X50,Resultados!AG50,Resultados!AP50,Resultados!AY50,Resultados!BH50,Resultados!BQ50,Resultados!BZ50,Resultados!CI50)&lt;=1, "", _xlfn.STDEV.S(ABS(Resultados!F50),ABS(Resultados!O50),ABS(Resultados!X50),ABS(Resultados!AG50),ABS(Resultados!AP50),ABS(Resultados!AY50),ABS(Resultados!BH50),ABS(Resultados!BQ50),ABS(Resultados!BZ50),ABS(Resultados!CI50))/SQRT(COUNT(Resultados!F50,Resultados!O50,Resultados!X50,Resultados!AG50,Resultados!AP50,Resultados!AY50,Resultados!BH50,Resultados!BQ50,Resultados!BZ50,Resultados!CI50)))</f>
        <v>13.286269961544429</v>
      </c>
      <c r="G50">
        <f>IF(COUNT(Resultados!G50,Resultados!P50,Resultados!Y50,Resultados!AH50,Resultados!AQ50,Resultados!AZ50,Resultados!BI50,Resultados!BR50,Resultados!CA50,Resultados!CJ50)&lt;=1, "", _xlfn.STDEV.S(ABS(Resultados!G50),ABS(Resultados!P50),ABS(Resultados!Y50),ABS(Resultados!AH50),ABS(Resultados!AQ50),ABS(Resultados!AZ50),ABS(Resultados!BI50),ABS(Resultados!BR50),ABS(Resultados!CA50),ABS(Resultados!CJ50))/SQRT(COUNT(Resultados!G50,Resultados!P50,Resultados!Y50,Resultados!AH50,Resultados!AQ50,Resultados!AZ50,Resultados!BI50,Resultados!BR50,Resultados!CA50,Resultados!CJ50)))</f>
        <v>1.8503717077085941E-17</v>
      </c>
      <c r="H50">
        <f>IF(COUNT(Resultados!H50,Resultados!Q50,Resultados!Z50,Resultados!AI50,Resultados!AR50,Resultados!BA50,Resultados!BJ50,Resultados!BS50,Resultados!CB50,Resultados!CK50)&lt;=1, "", _xlfn.STDEV.S(ABS(Resultados!H50),ABS(Resultados!Q50),ABS(Resultados!Z50),ABS(Resultados!AI50),ABS(Resultados!AR50),ABS(Resultados!BA50),ABS(Resultados!BJ50),ABS(Resultados!BS50),ABS(Resultados!CB50),ABS(Resultados!CK50))/SQRT(COUNT(Resultados!H50,Resultados!Q50,Resultados!Z50,Resultados!AI50,Resultados!AR50,Resultados!BA50,Resultados!BJ50,Resultados!BS50,Resultados!CB50,Resultados!CK50)))</f>
        <v>2.1790517815478182E-3</v>
      </c>
      <c r="I50">
        <f>IF(COUNT(Resultados!I50,Resultados!R50,Resultados!AA50,Resultados!AJ50,Resultados!AS50,Resultados!BB50,Resultados!BK50,Resultados!BT50,Resultados!CC50,Resultados!CL50)&lt;=1, "", _xlfn.STDEV.S(ABS(Resultados!I50),ABS(Resultados!R50),ABS(Resultados!AA50),ABS(Resultados!AJ50),ABS(Resultados!AS50),ABS(Resultados!BB50),ABS(Resultados!BK50),ABS(Resultados!BT50),ABS(Resultados!CC50),ABS(Resultados!CL50))/SQRT(COUNT(Resultados!I50,Resultados!R50,Resultados!AA50,Resultados!AJ50,Resultados!AS50,Resultados!BB50,Resultados!BK50,Resultados!BT50,Resultados!CC50,Resultados!CL50)))</f>
        <v>4.0065532568525859E-2</v>
      </c>
    </row>
    <row r="51" spans="1:9" x14ac:dyDescent="0.3">
      <c r="A51">
        <f>IF(COUNT(Resultados!A51,Resultados!J51,Resultados!S51,Resultados!AB51,Resultados!AK51,Resultados!AT51,Resultados!BC51,Resultados!BL51,Resultados!BU51,Resultados!CD51)&lt;=1, "", _xlfn.STDEV.S(ABS(Resultados!A51),ABS(Resultados!J51),ABS(Resultados!S51),ABS(Resultados!AB51),ABS(Resultados!AK51),ABS(Resultados!AT51),ABS(Resultados!BC51),ABS(Resultados!BL51),ABS(Resultados!BU51),ABS(Resultados!CD51))/SQRT(COUNT(Resultados!A51,Resultados!J51,Resultados!S51,Resultados!AB51,Resultados!AK51,Resultados!AT51,Resultados!BC51,Resultados!BL51,Resultados!BU51,Resultados!CD51)))</f>
        <v>0</v>
      </c>
      <c r="B51" t="str">
        <f>IF(COUNT(Resultados!B51,Resultados!K51,Resultados!T51,Resultados!AC51,Resultados!AL51,Resultados!AU51,Resultados!BD51,Resultados!BM51,Resultados!BV51,Resultados!CE51)&lt;=1, "", _xlfn.STDEV.S(ABS(Resultados!B51),ABS(Resultados!K51),ABS(Resultados!T51),ABS(Resultados!AC51),ABS(Resultados!AL51),ABS(Resultados!AU51),ABS(Resultados!BD51),ABS(Resultados!BM51),ABS(Resultados!BV51),ABS(Resultados!CE51))/SQRT(COUNT(Resultados!B51,Resultados!K51,Resultados!T51,Resultados!AC51,Resultados!AL51,Resultados!AU51,Resultados!BD51,Resultados!BM51,Resultados!BV51,Resultados!CE51)))</f>
        <v/>
      </c>
      <c r="C51">
        <f>IF(COUNT(Resultados!C51,Resultados!L51,Resultados!U51,Resultados!AD51,Resultados!AM51,Resultados!AV51,Resultados!BE51,Resultados!BN51,Resultados!BW51,Resultados!CF51)&lt;=1, "", _xlfn.STDEV.S(ABS(Resultados!C51),ABS(Resultados!L51),ABS(Resultados!U51),ABS(Resultados!AD51),ABS(Resultados!AM51),ABS(Resultados!AV51),ABS(Resultados!BE51),ABS(Resultados!BN51),ABS(Resultados!BW51),ABS(Resultados!CF51))/SQRT(COUNT(Resultados!C51,Resultados!L51,Resultados!U51,Resultados!AD51,Resultados!AM51,Resultados!AV51,Resultados!BE51,Resultados!BN51,Resultados!BW51,Resultados!CF51)))</f>
        <v>0.71569701845279621</v>
      </c>
      <c r="D51">
        <f>IF(COUNT(Resultados!D51,Resultados!M51,Resultados!V51,Resultados!AE51,Resultados!AN51,Resultados!AW51,Resultados!BF51,Resultados!BO51,Resultados!BX51,Resultados!CG51)&lt;=1, "", _xlfn.STDEV.S(ABS(Resultados!D51),ABS(Resultados!M51),ABS(Resultados!V51),ABS(Resultados!AE51),ABS(Resultados!AN51),ABS(Resultados!AW51),ABS(Resultados!BF51),ABS(Resultados!BO51),ABS(Resultados!BX51),ABS(Resultados!CG51))/SQRT(COUNT(Resultados!D51,Resultados!M51,Resultados!V51,Resultados!AE51,Resultados!AN51,Resultados!AW51,Resultados!BF51,Resultados!BO51,Resultados!BX51,Resultados!CG51)))</f>
        <v>2.2224336010578808E-3</v>
      </c>
      <c r="E51">
        <f>IF(COUNT(Resultados!E51,Resultados!N51,Resultados!W51,Resultados!AF51,Resultados!AO51,Resultados!AX51,Resultados!BG51,Resultados!BP51,Resultados!BY51,Resultados!CH51)&lt;=1, "", _xlfn.STDEV.S(ABS(Resultados!E51),ABS(Resultados!N51),ABS(Resultados!W51),ABS(Resultados!AF51),ABS(Resultados!AO51),ABS(Resultados!AX51),ABS(Resultados!BG51),ABS(Resultados!BP51),ABS(Resultados!BY51),ABS(Resultados!CH51))/SQRT(COUNT(Resultados!E51,Resultados!N51,Resultados!W51,Resultados!AF51,Resultados!AO51,Resultados!AX51,Resultados!BG51,Resultados!BP51,Resultados!BY51,Resultados!CH51)))</f>
        <v>0.13840471950979938</v>
      </c>
      <c r="F51">
        <f>IF(COUNT(Resultados!F51,Resultados!O51,Resultados!X51,Resultados!AG51,Resultados!AP51,Resultados!AY51,Resultados!BH51,Resultados!BQ51,Resultados!BZ51,Resultados!CI51)&lt;=1, "", _xlfn.STDEV.S(ABS(Resultados!F51),ABS(Resultados!O51),ABS(Resultados!X51),ABS(Resultados!AG51),ABS(Resultados!AP51),ABS(Resultados!AY51),ABS(Resultados!BH51),ABS(Resultados!BQ51),ABS(Resultados!BZ51),ABS(Resultados!CI51))/SQRT(COUNT(Resultados!F51,Resultados!O51,Resultados!X51,Resultados!AG51,Resultados!AP51,Resultados!AY51,Resultados!BH51,Resultados!BQ51,Resultados!BZ51,Resultados!CI51)))</f>
        <v>13.134607881479958</v>
      </c>
      <c r="G51">
        <f>IF(COUNT(Resultados!G51,Resultados!P51,Resultados!Y51,Resultados!AH51,Resultados!AQ51,Resultados!AZ51,Resultados!BI51,Resultados!BR51,Resultados!CA51,Resultados!CJ51)&lt;=1, "", _xlfn.STDEV.S(ABS(Resultados!G51),ABS(Resultados!P51),ABS(Resultados!Y51),ABS(Resultados!AH51),ABS(Resultados!AQ51),ABS(Resultados!AZ51),ABS(Resultados!BI51),ABS(Resultados!BR51),ABS(Resultados!CA51),ABS(Resultados!CJ51))/SQRT(COUNT(Resultados!G51,Resultados!P51,Resultados!Y51,Resultados!AH51,Resultados!AQ51,Resultados!AZ51,Resultados!BI51,Resultados!BR51,Resultados!CA51,Resultados!CJ51)))</f>
        <v>1.8503717077085941E-17</v>
      </c>
      <c r="H51">
        <f>IF(COUNT(Resultados!H51,Resultados!Q51,Resultados!Z51,Resultados!AI51,Resultados!AR51,Resultados!BA51,Resultados!BJ51,Resultados!BS51,Resultados!CB51,Resultados!CK51)&lt;=1, "", _xlfn.STDEV.S(ABS(Resultados!H51),ABS(Resultados!Q51),ABS(Resultados!Z51),ABS(Resultados!AI51),ABS(Resultados!AR51),ABS(Resultados!BA51),ABS(Resultados!BJ51),ABS(Resultados!BS51),ABS(Resultados!CB51),ABS(Resultados!CK51))/SQRT(COUNT(Resultados!H51,Resultados!Q51,Resultados!Z51,Resultados!AI51,Resultados!AR51,Resultados!BA51,Resultados!BJ51,Resultados!BS51,Resultados!CB51,Resultados!CK51)))</f>
        <v>2.1500000000000009E-3</v>
      </c>
      <c r="I51">
        <f>IF(COUNT(Resultados!I51,Resultados!R51,Resultados!AA51,Resultados!AJ51,Resultados!AS51,Resultados!BB51,Resultados!BK51,Resultados!BT51,Resultados!CC51,Resultados!CL51)&lt;=1, "", _xlfn.STDEV.S(ABS(Resultados!I51),ABS(Resultados!R51),ABS(Resultados!AA51),ABS(Resultados!AJ51),ABS(Resultados!AS51),ABS(Resultados!BB51),ABS(Resultados!BK51),ABS(Resultados!BT51),ABS(Resultados!CC51),ABS(Resultados!CL51))/SQRT(COUNT(Resultados!I51,Resultados!R51,Resultados!AA51,Resultados!AJ51,Resultados!AS51,Resultados!BB51,Resultados!BK51,Resultados!BT51,Resultados!CC51,Resultados!CL51)))</f>
        <v>4.0020289992833573E-2</v>
      </c>
    </row>
    <row r="52" spans="1:9" x14ac:dyDescent="0.3">
      <c r="A52">
        <f>IF(COUNT(Resultados!A52,Resultados!J52,Resultados!S52,Resultados!AB52,Resultados!AK52,Resultados!AT52,Resultados!BC52,Resultados!BL52,Resultados!BU52,Resultados!CD52)&lt;=1, "", _xlfn.STDEV.S(ABS(Resultados!A52),ABS(Resultados!J52),ABS(Resultados!S52),ABS(Resultados!AB52),ABS(Resultados!AK52),ABS(Resultados!AT52),ABS(Resultados!BC52),ABS(Resultados!BL52),ABS(Resultados!BU52),ABS(Resultados!CD52))/SQRT(COUNT(Resultados!A52,Resultados!J52,Resultados!S52,Resultados!AB52,Resultados!AK52,Resultados!AT52,Resultados!BC52,Resultados!BL52,Resultados!BU52,Resultados!CD52)))</f>
        <v>0</v>
      </c>
      <c r="B52" t="str">
        <f>IF(COUNT(Resultados!B52,Resultados!K52,Resultados!T52,Resultados!AC52,Resultados!AL52,Resultados!AU52,Resultados!BD52,Resultados!BM52,Resultados!BV52,Resultados!CE52)&lt;=1, "", _xlfn.STDEV.S(ABS(Resultados!B52),ABS(Resultados!K52),ABS(Resultados!T52),ABS(Resultados!AC52),ABS(Resultados!AL52),ABS(Resultados!AU52),ABS(Resultados!BD52),ABS(Resultados!BM52),ABS(Resultados!BV52),ABS(Resultados!CE52))/SQRT(COUNT(Resultados!B52,Resultados!K52,Resultados!T52,Resultados!AC52,Resultados!AL52,Resultados!AU52,Resultados!BD52,Resultados!BM52,Resultados!BV52,Resultados!CE52)))</f>
        <v/>
      </c>
      <c r="C52">
        <f>IF(COUNT(Resultados!C52,Resultados!L52,Resultados!U52,Resultados!AD52,Resultados!AM52,Resultados!AV52,Resultados!BE52,Resultados!BN52,Resultados!BW52,Resultados!CF52)&lt;=1, "", _xlfn.STDEV.S(ABS(Resultados!C52),ABS(Resultados!L52),ABS(Resultados!U52),ABS(Resultados!AD52),ABS(Resultados!AM52),ABS(Resultados!AV52),ABS(Resultados!BE52),ABS(Resultados!BN52),ABS(Resultados!BW52),ABS(Resultados!CF52))/SQRT(COUNT(Resultados!C52,Resultados!L52,Resultados!U52,Resultados!AD52,Resultados!AM52,Resultados!AV52,Resultados!BE52,Resultados!BN52,Resultados!BW52,Resultados!CF52)))</f>
        <v>0.71569701845279621</v>
      </c>
      <c r="D52">
        <f>IF(COUNT(Resultados!D52,Resultados!M52,Resultados!V52,Resultados!AE52,Resultados!AN52,Resultados!AW52,Resultados!BF52,Resultados!BO52,Resultados!BX52,Resultados!CG52)&lt;=1, "", _xlfn.STDEV.S(ABS(Resultados!D52),ABS(Resultados!M52),ABS(Resultados!V52),ABS(Resultados!AE52),ABS(Resultados!AN52),ABS(Resultados!AW52),ABS(Resultados!BF52),ABS(Resultados!BO52),ABS(Resultados!BX52),ABS(Resultados!CG52))/SQRT(COUNT(Resultados!D52,Resultados!M52,Resultados!V52,Resultados!AE52,Resultados!AN52,Resultados!AW52,Resultados!BF52,Resultados!BO52,Resultados!BX52,Resultados!CG52)))</f>
        <v>2.1744373474022619E-3</v>
      </c>
      <c r="E52">
        <f>IF(COUNT(Resultados!E52,Resultados!N52,Resultados!W52,Resultados!AF52,Resultados!AO52,Resultados!AX52,Resultados!BG52,Resultados!BP52,Resultados!BY52,Resultados!CH52)&lt;=1, "", _xlfn.STDEV.S(ABS(Resultados!E52),ABS(Resultados!N52),ABS(Resultados!W52),ABS(Resultados!AF52),ABS(Resultados!AO52),ABS(Resultados!AX52),ABS(Resultados!BG52),ABS(Resultados!BP52),ABS(Resultados!BY52),ABS(Resultados!CH52))/SQRT(COUNT(Resultados!E52,Resultados!N52,Resultados!W52,Resultados!AF52,Resultados!AO52,Resultados!AX52,Resultados!BG52,Resultados!BP52,Resultados!BY52,Resultados!CH52)))</f>
        <v>0.13679709305095497</v>
      </c>
      <c r="F52">
        <f>IF(COUNT(Resultados!F52,Resultados!O52,Resultados!X52,Resultados!AG52,Resultados!AP52,Resultados!AY52,Resultados!BH52,Resultados!BQ52,Resultados!BZ52,Resultados!CI52)&lt;=1, "", _xlfn.STDEV.S(ABS(Resultados!F52),ABS(Resultados!O52),ABS(Resultados!X52),ABS(Resultados!AG52),ABS(Resultados!AP52),ABS(Resultados!AY52),ABS(Resultados!BH52),ABS(Resultados!BQ52),ABS(Resultados!BZ52),ABS(Resultados!CI52))/SQRT(COUNT(Resultados!F52,Resultados!O52,Resultados!X52,Resultados!AG52,Resultados!AP52,Resultados!AY52,Resultados!BH52,Resultados!BQ52,Resultados!BZ52,Resultados!CI52)))</f>
        <v>14.905556485485006</v>
      </c>
      <c r="G52">
        <f>IF(COUNT(Resultados!G52,Resultados!P52,Resultados!Y52,Resultados!AH52,Resultados!AQ52,Resultados!AZ52,Resultados!BI52,Resultados!BR52,Resultados!CA52,Resultados!CJ52)&lt;=1, "", _xlfn.STDEV.S(ABS(Resultados!G52),ABS(Resultados!P52),ABS(Resultados!Y52),ABS(Resultados!AH52),ABS(Resultados!AQ52),ABS(Resultados!AZ52),ABS(Resultados!BI52),ABS(Resultados!BR52),ABS(Resultados!CA52),ABS(Resultados!CJ52))/SQRT(COUNT(Resultados!G52,Resultados!P52,Resultados!Y52,Resultados!AH52,Resultados!AQ52,Resultados!AZ52,Resultados!BI52,Resultados!BR52,Resultados!CA52,Resultados!CJ52)))</f>
        <v>1.8503717077085941E-17</v>
      </c>
      <c r="H52">
        <f>IF(COUNT(Resultados!H52,Resultados!Q52,Resultados!Z52,Resultados!AI52,Resultados!AR52,Resultados!BA52,Resultados!BJ52,Resultados!BS52,Resultados!CB52,Resultados!CK52)&lt;=1, "", _xlfn.STDEV.S(ABS(Resultados!H52),ABS(Resultados!Q52),ABS(Resultados!Z52),ABS(Resultados!AI52),ABS(Resultados!AR52),ABS(Resultados!BA52),ABS(Resultados!BJ52),ABS(Resultados!BS52),ABS(Resultados!CB52),ABS(Resultados!CK52))/SQRT(COUNT(Resultados!H52,Resultados!Q52,Resultados!Z52,Resultados!AI52,Resultados!AR52,Resultados!BA52,Resultados!BJ52,Resultados!BS52,Resultados!CB52,Resultados!CK52)))</f>
        <v>2.1267711573076209E-3</v>
      </c>
      <c r="I52">
        <f>IF(COUNT(Resultados!I52,Resultados!R52,Resultados!AA52,Resultados!AJ52,Resultados!AS52,Resultados!BB52,Resultados!BK52,Resultados!BT52,Resultados!CC52,Resultados!CL52)&lt;=1, "", _xlfn.STDEV.S(ABS(Resultados!I52),ABS(Resultados!R52),ABS(Resultados!AA52),ABS(Resultados!AJ52),ABS(Resultados!AS52),ABS(Resultados!BB52),ABS(Resultados!BK52),ABS(Resultados!BT52),ABS(Resultados!CC52),ABS(Resultados!CL52))/SQRT(COUNT(Resultados!I52,Resultados!R52,Resultados!AA52,Resultados!AJ52,Resultados!AS52,Resultados!BB52,Resultados!BK52,Resultados!BT52,Resultados!CC52,Resultados!CL52)))</f>
        <v>4.0083396950739668E-2</v>
      </c>
    </row>
    <row r="53" spans="1:9" x14ac:dyDescent="0.3">
      <c r="A53">
        <f>IF(COUNT(Resultados!A53,Resultados!J53,Resultados!S53,Resultados!AB53,Resultados!AK53,Resultados!AT53,Resultados!BC53,Resultados!BL53,Resultados!BU53,Resultados!CD53)&lt;=1, "", _xlfn.STDEV.S(ABS(Resultados!A53),ABS(Resultados!J53),ABS(Resultados!S53),ABS(Resultados!AB53),ABS(Resultados!AK53),ABS(Resultados!AT53),ABS(Resultados!BC53),ABS(Resultados!BL53),ABS(Resultados!BU53),ABS(Resultados!CD53))/SQRT(COUNT(Resultados!A53,Resultados!J53,Resultados!S53,Resultados!AB53,Resultados!AK53,Resultados!AT53,Resultados!BC53,Resultados!BL53,Resultados!BU53,Resultados!CD53)))</f>
        <v>0</v>
      </c>
      <c r="B53" t="str">
        <f>IF(COUNT(Resultados!B53,Resultados!K53,Resultados!T53,Resultados!AC53,Resultados!AL53,Resultados!AU53,Resultados!BD53,Resultados!BM53,Resultados!BV53,Resultados!CE53)&lt;=1, "", _xlfn.STDEV.S(ABS(Resultados!B53),ABS(Resultados!K53),ABS(Resultados!T53),ABS(Resultados!AC53),ABS(Resultados!AL53),ABS(Resultados!AU53),ABS(Resultados!BD53),ABS(Resultados!BM53),ABS(Resultados!BV53),ABS(Resultados!CE53))/SQRT(COUNT(Resultados!B53,Resultados!K53,Resultados!T53,Resultados!AC53,Resultados!AL53,Resultados!AU53,Resultados!BD53,Resultados!BM53,Resultados!BV53,Resultados!CE53)))</f>
        <v/>
      </c>
      <c r="C53">
        <f>IF(COUNT(Resultados!C53,Resultados!L53,Resultados!U53,Resultados!AD53,Resultados!AM53,Resultados!AV53,Resultados!BE53,Resultados!BN53,Resultados!BW53,Resultados!CF53)&lt;=1, "", _xlfn.STDEV.S(ABS(Resultados!C53),ABS(Resultados!L53),ABS(Resultados!U53),ABS(Resultados!AD53),ABS(Resultados!AM53),ABS(Resultados!AV53),ABS(Resultados!BE53),ABS(Resultados!BN53),ABS(Resultados!BW53),ABS(Resultados!CF53))/SQRT(COUNT(Resultados!C53,Resultados!L53,Resultados!U53,Resultados!AD53,Resultados!AM53,Resultados!AV53,Resultados!BE53,Resultados!BN53,Resultados!BW53,Resultados!CF53)))</f>
        <v>0.71569701845279621</v>
      </c>
      <c r="D53">
        <f>IF(COUNT(Resultados!D53,Resultados!M53,Resultados!V53,Resultados!AE53,Resultados!AN53,Resultados!AW53,Resultados!BF53,Resultados!BO53,Resultados!BX53,Resultados!CG53)&lt;=1, "", _xlfn.STDEV.S(ABS(Resultados!D53),ABS(Resultados!M53),ABS(Resultados!V53),ABS(Resultados!AE53),ABS(Resultados!AN53),ABS(Resultados!AW53),ABS(Resultados!BF53),ABS(Resultados!BO53),ABS(Resultados!BX53),ABS(Resultados!CG53))/SQRT(COUNT(Resultados!D53,Resultados!M53,Resultados!V53,Resultados!AE53,Resultados!AN53,Resultados!AW53,Resultados!BF53,Resultados!BO53,Resultados!BX53,Resultados!CG53)))</f>
        <v>2.1482395893692467E-3</v>
      </c>
      <c r="E53">
        <f>IF(COUNT(Resultados!E53,Resultados!N53,Resultados!W53,Resultados!AF53,Resultados!AO53,Resultados!AX53,Resultados!BG53,Resultados!BP53,Resultados!BY53,Resultados!CH53)&lt;=1, "", _xlfn.STDEV.S(ABS(Resultados!E53),ABS(Resultados!N53),ABS(Resultados!W53),ABS(Resultados!AF53),ABS(Resultados!AO53),ABS(Resultados!AX53),ABS(Resultados!BG53),ABS(Resultados!BP53),ABS(Resultados!BY53),ABS(Resultados!CH53))/SQRT(COUNT(Resultados!E53,Resultados!N53,Resultados!W53,Resultados!AF53,Resultados!AO53,Resultados!AX53,Resultados!BG53,Resultados!BP53,Resultados!BY53,Resultados!CH53)))</f>
        <v>0.13522560544804646</v>
      </c>
      <c r="F53">
        <f>IF(COUNT(Resultados!F53,Resultados!O53,Resultados!X53,Resultados!AG53,Resultados!AP53,Resultados!AY53,Resultados!BH53,Resultados!BQ53,Resultados!BZ53,Resultados!CI53)&lt;=1, "", _xlfn.STDEV.S(ABS(Resultados!F53),ABS(Resultados!O53),ABS(Resultados!X53),ABS(Resultados!AG53),ABS(Resultados!AP53),ABS(Resultados!AY53),ABS(Resultados!BH53),ABS(Resultados!BQ53),ABS(Resultados!BZ53),ABS(Resultados!CI53))/SQRT(COUNT(Resultados!F53,Resultados!O53,Resultados!X53,Resultados!AG53,Resultados!AP53,Resultados!AY53,Resultados!BH53,Resultados!BQ53,Resultados!BZ53,Resultados!CI53)))</f>
        <v>15.228517191509392</v>
      </c>
      <c r="G53">
        <f>IF(COUNT(Resultados!G53,Resultados!P53,Resultados!Y53,Resultados!AH53,Resultados!AQ53,Resultados!AZ53,Resultados!BI53,Resultados!BR53,Resultados!CA53,Resultados!CJ53)&lt;=1, "", _xlfn.STDEV.S(ABS(Resultados!G53),ABS(Resultados!P53),ABS(Resultados!Y53),ABS(Resultados!AH53),ABS(Resultados!AQ53),ABS(Resultados!AZ53),ABS(Resultados!BI53),ABS(Resultados!BR53),ABS(Resultados!CA53),ABS(Resultados!CJ53))/SQRT(COUNT(Resultados!G53,Resultados!P53,Resultados!Y53,Resultados!AH53,Resultados!AQ53,Resultados!AZ53,Resultados!BI53,Resultados!BR53,Resultados!CA53,Resultados!CJ53)))</f>
        <v>1.8503717077085941E-17</v>
      </c>
      <c r="H53">
        <f>IF(COUNT(Resultados!H53,Resultados!Q53,Resultados!Z53,Resultados!AI53,Resultados!AR53,Resultados!BA53,Resultados!BJ53,Resultados!BS53,Resultados!CB53,Resultados!CK53)&lt;=1, "", _xlfn.STDEV.S(ABS(Resultados!H53),ABS(Resultados!Q53),ABS(Resultados!Z53),ABS(Resultados!AI53),ABS(Resultados!AR53),ABS(Resultados!BA53),ABS(Resultados!BJ53),ABS(Resultados!BS53),ABS(Resultados!CB53),ABS(Resultados!CK53))/SQRT(COUNT(Resultados!H53,Resultados!Q53,Resultados!Z53,Resultados!AI53,Resultados!AR53,Resultados!BA53,Resultados!BJ53,Resultados!BS53,Resultados!CB53,Resultados!CK53)))</f>
        <v>2.099738078904134E-3</v>
      </c>
      <c r="I53">
        <f>IF(COUNT(Resultados!I53,Resultados!R53,Resultados!AA53,Resultados!AJ53,Resultados!AS53,Resultados!BB53,Resultados!BK53,Resultados!BT53,Resultados!CC53,Resultados!CL53)&lt;=1, "", _xlfn.STDEV.S(ABS(Resultados!I53),ABS(Resultados!R53),ABS(Resultados!AA53),ABS(Resultados!AJ53),ABS(Resultados!AS53),ABS(Resultados!BB53),ABS(Resultados!BK53),ABS(Resultados!BT53),ABS(Resultados!CC53),ABS(Resultados!CL53))/SQRT(COUNT(Resultados!I53,Resultados!R53,Resultados!AA53,Resultados!AJ53,Resultados!AS53,Resultados!BB53,Resultados!BK53,Resultados!BT53,Resultados!CC53,Resultados!CL53)))</f>
        <v>4.0030552914819377E-2</v>
      </c>
    </row>
    <row r="54" spans="1:9" x14ac:dyDescent="0.3">
      <c r="A54">
        <f>IF(COUNT(Resultados!A54,Resultados!J54,Resultados!S54,Resultados!AB54,Resultados!AK54,Resultados!AT54,Resultados!BC54,Resultados!BL54,Resultados!BU54,Resultados!CD54)&lt;=1, "", _xlfn.STDEV.S(ABS(Resultados!A54),ABS(Resultados!J54),ABS(Resultados!S54),ABS(Resultados!AB54),ABS(Resultados!AK54),ABS(Resultados!AT54),ABS(Resultados!BC54),ABS(Resultados!BL54),ABS(Resultados!BU54),ABS(Resultados!CD54))/SQRT(COUNT(Resultados!A54,Resultados!J54,Resultados!S54,Resultados!AB54,Resultados!AK54,Resultados!AT54,Resultados!BC54,Resultados!BL54,Resultados!BU54,Resultados!CD54)))</f>
        <v>0</v>
      </c>
      <c r="B54" t="str">
        <f>IF(COUNT(Resultados!B54,Resultados!K54,Resultados!T54,Resultados!AC54,Resultados!AL54,Resultados!AU54,Resultados!BD54,Resultados!BM54,Resultados!BV54,Resultados!CE54)&lt;=1, "", _xlfn.STDEV.S(ABS(Resultados!B54),ABS(Resultados!K54),ABS(Resultados!T54),ABS(Resultados!AC54),ABS(Resultados!AL54),ABS(Resultados!AU54),ABS(Resultados!BD54),ABS(Resultados!BM54),ABS(Resultados!BV54),ABS(Resultados!CE54))/SQRT(COUNT(Resultados!B54,Resultados!K54,Resultados!T54,Resultados!AC54,Resultados!AL54,Resultados!AU54,Resultados!BD54,Resultados!BM54,Resultados!BV54,Resultados!CE54)))</f>
        <v/>
      </c>
      <c r="C54">
        <f>IF(COUNT(Resultados!C54,Resultados!L54,Resultados!U54,Resultados!AD54,Resultados!AM54,Resultados!AV54,Resultados!BE54,Resultados!BN54,Resultados!BW54,Resultados!CF54)&lt;=1, "", _xlfn.STDEV.S(ABS(Resultados!C54),ABS(Resultados!L54),ABS(Resultados!U54),ABS(Resultados!AD54),ABS(Resultados!AM54),ABS(Resultados!AV54),ABS(Resultados!BE54),ABS(Resultados!BN54),ABS(Resultados!BW54),ABS(Resultados!CF54))/SQRT(COUNT(Resultados!C54,Resultados!L54,Resultados!U54,Resultados!AD54,Resultados!AM54,Resultados!AV54,Resultados!BE54,Resultados!BN54,Resultados!BW54,Resultados!CF54)))</f>
        <v>0.71569701845279621</v>
      </c>
      <c r="D54">
        <f>IF(COUNT(Resultados!D54,Resultados!M54,Resultados!V54,Resultados!AE54,Resultados!AN54,Resultados!AW54,Resultados!BF54,Resultados!BO54,Resultados!BX54,Resultados!CG54)&lt;=1, "", _xlfn.STDEV.S(ABS(Resultados!D54),ABS(Resultados!M54),ABS(Resultados!V54),ABS(Resultados!AE54),ABS(Resultados!AN54),ABS(Resultados!AW54),ABS(Resultados!BF54),ABS(Resultados!BO54),ABS(Resultados!BX54),ABS(Resultados!CG54))/SQRT(COUNT(Resultados!D54,Resultados!M54,Resultados!V54,Resultados!AE54,Resultados!AN54,Resultados!AW54,Resultados!BF54,Resultados!BO54,Resultados!BX54,Resultados!CG54)))</f>
        <v>2.1311342832710731E-3</v>
      </c>
      <c r="E54">
        <f>IF(COUNT(Resultados!E54,Resultados!N54,Resultados!W54,Resultados!AF54,Resultados!AO54,Resultados!AX54,Resultados!BG54,Resultados!BP54,Resultados!BY54,Resultados!CH54)&lt;=1, "", _xlfn.STDEV.S(ABS(Resultados!E54),ABS(Resultados!N54),ABS(Resultados!W54),ABS(Resultados!AF54),ABS(Resultados!AO54),ABS(Resultados!AX54),ABS(Resultados!BG54),ABS(Resultados!BP54),ABS(Resultados!BY54),ABS(Resultados!CH54))/SQRT(COUNT(Resultados!E54,Resultados!N54,Resultados!W54,Resultados!AF54,Resultados!AO54,Resultados!AX54,Resultados!BG54,Resultados!BP54,Resultados!BY54,Resultados!CH54)))</f>
        <v>0.13367390902502796</v>
      </c>
      <c r="F54">
        <f>IF(COUNT(Resultados!F54,Resultados!O54,Resultados!X54,Resultados!AG54,Resultados!AP54,Resultados!AY54,Resultados!BH54,Resultados!BQ54,Resultados!BZ54,Resultados!CI54)&lt;=1, "", _xlfn.STDEV.S(ABS(Resultados!F54),ABS(Resultados!O54),ABS(Resultados!X54),ABS(Resultados!AG54),ABS(Resultados!AP54),ABS(Resultados!AY54),ABS(Resultados!BH54),ABS(Resultados!BQ54),ABS(Resultados!BZ54),ABS(Resultados!CI54))/SQRT(COUNT(Resultados!F54,Resultados!O54,Resultados!X54,Resultados!AG54,Resultados!AP54,Resultados!AY54,Resultados!BH54,Resultados!BQ54,Resultados!BZ54,Resultados!CI54)))</f>
        <v>15.560626913347669</v>
      </c>
      <c r="G54">
        <f>IF(COUNT(Resultados!G54,Resultados!P54,Resultados!Y54,Resultados!AH54,Resultados!AQ54,Resultados!AZ54,Resultados!BI54,Resultados!BR54,Resultados!CA54,Resultados!CJ54)&lt;=1, "", _xlfn.STDEV.S(ABS(Resultados!G54),ABS(Resultados!P54),ABS(Resultados!Y54),ABS(Resultados!AH54),ABS(Resultados!AQ54),ABS(Resultados!AZ54),ABS(Resultados!BI54),ABS(Resultados!BR54),ABS(Resultados!CA54),ABS(Resultados!CJ54))/SQRT(COUNT(Resultados!G54,Resultados!P54,Resultados!Y54,Resultados!AH54,Resultados!AQ54,Resultados!AZ54,Resultados!BI54,Resultados!BR54,Resultados!CA54,Resultados!CJ54)))</f>
        <v>1.8503717077085941E-17</v>
      </c>
      <c r="H54">
        <f>IF(COUNT(Resultados!H54,Resultados!Q54,Resultados!Z54,Resultados!AI54,Resultados!AR54,Resultados!BA54,Resultados!BJ54,Resultados!BS54,Resultados!CB54,Resultados!CK54)&lt;=1, "", _xlfn.STDEV.S(ABS(Resultados!H54),ABS(Resultados!Q54),ABS(Resultados!Z54),ABS(Resultados!AI54),ABS(Resultados!AR54),ABS(Resultados!BA54),ABS(Resultados!BJ54),ABS(Resultados!BS54),ABS(Resultados!CB54),ABS(Resultados!CK54))/SQRT(COUNT(Resultados!H54,Resultados!Q54,Resultados!Z54,Resultados!AI54,Resultados!AR54,Resultados!BA54,Resultados!BJ54,Resultados!BS54,Resultados!CB54,Resultados!CK54)))</f>
        <v>2.0766666666666785E-3</v>
      </c>
      <c r="I54">
        <f>IF(COUNT(Resultados!I54,Resultados!R54,Resultados!AA54,Resultados!AJ54,Resultados!AS54,Resultados!BB54,Resultados!BK54,Resultados!BT54,Resultados!CC54,Resultados!CL54)&lt;=1, "", _xlfn.STDEV.S(ABS(Resultados!I54),ABS(Resultados!R54),ABS(Resultados!AA54),ABS(Resultados!AJ54),ABS(Resultados!AS54),ABS(Resultados!BB54),ABS(Resultados!BK54),ABS(Resultados!BT54),ABS(Resultados!CC54),ABS(Resultados!CL54))/SQRT(COUNT(Resultados!I54,Resultados!R54,Resultados!AA54,Resultados!AJ54,Resultados!AS54,Resultados!BB54,Resultados!BK54,Resultados!BT54,Resultados!CC54,Resultados!CL54)))</f>
        <v>4.0033969048518026E-2</v>
      </c>
    </row>
    <row r="55" spans="1:9" x14ac:dyDescent="0.3">
      <c r="A55">
        <f>IF(COUNT(Resultados!A55,Resultados!J55,Resultados!S55,Resultados!AB55,Resultados!AK55,Resultados!AT55,Resultados!BC55,Resultados!BL55,Resultados!BU55,Resultados!CD55)&lt;=1, "", _xlfn.STDEV.S(ABS(Resultados!A55),ABS(Resultados!J55),ABS(Resultados!S55),ABS(Resultados!AB55),ABS(Resultados!AK55),ABS(Resultados!AT55),ABS(Resultados!BC55),ABS(Resultados!BL55),ABS(Resultados!BU55),ABS(Resultados!CD55))/SQRT(COUNT(Resultados!A55,Resultados!J55,Resultados!S55,Resultados!AB55,Resultados!AK55,Resultados!AT55,Resultados!BC55,Resultados!BL55,Resultados!BU55,Resultados!CD55)))</f>
        <v>0</v>
      </c>
      <c r="B55" t="str">
        <f>IF(COUNT(Resultados!B55,Resultados!K55,Resultados!T55,Resultados!AC55,Resultados!AL55,Resultados!AU55,Resultados!BD55,Resultados!BM55,Resultados!BV55,Resultados!CE55)&lt;=1, "", _xlfn.STDEV.S(ABS(Resultados!B55),ABS(Resultados!K55),ABS(Resultados!T55),ABS(Resultados!AC55),ABS(Resultados!AL55),ABS(Resultados!AU55),ABS(Resultados!BD55),ABS(Resultados!BM55),ABS(Resultados!BV55),ABS(Resultados!CE55))/SQRT(COUNT(Resultados!B55,Resultados!K55,Resultados!T55,Resultados!AC55,Resultados!AL55,Resultados!AU55,Resultados!BD55,Resultados!BM55,Resultados!BV55,Resultados!CE55)))</f>
        <v/>
      </c>
      <c r="C55">
        <f>IF(COUNT(Resultados!C55,Resultados!L55,Resultados!U55,Resultados!AD55,Resultados!AM55,Resultados!AV55,Resultados!BE55,Resultados!BN55,Resultados!BW55,Resultados!CF55)&lt;=1, "", _xlfn.STDEV.S(ABS(Resultados!C55),ABS(Resultados!L55),ABS(Resultados!U55),ABS(Resultados!AD55),ABS(Resultados!AM55),ABS(Resultados!AV55),ABS(Resultados!BE55),ABS(Resultados!BN55),ABS(Resultados!BW55),ABS(Resultados!CF55))/SQRT(COUNT(Resultados!C55,Resultados!L55,Resultados!U55,Resultados!AD55,Resultados!AM55,Resultados!AV55,Resultados!BE55,Resultados!BN55,Resultados!BW55,Resultados!CF55)))</f>
        <v>0.71569701845279621</v>
      </c>
      <c r="D55">
        <f>IF(COUNT(Resultados!D55,Resultados!M55,Resultados!V55,Resultados!AE55,Resultados!AN55,Resultados!AW55,Resultados!BF55,Resultados!BO55,Resultados!BX55,Resultados!CG55)&lt;=1, "", _xlfn.STDEV.S(ABS(Resultados!D55),ABS(Resultados!M55),ABS(Resultados!V55),ABS(Resultados!AE55),ABS(Resultados!AN55),ABS(Resultados!AW55),ABS(Resultados!BF55),ABS(Resultados!BO55),ABS(Resultados!BX55),ABS(Resultados!CG55))/SQRT(COUNT(Resultados!D55,Resultados!M55,Resultados!V55,Resultados!AE55,Resultados!AN55,Resultados!AW55,Resultados!BF55,Resultados!BO55,Resultados!BX55,Resultados!CG55)))</f>
        <v>2.1199292441022718E-3</v>
      </c>
      <c r="E55">
        <f>IF(COUNT(Resultados!E55,Resultados!N55,Resultados!W55,Resultados!AF55,Resultados!AO55,Resultados!AX55,Resultados!BG55,Resultados!BP55,Resultados!BY55,Resultados!CH55)&lt;=1, "", _xlfn.STDEV.S(ABS(Resultados!E55),ABS(Resultados!N55),ABS(Resultados!W55),ABS(Resultados!AF55),ABS(Resultados!AO55),ABS(Resultados!AX55),ABS(Resultados!BG55),ABS(Resultados!BP55),ABS(Resultados!BY55),ABS(Resultados!CH55))/SQRT(COUNT(Resultados!E55,Resultados!N55,Resultados!W55,Resultados!AF55,Resultados!AO55,Resultados!AX55,Resultados!BG55,Resultados!BP55,Resultados!BY55,Resultados!CH55)))</f>
        <v>0.13224502927547555</v>
      </c>
      <c r="F55">
        <f>IF(COUNT(Resultados!F55,Resultados!O55,Resultados!X55,Resultados!AG55,Resultados!AP55,Resultados!AY55,Resultados!BH55,Resultados!BQ55,Resultados!BZ55,Resultados!CI55)&lt;=1, "", _xlfn.STDEV.S(ABS(Resultados!F55),ABS(Resultados!O55),ABS(Resultados!X55),ABS(Resultados!AG55),ABS(Resultados!AP55),ABS(Resultados!AY55),ABS(Resultados!BH55),ABS(Resultados!BQ55),ABS(Resultados!BZ55),ABS(Resultados!CI55))/SQRT(COUNT(Resultados!F55,Resultados!O55,Resultados!X55,Resultados!AG55,Resultados!AP55,Resultados!AY55,Resultados!BH55,Resultados!BQ55,Resultados!BZ55,Resultados!CI55)))</f>
        <v>15.896492175654277</v>
      </c>
      <c r="G55">
        <f>IF(COUNT(Resultados!G55,Resultados!P55,Resultados!Y55,Resultados!AH55,Resultados!AQ55,Resultados!AZ55,Resultados!BI55,Resultados!BR55,Resultados!CA55,Resultados!CJ55)&lt;=1, "", _xlfn.STDEV.S(ABS(Resultados!G55),ABS(Resultados!P55),ABS(Resultados!Y55),ABS(Resultados!AH55),ABS(Resultados!AQ55),ABS(Resultados!AZ55),ABS(Resultados!BI55),ABS(Resultados!BR55),ABS(Resultados!CA55),ABS(Resultados!CJ55))/SQRT(COUNT(Resultados!G55,Resultados!P55,Resultados!Y55,Resultados!AH55,Resultados!AQ55,Resultados!AZ55,Resultados!BI55,Resultados!BR55,Resultados!CA55,Resultados!CJ55)))</f>
        <v>1.8503717077085941E-17</v>
      </c>
      <c r="H55">
        <f>IF(COUNT(Resultados!H55,Resultados!Q55,Resultados!Z55,Resultados!AI55,Resultados!AR55,Resultados!BA55,Resultados!BJ55,Resultados!BS55,Resultados!CB55,Resultados!CK55)&lt;=1, "", _xlfn.STDEV.S(ABS(Resultados!H55),ABS(Resultados!Q55),ABS(Resultados!Z55),ABS(Resultados!AI55),ABS(Resultados!AR55),ABS(Resultados!BA55),ABS(Resultados!BJ55),ABS(Resultados!BS55),ABS(Resultados!CB55),ABS(Resultados!CK55))/SQRT(COUNT(Resultados!H55,Resultados!Q55,Resultados!Z55,Resultados!AI55,Resultados!AR55,Resultados!BA55,Resultados!BJ55,Resultados!BS55,Resultados!CB55,Resultados!CK55)))</f>
        <v>2.0492708730451312E-3</v>
      </c>
      <c r="I55">
        <f>IF(COUNT(Resultados!I55,Resultados!R55,Resultados!AA55,Resultados!AJ55,Resultados!AS55,Resultados!BB55,Resultados!BK55,Resultados!BT55,Resultados!CC55,Resultados!CL55)&lt;=1, "", _xlfn.STDEV.S(ABS(Resultados!I55),ABS(Resultados!R55),ABS(Resultados!AA55),ABS(Resultados!AJ55),ABS(Resultados!AS55),ABS(Resultados!BB55),ABS(Resultados!BK55),ABS(Resultados!BT55),ABS(Resultados!CC55),ABS(Resultados!CL55))/SQRT(COUNT(Resultados!I55,Resultados!R55,Resultados!AA55,Resultados!AJ55,Resultados!AS55,Resultados!BB55,Resultados!BK55,Resultados!BT55,Resultados!CC55,Resultados!CL55)))</f>
        <v>4.0154982532962465E-2</v>
      </c>
    </row>
    <row r="56" spans="1:9" x14ac:dyDescent="0.3">
      <c r="A56">
        <f>IF(COUNT(Resultados!A56,Resultados!J56,Resultados!S56,Resultados!AB56,Resultados!AK56,Resultados!AT56,Resultados!BC56,Resultados!BL56,Resultados!BU56,Resultados!CD56)&lt;=1, "", _xlfn.STDEV.S(ABS(Resultados!A56),ABS(Resultados!J56),ABS(Resultados!S56),ABS(Resultados!AB56),ABS(Resultados!AK56),ABS(Resultados!AT56),ABS(Resultados!BC56),ABS(Resultados!BL56),ABS(Resultados!BU56),ABS(Resultados!CD56))/SQRT(COUNT(Resultados!A56,Resultados!J56,Resultados!S56,Resultados!AB56,Resultados!AK56,Resultados!AT56,Resultados!BC56,Resultados!BL56,Resultados!BU56,Resultados!CD56)))</f>
        <v>0</v>
      </c>
      <c r="B56" t="str">
        <f>IF(COUNT(Resultados!B56,Resultados!K56,Resultados!T56,Resultados!AC56,Resultados!AL56,Resultados!AU56,Resultados!BD56,Resultados!BM56,Resultados!BV56,Resultados!CE56)&lt;=1, "", _xlfn.STDEV.S(ABS(Resultados!B56),ABS(Resultados!K56),ABS(Resultados!T56),ABS(Resultados!AC56),ABS(Resultados!AL56),ABS(Resultados!AU56),ABS(Resultados!BD56),ABS(Resultados!BM56),ABS(Resultados!BV56),ABS(Resultados!CE56))/SQRT(COUNT(Resultados!B56,Resultados!K56,Resultados!T56,Resultados!AC56,Resultados!AL56,Resultados!AU56,Resultados!BD56,Resultados!BM56,Resultados!BV56,Resultados!CE56)))</f>
        <v/>
      </c>
      <c r="C56">
        <f>IF(COUNT(Resultados!C56,Resultados!L56,Resultados!U56,Resultados!AD56,Resultados!AM56,Resultados!AV56,Resultados!BE56,Resultados!BN56,Resultados!BW56,Resultados!CF56)&lt;=1, "", _xlfn.STDEV.S(ABS(Resultados!C56),ABS(Resultados!L56),ABS(Resultados!U56),ABS(Resultados!AD56),ABS(Resultados!AM56),ABS(Resultados!AV56),ABS(Resultados!BE56),ABS(Resultados!BN56),ABS(Resultados!BW56),ABS(Resultados!CF56))/SQRT(COUNT(Resultados!C56,Resultados!L56,Resultados!U56,Resultados!AD56,Resultados!AM56,Resultados!AV56,Resultados!BE56,Resultados!BN56,Resultados!BW56,Resultados!CF56)))</f>
        <v>0.71569701845279621</v>
      </c>
      <c r="D56">
        <f>IF(COUNT(Resultados!D56,Resultados!M56,Resultados!V56,Resultados!AE56,Resultados!AN56,Resultados!AW56,Resultados!BF56,Resultados!BO56,Resultados!BX56,Resultados!CG56)&lt;=1, "", _xlfn.STDEV.S(ABS(Resultados!D56),ABS(Resultados!M56),ABS(Resultados!V56),ABS(Resultados!AE56),ABS(Resultados!AN56),ABS(Resultados!AW56),ABS(Resultados!BF56),ABS(Resultados!BO56),ABS(Resultados!BX56),ABS(Resultados!CG56))/SQRT(COUNT(Resultados!D56,Resultados!M56,Resultados!V56,Resultados!AE56,Resultados!AN56,Resultados!AW56,Resultados!BF56,Resultados!BO56,Resultados!BX56,Resultados!CG56)))</f>
        <v>2.0792199391972683E-3</v>
      </c>
      <c r="E56">
        <f>IF(COUNT(Resultados!E56,Resultados!N56,Resultados!W56,Resultados!AF56,Resultados!AO56,Resultados!AX56,Resultados!BG56,Resultados!BP56,Resultados!BY56,Resultados!CH56)&lt;=1, "", _xlfn.STDEV.S(ABS(Resultados!E56),ABS(Resultados!N56),ABS(Resultados!W56),ABS(Resultados!AF56),ABS(Resultados!AO56),ABS(Resultados!AX56),ABS(Resultados!BG56),ABS(Resultados!BP56),ABS(Resultados!BY56),ABS(Resultados!CH56))/SQRT(COUNT(Resultados!E56,Resultados!N56,Resultados!W56,Resultados!AF56,Resultados!AO56,Resultados!AX56,Resultados!BG56,Resultados!BP56,Resultados!BY56,Resultados!CH56)))</f>
        <v>0.13087668288267279</v>
      </c>
      <c r="F56">
        <f>IF(COUNT(Resultados!F56,Resultados!O56,Resultados!X56,Resultados!AG56,Resultados!AP56,Resultados!AY56,Resultados!BH56,Resultados!BQ56,Resultados!BZ56,Resultados!CI56)&lt;=1, "", _xlfn.STDEV.S(ABS(Resultados!F56),ABS(Resultados!O56),ABS(Resultados!X56),ABS(Resultados!AG56),ABS(Resultados!AP56),ABS(Resultados!AY56),ABS(Resultados!BH56),ABS(Resultados!BQ56),ABS(Resultados!BZ56),ABS(Resultados!CI56))/SQRT(COUNT(Resultados!F56,Resultados!O56,Resultados!X56,Resultados!AG56,Resultados!AP56,Resultados!AY56,Resultados!BH56,Resultados!BQ56,Resultados!BZ56,Resultados!CI56)))</f>
        <v>16.239688352706679</v>
      </c>
      <c r="G56">
        <f>IF(COUNT(Resultados!G56,Resultados!P56,Resultados!Y56,Resultados!AH56,Resultados!AQ56,Resultados!AZ56,Resultados!BI56,Resultados!BR56,Resultados!CA56,Resultados!CJ56)&lt;=1, "", _xlfn.STDEV.S(ABS(Resultados!G56),ABS(Resultados!P56),ABS(Resultados!Y56),ABS(Resultados!AH56),ABS(Resultados!AQ56),ABS(Resultados!AZ56),ABS(Resultados!BI56),ABS(Resultados!BR56),ABS(Resultados!CA56),ABS(Resultados!CJ56))/SQRT(COUNT(Resultados!G56,Resultados!P56,Resultados!Y56,Resultados!AH56,Resultados!AQ56,Resultados!AZ56,Resultados!BI56,Resultados!BR56,Resultados!CA56,Resultados!CJ56)))</f>
        <v>1.8503717077085941E-17</v>
      </c>
      <c r="H56">
        <f>IF(COUNT(Resultados!H56,Resultados!Q56,Resultados!Z56,Resultados!AI56,Resultados!AR56,Resultados!BA56,Resultados!BJ56,Resultados!BS56,Resultados!CB56,Resultados!CK56)&lt;=1, "", _xlfn.STDEV.S(ABS(Resultados!H56),ABS(Resultados!Q56),ABS(Resultados!Z56),ABS(Resultados!AI56),ABS(Resultados!AR56),ABS(Resultados!BA56),ABS(Resultados!BJ56),ABS(Resultados!BS56),ABS(Resultados!CB56),ABS(Resultados!CK56))/SQRT(COUNT(Resultados!H56,Resultados!Q56,Resultados!Z56,Resultados!AI56,Resultados!AR56,Resultados!BA56,Resultados!BJ56,Resultados!BS56,Resultados!CB56,Resultados!CK56)))</f>
        <v>2.0311901273227457E-3</v>
      </c>
      <c r="I56">
        <f>IF(COUNT(Resultados!I56,Resultados!R56,Resultados!AA56,Resultados!AJ56,Resultados!AS56,Resultados!BB56,Resultados!BK56,Resultados!BT56,Resultados!CC56,Resultados!CL56)&lt;=1, "", _xlfn.STDEV.S(ABS(Resultados!I56),ABS(Resultados!R56),ABS(Resultados!AA56),ABS(Resultados!AJ56),ABS(Resultados!AS56),ABS(Resultados!BB56),ABS(Resultados!BK56),ABS(Resultados!BT56),ABS(Resultados!CC56),ABS(Resultados!CL56))/SQRT(COUNT(Resultados!I56,Resultados!R56,Resultados!AA56,Resultados!AJ56,Resultados!AS56,Resultados!BB56,Resultados!BK56,Resultados!BT56,Resultados!CC56,Resultados!CL56)))</f>
        <v>4.0209247278034689E-2</v>
      </c>
    </row>
    <row r="57" spans="1:9" x14ac:dyDescent="0.3">
      <c r="A57">
        <f>IF(COUNT(Resultados!A57,Resultados!J57,Resultados!S57,Resultados!AB57,Resultados!AK57,Resultados!AT57,Resultados!BC57,Resultados!BL57,Resultados!BU57,Resultados!CD57)&lt;=1, "", _xlfn.STDEV.S(ABS(Resultados!A57),ABS(Resultados!J57),ABS(Resultados!S57),ABS(Resultados!AB57),ABS(Resultados!AK57),ABS(Resultados!AT57),ABS(Resultados!BC57),ABS(Resultados!BL57),ABS(Resultados!BU57),ABS(Resultados!CD57))/SQRT(COUNT(Resultados!A57,Resultados!J57,Resultados!S57,Resultados!AB57,Resultados!AK57,Resultados!AT57,Resultados!BC57,Resultados!BL57,Resultados!BU57,Resultados!CD57)))</f>
        <v>0</v>
      </c>
      <c r="B57" t="str">
        <f>IF(COUNT(Resultados!B57,Resultados!K57,Resultados!T57,Resultados!AC57,Resultados!AL57,Resultados!AU57,Resultados!BD57,Resultados!BM57,Resultados!BV57,Resultados!CE57)&lt;=1, "", _xlfn.STDEV.S(ABS(Resultados!B57),ABS(Resultados!K57),ABS(Resultados!T57),ABS(Resultados!AC57),ABS(Resultados!AL57),ABS(Resultados!AU57),ABS(Resultados!BD57),ABS(Resultados!BM57),ABS(Resultados!BV57),ABS(Resultados!CE57))/SQRT(COUNT(Resultados!B57,Resultados!K57,Resultados!T57,Resultados!AC57,Resultados!AL57,Resultados!AU57,Resultados!BD57,Resultados!BM57,Resultados!BV57,Resultados!CE57)))</f>
        <v/>
      </c>
      <c r="C57">
        <f>IF(COUNT(Resultados!C57,Resultados!L57,Resultados!U57,Resultados!AD57,Resultados!AM57,Resultados!AV57,Resultados!BE57,Resultados!BN57,Resultados!BW57,Resultados!CF57)&lt;=1, "", _xlfn.STDEV.S(ABS(Resultados!C57),ABS(Resultados!L57),ABS(Resultados!U57),ABS(Resultados!AD57),ABS(Resultados!AM57),ABS(Resultados!AV57),ABS(Resultados!BE57),ABS(Resultados!BN57),ABS(Resultados!BW57),ABS(Resultados!CF57))/SQRT(COUNT(Resultados!C57,Resultados!L57,Resultados!U57,Resultados!AD57,Resultados!AM57,Resultados!AV57,Resultados!BE57,Resultados!BN57,Resultados!BW57,Resultados!CF57)))</f>
        <v>0.71569701845279621</v>
      </c>
      <c r="D57">
        <f>IF(COUNT(Resultados!D57,Resultados!M57,Resultados!V57,Resultados!AE57,Resultados!AN57,Resultados!AW57,Resultados!BF57,Resultados!BO57,Resultados!BX57,Resultados!CG57)&lt;=1, "", _xlfn.STDEV.S(ABS(Resultados!D57),ABS(Resultados!M57),ABS(Resultados!V57),ABS(Resultados!AE57),ABS(Resultados!AN57),ABS(Resultados!AW57),ABS(Resultados!BF57),ABS(Resultados!BO57),ABS(Resultados!BX57),ABS(Resultados!CG57))/SQRT(COUNT(Resultados!D57,Resultados!M57,Resultados!V57,Resultados!AE57,Resultados!AN57,Resultados!AW57,Resultados!BF57,Resultados!BO57,Resultados!BX57,Resultados!CG57)))</f>
        <v>2.0835226580641448E-3</v>
      </c>
      <c r="E57">
        <f>IF(COUNT(Resultados!E57,Resultados!N57,Resultados!W57,Resultados!AF57,Resultados!AO57,Resultados!AX57,Resultados!BG57,Resultados!BP57,Resultados!BY57,Resultados!CH57)&lt;=1, "", _xlfn.STDEV.S(ABS(Resultados!E57),ABS(Resultados!N57),ABS(Resultados!W57),ABS(Resultados!AF57),ABS(Resultados!AO57),ABS(Resultados!AX57),ABS(Resultados!BG57),ABS(Resultados!BP57),ABS(Resultados!BY57),ABS(Resultados!CH57))/SQRT(COUNT(Resultados!E57,Resultados!N57,Resultados!W57,Resultados!AF57,Resultados!AO57,Resultados!AX57,Resultados!BG57,Resultados!BP57,Resultados!BY57,Resultados!CH57)))</f>
        <v>0.12966639692112428</v>
      </c>
      <c r="F57">
        <f>IF(COUNT(Resultados!F57,Resultados!O57,Resultados!X57,Resultados!AG57,Resultados!AP57,Resultados!AY57,Resultados!BH57,Resultados!BQ57,Resultados!BZ57,Resultados!CI57)&lt;=1, "", _xlfn.STDEV.S(ABS(Resultados!F57),ABS(Resultados!O57),ABS(Resultados!X57),ABS(Resultados!AG57),ABS(Resultados!AP57),ABS(Resultados!AY57),ABS(Resultados!BH57),ABS(Resultados!BQ57),ABS(Resultados!BZ57),ABS(Resultados!CI57))/SQRT(COUNT(Resultados!F57,Resultados!O57,Resultados!X57,Resultados!AG57,Resultados!AP57,Resultados!AY57,Resultados!BH57,Resultados!BQ57,Resultados!BZ57,Resultados!CI57)))</f>
        <v>16.581552511129676</v>
      </c>
      <c r="G57">
        <f>IF(COUNT(Resultados!G57,Resultados!P57,Resultados!Y57,Resultados!AH57,Resultados!AQ57,Resultados!AZ57,Resultados!BI57,Resultados!BR57,Resultados!CA57,Resultados!CJ57)&lt;=1, "", _xlfn.STDEV.S(ABS(Resultados!G57),ABS(Resultados!P57),ABS(Resultados!Y57),ABS(Resultados!AH57),ABS(Resultados!AQ57),ABS(Resultados!AZ57),ABS(Resultados!BI57),ABS(Resultados!BR57),ABS(Resultados!CA57),ABS(Resultados!CJ57))/SQRT(COUNT(Resultados!G57,Resultados!P57,Resultados!Y57,Resultados!AH57,Resultados!AQ57,Resultados!AZ57,Resultados!BI57,Resultados!BR57,Resultados!CA57,Resultados!CJ57)))</f>
        <v>1.8503717077085941E-17</v>
      </c>
      <c r="H57">
        <f>IF(COUNT(Resultados!H57,Resultados!Q57,Resultados!Z57,Resultados!AI57,Resultados!AR57,Resultados!BA57,Resultados!BJ57,Resultados!BS57,Resultados!CB57,Resultados!CK57)&lt;=1, "", _xlfn.STDEV.S(ABS(Resultados!H57),ABS(Resultados!Q57),ABS(Resultados!Z57),ABS(Resultados!AI57),ABS(Resultados!AR57),ABS(Resultados!BA57),ABS(Resultados!BJ57),ABS(Resultados!BS57),ABS(Resultados!CB57),ABS(Resultados!CK57))/SQRT(COUNT(Resultados!H57,Resultados!Q57,Resultados!Z57,Resultados!AI57,Resultados!AR57,Resultados!BA57,Resultados!BJ57,Resultados!BS57,Resultados!CB57,Resultados!CK57)))</f>
        <v>2.0113455971341935E-3</v>
      </c>
      <c r="I57">
        <f>IF(COUNT(Resultados!I57,Resultados!R57,Resultados!AA57,Resultados!AJ57,Resultados!AS57,Resultados!BB57,Resultados!BK57,Resultados!BT57,Resultados!CC57,Resultados!CL57)&lt;=1, "", _xlfn.STDEV.S(ABS(Resultados!I57),ABS(Resultados!R57),ABS(Resultados!AA57),ABS(Resultados!AJ57),ABS(Resultados!AS57),ABS(Resultados!BB57),ABS(Resultados!BK57),ABS(Resultados!BT57),ABS(Resultados!CC57),ABS(Resultados!CL57))/SQRT(COUNT(Resultados!I57,Resultados!R57,Resultados!AA57,Resultados!AJ57,Resultados!AS57,Resultados!BB57,Resultados!BK57,Resultados!BT57,Resultados!CC57,Resultados!CL57)))</f>
        <v>4.0023212709064913E-2</v>
      </c>
    </row>
    <row r="58" spans="1:9" x14ac:dyDescent="0.3">
      <c r="A58">
        <f>IF(COUNT(Resultados!A58,Resultados!J58,Resultados!S58,Resultados!AB58,Resultados!AK58,Resultados!AT58,Resultados!BC58,Resultados!BL58,Resultados!BU58,Resultados!CD58)&lt;=1, "", _xlfn.STDEV.S(ABS(Resultados!A58),ABS(Resultados!J58),ABS(Resultados!S58),ABS(Resultados!AB58),ABS(Resultados!AK58),ABS(Resultados!AT58),ABS(Resultados!BC58),ABS(Resultados!BL58),ABS(Resultados!BU58),ABS(Resultados!CD58))/SQRT(COUNT(Resultados!A58,Resultados!J58,Resultados!S58,Resultados!AB58,Resultados!AK58,Resultados!AT58,Resultados!BC58,Resultados!BL58,Resultados!BU58,Resultados!CD58)))</f>
        <v>0</v>
      </c>
      <c r="B58" t="str">
        <f>IF(COUNT(Resultados!B58,Resultados!K58,Resultados!T58,Resultados!AC58,Resultados!AL58,Resultados!AU58,Resultados!BD58,Resultados!BM58,Resultados!BV58,Resultados!CE58)&lt;=1, "", _xlfn.STDEV.S(ABS(Resultados!B58),ABS(Resultados!K58),ABS(Resultados!T58),ABS(Resultados!AC58),ABS(Resultados!AL58),ABS(Resultados!AU58),ABS(Resultados!BD58),ABS(Resultados!BM58),ABS(Resultados!BV58),ABS(Resultados!CE58))/SQRT(COUNT(Resultados!B58,Resultados!K58,Resultados!T58,Resultados!AC58,Resultados!AL58,Resultados!AU58,Resultados!BD58,Resultados!BM58,Resultados!BV58,Resultados!CE58)))</f>
        <v/>
      </c>
      <c r="C58">
        <f>IF(COUNT(Resultados!C58,Resultados!L58,Resultados!U58,Resultados!AD58,Resultados!AM58,Resultados!AV58,Resultados!BE58,Resultados!BN58,Resultados!BW58,Resultados!CF58)&lt;=1, "", _xlfn.STDEV.S(ABS(Resultados!C58),ABS(Resultados!L58),ABS(Resultados!U58),ABS(Resultados!AD58),ABS(Resultados!AM58),ABS(Resultados!AV58),ABS(Resultados!BE58),ABS(Resultados!BN58),ABS(Resultados!BW58),ABS(Resultados!CF58))/SQRT(COUNT(Resultados!C58,Resultados!L58,Resultados!U58,Resultados!AD58,Resultados!AM58,Resultados!AV58,Resultados!BE58,Resultados!BN58,Resultados!BW58,Resultados!CF58)))</f>
        <v>0.71569701845279621</v>
      </c>
      <c r="D58">
        <f>IF(COUNT(Resultados!D58,Resultados!M58,Resultados!V58,Resultados!AE58,Resultados!AN58,Resultados!AW58,Resultados!BF58,Resultados!BO58,Resultados!BX58,Resultados!CG58)&lt;=1, "", _xlfn.STDEV.S(ABS(Resultados!D58),ABS(Resultados!M58),ABS(Resultados!V58),ABS(Resultados!AE58),ABS(Resultados!AN58),ABS(Resultados!AW58),ABS(Resultados!BF58),ABS(Resultados!BO58),ABS(Resultados!BX58),ABS(Resultados!CG58))/SQRT(COUNT(Resultados!D58,Resultados!M58,Resultados!V58,Resultados!AE58,Resultados!AN58,Resultados!AW58,Resultados!BF58,Resultados!BO58,Resultados!BX58,Resultados!CG58)))</f>
        <v>2.0537337271959639E-3</v>
      </c>
      <c r="E58">
        <f>IF(COUNT(Resultados!E58,Resultados!N58,Resultados!W58,Resultados!AF58,Resultados!AO58,Resultados!AX58,Resultados!BG58,Resultados!BP58,Resultados!BY58,Resultados!CH58)&lt;=1, "", _xlfn.STDEV.S(ABS(Resultados!E58),ABS(Resultados!N58),ABS(Resultados!W58),ABS(Resultados!AF58),ABS(Resultados!AO58),ABS(Resultados!AX58),ABS(Resultados!BG58),ABS(Resultados!BP58),ABS(Resultados!BY58),ABS(Resultados!CH58))/SQRT(COUNT(Resultados!E58,Resultados!N58,Resultados!W58,Resultados!AF58,Resultados!AO58,Resultados!AX58,Resultados!BG58,Resultados!BP58,Resultados!BY58,Resultados!CH58)))</f>
        <v>0.12857390621174911</v>
      </c>
      <c r="F58">
        <f>IF(COUNT(Resultados!F58,Resultados!O58,Resultados!X58,Resultados!AG58,Resultados!AP58,Resultados!AY58,Resultados!BH58,Resultados!BQ58,Resultados!BZ58,Resultados!CI58)&lt;=1, "", _xlfn.STDEV.S(ABS(Resultados!F58),ABS(Resultados!O58),ABS(Resultados!X58),ABS(Resultados!AG58),ABS(Resultados!AP58),ABS(Resultados!AY58),ABS(Resultados!BH58),ABS(Resultados!BQ58),ABS(Resultados!BZ58),ABS(Resultados!CI58))/SQRT(COUNT(Resultados!F58,Resultados!O58,Resultados!X58,Resultados!AG58,Resultados!AP58,Resultados!AY58,Resultados!BH58,Resultados!BQ58,Resultados!BZ58,Resultados!CI58)))</f>
        <v>16.928439790410106</v>
      </c>
      <c r="G58">
        <f>IF(COUNT(Resultados!G58,Resultados!P58,Resultados!Y58,Resultados!AH58,Resultados!AQ58,Resultados!AZ58,Resultados!BI58,Resultados!BR58,Resultados!CA58,Resultados!CJ58)&lt;=1, "", _xlfn.STDEV.S(ABS(Resultados!G58),ABS(Resultados!P58),ABS(Resultados!Y58),ABS(Resultados!AH58),ABS(Resultados!AQ58),ABS(Resultados!AZ58),ABS(Resultados!BI58),ABS(Resultados!BR58),ABS(Resultados!CA58),ABS(Resultados!CJ58))/SQRT(COUNT(Resultados!G58,Resultados!P58,Resultados!Y58,Resultados!AH58,Resultados!AQ58,Resultados!AZ58,Resultados!BI58,Resultados!BR58,Resultados!CA58,Resultados!CJ58)))</f>
        <v>1.8503717077085941E-17</v>
      </c>
      <c r="H58">
        <f>IF(COUNT(Resultados!H58,Resultados!Q58,Resultados!Z58,Resultados!AI58,Resultados!AR58,Resultados!BA58,Resultados!BJ58,Resultados!BS58,Resultados!CB58,Resultados!CK58)&lt;=1, "", _xlfn.STDEV.S(ABS(Resultados!H58),ABS(Resultados!Q58),ABS(Resultados!Z58),ABS(Resultados!AI58),ABS(Resultados!AR58),ABS(Resultados!BA58),ABS(Resultados!BJ58),ABS(Resultados!BS58),ABS(Resultados!CB58),ABS(Resultados!CK58))/SQRT(COUNT(Resultados!H58,Resultados!Q58,Resultados!Z58,Resultados!AI58,Resultados!AR58,Resultados!BA58,Resultados!BJ58,Resultados!BS58,Resultados!CB58,Resultados!CK58)))</f>
        <v>2.0000555547839789E-3</v>
      </c>
      <c r="I58">
        <f>IF(COUNT(Resultados!I58,Resultados!R58,Resultados!AA58,Resultados!AJ58,Resultados!AS58,Resultados!BB58,Resultados!BK58,Resultados!BT58,Resultados!CC58,Resultados!CL58)&lt;=1, "", _xlfn.STDEV.S(ABS(Resultados!I58),ABS(Resultados!R58),ABS(Resultados!AA58),ABS(Resultados!AJ58),ABS(Resultados!AS58),ABS(Resultados!BB58),ABS(Resultados!BK58),ABS(Resultados!BT58),ABS(Resultados!CC58),ABS(Resultados!CL58))/SQRT(COUNT(Resultados!I58,Resultados!R58,Resultados!AA58,Resultados!AJ58,Resultados!AS58,Resultados!BB58,Resultados!BK58,Resultados!BT58,Resultados!CC58,Resultados!CL58)))</f>
        <v>4.0013372764611067E-2</v>
      </c>
    </row>
    <row r="59" spans="1:9" x14ac:dyDescent="0.3">
      <c r="A59">
        <f>IF(COUNT(Resultados!A59,Resultados!J59,Resultados!S59,Resultados!AB59,Resultados!AK59,Resultados!AT59,Resultados!BC59,Resultados!BL59,Resultados!BU59,Resultados!CD59)&lt;=1, "", _xlfn.STDEV.S(ABS(Resultados!A59),ABS(Resultados!J59),ABS(Resultados!S59),ABS(Resultados!AB59),ABS(Resultados!AK59),ABS(Resultados!AT59),ABS(Resultados!BC59),ABS(Resultados!BL59),ABS(Resultados!BU59),ABS(Resultados!CD59))/SQRT(COUNT(Resultados!A59,Resultados!J59,Resultados!S59,Resultados!AB59,Resultados!AK59,Resultados!AT59,Resultados!BC59,Resultados!BL59,Resultados!BU59,Resultados!CD59)))</f>
        <v>0</v>
      </c>
      <c r="B59" t="str">
        <f>IF(COUNT(Resultados!B59,Resultados!K59,Resultados!T59,Resultados!AC59,Resultados!AL59,Resultados!AU59,Resultados!BD59,Resultados!BM59,Resultados!BV59,Resultados!CE59)&lt;=1, "", _xlfn.STDEV.S(ABS(Resultados!B59),ABS(Resultados!K59),ABS(Resultados!T59),ABS(Resultados!AC59),ABS(Resultados!AL59),ABS(Resultados!AU59),ABS(Resultados!BD59),ABS(Resultados!BM59),ABS(Resultados!BV59),ABS(Resultados!CE59))/SQRT(COUNT(Resultados!B59,Resultados!K59,Resultados!T59,Resultados!AC59,Resultados!AL59,Resultados!AU59,Resultados!BD59,Resultados!BM59,Resultados!BV59,Resultados!CE59)))</f>
        <v/>
      </c>
      <c r="C59">
        <f>IF(COUNT(Resultados!C59,Resultados!L59,Resultados!U59,Resultados!AD59,Resultados!AM59,Resultados!AV59,Resultados!BE59,Resultados!BN59,Resultados!BW59,Resultados!CF59)&lt;=1, "", _xlfn.STDEV.S(ABS(Resultados!C59),ABS(Resultados!L59),ABS(Resultados!U59),ABS(Resultados!AD59),ABS(Resultados!AM59),ABS(Resultados!AV59),ABS(Resultados!BE59),ABS(Resultados!BN59),ABS(Resultados!BW59),ABS(Resultados!CF59))/SQRT(COUNT(Resultados!C59,Resultados!L59,Resultados!U59,Resultados!AD59,Resultados!AM59,Resultados!AV59,Resultados!BE59,Resultados!BN59,Resultados!BW59,Resultados!CF59)))</f>
        <v>0.71569701845279621</v>
      </c>
      <c r="D59">
        <f>IF(COUNT(Resultados!D59,Resultados!M59,Resultados!V59,Resultados!AE59,Resultados!AN59,Resultados!AW59,Resultados!BF59,Resultados!BO59,Resultados!BX59,Resultados!CG59)&lt;=1, "", _xlfn.STDEV.S(ABS(Resultados!D59),ABS(Resultados!M59),ABS(Resultados!V59),ABS(Resultados!AE59),ABS(Resultados!AN59),ABS(Resultados!AW59),ABS(Resultados!BF59),ABS(Resultados!BO59),ABS(Resultados!BX59),ABS(Resultados!CG59))/SQRT(COUNT(Resultados!D59,Resultados!M59,Resultados!V59,Resultados!AE59,Resultados!AN59,Resultados!AW59,Resultados!BF59,Resultados!BO59,Resultados!BX59,Resultados!CG59)))</f>
        <v>2.1258749832585148E-3</v>
      </c>
      <c r="E59">
        <f>IF(COUNT(Resultados!E59,Resultados!N59,Resultados!W59,Resultados!AF59,Resultados!AO59,Resultados!AX59,Resultados!BG59,Resultados!BP59,Resultados!BY59,Resultados!CH59)&lt;=1, "", _xlfn.STDEV.S(ABS(Resultados!E59),ABS(Resultados!N59),ABS(Resultados!W59),ABS(Resultados!AF59),ABS(Resultados!AO59),ABS(Resultados!AX59),ABS(Resultados!BG59),ABS(Resultados!BP59),ABS(Resultados!BY59),ABS(Resultados!CH59))/SQRT(COUNT(Resultados!E59,Resultados!N59,Resultados!W59,Resultados!AF59,Resultados!AO59,Resultados!AX59,Resultados!BG59,Resultados!BP59,Resultados!BY59,Resultados!CH59)))</f>
        <v>0.12766291581273861</v>
      </c>
      <c r="F59">
        <f>IF(COUNT(Resultados!F59,Resultados!O59,Resultados!X59,Resultados!AG59,Resultados!AP59,Resultados!AY59,Resultados!BH59,Resultados!BQ59,Resultados!BZ59,Resultados!CI59)&lt;=1, "", _xlfn.STDEV.S(ABS(Resultados!F59),ABS(Resultados!O59),ABS(Resultados!X59),ABS(Resultados!AG59),ABS(Resultados!AP59),ABS(Resultados!AY59),ABS(Resultados!BH59),ABS(Resultados!BQ59),ABS(Resultados!BZ59),ABS(Resultados!CI59))/SQRT(COUNT(Resultados!F59,Resultados!O59,Resultados!X59,Resultados!AG59,Resultados!AP59,Resultados!AY59,Resultados!BH59,Resultados!BQ59,Resultados!BZ59,Resultados!CI59)))</f>
        <v>17.280216635782011</v>
      </c>
      <c r="G59">
        <f>IF(COUNT(Resultados!G59,Resultados!P59,Resultados!Y59,Resultados!AH59,Resultados!AQ59,Resultados!AZ59,Resultados!BI59,Resultados!BR59,Resultados!CA59,Resultados!CJ59)&lt;=1, "", _xlfn.STDEV.S(ABS(Resultados!G59),ABS(Resultados!P59),ABS(Resultados!Y59),ABS(Resultados!AH59),ABS(Resultados!AQ59),ABS(Resultados!AZ59),ABS(Resultados!BI59),ABS(Resultados!BR59),ABS(Resultados!CA59),ABS(Resultados!CJ59))/SQRT(COUNT(Resultados!G59,Resultados!P59,Resultados!Y59,Resultados!AH59,Resultados!AQ59,Resultados!AZ59,Resultados!BI59,Resultados!BR59,Resultados!CA59,Resultados!CJ59)))</f>
        <v>1.8503717077085941E-17</v>
      </c>
      <c r="H59">
        <f>IF(COUNT(Resultados!H59,Resultados!Q59,Resultados!Z59,Resultados!AI59,Resultados!AR59,Resultados!BA59,Resultados!BJ59,Resultados!BS59,Resultados!CB59,Resultados!CK59)&lt;=1, "", _xlfn.STDEV.S(ABS(Resultados!H59),ABS(Resultados!Q59),ABS(Resultados!Z59),ABS(Resultados!AI59),ABS(Resultados!AR59),ABS(Resultados!BA59),ABS(Resultados!BJ59),ABS(Resultados!BS59),ABS(Resultados!CB59),ABS(Resultados!CK59))/SQRT(COUNT(Resultados!H59,Resultados!Q59,Resultados!Z59,Resultados!AI59,Resultados!AR59,Resultados!BA59,Resultados!BJ59,Resultados!BS59,Resultados!CB59,Resultados!CK59)))</f>
        <v>1.9848901452949241E-3</v>
      </c>
      <c r="I59">
        <f>IF(COUNT(Resultados!I59,Resultados!R59,Resultados!AA59,Resultados!AJ59,Resultados!AS59,Resultados!BB59,Resultados!BK59,Resultados!BT59,Resultados!CC59,Resultados!CL59)&lt;=1, "", _xlfn.STDEV.S(ABS(Resultados!I59),ABS(Resultados!R59),ABS(Resultados!AA59),ABS(Resultados!AJ59),ABS(Resultados!AS59),ABS(Resultados!BB59),ABS(Resultados!BK59),ABS(Resultados!BT59),ABS(Resultados!CC59),ABS(Resultados!CL59))/SQRT(COUNT(Resultados!I59,Resultados!R59,Resultados!AA59,Resultados!AJ59,Resultados!AS59,Resultados!BB59,Resultados!BK59,Resultados!BT59,Resultados!CC59,Resultados!CL59)))</f>
        <v>4.009441371452073E-2</v>
      </c>
    </row>
    <row r="60" spans="1:9" x14ac:dyDescent="0.3">
      <c r="A60">
        <f>IF(COUNT(Resultados!A60,Resultados!J60,Resultados!S60,Resultados!AB60,Resultados!AK60,Resultados!AT60,Resultados!BC60,Resultados!BL60,Resultados!BU60,Resultados!CD60)&lt;=1, "", _xlfn.STDEV.S(ABS(Resultados!A60),ABS(Resultados!J60),ABS(Resultados!S60),ABS(Resultados!AB60),ABS(Resultados!AK60),ABS(Resultados!AT60),ABS(Resultados!BC60),ABS(Resultados!BL60),ABS(Resultados!BU60),ABS(Resultados!CD60))/SQRT(COUNT(Resultados!A60,Resultados!J60,Resultados!S60,Resultados!AB60,Resultados!AK60,Resultados!AT60,Resultados!BC60,Resultados!BL60,Resultados!BU60,Resultados!CD60)))</f>
        <v>0</v>
      </c>
      <c r="B60" t="str">
        <f>IF(COUNT(Resultados!B60,Resultados!K60,Resultados!T60,Resultados!AC60,Resultados!AL60,Resultados!AU60,Resultados!BD60,Resultados!BM60,Resultados!BV60,Resultados!CE60)&lt;=1, "", _xlfn.STDEV.S(ABS(Resultados!B60),ABS(Resultados!K60),ABS(Resultados!T60),ABS(Resultados!AC60),ABS(Resultados!AL60),ABS(Resultados!AU60),ABS(Resultados!BD60),ABS(Resultados!BM60),ABS(Resultados!BV60),ABS(Resultados!CE60))/SQRT(COUNT(Resultados!B60,Resultados!K60,Resultados!T60,Resultados!AC60,Resultados!AL60,Resultados!AU60,Resultados!BD60,Resultados!BM60,Resultados!BV60,Resultados!CE60)))</f>
        <v/>
      </c>
      <c r="C60">
        <f>IF(COUNT(Resultados!C60,Resultados!L60,Resultados!U60,Resultados!AD60,Resultados!AM60,Resultados!AV60,Resultados!BE60,Resultados!BN60,Resultados!BW60,Resultados!CF60)&lt;=1, "", _xlfn.STDEV.S(ABS(Resultados!C60),ABS(Resultados!L60),ABS(Resultados!U60),ABS(Resultados!AD60),ABS(Resultados!AM60),ABS(Resultados!AV60),ABS(Resultados!BE60),ABS(Resultados!BN60),ABS(Resultados!BW60),ABS(Resultados!CF60))/SQRT(COUNT(Resultados!C60,Resultados!L60,Resultados!U60,Resultados!AD60,Resultados!AM60,Resultados!AV60,Resultados!BE60,Resultados!BN60,Resultados!BW60,Resultados!CF60)))</f>
        <v>0.71569701845279621</v>
      </c>
      <c r="D60">
        <f>IF(COUNT(Resultados!D60,Resultados!M60,Resultados!V60,Resultados!AE60,Resultados!AN60,Resultados!AW60,Resultados!BF60,Resultados!BO60,Resultados!BX60,Resultados!CG60)&lt;=1, "", _xlfn.STDEV.S(ABS(Resultados!D60),ABS(Resultados!M60),ABS(Resultados!V60),ABS(Resultados!AE60),ABS(Resultados!AN60),ABS(Resultados!AW60),ABS(Resultados!BF60),ABS(Resultados!BO60),ABS(Resultados!BX60),ABS(Resultados!CG60))/SQRT(COUNT(Resultados!D60,Resultados!M60,Resultados!V60,Resultados!AE60,Resultados!AN60,Resultados!AW60,Resultados!BF60,Resultados!BO60,Resultados!BX60,Resultados!CG60)))</f>
        <v>2.1164461827423002E-3</v>
      </c>
      <c r="E60">
        <f>IF(COUNT(Resultados!E60,Resultados!N60,Resultados!W60,Resultados!AF60,Resultados!AO60,Resultados!AX60,Resultados!BG60,Resultados!BP60,Resultados!BY60,Resultados!CH60)&lt;=1, "", _xlfn.STDEV.S(ABS(Resultados!E60),ABS(Resultados!N60),ABS(Resultados!W60),ABS(Resultados!AF60),ABS(Resultados!AO60),ABS(Resultados!AX60),ABS(Resultados!BG60),ABS(Resultados!BP60),ABS(Resultados!BY60),ABS(Resultados!CH60))/SQRT(COUNT(Resultados!E60,Resultados!N60,Resultados!W60,Resultados!AF60,Resultados!AO60,Resultados!AX60,Resultados!BG60,Resultados!BP60,Resultados!BY60,Resultados!CH60)))</f>
        <v>0.12691174490101248</v>
      </c>
      <c r="F60">
        <f>IF(COUNT(Resultados!F60,Resultados!O60,Resultados!X60,Resultados!AG60,Resultados!AP60,Resultados!AY60,Resultados!BH60,Resultados!BQ60,Resultados!BZ60,Resultados!CI60)&lt;=1, "", _xlfn.STDEV.S(ABS(Resultados!F60),ABS(Resultados!O60),ABS(Resultados!X60),ABS(Resultados!AG60),ABS(Resultados!AP60),ABS(Resultados!AY60),ABS(Resultados!BH60),ABS(Resultados!BQ60),ABS(Resultados!BZ60),ABS(Resultados!CI60))/SQRT(COUNT(Resultados!F60,Resultados!O60,Resultados!X60,Resultados!AG60,Resultados!AP60,Resultados!AY60,Resultados!BH60,Resultados!BQ60,Resultados!BZ60,Resultados!CI60)))</f>
        <v>17.630186177343333</v>
      </c>
      <c r="G60">
        <f>IF(COUNT(Resultados!G60,Resultados!P60,Resultados!Y60,Resultados!AH60,Resultados!AQ60,Resultados!AZ60,Resultados!BI60,Resultados!BR60,Resultados!CA60,Resultados!CJ60)&lt;=1, "", _xlfn.STDEV.S(ABS(Resultados!G60),ABS(Resultados!P60),ABS(Resultados!Y60),ABS(Resultados!AH60),ABS(Resultados!AQ60),ABS(Resultados!AZ60),ABS(Resultados!BI60),ABS(Resultados!BR60),ABS(Resultados!CA60),ABS(Resultados!CJ60))/SQRT(COUNT(Resultados!G60,Resultados!P60,Resultados!Y60,Resultados!AH60,Resultados!AQ60,Resultados!AZ60,Resultados!BI60,Resultados!BR60,Resultados!CA60,Resultados!CJ60)))</f>
        <v>1.8503717077085941E-17</v>
      </c>
      <c r="H60">
        <f>IF(COUNT(Resultados!H60,Resultados!Q60,Resultados!Z60,Resultados!AI60,Resultados!AR60,Resultados!BA60,Resultados!BJ60,Resultados!BS60,Resultados!CB60,Resultados!CK60)&lt;=1, "", _xlfn.STDEV.S(ABS(Resultados!H60),ABS(Resultados!Q60),ABS(Resultados!Z60),ABS(Resultados!AI60),ABS(Resultados!AR60),ABS(Resultados!BA60),ABS(Resultados!BJ60),ABS(Resultados!BS60),ABS(Resultados!CB60),ABS(Resultados!CK60))/SQRT(COUNT(Resultados!H60,Resultados!Q60,Resultados!Z60,Resultados!AI60,Resultados!AR60,Resultados!BA60,Resultados!BJ60,Resultados!BS60,Resultados!CB60,Resultados!CK60)))</f>
        <v>1.9688688235746836E-3</v>
      </c>
      <c r="I60">
        <f>IF(COUNT(Resultados!I60,Resultados!R60,Resultados!AA60,Resultados!AJ60,Resultados!AS60,Resultados!BB60,Resultados!BK60,Resultados!BT60,Resultados!CC60,Resultados!CL60)&lt;=1, "", _xlfn.STDEV.S(ABS(Resultados!I60),ABS(Resultados!R60),ABS(Resultados!AA60),ABS(Resultados!AJ60),ABS(Resultados!AS60),ABS(Resultados!BB60),ABS(Resultados!BK60),ABS(Resultados!BT60),ABS(Resultados!CC60),ABS(Resultados!CL60))/SQRT(COUNT(Resultados!I60,Resultados!R60,Resultados!AA60,Resultados!AJ60,Resultados!AS60,Resultados!BB60,Resultados!BK60,Resultados!BT60,Resultados!CC60,Resultados!CL60)))</f>
        <v>3.998531188657329E-2</v>
      </c>
    </row>
    <row r="61" spans="1:9" x14ac:dyDescent="0.3">
      <c r="A61">
        <f>IF(COUNT(Resultados!A61,Resultados!J61,Resultados!S61,Resultados!AB61,Resultados!AK61,Resultados!AT61,Resultados!BC61,Resultados!BL61,Resultados!BU61,Resultados!CD61)&lt;=1, "", _xlfn.STDEV.S(ABS(Resultados!A61),ABS(Resultados!J61),ABS(Resultados!S61),ABS(Resultados!AB61),ABS(Resultados!AK61),ABS(Resultados!AT61),ABS(Resultados!BC61),ABS(Resultados!BL61),ABS(Resultados!BU61),ABS(Resultados!CD61))/SQRT(COUNT(Resultados!A61,Resultados!J61,Resultados!S61,Resultados!AB61,Resultados!AK61,Resultados!AT61,Resultados!BC61,Resultados!BL61,Resultados!BU61,Resultados!CD61)))</f>
        <v>0</v>
      </c>
      <c r="B61" t="str">
        <f>IF(COUNT(Resultados!B61,Resultados!K61,Resultados!T61,Resultados!AC61,Resultados!AL61,Resultados!AU61,Resultados!BD61,Resultados!BM61,Resultados!BV61,Resultados!CE61)&lt;=1, "", _xlfn.STDEV.S(ABS(Resultados!B61),ABS(Resultados!K61),ABS(Resultados!T61),ABS(Resultados!AC61),ABS(Resultados!AL61),ABS(Resultados!AU61),ABS(Resultados!BD61),ABS(Resultados!BM61),ABS(Resultados!BV61),ABS(Resultados!CE61))/SQRT(COUNT(Resultados!B61,Resultados!K61,Resultados!T61,Resultados!AC61,Resultados!AL61,Resultados!AU61,Resultados!BD61,Resultados!BM61,Resultados!BV61,Resultados!CE61)))</f>
        <v/>
      </c>
      <c r="C61">
        <f>IF(COUNT(Resultados!C61,Resultados!L61,Resultados!U61,Resultados!AD61,Resultados!AM61,Resultados!AV61,Resultados!BE61,Resultados!BN61,Resultados!BW61,Resultados!CF61)&lt;=1, "", _xlfn.STDEV.S(ABS(Resultados!C61),ABS(Resultados!L61),ABS(Resultados!U61),ABS(Resultados!AD61),ABS(Resultados!AM61),ABS(Resultados!AV61),ABS(Resultados!BE61),ABS(Resultados!BN61),ABS(Resultados!BW61),ABS(Resultados!CF61))/SQRT(COUNT(Resultados!C61,Resultados!L61,Resultados!U61,Resultados!AD61,Resultados!AM61,Resultados!AV61,Resultados!BE61,Resultados!BN61,Resultados!BW61,Resultados!CF61)))</f>
        <v>0.71569701845279621</v>
      </c>
      <c r="D61">
        <f>IF(COUNT(Resultados!D61,Resultados!M61,Resultados!V61,Resultados!AE61,Resultados!AN61,Resultados!AW61,Resultados!BF61,Resultados!BO61,Resultados!BX61,Resultados!CG61)&lt;=1, "", _xlfn.STDEV.S(ABS(Resultados!D61),ABS(Resultados!M61),ABS(Resultados!V61),ABS(Resultados!AE61),ABS(Resultados!AN61),ABS(Resultados!AW61),ABS(Resultados!BF61),ABS(Resultados!BO61),ABS(Resultados!BX61),ABS(Resultados!CG61))/SQRT(COUNT(Resultados!D61,Resultados!M61,Resultados!V61,Resultados!AE61,Resultados!AN61,Resultados!AW61,Resultados!BF61,Resultados!BO61,Resultados!BX61,Resultados!CG61)))</f>
        <v>2.1773301694200482E-3</v>
      </c>
      <c r="E61">
        <f>IF(COUNT(Resultados!E61,Resultados!N61,Resultados!W61,Resultados!AF61,Resultados!AO61,Resultados!AX61,Resultados!BG61,Resultados!BP61,Resultados!BY61,Resultados!CH61)&lt;=1, "", _xlfn.STDEV.S(ABS(Resultados!E61),ABS(Resultados!N61),ABS(Resultados!W61),ABS(Resultados!AF61),ABS(Resultados!AO61),ABS(Resultados!AX61),ABS(Resultados!BG61),ABS(Resultados!BP61),ABS(Resultados!BY61),ABS(Resultados!CH61))/SQRT(COUNT(Resultados!E61,Resultados!N61,Resultados!W61,Resultados!AF61,Resultados!AO61,Resultados!AX61,Resultados!BG61,Resultados!BP61,Resultados!BY61,Resultados!CH61)))</f>
        <v>0.12632156697688232</v>
      </c>
      <c r="F61">
        <f>IF(COUNT(Resultados!F61,Resultados!O61,Resultados!X61,Resultados!AG61,Resultados!AP61,Resultados!AY61,Resultados!BH61,Resultados!BQ61,Resultados!BZ61,Resultados!CI61)&lt;=1, "", _xlfn.STDEV.S(ABS(Resultados!F61),ABS(Resultados!O61),ABS(Resultados!X61),ABS(Resultados!AG61),ABS(Resultados!AP61),ABS(Resultados!AY61),ABS(Resultados!BH61),ABS(Resultados!BQ61),ABS(Resultados!BZ61),ABS(Resultados!CI61))/SQRT(COUNT(Resultados!F61,Resultados!O61,Resultados!X61,Resultados!AG61,Resultados!AP61,Resultados!AY61,Resultados!BH61,Resultados!BQ61,Resultados!BZ61,Resultados!CI61)))</f>
        <v>17.979804347895485</v>
      </c>
      <c r="G61">
        <f>IF(COUNT(Resultados!G61,Resultados!P61,Resultados!Y61,Resultados!AH61,Resultados!AQ61,Resultados!AZ61,Resultados!BI61,Resultados!BR61,Resultados!CA61,Resultados!CJ61)&lt;=1, "", _xlfn.STDEV.S(ABS(Resultados!G61),ABS(Resultados!P61),ABS(Resultados!Y61),ABS(Resultados!AH61),ABS(Resultados!AQ61),ABS(Resultados!AZ61),ABS(Resultados!BI61),ABS(Resultados!BR61),ABS(Resultados!CA61),ABS(Resultados!CJ61))/SQRT(COUNT(Resultados!G61,Resultados!P61,Resultados!Y61,Resultados!AH61,Resultados!AQ61,Resultados!AZ61,Resultados!BI61,Resultados!BR61,Resultados!CA61,Resultados!CJ61)))</f>
        <v>1.8503717077085941E-17</v>
      </c>
      <c r="H61">
        <f>IF(COUNT(Resultados!H61,Resultados!Q61,Resultados!Z61,Resultados!AI61,Resultados!AR61,Resultados!BA61,Resultados!BJ61,Resultados!BS61,Resultados!CB61,Resultados!CK61)&lt;=1, "", _xlfn.STDEV.S(ABS(Resultados!H61),ABS(Resultados!Q61),ABS(Resultados!Z61),ABS(Resultados!AI61),ABS(Resultados!AR61),ABS(Resultados!BA61),ABS(Resultados!BJ61),ABS(Resultados!BS61),ABS(Resultados!CB61),ABS(Resultados!CK61))/SQRT(COUNT(Resultados!H61,Resultados!Q61,Resultados!Z61,Resultados!AI61,Resultados!AR61,Resultados!BA61,Resultados!BJ61,Resultados!BS61,Resultados!CB61,Resultados!CK61)))</f>
        <v>1.9626767436335679E-3</v>
      </c>
      <c r="I61">
        <f>IF(COUNT(Resultados!I61,Resultados!R61,Resultados!AA61,Resultados!AJ61,Resultados!AS61,Resultados!BB61,Resultados!BK61,Resultados!BT61,Resultados!CC61,Resultados!CL61)&lt;=1, "", _xlfn.STDEV.S(ABS(Resultados!I61),ABS(Resultados!R61),ABS(Resultados!AA61),ABS(Resultados!AJ61),ABS(Resultados!AS61),ABS(Resultados!BB61),ABS(Resultados!BK61),ABS(Resultados!BT61),ABS(Resultados!CC61),ABS(Resultados!CL61))/SQRT(COUNT(Resultados!I61,Resultados!R61,Resultados!AA61,Resultados!AJ61,Resultados!AS61,Resultados!BB61,Resultados!BK61,Resultados!BT61,Resultados!CC61,Resultados!CL61)))</f>
        <v>4.0113761700666307E-2</v>
      </c>
    </row>
    <row r="62" spans="1:9" x14ac:dyDescent="0.3">
      <c r="A62">
        <f>IF(COUNT(Resultados!A62,Resultados!J62,Resultados!S62,Resultados!AB62,Resultados!AK62,Resultados!AT62,Resultados!BC62,Resultados!BL62,Resultados!BU62,Resultados!CD62)&lt;=1, "", _xlfn.STDEV.S(ABS(Resultados!A62),ABS(Resultados!J62),ABS(Resultados!S62),ABS(Resultados!AB62),ABS(Resultados!AK62),ABS(Resultados!AT62),ABS(Resultados!BC62),ABS(Resultados!BL62),ABS(Resultados!BU62),ABS(Resultados!CD62))/SQRT(COUNT(Resultados!A62,Resultados!J62,Resultados!S62,Resultados!AB62,Resultados!AK62,Resultados!AT62,Resultados!BC62,Resultados!BL62,Resultados!BU62,Resultados!CD62)))</f>
        <v>0</v>
      </c>
      <c r="B62" t="str">
        <f>IF(COUNT(Resultados!B62,Resultados!K62,Resultados!T62,Resultados!AC62,Resultados!AL62,Resultados!AU62,Resultados!BD62,Resultados!BM62,Resultados!BV62,Resultados!CE62)&lt;=1, "", _xlfn.STDEV.S(ABS(Resultados!B62),ABS(Resultados!K62),ABS(Resultados!T62),ABS(Resultados!AC62),ABS(Resultados!AL62),ABS(Resultados!AU62),ABS(Resultados!BD62),ABS(Resultados!BM62),ABS(Resultados!BV62),ABS(Resultados!CE62))/SQRT(COUNT(Resultados!B62,Resultados!K62,Resultados!T62,Resultados!AC62,Resultados!AL62,Resultados!AU62,Resultados!BD62,Resultados!BM62,Resultados!BV62,Resultados!CE62)))</f>
        <v/>
      </c>
      <c r="C62">
        <f>IF(COUNT(Resultados!C62,Resultados!L62,Resultados!U62,Resultados!AD62,Resultados!AM62,Resultados!AV62,Resultados!BE62,Resultados!BN62,Resultados!BW62,Resultados!CF62)&lt;=1, "", _xlfn.STDEV.S(ABS(Resultados!C62),ABS(Resultados!L62),ABS(Resultados!U62),ABS(Resultados!AD62),ABS(Resultados!AM62),ABS(Resultados!AV62),ABS(Resultados!BE62),ABS(Resultados!BN62),ABS(Resultados!BW62),ABS(Resultados!CF62))/SQRT(COUNT(Resultados!C62,Resultados!L62,Resultados!U62,Resultados!AD62,Resultados!AM62,Resultados!AV62,Resultados!BE62,Resultados!BN62,Resultados!BW62,Resultados!CF62)))</f>
        <v>0.71569701845279621</v>
      </c>
      <c r="D62">
        <f>IF(COUNT(Resultados!D62,Resultados!M62,Resultados!V62,Resultados!AE62,Resultados!AN62,Resultados!AW62,Resultados!BF62,Resultados!BO62,Resultados!BX62,Resultados!CG62)&lt;=1, "", _xlfn.STDEV.S(ABS(Resultados!D62),ABS(Resultados!M62),ABS(Resultados!V62),ABS(Resultados!AE62),ABS(Resultados!AN62),ABS(Resultados!AW62),ABS(Resultados!BF62),ABS(Resultados!BO62),ABS(Resultados!BX62),ABS(Resultados!CG62))/SQRT(COUNT(Resultados!D62,Resultados!M62,Resultados!V62,Resultados!AE62,Resultados!AN62,Resultados!AW62,Resultados!BF62,Resultados!BO62,Resultados!BX62,Resultados!CG62)))</f>
        <v>2.1684223655818419E-3</v>
      </c>
      <c r="E62">
        <f>IF(COUNT(Resultados!E62,Resultados!N62,Resultados!W62,Resultados!AF62,Resultados!AO62,Resultados!AX62,Resultados!BG62,Resultados!BP62,Resultados!BY62,Resultados!CH62)&lt;=1, "", _xlfn.STDEV.S(ABS(Resultados!E62),ABS(Resultados!N62),ABS(Resultados!W62),ABS(Resultados!AF62),ABS(Resultados!AO62),ABS(Resultados!AX62),ABS(Resultados!BG62),ABS(Resultados!BP62),ABS(Resultados!BY62),ABS(Resultados!CH62))/SQRT(COUNT(Resultados!E62,Resultados!N62,Resultados!W62,Resultados!AF62,Resultados!AO62,Resultados!AX62,Resultados!BG62,Resultados!BP62,Resultados!BY62,Resultados!CH62)))</f>
        <v>0.12594162231623005</v>
      </c>
      <c r="F62">
        <f>IF(COUNT(Resultados!F62,Resultados!O62,Resultados!X62,Resultados!AG62,Resultados!AP62,Resultados!AY62,Resultados!BH62,Resultados!BQ62,Resultados!BZ62,Resultados!CI62)&lt;=1, "", _xlfn.STDEV.S(ABS(Resultados!F62),ABS(Resultados!O62),ABS(Resultados!X62),ABS(Resultados!AG62),ABS(Resultados!AP62),ABS(Resultados!AY62),ABS(Resultados!BH62),ABS(Resultados!BQ62),ABS(Resultados!BZ62),ABS(Resultados!CI62))/SQRT(COUNT(Resultados!F62,Resultados!O62,Resultados!X62,Resultados!AG62,Resultados!AP62,Resultados!AY62,Resultados!BH62,Resultados!BQ62,Resultados!BZ62,Resultados!CI62)))</f>
        <v>18.329852633919288</v>
      </c>
      <c r="G62">
        <f>IF(COUNT(Resultados!G62,Resultados!P62,Resultados!Y62,Resultados!AH62,Resultados!AQ62,Resultados!AZ62,Resultados!BI62,Resultados!BR62,Resultados!CA62,Resultados!CJ62)&lt;=1, "", _xlfn.STDEV.S(ABS(Resultados!G62),ABS(Resultados!P62),ABS(Resultados!Y62),ABS(Resultados!AH62),ABS(Resultados!AQ62),ABS(Resultados!AZ62),ABS(Resultados!BI62),ABS(Resultados!BR62),ABS(Resultados!CA62),ABS(Resultados!CJ62))/SQRT(COUNT(Resultados!G62,Resultados!P62,Resultados!Y62,Resultados!AH62,Resultados!AQ62,Resultados!AZ62,Resultados!BI62,Resultados!BR62,Resultados!CA62,Resultados!CJ62)))</f>
        <v>1.8503717077085941E-17</v>
      </c>
      <c r="H62">
        <f>IF(COUNT(Resultados!H62,Resultados!Q62,Resultados!Z62,Resultados!AI62,Resultados!AR62,Resultados!BA62,Resultados!BJ62,Resultados!BS62,Resultados!CB62,Resultados!CK62)&lt;=1, "", _xlfn.STDEV.S(ABS(Resultados!H62),ABS(Resultados!Q62),ABS(Resultados!Z62),ABS(Resultados!AI62),ABS(Resultados!AR62),ABS(Resultados!BA62),ABS(Resultados!BJ62),ABS(Resultados!BS62),ABS(Resultados!CB62),ABS(Resultados!CK62))/SQRT(COUNT(Resultados!H62,Resultados!Q62,Resultados!Z62,Resultados!AI62,Resultados!AR62,Resultados!BA62,Resultados!BJ62,Resultados!BS62,Resultados!CB62,Resultados!CK62)))</f>
        <v>1.9577311130773525E-3</v>
      </c>
      <c r="I62">
        <f>IF(COUNT(Resultados!I62,Resultados!R62,Resultados!AA62,Resultados!AJ62,Resultados!AS62,Resultados!BB62,Resultados!BK62,Resultados!BT62,Resultados!CC62,Resultados!CL62)&lt;=1, "", _xlfn.STDEV.S(ABS(Resultados!I62),ABS(Resultados!R62),ABS(Resultados!AA62),ABS(Resultados!AJ62),ABS(Resultados!AS62),ABS(Resultados!BB62),ABS(Resultados!BK62),ABS(Resultados!BT62),ABS(Resultados!CC62),ABS(Resultados!CL62))/SQRT(COUNT(Resultados!I62,Resultados!R62,Resultados!AA62,Resultados!AJ62,Resultados!AS62,Resultados!BB62,Resultados!BK62,Resultados!BT62,Resultados!CC62,Resultados!CL62)))</f>
        <v>4.0243127225508477E-2</v>
      </c>
    </row>
    <row r="63" spans="1:9" x14ac:dyDescent="0.3">
      <c r="A63">
        <f>IF(COUNT(Resultados!A63,Resultados!J63,Resultados!S63,Resultados!AB63,Resultados!AK63,Resultados!AT63,Resultados!BC63,Resultados!BL63,Resultados!BU63,Resultados!CD63)&lt;=1, "", _xlfn.STDEV.S(ABS(Resultados!A63),ABS(Resultados!J63),ABS(Resultados!S63),ABS(Resultados!AB63),ABS(Resultados!AK63),ABS(Resultados!AT63),ABS(Resultados!BC63),ABS(Resultados!BL63),ABS(Resultados!BU63),ABS(Resultados!CD63))/SQRT(COUNT(Resultados!A63,Resultados!J63,Resultados!S63,Resultados!AB63,Resultados!AK63,Resultados!AT63,Resultados!BC63,Resultados!BL63,Resultados!BU63,Resultados!CD63)))</f>
        <v>0</v>
      </c>
      <c r="B63" t="str">
        <f>IF(COUNT(Resultados!B63,Resultados!K63,Resultados!T63,Resultados!AC63,Resultados!AL63,Resultados!AU63,Resultados!BD63,Resultados!BM63,Resultados!BV63,Resultados!CE63)&lt;=1, "", _xlfn.STDEV.S(ABS(Resultados!B63),ABS(Resultados!K63),ABS(Resultados!T63),ABS(Resultados!AC63),ABS(Resultados!AL63),ABS(Resultados!AU63),ABS(Resultados!BD63),ABS(Resultados!BM63),ABS(Resultados!BV63),ABS(Resultados!CE63))/SQRT(COUNT(Resultados!B63,Resultados!K63,Resultados!T63,Resultados!AC63,Resultados!AL63,Resultados!AU63,Resultados!BD63,Resultados!BM63,Resultados!BV63,Resultados!CE63)))</f>
        <v/>
      </c>
      <c r="C63">
        <f>IF(COUNT(Resultados!C63,Resultados!L63,Resultados!U63,Resultados!AD63,Resultados!AM63,Resultados!AV63,Resultados!BE63,Resultados!BN63,Resultados!BW63,Resultados!CF63)&lt;=1, "", _xlfn.STDEV.S(ABS(Resultados!C63),ABS(Resultados!L63),ABS(Resultados!U63),ABS(Resultados!AD63),ABS(Resultados!AM63),ABS(Resultados!AV63),ABS(Resultados!BE63),ABS(Resultados!BN63),ABS(Resultados!BW63),ABS(Resultados!CF63))/SQRT(COUNT(Resultados!C63,Resultados!L63,Resultados!U63,Resultados!AD63,Resultados!AM63,Resultados!AV63,Resultados!BE63,Resultados!BN63,Resultados!BW63,Resultados!CF63)))</f>
        <v>0.71569701845279621</v>
      </c>
      <c r="D63">
        <f>IF(COUNT(Resultados!D63,Resultados!M63,Resultados!V63,Resultados!AE63,Resultados!AN63,Resultados!AW63,Resultados!BF63,Resultados!BO63,Resultados!BX63,Resultados!CG63)&lt;=1, "", _xlfn.STDEV.S(ABS(Resultados!D63),ABS(Resultados!M63),ABS(Resultados!V63),ABS(Resultados!AE63),ABS(Resultados!AN63),ABS(Resultados!AW63),ABS(Resultados!BF63),ABS(Resultados!BO63),ABS(Resultados!BX63),ABS(Resultados!CG63))/SQRT(COUNT(Resultados!D63,Resultados!M63,Resultados!V63,Resultados!AE63,Resultados!AN63,Resultados!AW63,Resultados!BF63,Resultados!BO63,Resultados!BX63,Resultados!CG63)))</f>
        <v>2.1387561286359278E-3</v>
      </c>
      <c r="E63">
        <f>IF(COUNT(Resultados!E63,Resultados!N63,Resultados!W63,Resultados!AF63,Resultados!AO63,Resultados!AX63,Resultados!BG63,Resultados!BP63,Resultados!BY63,Resultados!CH63)&lt;=1, "", _xlfn.STDEV.S(ABS(Resultados!E63),ABS(Resultados!N63),ABS(Resultados!W63),ABS(Resultados!AF63),ABS(Resultados!AO63),ABS(Resultados!AX63),ABS(Resultados!BG63),ABS(Resultados!BP63),ABS(Resultados!BY63),ABS(Resultados!CH63))/SQRT(COUNT(Resultados!E63,Resultados!N63,Resultados!W63,Resultados!AF63,Resultados!AO63,Resultados!AX63,Resultados!BG63,Resultados!BP63,Resultados!BY63,Resultados!CH63)))</f>
        <v>0.12571752457624888</v>
      </c>
      <c r="F63">
        <f>IF(COUNT(Resultados!F63,Resultados!O63,Resultados!X63,Resultados!AG63,Resultados!AP63,Resultados!AY63,Resultados!BH63,Resultados!BQ63,Resultados!BZ63,Resultados!CI63)&lt;=1, "", _xlfn.STDEV.S(ABS(Resultados!F63),ABS(Resultados!O63),ABS(Resultados!X63),ABS(Resultados!AG63),ABS(Resultados!AP63),ABS(Resultados!AY63),ABS(Resultados!BH63),ABS(Resultados!BQ63),ABS(Resultados!BZ63),ABS(Resultados!CI63))/SQRT(COUNT(Resultados!F63,Resultados!O63,Resultados!X63,Resultados!AG63,Resultados!AP63,Resultados!AY63,Resultados!BH63,Resultados!BQ63,Resultados!BZ63,Resultados!CI63)))</f>
        <v>18.672541794094595</v>
      </c>
      <c r="G63">
        <f>IF(COUNT(Resultados!G63,Resultados!P63,Resultados!Y63,Resultados!AH63,Resultados!AQ63,Resultados!AZ63,Resultados!BI63,Resultados!BR63,Resultados!CA63,Resultados!CJ63)&lt;=1, "", _xlfn.STDEV.S(ABS(Resultados!G63),ABS(Resultados!P63),ABS(Resultados!Y63),ABS(Resultados!AH63),ABS(Resultados!AQ63),ABS(Resultados!AZ63),ABS(Resultados!BI63),ABS(Resultados!BR63),ABS(Resultados!CA63),ABS(Resultados!CJ63))/SQRT(COUNT(Resultados!G63,Resultados!P63,Resultados!Y63,Resultados!AH63,Resultados!AQ63,Resultados!AZ63,Resultados!BI63,Resultados!BR63,Resultados!CA63,Resultados!CJ63)))</f>
        <v>1.8503717077085941E-17</v>
      </c>
      <c r="H63">
        <f>IF(COUNT(Resultados!H63,Resultados!Q63,Resultados!Z63,Resultados!AI63,Resultados!AR63,Resultados!BA63,Resultados!BJ63,Resultados!BS63,Resultados!CB63,Resultados!CK63)&lt;=1, "", _xlfn.STDEV.S(ABS(Resultados!H63),ABS(Resultados!Q63),ABS(Resultados!Z63),ABS(Resultados!AI63),ABS(Resultados!AR63),ABS(Resultados!BA63),ABS(Resultados!BJ63),ABS(Resultados!BS63),ABS(Resultados!CB63),ABS(Resultados!CK63))/SQRT(COUNT(Resultados!H63,Resultados!Q63,Resultados!Z63,Resultados!AI63,Resultados!AR63,Resultados!BA63,Resultados!BJ63,Resultados!BS63,Resultados!CB63,Resultados!CK63)))</f>
        <v>1.9472173878526038E-3</v>
      </c>
      <c r="I63">
        <f>IF(COUNT(Resultados!I63,Resultados!R63,Resultados!AA63,Resultados!AJ63,Resultados!AS63,Resultados!BB63,Resultados!BK63,Resultados!BT63,Resultados!CC63,Resultados!CL63)&lt;=1, "", _xlfn.STDEV.S(ABS(Resultados!I63),ABS(Resultados!R63),ABS(Resultados!AA63),ABS(Resultados!AJ63),ABS(Resultados!AS63),ABS(Resultados!BB63),ABS(Resultados!BK63),ABS(Resultados!BT63),ABS(Resultados!CC63),ABS(Resultados!CL63))/SQRT(COUNT(Resultados!I63,Resultados!R63,Resultados!AA63,Resultados!AJ63,Resultados!AS63,Resultados!BB63,Resultados!BK63,Resultados!BT63,Resultados!CC63,Resultados!CL63)))</f>
        <v>3.9997002804379546E-2</v>
      </c>
    </row>
    <row r="64" spans="1:9" x14ac:dyDescent="0.3">
      <c r="A64">
        <f>IF(COUNT(Resultados!A64,Resultados!J64,Resultados!S64,Resultados!AB64,Resultados!AK64,Resultados!AT64,Resultados!BC64,Resultados!BL64,Resultados!BU64,Resultados!CD64)&lt;=1, "", _xlfn.STDEV.S(ABS(Resultados!A64),ABS(Resultados!J64),ABS(Resultados!S64),ABS(Resultados!AB64),ABS(Resultados!AK64),ABS(Resultados!AT64),ABS(Resultados!BC64),ABS(Resultados!BL64),ABS(Resultados!BU64),ABS(Resultados!CD64))/SQRT(COUNT(Resultados!A64,Resultados!J64,Resultados!S64,Resultados!AB64,Resultados!AK64,Resultados!AT64,Resultados!BC64,Resultados!BL64,Resultados!BU64,Resultados!CD64)))</f>
        <v>0</v>
      </c>
      <c r="B64" t="str">
        <f>IF(COUNT(Resultados!B64,Resultados!K64,Resultados!T64,Resultados!AC64,Resultados!AL64,Resultados!AU64,Resultados!BD64,Resultados!BM64,Resultados!BV64,Resultados!CE64)&lt;=1, "", _xlfn.STDEV.S(ABS(Resultados!B64),ABS(Resultados!K64),ABS(Resultados!T64),ABS(Resultados!AC64),ABS(Resultados!AL64),ABS(Resultados!AU64),ABS(Resultados!BD64),ABS(Resultados!BM64),ABS(Resultados!BV64),ABS(Resultados!CE64))/SQRT(COUNT(Resultados!B64,Resultados!K64,Resultados!T64,Resultados!AC64,Resultados!AL64,Resultados!AU64,Resultados!BD64,Resultados!BM64,Resultados!BV64,Resultados!CE64)))</f>
        <v/>
      </c>
      <c r="C64">
        <f>IF(COUNT(Resultados!C64,Resultados!L64,Resultados!U64,Resultados!AD64,Resultados!AM64,Resultados!AV64,Resultados!BE64,Resultados!BN64,Resultados!BW64,Resultados!CF64)&lt;=1, "", _xlfn.STDEV.S(ABS(Resultados!C64),ABS(Resultados!L64),ABS(Resultados!U64),ABS(Resultados!AD64),ABS(Resultados!AM64),ABS(Resultados!AV64),ABS(Resultados!BE64),ABS(Resultados!BN64),ABS(Resultados!BW64),ABS(Resultados!CF64))/SQRT(COUNT(Resultados!C64,Resultados!L64,Resultados!U64,Resultados!AD64,Resultados!AM64,Resultados!AV64,Resultados!BE64,Resultados!BN64,Resultados!BW64,Resultados!CF64)))</f>
        <v>0.71569701845279621</v>
      </c>
      <c r="D64">
        <f>IF(COUNT(Resultados!D64,Resultados!M64,Resultados!V64,Resultados!AE64,Resultados!AN64,Resultados!AW64,Resultados!BF64,Resultados!BO64,Resultados!BX64,Resultados!CG64)&lt;=1, "", _xlfn.STDEV.S(ABS(Resultados!D64),ABS(Resultados!M64),ABS(Resultados!V64),ABS(Resultados!AE64),ABS(Resultados!AN64),ABS(Resultados!AW64),ABS(Resultados!BF64),ABS(Resultados!BO64),ABS(Resultados!BX64),ABS(Resultados!CG64))/SQRT(COUNT(Resultados!D64,Resultados!M64,Resultados!V64,Resultados!AE64,Resultados!AN64,Resultados!AW64,Resultados!BF64,Resultados!BO64,Resultados!BX64,Resultados!CG64)))</f>
        <v>2.111986952821659E-3</v>
      </c>
      <c r="E64">
        <f>IF(COUNT(Resultados!E64,Resultados!N64,Resultados!W64,Resultados!AF64,Resultados!AO64,Resultados!AX64,Resultados!BG64,Resultados!BP64,Resultados!BY64,Resultados!CH64)&lt;=1, "", _xlfn.STDEV.S(ABS(Resultados!E64),ABS(Resultados!N64),ABS(Resultados!W64),ABS(Resultados!AF64),ABS(Resultados!AO64),ABS(Resultados!AX64),ABS(Resultados!BG64),ABS(Resultados!BP64),ABS(Resultados!BY64),ABS(Resultados!CH64))/SQRT(COUNT(Resultados!E64,Resultados!N64,Resultados!W64,Resultados!AF64,Resultados!AO64,Resultados!AX64,Resultados!BG64,Resultados!BP64,Resultados!BY64,Resultados!CH64)))</f>
        <v>0.1256272539646002</v>
      </c>
      <c r="F64">
        <f>IF(COUNT(Resultados!F64,Resultados!O64,Resultados!X64,Resultados!AG64,Resultados!AP64,Resultados!AY64,Resultados!BH64,Resultados!BQ64,Resultados!BZ64,Resultados!CI64)&lt;=1, "", _xlfn.STDEV.S(ABS(Resultados!F64),ABS(Resultados!O64),ABS(Resultados!X64),ABS(Resultados!AG64),ABS(Resultados!AP64),ABS(Resultados!AY64),ABS(Resultados!BH64),ABS(Resultados!BQ64),ABS(Resultados!BZ64),ABS(Resultados!CI64))/SQRT(COUNT(Resultados!F64,Resultados!O64,Resultados!X64,Resultados!AG64,Resultados!AP64,Resultados!AY64,Resultados!BH64,Resultados!BQ64,Resultados!BZ64,Resultados!CI64)))</f>
        <v>19.00760324505389</v>
      </c>
      <c r="G64">
        <f>IF(COUNT(Resultados!G64,Resultados!P64,Resultados!Y64,Resultados!AH64,Resultados!AQ64,Resultados!AZ64,Resultados!BI64,Resultados!BR64,Resultados!CA64,Resultados!CJ64)&lt;=1, "", _xlfn.STDEV.S(ABS(Resultados!G64),ABS(Resultados!P64),ABS(Resultados!Y64),ABS(Resultados!AH64),ABS(Resultados!AQ64),ABS(Resultados!AZ64),ABS(Resultados!BI64),ABS(Resultados!BR64),ABS(Resultados!CA64),ABS(Resultados!CJ64))/SQRT(COUNT(Resultados!G64,Resultados!P64,Resultados!Y64,Resultados!AH64,Resultados!AQ64,Resultados!AZ64,Resultados!BI64,Resultados!BR64,Resultados!CA64,Resultados!CJ64)))</f>
        <v>1.8503717077085941E-17</v>
      </c>
      <c r="H64">
        <f>IF(COUNT(Resultados!H64,Resultados!Q64,Resultados!Z64,Resultados!AI64,Resultados!AR64,Resultados!BA64,Resultados!BJ64,Resultados!BS64,Resultados!CB64,Resultados!CK64)&lt;=1, "", _xlfn.STDEV.S(ABS(Resultados!H64),ABS(Resultados!Q64),ABS(Resultados!Z64),ABS(Resultados!AI64),ABS(Resultados!AR64),ABS(Resultados!BA64),ABS(Resultados!BJ64),ABS(Resultados!BS64),ABS(Resultados!CB64),ABS(Resultados!CK64))/SQRT(COUNT(Resultados!H64,Resultados!Q64,Resultados!Z64,Resultados!AI64,Resultados!AR64,Resultados!BA64,Resultados!BJ64,Resultados!BS64,Resultados!CB64,Resultados!CK64)))</f>
        <v>1.9521953454167094E-3</v>
      </c>
      <c r="I64">
        <f>IF(COUNT(Resultados!I64,Resultados!R64,Resultados!AA64,Resultados!AJ64,Resultados!AS64,Resultados!BB64,Resultados!BK64,Resultados!BT64,Resultados!CC64,Resultados!CL64)&lt;=1, "", _xlfn.STDEV.S(ABS(Resultados!I64),ABS(Resultados!R64),ABS(Resultados!AA64),ABS(Resultados!AJ64),ABS(Resultados!AS64),ABS(Resultados!BB64),ABS(Resultados!BK64),ABS(Resultados!BT64),ABS(Resultados!CC64),ABS(Resultados!CL64))/SQRT(COUNT(Resultados!I64,Resultados!R64,Resultados!AA64,Resultados!AJ64,Resultados!AS64,Resultados!BB64,Resultados!BK64,Resultados!BT64,Resultados!CC64,Resultados!CL64)))</f>
        <v>4.0036754780234933E-2</v>
      </c>
    </row>
    <row r="65" spans="1:9" x14ac:dyDescent="0.3">
      <c r="A65">
        <f>IF(COUNT(Resultados!A65,Resultados!J65,Resultados!S65,Resultados!AB65,Resultados!AK65,Resultados!AT65,Resultados!BC65,Resultados!BL65,Resultados!BU65,Resultados!CD65)&lt;=1, "", _xlfn.STDEV.S(ABS(Resultados!A65),ABS(Resultados!J65),ABS(Resultados!S65),ABS(Resultados!AB65),ABS(Resultados!AK65),ABS(Resultados!AT65),ABS(Resultados!BC65),ABS(Resultados!BL65),ABS(Resultados!BU65),ABS(Resultados!CD65))/SQRT(COUNT(Resultados!A65,Resultados!J65,Resultados!S65,Resultados!AB65,Resultados!AK65,Resultados!AT65,Resultados!BC65,Resultados!BL65,Resultados!BU65,Resultados!CD65)))</f>
        <v>0</v>
      </c>
      <c r="B65" t="str">
        <f>IF(COUNT(Resultados!B65,Resultados!K65,Resultados!T65,Resultados!AC65,Resultados!AL65,Resultados!AU65,Resultados!BD65,Resultados!BM65,Resultados!BV65,Resultados!CE65)&lt;=1, "", _xlfn.STDEV.S(ABS(Resultados!B65),ABS(Resultados!K65),ABS(Resultados!T65),ABS(Resultados!AC65),ABS(Resultados!AL65),ABS(Resultados!AU65),ABS(Resultados!BD65),ABS(Resultados!BM65),ABS(Resultados!BV65),ABS(Resultados!CE65))/SQRT(COUNT(Resultados!B65,Resultados!K65,Resultados!T65,Resultados!AC65,Resultados!AL65,Resultados!AU65,Resultados!BD65,Resultados!BM65,Resultados!BV65,Resultados!CE65)))</f>
        <v/>
      </c>
      <c r="C65">
        <f>IF(COUNT(Resultados!C65,Resultados!L65,Resultados!U65,Resultados!AD65,Resultados!AM65,Resultados!AV65,Resultados!BE65,Resultados!BN65,Resultados!BW65,Resultados!CF65)&lt;=1, "", _xlfn.STDEV.S(ABS(Resultados!C65),ABS(Resultados!L65),ABS(Resultados!U65),ABS(Resultados!AD65),ABS(Resultados!AM65),ABS(Resultados!AV65),ABS(Resultados!BE65),ABS(Resultados!BN65),ABS(Resultados!BW65),ABS(Resultados!CF65))/SQRT(COUNT(Resultados!C65,Resultados!L65,Resultados!U65,Resultados!AD65,Resultados!AM65,Resultados!AV65,Resultados!BE65,Resultados!BN65,Resultados!BW65,Resultados!CF65)))</f>
        <v>0.71569701845279621</v>
      </c>
      <c r="D65">
        <f>IF(COUNT(Resultados!D65,Resultados!M65,Resultados!V65,Resultados!AE65,Resultados!AN65,Resultados!AW65,Resultados!BF65,Resultados!BO65,Resultados!BX65,Resultados!CG65)&lt;=1, "", _xlfn.STDEV.S(ABS(Resultados!D65),ABS(Resultados!M65),ABS(Resultados!V65),ABS(Resultados!AE65),ABS(Resultados!AN65),ABS(Resultados!AW65),ABS(Resultados!BF65),ABS(Resultados!BO65),ABS(Resultados!BX65),ABS(Resultados!CG65))/SQRT(COUNT(Resultados!D65,Resultados!M65,Resultados!V65,Resultados!AE65,Resultados!AN65,Resultados!AW65,Resultados!BF65,Resultados!BO65,Resultados!BX65,Resultados!CG65)))</f>
        <v>2.0938242524147031E-3</v>
      </c>
      <c r="E65">
        <f>IF(COUNT(Resultados!E65,Resultados!N65,Resultados!W65,Resultados!AF65,Resultados!AO65,Resultados!AX65,Resultados!BG65,Resultados!BP65,Resultados!BY65,Resultados!CH65)&lt;=1, "", _xlfn.STDEV.S(ABS(Resultados!E65),ABS(Resultados!N65),ABS(Resultados!W65),ABS(Resultados!AF65),ABS(Resultados!AO65),ABS(Resultados!AX65),ABS(Resultados!BG65),ABS(Resultados!BP65),ABS(Resultados!BY65),ABS(Resultados!CH65))/SQRT(COUNT(Resultados!E65,Resultados!N65,Resultados!W65,Resultados!AF65,Resultados!AO65,Resultados!AX65,Resultados!BG65,Resultados!BP65,Resultados!BY65,Resultados!CH65)))</f>
        <v>0.12574461028520151</v>
      </c>
      <c r="F65">
        <f>IF(COUNT(Resultados!F65,Resultados!O65,Resultados!X65,Resultados!AG65,Resultados!AP65,Resultados!AY65,Resultados!BH65,Resultados!BQ65,Resultados!BZ65,Resultados!CI65)&lt;=1, "", _xlfn.STDEV.S(ABS(Resultados!F65),ABS(Resultados!O65),ABS(Resultados!X65),ABS(Resultados!AG65),ABS(Resultados!AP65),ABS(Resultados!AY65),ABS(Resultados!BH65),ABS(Resultados!BQ65),ABS(Resultados!BZ65),ABS(Resultados!CI65))/SQRT(COUNT(Resultados!F65,Resultados!O65,Resultados!X65,Resultados!AG65,Resultados!AP65,Resultados!AY65,Resultados!BH65,Resultados!BQ65,Resultados!BZ65,Resultados!CI65)))</f>
        <v>19.339894745039096</v>
      </c>
      <c r="G65">
        <f>IF(COUNT(Resultados!G65,Resultados!P65,Resultados!Y65,Resultados!AH65,Resultados!AQ65,Resultados!AZ65,Resultados!BI65,Resultados!BR65,Resultados!CA65,Resultados!CJ65)&lt;=1, "", _xlfn.STDEV.S(ABS(Resultados!G65),ABS(Resultados!P65),ABS(Resultados!Y65),ABS(Resultados!AH65),ABS(Resultados!AQ65),ABS(Resultados!AZ65),ABS(Resultados!BI65),ABS(Resultados!BR65),ABS(Resultados!CA65),ABS(Resultados!CJ65))/SQRT(COUNT(Resultados!G65,Resultados!P65,Resultados!Y65,Resultados!AH65,Resultados!AQ65,Resultados!AZ65,Resultados!BI65,Resultados!BR65,Resultados!CA65,Resultados!CJ65)))</f>
        <v>1.8503717077085941E-17</v>
      </c>
      <c r="H65">
        <f>IF(COUNT(Resultados!H65,Resultados!Q65,Resultados!Z65,Resultados!AI65,Resultados!AR65,Resultados!BA65,Resultados!BJ65,Resultados!BS65,Resultados!CB65,Resultados!CK65)&lt;=1, "", _xlfn.STDEV.S(ABS(Resultados!H65),ABS(Resultados!Q65),ABS(Resultados!Z65),ABS(Resultados!AI65),ABS(Resultados!AR65),ABS(Resultados!BA65),ABS(Resultados!BJ65),ABS(Resultados!BS65),ABS(Resultados!CB65),ABS(Resultados!CK65))/SQRT(COUNT(Resultados!H65,Resultados!Q65,Resultados!Z65,Resultados!AI65,Resultados!AR65,Resultados!BA65,Resultados!BJ65,Resultados!BS65,Resultados!CB65,Resultados!CK65)))</f>
        <v>1.9529351129916209E-3</v>
      </c>
      <c r="I65">
        <f>IF(COUNT(Resultados!I65,Resultados!R65,Resultados!AA65,Resultados!AJ65,Resultados!AS65,Resultados!BB65,Resultados!BK65,Resultados!BT65,Resultados!CC65,Resultados!CL65)&lt;=1, "", _xlfn.STDEV.S(ABS(Resultados!I65),ABS(Resultados!R65),ABS(Resultados!AA65),ABS(Resultados!AJ65),ABS(Resultados!AS65),ABS(Resultados!BB65),ABS(Resultados!BK65),ABS(Resultados!BT65),ABS(Resultados!CC65),ABS(Resultados!CL65))/SQRT(COUNT(Resultados!I65,Resultados!R65,Resultados!AA65,Resultados!AJ65,Resultados!AS65,Resultados!BB65,Resultados!BK65,Resultados!BT65,Resultados!CC65,Resultados!CL65)))</f>
        <v>4.012640707120254E-2</v>
      </c>
    </row>
    <row r="66" spans="1:9" x14ac:dyDescent="0.3">
      <c r="A66">
        <f>IF(COUNT(Resultados!A66,Resultados!J66,Resultados!S66,Resultados!AB66,Resultados!AK66,Resultados!AT66,Resultados!BC66,Resultados!BL66,Resultados!BU66,Resultados!CD66)&lt;=1, "", _xlfn.STDEV.S(ABS(Resultados!A66),ABS(Resultados!J66),ABS(Resultados!S66),ABS(Resultados!AB66),ABS(Resultados!AK66),ABS(Resultados!AT66),ABS(Resultados!BC66),ABS(Resultados!BL66),ABS(Resultados!BU66),ABS(Resultados!CD66))/SQRT(COUNT(Resultados!A66,Resultados!J66,Resultados!S66,Resultados!AB66,Resultados!AK66,Resultados!AT66,Resultados!BC66,Resultados!BL66,Resultados!BU66,Resultados!CD66)))</f>
        <v>0</v>
      </c>
      <c r="B66" t="str">
        <f>IF(COUNT(Resultados!B66,Resultados!K66,Resultados!T66,Resultados!AC66,Resultados!AL66,Resultados!AU66,Resultados!BD66,Resultados!BM66,Resultados!BV66,Resultados!CE66)&lt;=1, "", _xlfn.STDEV.S(ABS(Resultados!B66),ABS(Resultados!K66),ABS(Resultados!T66),ABS(Resultados!AC66),ABS(Resultados!AL66),ABS(Resultados!AU66),ABS(Resultados!BD66),ABS(Resultados!BM66),ABS(Resultados!BV66),ABS(Resultados!CE66))/SQRT(COUNT(Resultados!B66,Resultados!K66,Resultados!T66,Resultados!AC66,Resultados!AL66,Resultados!AU66,Resultados!BD66,Resultados!BM66,Resultados!BV66,Resultados!CE66)))</f>
        <v/>
      </c>
      <c r="C66">
        <f>IF(COUNT(Resultados!C66,Resultados!L66,Resultados!U66,Resultados!AD66,Resultados!AM66,Resultados!AV66,Resultados!BE66,Resultados!BN66,Resultados!BW66,Resultados!CF66)&lt;=1, "", _xlfn.STDEV.S(ABS(Resultados!C66),ABS(Resultados!L66),ABS(Resultados!U66),ABS(Resultados!AD66),ABS(Resultados!AM66),ABS(Resultados!AV66),ABS(Resultados!BE66),ABS(Resultados!BN66),ABS(Resultados!BW66),ABS(Resultados!CF66))/SQRT(COUNT(Resultados!C66,Resultados!L66,Resultados!U66,Resultados!AD66,Resultados!AM66,Resultados!AV66,Resultados!BE66,Resultados!BN66,Resultados!BW66,Resultados!CF66)))</f>
        <v>0.71569701845279621</v>
      </c>
      <c r="D66">
        <f>IF(COUNT(Resultados!D66,Resultados!M66,Resultados!V66,Resultados!AE66,Resultados!AN66,Resultados!AW66,Resultados!BF66,Resultados!BO66,Resultados!BX66,Resultados!CG66)&lt;=1, "", _xlfn.STDEV.S(ABS(Resultados!D66),ABS(Resultados!M66),ABS(Resultados!V66),ABS(Resultados!AE66),ABS(Resultados!AN66),ABS(Resultados!AW66),ABS(Resultados!BF66),ABS(Resultados!BO66),ABS(Resultados!BX66),ABS(Resultados!CG66))/SQRT(COUNT(Resultados!D66,Resultados!M66,Resultados!V66,Resultados!AE66,Resultados!AN66,Resultados!AW66,Resultados!BF66,Resultados!BO66,Resultados!BX66,Resultados!CG66)))</f>
        <v>2.1017453064853817E-3</v>
      </c>
      <c r="E66">
        <f>IF(COUNT(Resultados!E66,Resultados!N66,Resultados!W66,Resultados!AF66,Resultados!AO66,Resultados!AX66,Resultados!BG66,Resultados!BP66,Resultados!BY66,Resultados!CH66)&lt;=1, "", _xlfn.STDEV.S(ABS(Resultados!E66),ABS(Resultados!N66),ABS(Resultados!W66),ABS(Resultados!AF66),ABS(Resultados!AO66),ABS(Resultados!AX66),ABS(Resultados!BG66),ABS(Resultados!BP66),ABS(Resultados!BY66),ABS(Resultados!CH66))/SQRT(COUNT(Resultados!E66,Resultados!N66,Resultados!W66,Resultados!AF66,Resultados!AO66,Resultados!AX66,Resultados!BG66,Resultados!BP66,Resultados!BY66,Resultados!CH66)))</f>
        <v>0.12593832208526401</v>
      </c>
      <c r="F66">
        <f>IF(COUNT(Resultados!F66,Resultados!O66,Resultados!X66,Resultados!AG66,Resultados!AP66,Resultados!AY66,Resultados!BH66,Resultados!BQ66,Resultados!BZ66,Resultados!CI66)&lt;=1, "", _xlfn.STDEV.S(ABS(Resultados!F66),ABS(Resultados!O66),ABS(Resultados!X66),ABS(Resultados!AG66),ABS(Resultados!AP66),ABS(Resultados!AY66),ABS(Resultados!BH66),ABS(Resultados!BQ66),ABS(Resultados!BZ66),ABS(Resultados!CI66))/SQRT(COUNT(Resultados!F66,Resultados!O66,Resultados!X66,Resultados!AG66,Resultados!AP66,Resultados!AY66,Resultados!BH66,Resultados!BQ66,Resultados!BZ66,Resultados!CI66)))</f>
        <v>11.737451618346602</v>
      </c>
      <c r="G66">
        <f>IF(COUNT(Resultados!G66,Resultados!P66,Resultados!Y66,Resultados!AH66,Resultados!AQ66,Resultados!AZ66,Resultados!BI66,Resultados!BR66,Resultados!CA66,Resultados!CJ66)&lt;=1, "", _xlfn.STDEV.S(ABS(Resultados!G66),ABS(Resultados!P66),ABS(Resultados!Y66),ABS(Resultados!AH66),ABS(Resultados!AQ66),ABS(Resultados!AZ66),ABS(Resultados!BI66),ABS(Resultados!BR66),ABS(Resultados!CA66),ABS(Resultados!CJ66))/SQRT(COUNT(Resultados!G66,Resultados!P66,Resultados!Y66,Resultados!AH66,Resultados!AQ66,Resultados!AZ66,Resultados!BI66,Resultados!BR66,Resultados!CA66,Resultados!CJ66)))</f>
        <v>1.8503717077085941E-17</v>
      </c>
      <c r="H66">
        <f>IF(COUNT(Resultados!H66,Resultados!Q66,Resultados!Z66,Resultados!AI66,Resultados!AR66,Resultados!BA66,Resultados!BJ66,Resultados!BS66,Resultados!CB66,Resultados!CK66)&lt;=1, "", _xlfn.STDEV.S(ABS(Resultados!H66),ABS(Resultados!Q66),ABS(Resultados!Z66),ABS(Resultados!AI66),ABS(Resultados!AR66),ABS(Resultados!BA66),ABS(Resultados!BJ66),ABS(Resultados!BS66),ABS(Resultados!CB66),ABS(Resultados!CK66))/SQRT(COUNT(Resultados!H66,Resultados!Q66,Resultados!Z66,Resultados!AI66,Resultados!AR66,Resultados!BA66,Resultados!BJ66,Resultados!BS66,Resultados!CB66,Resultados!CK66)))</f>
        <v>1.9570641277178434E-3</v>
      </c>
      <c r="I66">
        <f>IF(COUNT(Resultados!I66,Resultados!R66,Resultados!AA66,Resultados!AJ66,Resultados!AS66,Resultados!BB66,Resultados!BK66,Resultados!BT66,Resultados!CC66,Resultados!CL66)&lt;=1, "", _xlfn.STDEV.S(ABS(Resultados!I66),ABS(Resultados!R66),ABS(Resultados!AA66),ABS(Resultados!AJ66),ABS(Resultados!AS66),ABS(Resultados!BB66),ABS(Resultados!BK66),ABS(Resultados!BT66),ABS(Resultados!CC66),ABS(Resultados!CL66))/SQRT(COUNT(Resultados!I66,Resultados!R66,Resultados!AA66,Resultados!AJ66,Resultados!AS66,Resultados!BB66,Resultados!BK66,Resultados!BT66,Resultados!CC66,Resultados!CL66)))</f>
        <v>4.0143786152605214E-2</v>
      </c>
    </row>
    <row r="67" spans="1:9" x14ac:dyDescent="0.3">
      <c r="A67">
        <f>IF(COUNT(Resultados!A67,Resultados!J67,Resultados!S67,Resultados!AB67,Resultados!AK67,Resultados!AT67,Resultados!BC67,Resultados!BL67,Resultados!BU67,Resultados!CD67)&lt;=1, "", _xlfn.STDEV.S(ABS(Resultados!A67),ABS(Resultados!J67),ABS(Resultados!S67),ABS(Resultados!AB67),ABS(Resultados!AK67),ABS(Resultados!AT67),ABS(Resultados!BC67),ABS(Resultados!BL67),ABS(Resultados!BU67),ABS(Resultados!CD67))/SQRT(COUNT(Resultados!A67,Resultados!J67,Resultados!S67,Resultados!AB67,Resultados!AK67,Resultados!AT67,Resultados!BC67,Resultados!BL67,Resultados!BU67,Resultados!CD67)))</f>
        <v>0</v>
      </c>
      <c r="B67" t="str">
        <f>IF(COUNT(Resultados!B67,Resultados!K67,Resultados!T67,Resultados!AC67,Resultados!AL67,Resultados!AU67,Resultados!BD67,Resultados!BM67,Resultados!BV67,Resultados!CE67)&lt;=1, "", _xlfn.STDEV.S(ABS(Resultados!B67),ABS(Resultados!K67),ABS(Resultados!T67),ABS(Resultados!AC67),ABS(Resultados!AL67),ABS(Resultados!AU67),ABS(Resultados!BD67),ABS(Resultados!BM67),ABS(Resultados!BV67),ABS(Resultados!CE67))/SQRT(COUNT(Resultados!B67,Resultados!K67,Resultados!T67,Resultados!AC67,Resultados!AL67,Resultados!AU67,Resultados!BD67,Resultados!BM67,Resultados!BV67,Resultados!CE67)))</f>
        <v/>
      </c>
      <c r="C67">
        <f>IF(COUNT(Resultados!C67,Resultados!L67,Resultados!U67,Resultados!AD67,Resultados!AM67,Resultados!AV67,Resultados!BE67,Resultados!BN67,Resultados!BW67,Resultados!CF67)&lt;=1, "", _xlfn.STDEV.S(ABS(Resultados!C67),ABS(Resultados!L67),ABS(Resultados!U67),ABS(Resultados!AD67),ABS(Resultados!AM67),ABS(Resultados!AV67),ABS(Resultados!BE67),ABS(Resultados!BN67),ABS(Resultados!BW67),ABS(Resultados!CF67))/SQRT(COUNT(Resultados!C67,Resultados!L67,Resultados!U67,Resultados!AD67,Resultados!AM67,Resultados!AV67,Resultados!BE67,Resultados!BN67,Resultados!BW67,Resultados!CF67)))</f>
        <v>0.71569701845279621</v>
      </c>
      <c r="D67">
        <f>IF(COUNT(Resultados!D67,Resultados!M67,Resultados!V67,Resultados!AE67,Resultados!AN67,Resultados!AW67,Resultados!BF67,Resultados!BO67,Resultados!BX67,Resultados!CG67)&lt;=1, "", _xlfn.STDEV.S(ABS(Resultados!D67),ABS(Resultados!M67),ABS(Resultados!V67),ABS(Resultados!AE67),ABS(Resultados!AN67),ABS(Resultados!AW67),ABS(Resultados!BF67),ABS(Resultados!BO67),ABS(Resultados!BX67),ABS(Resultados!CG67))/SQRT(COUNT(Resultados!D67,Resultados!M67,Resultados!V67,Resultados!AE67,Resultados!AN67,Resultados!AW67,Resultados!BF67,Resultados!BO67,Resultados!BX67,Resultados!CG67)))</f>
        <v>2.0570448058643068E-3</v>
      </c>
      <c r="E67">
        <f>IF(COUNT(Resultados!E67,Resultados!N67,Resultados!W67,Resultados!AF67,Resultados!AO67,Resultados!AX67,Resultados!BG67,Resultados!BP67,Resultados!BY67,Resultados!CH67)&lt;=1, "", _xlfn.STDEV.S(ABS(Resultados!E67),ABS(Resultados!N67),ABS(Resultados!W67),ABS(Resultados!AF67),ABS(Resultados!AO67),ABS(Resultados!AX67),ABS(Resultados!BG67),ABS(Resultados!BP67),ABS(Resultados!BY67),ABS(Resultados!CH67))/SQRT(COUNT(Resultados!E67,Resultados!N67,Resultados!W67,Resultados!AF67,Resultados!AO67,Resultados!AX67,Resultados!BG67,Resultados!BP67,Resultados!BY67,Resultados!CH67)))</f>
        <v>0.12627361568146636</v>
      </c>
      <c r="F67">
        <f>IF(COUNT(Resultados!F67,Resultados!O67,Resultados!X67,Resultados!AG67,Resultados!AP67,Resultados!AY67,Resultados!BH67,Resultados!BQ67,Resultados!BZ67,Resultados!CI67)&lt;=1, "", _xlfn.STDEV.S(ABS(Resultados!F67),ABS(Resultados!O67),ABS(Resultados!X67),ABS(Resultados!AG67),ABS(Resultados!AP67),ABS(Resultados!AY67),ABS(Resultados!BH67),ABS(Resultados!BQ67),ABS(Resultados!BZ67),ABS(Resultados!CI67))/SQRT(COUNT(Resultados!F67,Resultados!O67,Resultados!X67,Resultados!AG67,Resultados!AP67,Resultados!AY67,Resultados!BH67,Resultados!BQ67,Resultados!BZ67,Resultados!CI67)))</f>
        <v>11.768700981512666</v>
      </c>
      <c r="G67">
        <f>IF(COUNT(Resultados!G67,Resultados!P67,Resultados!Y67,Resultados!AH67,Resultados!AQ67,Resultados!AZ67,Resultados!BI67,Resultados!BR67,Resultados!CA67,Resultados!CJ67)&lt;=1, "", _xlfn.STDEV.S(ABS(Resultados!G67),ABS(Resultados!P67),ABS(Resultados!Y67),ABS(Resultados!AH67),ABS(Resultados!AQ67),ABS(Resultados!AZ67),ABS(Resultados!BI67),ABS(Resultados!BR67),ABS(Resultados!CA67),ABS(Resultados!CJ67))/SQRT(COUNT(Resultados!G67,Resultados!P67,Resultados!Y67,Resultados!AH67,Resultados!AQ67,Resultados!AZ67,Resultados!BI67,Resultados!BR67,Resultados!CA67,Resultados!CJ67)))</f>
        <v>1.8503717077085941E-17</v>
      </c>
      <c r="H67">
        <f>IF(COUNT(Resultados!H67,Resultados!Q67,Resultados!Z67,Resultados!AI67,Resultados!AR67,Resultados!BA67,Resultados!BJ67,Resultados!BS67,Resultados!CB67,Resultados!CK67)&lt;=1, "", _xlfn.STDEV.S(ABS(Resultados!H67),ABS(Resultados!Q67),ABS(Resultados!Z67),ABS(Resultados!AI67),ABS(Resultados!AR67),ABS(Resultados!BA67),ABS(Resultados!BJ67),ABS(Resultados!BS67),ABS(Resultados!CB67),ABS(Resultados!CK67))/SQRT(COUNT(Resultados!H67,Resultados!Q67,Resultados!Z67,Resultados!AI67,Resultados!AR67,Resultados!BA67,Resultados!BJ67,Resultados!BS67,Resultados!CB67,Resultados!CK67)))</f>
        <v>1.9640236477417553E-3</v>
      </c>
      <c r="I67">
        <f>IF(COUNT(Resultados!I67,Resultados!R67,Resultados!AA67,Resultados!AJ67,Resultados!AS67,Resultados!BB67,Resultados!BK67,Resultados!BT67,Resultados!CC67,Resultados!CL67)&lt;=1, "", _xlfn.STDEV.S(ABS(Resultados!I67),ABS(Resultados!R67),ABS(Resultados!AA67),ABS(Resultados!AJ67),ABS(Resultados!AS67),ABS(Resultados!BB67),ABS(Resultados!BK67),ABS(Resultados!BT67),ABS(Resultados!CC67),ABS(Resultados!CL67))/SQRT(COUNT(Resultados!I67,Resultados!R67,Resultados!AA67,Resultados!AJ67,Resultados!AS67,Resultados!BB67,Resultados!BK67,Resultados!BT67,Resultados!CC67,Resultados!CL67)))</f>
        <v>4.0204291644874969E-2</v>
      </c>
    </row>
    <row r="68" spans="1:9" x14ac:dyDescent="0.3">
      <c r="A68">
        <f>IF(COUNT(Resultados!A68,Resultados!J68,Resultados!S68,Resultados!AB68,Resultados!AK68,Resultados!AT68,Resultados!BC68,Resultados!BL68,Resultados!BU68,Resultados!CD68)&lt;=1, "", _xlfn.STDEV.S(ABS(Resultados!A68),ABS(Resultados!J68),ABS(Resultados!S68),ABS(Resultados!AB68),ABS(Resultados!AK68),ABS(Resultados!AT68),ABS(Resultados!BC68),ABS(Resultados!BL68),ABS(Resultados!BU68),ABS(Resultados!CD68))/SQRT(COUNT(Resultados!A68,Resultados!J68,Resultados!S68,Resultados!AB68,Resultados!AK68,Resultados!AT68,Resultados!BC68,Resultados!BL68,Resultados!BU68,Resultados!CD68)))</f>
        <v>0</v>
      </c>
      <c r="B68" t="str">
        <f>IF(COUNT(Resultados!B68,Resultados!K68,Resultados!T68,Resultados!AC68,Resultados!AL68,Resultados!AU68,Resultados!BD68,Resultados!BM68,Resultados!BV68,Resultados!CE68)&lt;=1, "", _xlfn.STDEV.S(ABS(Resultados!B68),ABS(Resultados!K68),ABS(Resultados!T68),ABS(Resultados!AC68),ABS(Resultados!AL68),ABS(Resultados!AU68),ABS(Resultados!BD68),ABS(Resultados!BM68),ABS(Resultados!BV68),ABS(Resultados!CE68))/SQRT(COUNT(Resultados!B68,Resultados!K68,Resultados!T68,Resultados!AC68,Resultados!AL68,Resultados!AU68,Resultados!BD68,Resultados!BM68,Resultados!BV68,Resultados!CE68)))</f>
        <v/>
      </c>
      <c r="C68">
        <f>IF(COUNT(Resultados!C68,Resultados!L68,Resultados!U68,Resultados!AD68,Resultados!AM68,Resultados!AV68,Resultados!BE68,Resultados!BN68,Resultados!BW68,Resultados!CF68)&lt;=1, "", _xlfn.STDEV.S(ABS(Resultados!C68),ABS(Resultados!L68),ABS(Resultados!U68),ABS(Resultados!AD68),ABS(Resultados!AM68),ABS(Resultados!AV68),ABS(Resultados!BE68),ABS(Resultados!BN68),ABS(Resultados!BW68),ABS(Resultados!CF68))/SQRT(COUNT(Resultados!C68,Resultados!L68,Resultados!U68,Resultados!AD68,Resultados!AM68,Resultados!AV68,Resultados!BE68,Resultados!BN68,Resultados!BW68,Resultados!CF68)))</f>
        <v>0.71569701845279621</v>
      </c>
      <c r="D68">
        <f>IF(COUNT(Resultados!D68,Resultados!M68,Resultados!V68,Resultados!AE68,Resultados!AN68,Resultados!AW68,Resultados!BF68,Resultados!BO68,Resultados!BX68,Resultados!CG68)&lt;=1, "", _xlfn.STDEV.S(ABS(Resultados!D68),ABS(Resultados!M68),ABS(Resultados!V68),ABS(Resultados!AE68),ABS(Resultados!AN68),ABS(Resultados!AW68),ABS(Resultados!BF68),ABS(Resultados!BO68),ABS(Resultados!BX68),ABS(Resultados!CG68))/SQRT(COUNT(Resultados!D68,Resultados!M68,Resultados!V68,Resultados!AE68,Resultados!AN68,Resultados!AW68,Resultados!BF68,Resultados!BO68,Resultados!BX68,Resultados!CG68)))</f>
        <v>2.0833439999727024E-3</v>
      </c>
      <c r="E68">
        <f>IF(COUNT(Resultados!E68,Resultados!N68,Resultados!W68,Resultados!AF68,Resultados!AO68,Resultados!AX68,Resultados!BG68,Resultados!BP68,Resultados!BY68,Resultados!CH68)&lt;=1, "", _xlfn.STDEV.S(ABS(Resultados!E68),ABS(Resultados!N68),ABS(Resultados!W68),ABS(Resultados!AF68),ABS(Resultados!AO68),ABS(Resultados!AX68),ABS(Resultados!BG68),ABS(Resultados!BP68),ABS(Resultados!BY68),ABS(Resultados!CH68))/SQRT(COUNT(Resultados!E68,Resultados!N68,Resultados!W68,Resultados!AF68,Resultados!AO68,Resultados!AX68,Resultados!BG68,Resultados!BP68,Resultados!BY68,Resultados!CH68)))</f>
        <v>0.12674415361143271</v>
      </c>
      <c r="F68">
        <f>IF(COUNT(Resultados!F68,Resultados!O68,Resultados!X68,Resultados!AG68,Resultados!AP68,Resultados!AY68,Resultados!BH68,Resultados!BQ68,Resultados!BZ68,Resultados!CI68)&lt;=1, "", _xlfn.STDEV.S(ABS(Resultados!F68),ABS(Resultados!O68),ABS(Resultados!X68),ABS(Resultados!AG68),ABS(Resultados!AP68),ABS(Resultados!AY68),ABS(Resultados!BH68),ABS(Resultados!BQ68),ABS(Resultados!BZ68),ABS(Resultados!CI68))/SQRT(COUNT(Resultados!F68,Resultados!O68,Resultados!X68,Resultados!AG68,Resultados!AP68,Resultados!AY68,Resultados!BH68,Resultados!BQ68,Resultados!BZ68,Resultados!CI68)))</f>
        <v>11.812555116585528</v>
      </c>
      <c r="G68">
        <f>IF(COUNT(Resultados!G68,Resultados!P68,Resultados!Y68,Resultados!AH68,Resultados!AQ68,Resultados!AZ68,Resultados!BI68,Resultados!BR68,Resultados!CA68,Resultados!CJ68)&lt;=1, "", _xlfn.STDEV.S(ABS(Resultados!G68),ABS(Resultados!P68),ABS(Resultados!Y68),ABS(Resultados!AH68),ABS(Resultados!AQ68),ABS(Resultados!AZ68),ABS(Resultados!BI68),ABS(Resultados!BR68),ABS(Resultados!CA68),ABS(Resultados!CJ68))/SQRT(COUNT(Resultados!G68,Resultados!P68,Resultados!Y68,Resultados!AH68,Resultados!AQ68,Resultados!AZ68,Resultados!BI68,Resultados!BR68,Resultados!CA68,Resultados!CJ68)))</f>
        <v>1.8503717077085941E-17</v>
      </c>
      <c r="H68">
        <f>IF(COUNT(Resultados!H68,Resultados!Q68,Resultados!Z68,Resultados!AI68,Resultados!AR68,Resultados!BA68,Resultados!BJ68,Resultados!BS68,Resultados!CB68,Resultados!CK68)&lt;=1, "", _xlfn.STDEV.S(ABS(Resultados!H68),ABS(Resultados!Q68),ABS(Resultados!Z68),ABS(Resultados!AI68),ABS(Resultados!AR68),ABS(Resultados!BA68),ABS(Resultados!BJ68),ABS(Resultados!BS68),ABS(Resultados!CB68),ABS(Resultados!CK68))/SQRT(COUNT(Resultados!H68,Resultados!Q68,Resultados!Z68,Resultados!AI68,Resultados!AR68,Resultados!BA68,Resultados!BJ68,Resultados!BS68,Resultados!CB68,Resultados!CK68)))</f>
        <v>1.9653215739132571E-3</v>
      </c>
      <c r="I68">
        <f>IF(COUNT(Resultados!I68,Resultados!R68,Resultados!AA68,Resultados!AJ68,Resultados!AS68,Resultados!BB68,Resultados!BK68,Resultados!BT68,Resultados!CC68,Resultados!CL68)&lt;=1, "", _xlfn.STDEV.S(ABS(Resultados!I68),ABS(Resultados!R68),ABS(Resultados!AA68),ABS(Resultados!AJ68),ABS(Resultados!AS68),ABS(Resultados!BB68),ABS(Resultados!BK68),ABS(Resultados!BT68),ABS(Resultados!CC68),ABS(Resultados!CL68))/SQRT(COUNT(Resultados!I68,Resultados!R68,Resultados!AA68,Resultados!AJ68,Resultados!AS68,Resultados!BB68,Resultados!BK68,Resultados!BT68,Resultados!CC68,Resultados!CL68)))</f>
        <v>3.9993535727662899E-2</v>
      </c>
    </row>
    <row r="69" spans="1:9" x14ac:dyDescent="0.3">
      <c r="A69">
        <f>IF(COUNT(Resultados!A69,Resultados!J69,Resultados!S69,Resultados!AB69,Resultados!AK69,Resultados!AT69,Resultados!BC69,Resultados!BL69,Resultados!BU69,Resultados!CD69)&lt;=1, "", _xlfn.STDEV.S(ABS(Resultados!A69),ABS(Resultados!J69),ABS(Resultados!S69),ABS(Resultados!AB69),ABS(Resultados!AK69),ABS(Resultados!AT69),ABS(Resultados!BC69),ABS(Resultados!BL69),ABS(Resultados!BU69),ABS(Resultados!CD69))/SQRT(COUNT(Resultados!A69,Resultados!J69,Resultados!S69,Resultados!AB69,Resultados!AK69,Resultados!AT69,Resultados!BC69,Resultados!BL69,Resultados!BU69,Resultados!CD69)))</f>
        <v>0</v>
      </c>
      <c r="B69" t="str">
        <f>IF(COUNT(Resultados!B69,Resultados!K69,Resultados!T69,Resultados!AC69,Resultados!AL69,Resultados!AU69,Resultados!BD69,Resultados!BM69,Resultados!BV69,Resultados!CE69)&lt;=1, "", _xlfn.STDEV.S(ABS(Resultados!B69),ABS(Resultados!K69),ABS(Resultados!T69),ABS(Resultados!AC69),ABS(Resultados!AL69),ABS(Resultados!AU69),ABS(Resultados!BD69),ABS(Resultados!BM69),ABS(Resultados!BV69),ABS(Resultados!CE69))/SQRT(COUNT(Resultados!B69,Resultados!K69,Resultados!T69,Resultados!AC69,Resultados!AL69,Resultados!AU69,Resultados!BD69,Resultados!BM69,Resultados!BV69,Resultados!CE69)))</f>
        <v/>
      </c>
      <c r="C69">
        <f>IF(COUNT(Resultados!C69,Resultados!L69,Resultados!U69,Resultados!AD69,Resultados!AM69,Resultados!AV69,Resultados!BE69,Resultados!BN69,Resultados!BW69,Resultados!CF69)&lt;=1, "", _xlfn.STDEV.S(ABS(Resultados!C69),ABS(Resultados!L69),ABS(Resultados!U69),ABS(Resultados!AD69),ABS(Resultados!AM69),ABS(Resultados!AV69),ABS(Resultados!BE69),ABS(Resultados!BN69),ABS(Resultados!BW69),ABS(Resultados!CF69))/SQRT(COUNT(Resultados!C69,Resultados!L69,Resultados!U69,Resultados!AD69,Resultados!AM69,Resultados!AV69,Resultados!BE69,Resultados!BN69,Resultados!BW69,Resultados!CF69)))</f>
        <v>0.71569701845279621</v>
      </c>
      <c r="D69">
        <f>IF(COUNT(Resultados!D69,Resultados!M69,Resultados!V69,Resultados!AE69,Resultados!AN69,Resultados!AW69,Resultados!BF69,Resultados!BO69,Resultados!BX69,Resultados!CG69)&lt;=1, "", _xlfn.STDEV.S(ABS(Resultados!D69),ABS(Resultados!M69),ABS(Resultados!V69),ABS(Resultados!AE69),ABS(Resultados!AN69),ABS(Resultados!AW69),ABS(Resultados!BF69),ABS(Resultados!BO69),ABS(Resultados!BX69),ABS(Resultados!CG69))/SQRT(COUNT(Resultados!D69,Resultados!M69,Resultados!V69,Resultados!AE69,Resultados!AN69,Resultados!AW69,Resultados!BF69,Resultados!BO69,Resultados!BX69,Resultados!CG69)))</f>
        <v>2.1102817084192598E-3</v>
      </c>
      <c r="E69">
        <f>IF(COUNT(Resultados!E69,Resultados!N69,Resultados!W69,Resultados!AF69,Resultados!AO69,Resultados!AX69,Resultados!BG69,Resultados!BP69,Resultados!BY69,Resultados!CH69)&lt;=1, "", _xlfn.STDEV.S(ABS(Resultados!E69),ABS(Resultados!N69),ABS(Resultados!W69),ABS(Resultados!AF69),ABS(Resultados!AO69),ABS(Resultados!AX69),ABS(Resultados!BG69),ABS(Resultados!BP69),ABS(Resultados!BY69),ABS(Resultados!CH69))/SQRT(COUNT(Resultados!E69,Resultados!N69,Resultados!W69,Resultados!AF69,Resultados!AO69,Resultados!AX69,Resultados!BG69,Resultados!BP69,Resultados!BY69,Resultados!CH69)))</f>
        <v>0.12721801498460061</v>
      </c>
      <c r="F69">
        <f>IF(COUNT(Resultados!F69,Resultados!O69,Resultados!X69,Resultados!AG69,Resultados!AP69,Resultados!AY69,Resultados!BH69,Resultados!BQ69,Resultados!BZ69,Resultados!CI69)&lt;=1, "", _xlfn.STDEV.S(ABS(Resultados!F69),ABS(Resultados!O69),ABS(Resultados!X69),ABS(Resultados!AG69),ABS(Resultados!AP69),ABS(Resultados!AY69),ABS(Resultados!BH69),ABS(Resultados!BQ69),ABS(Resultados!BZ69),ABS(Resultados!CI69))/SQRT(COUNT(Resultados!F69,Resultados!O69,Resultados!X69,Resultados!AG69,Resultados!AP69,Resultados!AY69,Resultados!BH69,Resultados!BQ69,Resultados!BZ69,Resultados!CI69)))</f>
        <v>11.856718996564782</v>
      </c>
      <c r="G69">
        <f>IF(COUNT(Resultados!G69,Resultados!P69,Resultados!Y69,Resultados!AH69,Resultados!AQ69,Resultados!AZ69,Resultados!BI69,Resultados!BR69,Resultados!CA69,Resultados!CJ69)&lt;=1, "", _xlfn.STDEV.S(ABS(Resultados!G69),ABS(Resultados!P69),ABS(Resultados!Y69),ABS(Resultados!AH69),ABS(Resultados!AQ69),ABS(Resultados!AZ69),ABS(Resultados!BI69),ABS(Resultados!BR69),ABS(Resultados!CA69),ABS(Resultados!CJ69))/SQRT(COUNT(Resultados!G69,Resultados!P69,Resultados!Y69,Resultados!AH69,Resultados!AQ69,Resultados!AZ69,Resultados!BI69,Resultados!BR69,Resultados!CA69,Resultados!CJ69)))</f>
        <v>1.8503717077085941E-17</v>
      </c>
      <c r="H69">
        <f>IF(COUNT(Resultados!H69,Resultados!Q69,Resultados!Z69,Resultados!AI69,Resultados!AR69,Resultados!BA69,Resultados!BJ69,Resultados!BS69,Resultados!CB69,Resultados!CK69)&lt;=1, "", _xlfn.STDEV.S(ABS(Resultados!H69),ABS(Resultados!Q69),ABS(Resultados!Z69),ABS(Resultados!AI69),ABS(Resultados!AR69),ABS(Resultados!BA69),ABS(Resultados!BJ69),ABS(Resultados!BS69),ABS(Resultados!CB69),ABS(Resultados!CK69))/SQRT(COUNT(Resultados!H69,Resultados!Q69,Resultados!Z69,Resultados!AI69,Resultados!AR69,Resultados!BA69,Resultados!BJ69,Resultados!BS69,Resultados!CB69,Resultados!CK69)))</f>
        <v>1.9738315812427199E-3</v>
      </c>
      <c r="I69">
        <f>IF(COUNT(Resultados!I69,Resultados!R69,Resultados!AA69,Resultados!AJ69,Resultados!AS69,Resultados!BB69,Resultados!BK69,Resultados!BT69,Resultados!CC69,Resultados!CL69)&lt;=1, "", _xlfn.STDEV.S(ABS(Resultados!I69),ABS(Resultados!R69),ABS(Resultados!AA69),ABS(Resultados!AJ69),ABS(Resultados!AS69),ABS(Resultados!BB69),ABS(Resultados!BK69),ABS(Resultados!BT69),ABS(Resultados!CC69),ABS(Resultados!CL69))/SQRT(COUNT(Resultados!I69,Resultados!R69,Resultados!AA69,Resultados!AJ69,Resultados!AS69,Resultados!BB69,Resultados!BK69,Resultados!BT69,Resultados!CC69,Resultados!CL69)))</f>
        <v>3.9951827798539979E-2</v>
      </c>
    </row>
    <row r="70" spans="1:9" x14ac:dyDescent="0.3">
      <c r="A70">
        <f>IF(COUNT(Resultados!A70,Resultados!J70,Resultados!S70,Resultados!AB70,Resultados!AK70,Resultados!AT70,Resultados!BC70,Resultados!BL70,Resultados!BU70,Resultados!CD70)&lt;=1, "", _xlfn.STDEV.S(ABS(Resultados!A70),ABS(Resultados!J70),ABS(Resultados!S70),ABS(Resultados!AB70),ABS(Resultados!AK70),ABS(Resultados!AT70),ABS(Resultados!BC70),ABS(Resultados!BL70),ABS(Resultados!BU70),ABS(Resultados!CD70))/SQRT(COUNT(Resultados!A70,Resultados!J70,Resultados!S70,Resultados!AB70,Resultados!AK70,Resultados!AT70,Resultados!BC70,Resultados!BL70,Resultados!BU70,Resultados!CD70)))</f>
        <v>0</v>
      </c>
      <c r="B70" t="str">
        <f>IF(COUNT(Resultados!B70,Resultados!K70,Resultados!T70,Resultados!AC70,Resultados!AL70,Resultados!AU70,Resultados!BD70,Resultados!BM70,Resultados!BV70,Resultados!CE70)&lt;=1, "", _xlfn.STDEV.S(ABS(Resultados!B70),ABS(Resultados!K70),ABS(Resultados!T70),ABS(Resultados!AC70),ABS(Resultados!AL70),ABS(Resultados!AU70),ABS(Resultados!BD70),ABS(Resultados!BM70),ABS(Resultados!BV70),ABS(Resultados!CE70))/SQRT(COUNT(Resultados!B70,Resultados!K70,Resultados!T70,Resultados!AC70,Resultados!AL70,Resultados!AU70,Resultados!BD70,Resultados!BM70,Resultados!BV70,Resultados!CE70)))</f>
        <v/>
      </c>
      <c r="C70">
        <f>IF(COUNT(Resultados!C70,Resultados!L70,Resultados!U70,Resultados!AD70,Resultados!AM70,Resultados!AV70,Resultados!BE70,Resultados!BN70,Resultados!BW70,Resultados!CF70)&lt;=1, "", _xlfn.STDEV.S(ABS(Resultados!C70),ABS(Resultados!L70),ABS(Resultados!U70),ABS(Resultados!AD70),ABS(Resultados!AM70),ABS(Resultados!AV70),ABS(Resultados!BE70),ABS(Resultados!BN70),ABS(Resultados!BW70),ABS(Resultados!CF70))/SQRT(COUNT(Resultados!C70,Resultados!L70,Resultados!U70,Resultados!AD70,Resultados!AM70,Resultados!AV70,Resultados!BE70,Resultados!BN70,Resultados!BW70,Resultados!CF70)))</f>
        <v>0.71569701845279621</v>
      </c>
      <c r="D70">
        <f>IF(COUNT(Resultados!D70,Resultados!M70,Resultados!V70,Resultados!AE70,Resultados!AN70,Resultados!AW70,Resultados!BF70,Resultados!BO70,Resultados!BX70,Resultados!CG70)&lt;=1, "", _xlfn.STDEV.S(ABS(Resultados!D70),ABS(Resultados!M70),ABS(Resultados!V70),ABS(Resultados!AE70),ABS(Resultados!AN70),ABS(Resultados!AW70),ABS(Resultados!BF70),ABS(Resultados!BO70),ABS(Resultados!BX70),ABS(Resultados!CG70))/SQRT(COUNT(Resultados!D70,Resultados!M70,Resultados!V70,Resultados!AE70,Resultados!AN70,Resultados!AW70,Resultados!BF70,Resultados!BO70,Resultados!BX70,Resultados!CG70)))</f>
        <v>2.0611458517587364E-3</v>
      </c>
      <c r="E70">
        <f>IF(COUNT(Resultados!E70,Resultados!N70,Resultados!W70,Resultados!AF70,Resultados!AO70,Resultados!AX70,Resultados!BG70,Resultados!BP70,Resultados!BY70,Resultados!CH70)&lt;=1, "", _xlfn.STDEV.S(ABS(Resultados!E70),ABS(Resultados!N70),ABS(Resultados!W70),ABS(Resultados!AF70),ABS(Resultados!AO70),ABS(Resultados!AX70),ABS(Resultados!BG70),ABS(Resultados!BP70),ABS(Resultados!BY70),ABS(Resultados!CH70))/SQRT(COUNT(Resultados!E70,Resultados!N70,Resultados!W70,Resultados!AF70,Resultados!AO70,Resultados!AX70,Resultados!BG70,Resultados!BP70,Resultados!BY70,Resultados!CH70)))</f>
        <v>0.12776969458085749</v>
      </c>
      <c r="F70">
        <f>IF(COUNT(Resultados!F70,Resultados!O70,Resultados!X70,Resultados!AG70,Resultados!AP70,Resultados!AY70,Resultados!BH70,Resultados!BQ70,Resultados!BZ70,Resultados!CI70)&lt;=1, "", _xlfn.STDEV.S(ABS(Resultados!F70),ABS(Resultados!O70),ABS(Resultados!X70),ABS(Resultados!AG70),ABS(Resultados!AP70),ABS(Resultados!AY70),ABS(Resultados!BH70),ABS(Resultados!BQ70),ABS(Resultados!BZ70),ABS(Resultados!CI70))/SQRT(COUNT(Resultados!F70,Resultados!O70,Resultados!X70,Resultados!AG70,Resultados!AP70,Resultados!AY70,Resultados!BH70,Resultados!BQ70,Resultados!BZ70,Resultados!CI70)))</f>
        <v>11.908135534935917</v>
      </c>
      <c r="G70">
        <f>IF(COUNT(Resultados!G70,Resultados!P70,Resultados!Y70,Resultados!AH70,Resultados!AQ70,Resultados!AZ70,Resultados!BI70,Resultados!BR70,Resultados!CA70,Resultados!CJ70)&lt;=1, "", _xlfn.STDEV.S(ABS(Resultados!G70),ABS(Resultados!P70),ABS(Resultados!Y70),ABS(Resultados!AH70),ABS(Resultados!AQ70),ABS(Resultados!AZ70),ABS(Resultados!BI70),ABS(Resultados!BR70),ABS(Resultados!CA70),ABS(Resultados!CJ70))/SQRT(COUNT(Resultados!G70,Resultados!P70,Resultados!Y70,Resultados!AH70,Resultados!AQ70,Resultados!AZ70,Resultados!BI70,Resultados!BR70,Resultados!CA70,Resultados!CJ70)))</f>
        <v>1.8503717077085941E-17</v>
      </c>
      <c r="H70">
        <f>IF(COUNT(Resultados!H70,Resultados!Q70,Resultados!Z70,Resultados!AI70,Resultados!AR70,Resultados!BA70,Resultados!BJ70,Resultados!BS70,Resultados!CB70,Resultados!CK70)&lt;=1, "", _xlfn.STDEV.S(ABS(Resultados!H70),ABS(Resultados!Q70),ABS(Resultados!Z70),ABS(Resultados!AI70),ABS(Resultados!AR70),ABS(Resultados!BA70),ABS(Resultados!BJ70),ABS(Resultados!BS70),ABS(Resultados!CB70),ABS(Resultados!CK70))/SQRT(COUNT(Resultados!H70,Resultados!Q70,Resultados!Z70,Resultados!AI70,Resultados!AR70,Resultados!BA70,Resultados!BJ70,Resultados!BS70,Resultados!CB70,Resultados!CK70)))</f>
        <v>1.9798540911446488E-3</v>
      </c>
      <c r="I70">
        <f>IF(COUNT(Resultados!I70,Resultados!R70,Resultados!AA70,Resultados!AJ70,Resultados!AS70,Resultados!BB70,Resultados!BK70,Resultados!BT70,Resultados!CC70,Resultados!CL70)&lt;=1, "", _xlfn.STDEV.S(ABS(Resultados!I70),ABS(Resultados!R70),ABS(Resultados!AA70),ABS(Resultados!AJ70),ABS(Resultados!AS70),ABS(Resultados!BB70),ABS(Resultados!BK70),ABS(Resultados!BT70),ABS(Resultados!CC70),ABS(Resultados!CL70))/SQRT(COUNT(Resultados!I70,Resultados!R70,Resultados!AA70,Resultados!AJ70,Resultados!AS70,Resultados!BB70,Resultados!BK70,Resultados!BT70,Resultados!CC70,Resultados!CL70)))</f>
        <v>3.9909208210639216E-2</v>
      </c>
    </row>
    <row r="71" spans="1:9" x14ac:dyDescent="0.3">
      <c r="A71">
        <f>IF(COUNT(Resultados!A71,Resultados!J71,Resultados!S71,Resultados!AB71,Resultados!AK71,Resultados!AT71,Resultados!BC71,Resultados!BL71,Resultados!BU71,Resultados!CD71)&lt;=1, "", _xlfn.STDEV.S(ABS(Resultados!A71),ABS(Resultados!J71),ABS(Resultados!S71),ABS(Resultados!AB71),ABS(Resultados!AK71),ABS(Resultados!AT71),ABS(Resultados!BC71),ABS(Resultados!BL71),ABS(Resultados!BU71),ABS(Resultados!CD71))/SQRT(COUNT(Resultados!A71,Resultados!J71,Resultados!S71,Resultados!AB71,Resultados!AK71,Resultados!AT71,Resultados!BC71,Resultados!BL71,Resultados!BU71,Resultados!CD71)))</f>
        <v>0</v>
      </c>
      <c r="B71" t="str">
        <f>IF(COUNT(Resultados!B71,Resultados!K71,Resultados!T71,Resultados!AC71,Resultados!AL71,Resultados!AU71,Resultados!BD71,Resultados!BM71,Resultados!BV71,Resultados!CE71)&lt;=1, "", _xlfn.STDEV.S(ABS(Resultados!B71),ABS(Resultados!K71),ABS(Resultados!T71),ABS(Resultados!AC71),ABS(Resultados!AL71),ABS(Resultados!AU71),ABS(Resultados!BD71),ABS(Resultados!BM71),ABS(Resultados!BV71),ABS(Resultados!CE71))/SQRT(COUNT(Resultados!B71,Resultados!K71,Resultados!T71,Resultados!AC71,Resultados!AL71,Resultados!AU71,Resultados!BD71,Resultados!BM71,Resultados!BV71,Resultados!CE71)))</f>
        <v/>
      </c>
      <c r="C71">
        <f>IF(COUNT(Resultados!C71,Resultados!L71,Resultados!U71,Resultados!AD71,Resultados!AM71,Resultados!AV71,Resultados!BE71,Resultados!BN71,Resultados!BW71,Resultados!CF71)&lt;=1, "", _xlfn.STDEV.S(ABS(Resultados!C71),ABS(Resultados!L71),ABS(Resultados!U71),ABS(Resultados!AD71),ABS(Resultados!AM71),ABS(Resultados!AV71),ABS(Resultados!BE71),ABS(Resultados!BN71),ABS(Resultados!BW71),ABS(Resultados!CF71))/SQRT(COUNT(Resultados!C71,Resultados!L71,Resultados!U71,Resultados!AD71,Resultados!AM71,Resultados!AV71,Resultados!BE71,Resultados!BN71,Resultados!BW71,Resultados!CF71)))</f>
        <v>0.71569701845279621</v>
      </c>
      <c r="D71">
        <f>IF(COUNT(Resultados!D71,Resultados!M71,Resultados!V71,Resultados!AE71,Resultados!AN71,Resultados!AW71,Resultados!BF71,Resultados!BO71,Resultados!BX71,Resultados!CG71)&lt;=1, "", _xlfn.STDEV.S(ABS(Resultados!D71),ABS(Resultados!M71),ABS(Resultados!V71),ABS(Resultados!AE71),ABS(Resultados!AN71),ABS(Resultados!AW71),ABS(Resultados!BF71),ABS(Resultados!BO71),ABS(Resultados!BX71),ABS(Resultados!CG71))/SQRT(COUNT(Resultados!D71,Resultados!M71,Resultados!V71,Resultados!AE71,Resultados!AN71,Resultados!AW71,Resultados!BF71,Resultados!BO71,Resultados!BX71,Resultados!CG71)))</f>
        <v>2.1476084890459436E-3</v>
      </c>
      <c r="E71">
        <f>IF(COUNT(Resultados!E71,Resultados!N71,Resultados!W71,Resultados!AF71,Resultados!AO71,Resultados!AX71,Resultados!BG71,Resultados!BP71,Resultados!BY71,Resultados!CH71)&lt;=1, "", _xlfn.STDEV.S(ABS(Resultados!E71),ABS(Resultados!N71),ABS(Resultados!W71),ABS(Resultados!AF71),ABS(Resultados!AO71),ABS(Resultados!AX71),ABS(Resultados!BG71),ABS(Resultados!BP71),ABS(Resultados!BY71),ABS(Resultados!CH71))/SQRT(COUNT(Resultados!E71,Resultados!N71,Resultados!W71,Resultados!AF71,Resultados!AO71,Resultados!AX71,Resultados!BG71,Resultados!BP71,Resultados!BY71,Resultados!CH71)))</f>
        <v>0.12827464127670371</v>
      </c>
      <c r="F71">
        <f>IF(COUNT(Resultados!F71,Resultados!O71,Resultados!X71,Resultados!AG71,Resultados!AP71,Resultados!AY71,Resultados!BH71,Resultados!BQ71,Resultados!BZ71,Resultados!CI71)&lt;=1, "", _xlfn.STDEV.S(ABS(Resultados!F71),ABS(Resultados!O71),ABS(Resultados!X71),ABS(Resultados!AG71),ABS(Resultados!AP71),ABS(Resultados!AY71),ABS(Resultados!BH71),ABS(Resultados!BQ71),ABS(Resultados!BZ71),ABS(Resultados!CI71))/SQRT(COUNT(Resultados!F71,Resultados!O71,Resultados!X71,Resultados!AG71,Resultados!AP71,Resultados!AY71,Resultados!BH71,Resultados!BQ71,Resultados!BZ71,Resultados!CI71)))</f>
        <v>11.95519656698878</v>
      </c>
      <c r="G71">
        <f>IF(COUNT(Resultados!G71,Resultados!P71,Resultados!Y71,Resultados!AH71,Resultados!AQ71,Resultados!AZ71,Resultados!BI71,Resultados!BR71,Resultados!CA71,Resultados!CJ71)&lt;=1, "", _xlfn.STDEV.S(ABS(Resultados!G71),ABS(Resultados!P71),ABS(Resultados!Y71),ABS(Resultados!AH71),ABS(Resultados!AQ71),ABS(Resultados!AZ71),ABS(Resultados!BI71),ABS(Resultados!BR71),ABS(Resultados!CA71),ABS(Resultados!CJ71))/SQRT(COUNT(Resultados!G71,Resultados!P71,Resultados!Y71,Resultados!AH71,Resultados!AQ71,Resultados!AZ71,Resultados!BI71,Resultados!BR71,Resultados!CA71,Resultados!CJ71)))</f>
        <v>1.8503717077085941E-17</v>
      </c>
      <c r="H71">
        <f>IF(COUNT(Resultados!H71,Resultados!Q71,Resultados!Z71,Resultados!AI71,Resultados!AR71,Resultados!BA71,Resultados!BJ71,Resultados!BS71,Resultados!CB71,Resultados!CK71)&lt;=1, "", _xlfn.STDEV.S(ABS(Resultados!H71),ABS(Resultados!Q71),ABS(Resultados!Z71),ABS(Resultados!AI71),ABS(Resultados!AR71),ABS(Resultados!BA71),ABS(Resultados!BJ71),ABS(Resultados!BS71),ABS(Resultados!CB71),ABS(Resultados!CK71))/SQRT(COUNT(Resultados!H71,Resultados!Q71,Resultados!Z71,Resultados!AI71,Resultados!AR71,Resultados!BA71,Resultados!BJ71,Resultados!BS71,Resultados!CB71,Resultados!CK71)))</f>
        <v>1.9981129986954057E-3</v>
      </c>
      <c r="I71">
        <f>IF(COUNT(Resultados!I71,Resultados!R71,Resultados!AA71,Resultados!AJ71,Resultados!AS71,Resultados!BB71,Resultados!BK71,Resultados!BT71,Resultados!CC71,Resultados!CL71)&lt;=1, "", _xlfn.STDEV.S(ABS(Resultados!I71),ABS(Resultados!R71),ABS(Resultados!AA71),ABS(Resultados!AJ71),ABS(Resultados!AS71),ABS(Resultados!BB71),ABS(Resultados!BK71),ABS(Resultados!BT71),ABS(Resultados!CC71),ABS(Resultados!CL71))/SQRT(COUNT(Resultados!I71,Resultados!R71,Resultados!AA71,Resultados!AJ71,Resultados!AS71,Resultados!BB71,Resultados!BK71,Resultados!BT71,Resultados!CC71,Resultados!CL71)))</f>
        <v>4.0077893047299772E-2</v>
      </c>
    </row>
    <row r="72" spans="1:9" x14ac:dyDescent="0.3">
      <c r="A72">
        <f>IF(COUNT(Resultados!A72,Resultados!J72,Resultados!S72,Resultados!AB72,Resultados!AK72,Resultados!AT72,Resultados!BC72,Resultados!BL72,Resultados!BU72,Resultados!CD72)&lt;=1, "", _xlfn.STDEV.S(ABS(Resultados!A72),ABS(Resultados!J72),ABS(Resultados!S72),ABS(Resultados!AB72),ABS(Resultados!AK72),ABS(Resultados!AT72),ABS(Resultados!BC72),ABS(Resultados!BL72),ABS(Resultados!BU72),ABS(Resultados!CD72))/SQRT(COUNT(Resultados!A72,Resultados!J72,Resultados!S72,Resultados!AB72,Resultados!AK72,Resultados!AT72,Resultados!BC72,Resultados!BL72,Resultados!BU72,Resultados!CD72)))</f>
        <v>0</v>
      </c>
      <c r="B72" t="str">
        <f>IF(COUNT(Resultados!B72,Resultados!K72,Resultados!T72,Resultados!AC72,Resultados!AL72,Resultados!AU72,Resultados!BD72,Resultados!BM72,Resultados!BV72,Resultados!CE72)&lt;=1, "", _xlfn.STDEV.S(ABS(Resultados!B72),ABS(Resultados!K72),ABS(Resultados!T72),ABS(Resultados!AC72),ABS(Resultados!AL72),ABS(Resultados!AU72),ABS(Resultados!BD72),ABS(Resultados!BM72),ABS(Resultados!BV72),ABS(Resultados!CE72))/SQRT(COUNT(Resultados!B72,Resultados!K72,Resultados!T72,Resultados!AC72,Resultados!AL72,Resultados!AU72,Resultados!BD72,Resultados!BM72,Resultados!BV72,Resultados!CE72)))</f>
        <v/>
      </c>
      <c r="C72">
        <f>IF(COUNT(Resultados!C72,Resultados!L72,Resultados!U72,Resultados!AD72,Resultados!AM72,Resultados!AV72,Resultados!BE72,Resultados!BN72,Resultados!BW72,Resultados!CF72)&lt;=1, "", _xlfn.STDEV.S(ABS(Resultados!C72),ABS(Resultados!L72),ABS(Resultados!U72),ABS(Resultados!AD72),ABS(Resultados!AM72),ABS(Resultados!AV72),ABS(Resultados!BE72),ABS(Resultados!BN72),ABS(Resultados!BW72),ABS(Resultados!CF72))/SQRT(COUNT(Resultados!C72,Resultados!L72,Resultados!U72,Resultados!AD72,Resultados!AM72,Resultados!AV72,Resultados!BE72,Resultados!BN72,Resultados!BW72,Resultados!CF72)))</f>
        <v>0.71569701845279621</v>
      </c>
      <c r="D72">
        <f>IF(COUNT(Resultados!D72,Resultados!M72,Resultados!V72,Resultados!AE72,Resultados!AN72,Resultados!AW72,Resultados!BF72,Resultados!BO72,Resultados!BX72,Resultados!CG72)&lt;=1, "", _xlfn.STDEV.S(ABS(Resultados!D72),ABS(Resultados!M72),ABS(Resultados!V72),ABS(Resultados!AE72),ABS(Resultados!AN72),ABS(Resultados!AW72),ABS(Resultados!BF72),ABS(Resultados!BO72),ABS(Resultados!BX72),ABS(Resultados!CG72))/SQRT(COUNT(Resultados!D72,Resultados!M72,Resultados!V72,Resultados!AE72,Resultados!AN72,Resultados!AW72,Resultados!BF72,Resultados!BO72,Resultados!BX72,Resultados!CG72)))</f>
        <v>2.1861813485822457E-3</v>
      </c>
      <c r="E72">
        <f>IF(COUNT(Resultados!E72,Resultados!N72,Resultados!W72,Resultados!AF72,Resultados!AO72,Resultados!AX72,Resultados!BG72,Resultados!BP72,Resultados!BY72,Resultados!CH72)&lt;=1, "", _xlfn.STDEV.S(ABS(Resultados!E72),ABS(Resultados!N72),ABS(Resultados!W72),ABS(Resultados!AF72),ABS(Resultados!AO72),ABS(Resultados!AX72),ABS(Resultados!BG72),ABS(Resultados!BP72),ABS(Resultados!BY72),ABS(Resultados!CH72))/SQRT(COUNT(Resultados!E72,Resultados!N72,Resultados!W72,Resultados!AF72,Resultados!AO72,Resultados!AX72,Resultados!BG72,Resultados!BP72,Resultados!BY72,Resultados!CH72)))</f>
        <v>0.12879364291041029</v>
      </c>
      <c r="F72">
        <f>IF(COUNT(Resultados!F72,Resultados!O72,Resultados!X72,Resultados!AG72,Resultados!AP72,Resultados!AY72,Resultados!BH72,Resultados!BQ72,Resultados!BZ72,Resultados!CI72)&lt;=1, "", _xlfn.STDEV.S(ABS(Resultados!F72),ABS(Resultados!O72),ABS(Resultados!X72),ABS(Resultados!AG72),ABS(Resultados!AP72),ABS(Resultados!AY72),ABS(Resultados!BH72),ABS(Resultados!BQ72),ABS(Resultados!BZ72),ABS(Resultados!CI72))/SQRT(COUNT(Resultados!F72,Resultados!O72,Resultados!X72,Resultados!AG72,Resultados!AP72,Resultados!AY72,Resultados!BH72,Resultados!BQ72,Resultados!BZ72,Resultados!CI72)))</f>
        <v>12.003567519250241</v>
      </c>
      <c r="G72">
        <f>IF(COUNT(Resultados!G72,Resultados!P72,Resultados!Y72,Resultados!AH72,Resultados!AQ72,Resultados!AZ72,Resultados!BI72,Resultados!BR72,Resultados!CA72,Resultados!CJ72)&lt;=1, "", _xlfn.STDEV.S(ABS(Resultados!G72),ABS(Resultados!P72),ABS(Resultados!Y72),ABS(Resultados!AH72),ABS(Resultados!AQ72),ABS(Resultados!AZ72),ABS(Resultados!BI72),ABS(Resultados!BR72),ABS(Resultados!CA72),ABS(Resultados!CJ72))/SQRT(COUNT(Resultados!G72,Resultados!P72,Resultados!Y72,Resultados!AH72,Resultados!AQ72,Resultados!AZ72,Resultados!BI72,Resultados!BR72,Resultados!CA72,Resultados!CJ72)))</f>
        <v>1.8503717077085941E-17</v>
      </c>
      <c r="H72">
        <f>IF(COUNT(Resultados!H72,Resultados!Q72,Resultados!Z72,Resultados!AI72,Resultados!AR72,Resultados!BA72,Resultados!BJ72,Resultados!BS72,Resultados!CB72,Resultados!CK72)&lt;=1, "", _xlfn.STDEV.S(ABS(Resultados!H72),ABS(Resultados!Q72),ABS(Resultados!Z72),ABS(Resultados!AI72),ABS(Resultados!AR72),ABS(Resultados!BA72),ABS(Resultados!BJ72),ABS(Resultados!BS72),ABS(Resultados!CB72),ABS(Resultados!CK72))/SQRT(COUNT(Resultados!H72,Resultados!Q72,Resultados!Z72,Resultados!AI72,Resultados!AR72,Resultados!BA72,Resultados!BJ72,Resultados!BS72,Resultados!CB72,Resultados!CK72)))</f>
        <v>2.005772225907569E-3</v>
      </c>
      <c r="I72">
        <f>IF(COUNT(Resultados!I72,Resultados!R72,Resultados!AA72,Resultados!AJ72,Resultados!AS72,Resultados!BB72,Resultados!BK72,Resultados!BT72,Resultados!CC72,Resultados!CL72)&lt;=1, "", _xlfn.STDEV.S(ABS(Resultados!I72),ABS(Resultados!R72),ABS(Resultados!AA72),ABS(Resultados!AJ72),ABS(Resultados!AS72),ABS(Resultados!BB72),ABS(Resultados!BK72),ABS(Resultados!BT72),ABS(Resultados!CC72),ABS(Resultados!CL72))/SQRT(COUNT(Resultados!I72,Resultados!R72,Resultados!AA72,Resultados!AJ72,Resultados!AS72,Resultados!BB72,Resultados!BK72,Resultados!BT72,Resultados!CC72,Resultados!CL72)))</f>
        <v>3.9874666978759757E-2</v>
      </c>
    </row>
    <row r="73" spans="1:9" x14ac:dyDescent="0.3">
      <c r="A73">
        <f>IF(COUNT(Resultados!A73,Resultados!J73,Resultados!S73,Resultados!AB73,Resultados!AK73,Resultados!AT73,Resultados!BC73,Resultados!BL73,Resultados!BU73,Resultados!CD73)&lt;=1, "", _xlfn.STDEV.S(ABS(Resultados!A73),ABS(Resultados!J73),ABS(Resultados!S73),ABS(Resultados!AB73),ABS(Resultados!AK73),ABS(Resultados!AT73),ABS(Resultados!BC73),ABS(Resultados!BL73),ABS(Resultados!BU73),ABS(Resultados!CD73))/SQRT(COUNT(Resultados!A73,Resultados!J73,Resultados!S73,Resultados!AB73,Resultados!AK73,Resultados!AT73,Resultados!BC73,Resultados!BL73,Resultados!BU73,Resultados!CD73)))</f>
        <v>0</v>
      </c>
      <c r="B73" t="str">
        <f>IF(COUNT(Resultados!B73,Resultados!K73,Resultados!T73,Resultados!AC73,Resultados!AL73,Resultados!AU73,Resultados!BD73,Resultados!BM73,Resultados!BV73,Resultados!CE73)&lt;=1, "", _xlfn.STDEV.S(ABS(Resultados!B73),ABS(Resultados!K73),ABS(Resultados!T73),ABS(Resultados!AC73),ABS(Resultados!AL73),ABS(Resultados!AU73),ABS(Resultados!BD73),ABS(Resultados!BM73),ABS(Resultados!BV73),ABS(Resultados!CE73))/SQRT(COUNT(Resultados!B73,Resultados!K73,Resultados!T73,Resultados!AC73,Resultados!AL73,Resultados!AU73,Resultados!BD73,Resultados!BM73,Resultados!BV73,Resultados!CE73)))</f>
        <v/>
      </c>
      <c r="C73">
        <f>IF(COUNT(Resultados!C73,Resultados!L73,Resultados!U73,Resultados!AD73,Resultados!AM73,Resultados!AV73,Resultados!BE73,Resultados!BN73,Resultados!BW73,Resultados!CF73)&lt;=1, "", _xlfn.STDEV.S(ABS(Resultados!C73),ABS(Resultados!L73),ABS(Resultados!U73),ABS(Resultados!AD73),ABS(Resultados!AM73),ABS(Resultados!AV73),ABS(Resultados!BE73),ABS(Resultados!BN73),ABS(Resultados!BW73),ABS(Resultados!CF73))/SQRT(COUNT(Resultados!C73,Resultados!L73,Resultados!U73,Resultados!AD73,Resultados!AM73,Resultados!AV73,Resultados!BE73,Resultados!BN73,Resultados!BW73,Resultados!CF73)))</f>
        <v>0.71569701845279621</v>
      </c>
      <c r="D73">
        <f>IF(COUNT(Resultados!D73,Resultados!M73,Resultados!V73,Resultados!AE73,Resultados!AN73,Resultados!AW73,Resultados!BF73,Resultados!BO73,Resultados!BX73,Resultados!CG73)&lt;=1, "", _xlfn.STDEV.S(ABS(Resultados!D73),ABS(Resultados!M73),ABS(Resultados!V73),ABS(Resultados!AE73),ABS(Resultados!AN73),ABS(Resultados!AW73),ABS(Resultados!BF73),ABS(Resultados!BO73),ABS(Resultados!BX73),ABS(Resultados!CG73))/SQRT(COUNT(Resultados!D73,Resultados!M73,Resultados!V73,Resultados!AE73,Resultados!AN73,Resultados!AW73,Resultados!BF73,Resultados!BO73,Resultados!BX73,Resultados!CG73)))</f>
        <v>2.1846967752985791E-3</v>
      </c>
      <c r="E73">
        <f>IF(COUNT(Resultados!E73,Resultados!N73,Resultados!W73,Resultados!AF73,Resultados!AO73,Resultados!AX73,Resultados!BG73,Resultados!BP73,Resultados!BY73,Resultados!CH73)&lt;=1, "", _xlfn.STDEV.S(ABS(Resultados!E73),ABS(Resultados!N73),ABS(Resultados!W73),ABS(Resultados!AF73),ABS(Resultados!AO73),ABS(Resultados!AX73),ABS(Resultados!BG73),ABS(Resultados!BP73),ABS(Resultados!BY73),ABS(Resultados!CH73))/SQRT(COUNT(Resultados!E73,Resultados!N73,Resultados!W73,Resultados!AF73,Resultados!AO73,Resultados!AX73,Resultados!BG73,Resultados!BP73,Resultados!BY73,Resultados!CH73)))</f>
        <v>0.12921100296814317</v>
      </c>
      <c r="F73">
        <f>IF(COUNT(Resultados!F73,Resultados!O73,Resultados!X73,Resultados!AG73,Resultados!AP73,Resultados!AY73,Resultados!BH73,Resultados!BQ73,Resultados!BZ73,Resultados!CI73)&lt;=1, "", _xlfn.STDEV.S(ABS(Resultados!F73),ABS(Resultados!O73),ABS(Resultados!X73),ABS(Resultados!AG73),ABS(Resultados!AP73),ABS(Resultados!AY73),ABS(Resultados!BH73),ABS(Resultados!BQ73),ABS(Resultados!BZ73),ABS(Resultados!CI73))/SQRT(COUNT(Resultados!F73,Resultados!O73,Resultados!X73,Resultados!AG73,Resultados!AP73,Resultados!AY73,Resultados!BH73,Resultados!BQ73,Resultados!BZ73,Resultados!CI73)))</f>
        <v>12.042465476630946</v>
      </c>
      <c r="G73">
        <f>IF(COUNT(Resultados!G73,Resultados!P73,Resultados!Y73,Resultados!AH73,Resultados!AQ73,Resultados!AZ73,Resultados!BI73,Resultados!BR73,Resultados!CA73,Resultados!CJ73)&lt;=1, "", _xlfn.STDEV.S(ABS(Resultados!G73),ABS(Resultados!P73),ABS(Resultados!Y73),ABS(Resultados!AH73),ABS(Resultados!AQ73),ABS(Resultados!AZ73),ABS(Resultados!BI73),ABS(Resultados!BR73),ABS(Resultados!CA73),ABS(Resultados!CJ73))/SQRT(COUNT(Resultados!G73,Resultados!P73,Resultados!Y73,Resultados!AH73,Resultados!AQ73,Resultados!AZ73,Resultados!BI73,Resultados!BR73,Resultados!CA73,Resultados!CJ73)))</f>
        <v>1.8503717077085941E-17</v>
      </c>
      <c r="H73">
        <f>IF(COUNT(Resultados!H73,Resultados!Q73,Resultados!Z73,Resultados!AI73,Resultados!AR73,Resultados!BA73,Resultados!BJ73,Resultados!BS73,Resultados!CB73,Resultados!CK73)&lt;=1, "", _xlfn.STDEV.S(ABS(Resultados!H73),ABS(Resultados!Q73),ABS(Resultados!Z73),ABS(Resultados!AI73),ABS(Resultados!AR73),ABS(Resultados!BA73),ABS(Resultados!BJ73),ABS(Resultados!BS73),ABS(Resultados!CB73),ABS(Resultados!CK73))/SQRT(COUNT(Resultados!H73,Resultados!Q73,Resultados!Z73,Resultados!AI73,Resultados!AR73,Resultados!BA73,Resultados!BJ73,Resultados!BS73,Resultados!CB73,Resultados!CK73)))</f>
        <v>2.0023902383568149E-3</v>
      </c>
      <c r="I73">
        <f>IF(COUNT(Resultados!I73,Resultados!R73,Resultados!AA73,Resultados!AJ73,Resultados!AS73,Resultados!BB73,Resultados!BK73,Resultados!BT73,Resultados!CC73,Resultados!CL73)&lt;=1, "", _xlfn.STDEV.S(ABS(Resultados!I73),ABS(Resultados!R73),ABS(Resultados!AA73),ABS(Resultados!AJ73),ABS(Resultados!AS73),ABS(Resultados!BB73),ABS(Resultados!BK73),ABS(Resultados!BT73),ABS(Resultados!CC73),ABS(Resultados!CL73))/SQRT(COUNT(Resultados!I73,Resultados!R73,Resultados!AA73,Resultados!AJ73,Resultados!AS73,Resultados!BB73,Resultados!BK73,Resultados!BT73,Resultados!CC73,Resultados!CL73)))</f>
        <v>4.0119765286780976E-2</v>
      </c>
    </row>
    <row r="74" spans="1:9" x14ac:dyDescent="0.3">
      <c r="A74">
        <f>IF(COUNT(Resultados!A74,Resultados!J74,Resultados!S74,Resultados!AB74,Resultados!AK74,Resultados!AT74,Resultados!BC74,Resultados!BL74,Resultados!BU74,Resultados!CD74)&lt;=1, "", _xlfn.STDEV.S(ABS(Resultados!A74),ABS(Resultados!J74),ABS(Resultados!S74),ABS(Resultados!AB74),ABS(Resultados!AK74),ABS(Resultados!AT74),ABS(Resultados!BC74),ABS(Resultados!BL74),ABS(Resultados!BU74),ABS(Resultados!CD74))/SQRT(COUNT(Resultados!A74,Resultados!J74,Resultados!S74,Resultados!AB74,Resultados!AK74,Resultados!AT74,Resultados!BC74,Resultados!BL74,Resultados!BU74,Resultados!CD74)))</f>
        <v>0</v>
      </c>
      <c r="B74" t="str">
        <f>IF(COUNT(Resultados!B74,Resultados!K74,Resultados!T74,Resultados!AC74,Resultados!AL74,Resultados!AU74,Resultados!BD74,Resultados!BM74,Resultados!BV74,Resultados!CE74)&lt;=1, "", _xlfn.STDEV.S(ABS(Resultados!B74),ABS(Resultados!K74),ABS(Resultados!T74),ABS(Resultados!AC74),ABS(Resultados!AL74),ABS(Resultados!AU74),ABS(Resultados!BD74),ABS(Resultados!BM74),ABS(Resultados!BV74),ABS(Resultados!CE74))/SQRT(COUNT(Resultados!B74,Resultados!K74,Resultados!T74,Resultados!AC74,Resultados!AL74,Resultados!AU74,Resultados!BD74,Resultados!BM74,Resultados!BV74,Resultados!CE74)))</f>
        <v/>
      </c>
      <c r="C74">
        <f>IF(COUNT(Resultados!C74,Resultados!L74,Resultados!U74,Resultados!AD74,Resultados!AM74,Resultados!AV74,Resultados!BE74,Resultados!BN74,Resultados!BW74,Resultados!CF74)&lt;=1, "", _xlfn.STDEV.S(ABS(Resultados!C74),ABS(Resultados!L74),ABS(Resultados!U74),ABS(Resultados!AD74),ABS(Resultados!AM74),ABS(Resultados!AV74),ABS(Resultados!BE74),ABS(Resultados!BN74),ABS(Resultados!BW74),ABS(Resultados!CF74))/SQRT(COUNT(Resultados!C74,Resultados!L74,Resultados!U74,Resultados!AD74,Resultados!AM74,Resultados!AV74,Resultados!BE74,Resultados!BN74,Resultados!BW74,Resultados!CF74)))</f>
        <v>0.71569701845279621</v>
      </c>
      <c r="D74">
        <f>IF(COUNT(Resultados!D74,Resultados!M74,Resultados!V74,Resultados!AE74,Resultados!AN74,Resultados!AW74,Resultados!BF74,Resultados!BO74,Resultados!BX74,Resultados!CG74)&lt;=1, "", _xlfn.STDEV.S(ABS(Resultados!D74),ABS(Resultados!M74),ABS(Resultados!V74),ABS(Resultados!AE74),ABS(Resultados!AN74),ABS(Resultados!AW74),ABS(Resultados!BF74),ABS(Resultados!BO74),ABS(Resultados!BX74),ABS(Resultados!CG74))/SQRT(COUNT(Resultados!D74,Resultados!M74,Resultados!V74,Resultados!AE74,Resultados!AN74,Resultados!AW74,Resultados!BF74,Resultados!BO74,Resultados!BX74,Resultados!CG74)))</f>
        <v>2.1623675296612572E-3</v>
      </c>
      <c r="E74">
        <f>IF(COUNT(Resultados!E74,Resultados!N74,Resultados!W74,Resultados!AF74,Resultados!AO74,Resultados!AX74,Resultados!BG74,Resultados!BP74,Resultados!BY74,Resultados!CH74)&lt;=1, "", _xlfn.STDEV.S(ABS(Resultados!E74),ABS(Resultados!N74),ABS(Resultados!W74),ABS(Resultados!AF74),ABS(Resultados!AO74),ABS(Resultados!AX74),ABS(Resultados!BG74),ABS(Resultados!BP74),ABS(Resultados!BY74),ABS(Resultados!CH74))/SQRT(COUNT(Resultados!E74,Resultados!N74,Resultados!W74,Resultados!AF74,Resultados!AO74,Resultados!AX74,Resultados!BG74,Resultados!BP74,Resultados!BY74,Resultados!CH74)))</f>
        <v>0.12960052347393949</v>
      </c>
      <c r="F74">
        <f>IF(COUNT(Resultados!F74,Resultados!O74,Resultados!X74,Resultados!AG74,Resultados!AP74,Resultados!AY74,Resultados!BH74,Resultados!BQ74,Resultados!BZ74,Resultados!CI74)&lt;=1, "", _xlfn.STDEV.S(ABS(Resultados!F74),ABS(Resultados!O74),ABS(Resultados!X74),ABS(Resultados!AG74),ABS(Resultados!AP74),ABS(Resultados!AY74),ABS(Resultados!BH74),ABS(Resultados!BQ74),ABS(Resultados!BZ74),ABS(Resultados!CI74))/SQRT(COUNT(Resultados!F74,Resultados!O74,Resultados!X74,Resultados!AG74,Resultados!AP74,Resultados!AY74,Resultados!BH74,Resultados!BQ74,Resultados!BZ74,Resultados!CI74)))</f>
        <v>12.078768787771159</v>
      </c>
      <c r="G74">
        <f>IF(COUNT(Resultados!G74,Resultados!P74,Resultados!Y74,Resultados!AH74,Resultados!AQ74,Resultados!AZ74,Resultados!BI74,Resultados!BR74,Resultados!CA74,Resultados!CJ74)&lt;=1, "", _xlfn.STDEV.S(ABS(Resultados!G74),ABS(Resultados!P74),ABS(Resultados!Y74),ABS(Resultados!AH74),ABS(Resultados!AQ74),ABS(Resultados!AZ74),ABS(Resultados!BI74),ABS(Resultados!BR74),ABS(Resultados!CA74),ABS(Resultados!CJ74))/SQRT(COUNT(Resultados!G74,Resultados!P74,Resultados!Y74,Resultados!AH74,Resultados!AQ74,Resultados!AZ74,Resultados!BI74,Resultados!BR74,Resultados!CA74,Resultados!CJ74)))</f>
        <v>1.8503717077085941E-17</v>
      </c>
      <c r="H74">
        <f>IF(COUNT(Resultados!H74,Resultados!Q74,Resultados!Z74,Resultados!AI74,Resultados!AR74,Resultados!BA74,Resultados!BJ74,Resultados!BS74,Resultados!CB74,Resultados!CK74)&lt;=1, "", _xlfn.STDEV.S(ABS(Resultados!H74),ABS(Resultados!Q74),ABS(Resultados!Z74),ABS(Resultados!AI74),ABS(Resultados!AR74),ABS(Resultados!BA74),ABS(Resultados!BJ74),ABS(Resultados!BS74),ABS(Resultados!CB74),ABS(Resultados!CK74))/SQRT(COUNT(Resultados!H74,Resultados!Q74,Resultados!Z74,Resultados!AI74,Resultados!AR74,Resultados!BA74,Resultados!BJ74,Resultados!BS74,Resultados!CB74,Resultados!CK74)))</f>
        <v>2.0178343726766994E-3</v>
      </c>
      <c r="I74">
        <f>IF(COUNT(Resultados!I74,Resultados!R74,Resultados!AA74,Resultados!AJ74,Resultados!AS74,Resultados!BB74,Resultados!BK74,Resultados!BT74,Resultados!CC74,Resultados!CL74)&lt;=1, "", _xlfn.STDEV.S(ABS(Resultados!I74),ABS(Resultados!R74),ABS(Resultados!AA74),ABS(Resultados!AJ74),ABS(Resultados!AS74),ABS(Resultados!BB74),ABS(Resultados!BK74),ABS(Resultados!BT74),ABS(Resultados!CC74),ABS(Resultados!CL74))/SQRT(COUNT(Resultados!I74,Resultados!R74,Resultados!AA74,Resultados!AJ74,Resultados!AS74,Resultados!BB74,Resultados!BK74,Resultados!BT74,Resultados!CC74,Resultados!CL74)))</f>
        <v>4.0018943292167077E-2</v>
      </c>
    </row>
    <row r="75" spans="1:9" x14ac:dyDescent="0.3">
      <c r="A75">
        <f>IF(COUNT(Resultados!A75,Resultados!J75,Resultados!S75,Resultados!AB75,Resultados!AK75,Resultados!AT75,Resultados!BC75,Resultados!BL75,Resultados!BU75,Resultados!CD75)&lt;=1, "", _xlfn.STDEV.S(ABS(Resultados!A75),ABS(Resultados!J75),ABS(Resultados!S75),ABS(Resultados!AB75),ABS(Resultados!AK75),ABS(Resultados!AT75),ABS(Resultados!BC75),ABS(Resultados!BL75),ABS(Resultados!BU75),ABS(Resultados!CD75))/SQRT(COUNT(Resultados!A75,Resultados!J75,Resultados!S75,Resultados!AB75,Resultados!AK75,Resultados!AT75,Resultados!BC75,Resultados!BL75,Resultados!BU75,Resultados!CD75)))</f>
        <v>0</v>
      </c>
      <c r="B75" t="str">
        <f>IF(COUNT(Resultados!B75,Resultados!K75,Resultados!T75,Resultados!AC75,Resultados!AL75,Resultados!AU75,Resultados!BD75,Resultados!BM75,Resultados!BV75,Resultados!CE75)&lt;=1, "", _xlfn.STDEV.S(ABS(Resultados!B75),ABS(Resultados!K75),ABS(Resultados!T75),ABS(Resultados!AC75),ABS(Resultados!AL75),ABS(Resultados!AU75),ABS(Resultados!BD75),ABS(Resultados!BM75),ABS(Resultados!BV75),ABS(Resultados!CE75))/SQRT(COUNT(Resultados!B75,Resultados!K75,Resultados!T75,Resultados!AC75,Resultados!AL75,Resultados!AU75,Resultados!BD75,Resultados!BM75,Resultados!BV75,Resultados!CE75)))</f>
        <v/>
      </c>
      <c r="C75">
        <f>IF(COUNT(Resultados!C75,Resultados!L75,Resultados!U75,Resultados!AD75,Resultados!AM75,Resultados!AV75,Resultados!BE75,Resultados!BN75,Resultados!BW75,Resultados!CF75)&lt;=1, "", _xlfn.STDEV.S(ABS(Resultados!C75),ABS(Resultados!L75),ABS(Resultados!U75),ABS(Resultados!AD75),ABS(Resultados!AM75),ABS(Resultados!AV75),ABS(Resultados!BE75),ABS(Resultados!BN75),ABS(Resultados!BW75),ABS(Resultados!CF75))/SQRT(COUNT(Resultados!C75,Resultados!L75,Resultados!U75,Resultados!AD75,Resultados!AM75,Resultados!AV75,Resultados!BE75,Resultados!BN75,Resultados!BW75,Resultados!CF75)))</f>
        <v>0.71569701845279621</v>
      </c>
      <c r="D75">
        <f>IF(COUNT(Resultados!D75,Resultados!M75,Resultados!V75,Resultados!AE75,Resultados!AN75,Resultados!AW75,Resultados!BF75,Resultados!BO75,Resultados!BX75,Resultados!CG75)&lt;=1, "", _xlfn.STDEV.S(ABS(Resultados!D75),ABS(Resultados!M75),ABS(Resultados!V75),ABS(Resultados!AE75),ABS(Resultados!AN75),ABS(Resultados!AW75),ABS(Resultados!BF75),ABS(Resultados!BO75),ABS(Resultados!BX75),ABS(Resultados!CG75))/SQRT(COUNT(Resultados!D75,Resultados!M75,Resultados!V75,Resultados!AE75,Resultados!AN75,Resultados!AW75,Resultados!BF75,Resultados!BO75,Resultados!BX75,Resultados!CG75)))</f>
        <v>2.2801096464863235E-3</v>
      </c>
      <c r="E75">
        <f>IF(COUNT(Resultados!E75,Resultados!N75,Resultados!W75,Resultados!AF75,Resultados!AO75,Resultados!AX75,Resultados!BG75,Resultados!BP75,Resultados!BY75,Resultados!CH75)&lt;=1, "", _xlfn.STDEV.S(ABS(Resultados!E75),ABS(Resultados!N75),ABS(Resultados!W75),ABS(Resultados!AF75),ABS(Resultados!AO75),ABS(Resultados!AX75),ABS(Resultados!BG75),ABS(Resultados!BP75),ABS(Resultados!BY75),ABS(Resultados!CH75))/SQRT(COUNT(Resultados!E75,Resultados!N75,Resultados!W75,Resultados!AF75,Resultados!AO75,Resultados!AX75,Resultados!BG75,Resultados!BP75,Resultados!BY75,Resultados!CH75)))</f>
        <v>0.12981713865844763</v>
      </c>
      <c r="F75">
        <f>IF(COUNT(Resultados!F75,Resultados!O75,Resultados!X75,Resultados!AG75,Resultados!AP75,Resultados!AY75,Resultados!BH75,Resultados!BQ75,Resultados!BZ75,Resultados!CI75)&lt;=1, "", _xlfn.STDEV.S(ABS(Resultados!F75),ABS(Resultados!O75),ABS(Resultados!X75),ABS(Resultados!AG75),ABS(Resultados!AP75),ABS(Resultados!AY75),ABS(Resultados!BH75),ABS(Resultados!BQ75),ABS(Resultados!BZ75),ABS(Resultados!CI75))/SQRT(COUNT(Resultados!F75,Resultados!O75,Resultados!X75,Resultados!AG75,Resultados!AP75,Resultados!AY75,Resultados!BH75,Resultados!BQ75,Resultados!BZ75,Resultados!CI75)))</f>
        <v>12.098957322967319</v>
      </c>
      <c r="G75">
        <f>IF(COUNT(Resultados!G75,Resultados!P75,Resultados!Y75,Resultados!AH75,Resultados!AQ75,Resultados!AZ75,Resultados!BI75,Resultados!BR75,Resultados!CA75,Resultados!CJ75)&lt;=1, "", _xlfn.STDEV.S(ABS(Resultados!G75),ABS(Resultados!P75),ABS(Resultados!Y75),ABS(Resultados!AH75),ABS(Resultados!AQ75),ABS(Resultados!AZ75),ABS(Resultados!BI75),ABS(Resultados!BR75),ABS(Resultados!CA75),ABS(Resultados!CJ75))/SQRT(COUNT(Resultados!G75,Resultados!P75,Resultados!Y75,Resultados!AH75,Resultados!AQ75,Resultados!AZ75,Resultados!BI75,Resultados!BR75,Resultados!CA75,Resultados!CJ75)))</f>
        <v>1.8503717077085941E-17</v>
      </c>
      <c r="H75">
        <f>IF(COUNT(Resultados!H75,Resultados!Q75,Resultados!Z75,Resultados!AI75,Resultados!AR75,Resultados!BA75,Resultados!BJ75,Resultados!BS75,Resultados!CB75,Resultados!CK75)&lt;=1, "", _xlfn.STDEV.S(ABS(Resultados!H75),ABS(Resultados!Q75),ABS(Resultados!Z75),ABS(Resultados!AI75),ABS(Resultados!AR75),ABS(Resultados!BA75),ABS(Resultados!BJ75),ABS(Resultados!BS75),ABS(Resultados!CB75),ABS(Resultados!CK75))/SQRT(COUNT(Resultados!H75,Resultados!Q75,Resultados!Z75,Resultados!AI75,Resultados!AR75,Resultados!BA75,Resultados!BJ75,Resultados!BS75,Resultados!CB75,Resultados!CK75)))</f>
        <v>2.0136451193461732E-3</v>
      </c>
      <c r="I75">
        <f>IF(COUNT(Resultados!I75,Resultados!R75,Resultados!AA75,Resultados!AJ75,Resultados!AS75,Resultados!BB75,Resultados!BK75,Resultados!BT75,Resultados!CC75,Resultados!CL75)&lt;=1, "", _xlfn.STDEV.S(ABS(Resultados!I75),ABS(Resultados!R75),ABS(Resultados!AA75),ABS(Resultados!AJ75),ABS(Resultados!AS75),ABS(Resultados!BB75),ABS(Resultados!BK75),ABS(Resultados!BT75),ABS(Resultados!CC75),ABS(Resultados!CL75))/SQRT(COUNT(Resultados!I75,Resultados!R75,Resultados!AA75,Resultados!AJ75,Resultados!AS75,Resultados!BB75,Resultados!BK75,Resultados!BT75,Resultados!CC75,Resultados!CL75)))</f>
        <v>4.0186708830991333E-2</v>
      </c>
    </row>
    <row r="76" spans="1:9" x14ac:dyDescent="0.3">
      <c r="A76">
        <f>IF(COUNT(Resultados!A76,Resultados!J76,Resultados!S76,Resultados!AB76,Resultados!AK76,Resultados!AT76,Resultados!BC76,Resultados!BL76,Resultados!BU76,Resultados!CD76)&lt;=1, "", _xlfn.STDEV.S(ABS(Resultados!A76),ABS(Resultados!J76),ABS(Resultados!S76),ABS(Resultados!AB76),ABS(Resultados!AK76),ABS(Resultados!AT76),ABS(Resultados!BC76),ABS(Resultados!BL76),ABS(Resultados!BU76),ABS(Resultados!CD76))/SQRT(COUNT(Resultados!A76,Resultados!J76,Resultados!S76,Resultados!AB76,Resultados!AK76,Resultados!AT76,Resultados!BC76,Resultados!BL76,Resultados!BU76,Resultados!CD76)))</f>
        <v>0</v>
      </c>
      <c r="B76" t="str">
        <f>IF(COUNT(Resultados!B76,Resultados!K76,Resultados!T76,Resultados!AC76,Resultados!AL76,Resultados!AU76,Resultados!BD76,Resultados!BM76,Resultados!BV76,Resultados!CE76)&lt;=1, "", _xlfn.STDEV.S(ABS(Resultados!B76),ABS(Resultados!K76),ABS(Resultados!T76),ABS(Resultados!AC76),ABS(Resultados!AL76),ABS(Resultados!AU76),ABS(Resultados!BD76),ABS(Resultados!BM76),ABS(Resultados!BV76),ABS(Resultados!CE76))/SQRT(COUNT(Resultados!B76,Resultados!K76,Resultados!T76,Resultados!AC76,Resultados!AL76,Resultados!AU76,Resultados!BD76,Resultados!BM76,Resultados!BV76,Resultados!CE76)))</f>
        <v/>
      </c>
      <c r="C76">
        <f>IF(COUNT(Resultados!C76,Resultados!L76,Resultados!U76,Resultados!AD76,Resultados!AM76,Resultados!AV76,Resultados!BE76,Resultados!BN76,Resultados!BW76,Resultados!CF76)&lt;=1, "", _xlfn.STDEV.S(ABS(Resultados!C76),ABS(Resultados!L76),ABS(Resultados!U76),ABS(Resultados!AD76),ABS(Resultados!AM76),ABS(Resultados!AV76),ABS(Resultados!BE76),ABS(Resultados!BN76),ABS(Resultados!BW76),ABS(Resultados!CF76))/SQRT(COUNT(Resultados!C76,Resultados!L76,Resultados!U76,Resultados!AD76,Resultados!AM76,Resultados!AV76,Resultados!BE76,Resultados!BN76,Resultados!BW76,Resultados!CF76)))</f>
        <v>0.71569701845279621</v>
      </c>
      <c r="D76">
        <f>IF(COUNT(Resultados!D76,Resultados!M76,Resultados!V76,Resultados!AE76,Resultados!AN76,Resultados!AW76,Resultados!BF76,Resultados!BO76,Resultados!BX76,Resultados!CG76)&lt;=1, "", _xlfn.STDEV.S(ABS(Resultados!D76),ABS(Resultados!M76),ABS(Resultados!V76),ABS(Resultados!AE76),ABS(Resultados!AN76),ABS(Resultados!AW76),ABS(Resultados!BF76),ABS(Resultados!BO76),ABS(Resultados!BX76),ABS(Resultados!CG76))/SQRT(COUNT(Resultados!D76,Resultados!M76,Resultados!V76,Resultados!AE76,Resultados!AN76,Resultados!AW76,Resultados!BF76,Resultados!BO76,Resultados!BX76,Resultados!CG76)))</f>
        <v>2.3105578931889551E-3</v>
      </c>
      <c r="E76">
        <f>IF(COUNT(Resultados!E76,Resultados!N76,Resultados!W76,Resultados!AF76,Resultados!AO76,Resultados!AX76,Resultados!BG76,Resultados!BP76,Resultados!BY76,Resultados!CH76)&lt;=1, "", _xlfn.STDEV.S(ABS(Resultados!E76),ABS(Resultados!N76),ABS(Resultados!W76),ABS(Resultados!AF76),ABS(Resultados!AO76),ABS(Resultados!AX76),ABS(Resultados!BG76),ABS(Resultados!BP76),ABS(Resultados!BY76),ABS(Resultados!CH76))/SQRT(COUNT(Resultados!E76,Resultados!N76,Resultados!W76,Resultados!AF76,Resultados!AO76,Resultados!AX76,Resultados!BG76,Resultados!BP76,Resultados!BY76,Resultados!CH76)))</f>
        <v>0.12992735620846885</v>
      </c>
      <c r="F76">
        <f>IF(COUNT(Resultados!F76,Resultados!O76,Resultados!X76,Resultados!AG76,Resultados!AP76,Resultados!AY76,Resultados!BH76,Resultados!BQ76,Resultados!BZ76,Resultados!CI76)&lt;=1, "", _xlfn.STDEV.S(ABS(Resultados!F76),ABS(Resultados!O76),ABS(Resultados!X76),ABS(Resultados!AG76),ABS(Resultados!AP76),ABS(Resultados!AY76),ABS(Resultados!BH76),ABS(Resultados!BQ76),ABS(Resultados!BZ76),ABS(Resultados!CI76))/SQRT(COUNT(Resultados!F76,Resultados!O76,Resultados!X76,Resultados!AG76,Resultados!AP76,Resultados!AY76,Resultados!BH76,Resultados!BQ76,Resultados!BZ76,Resultados!CI76)))</f>
        <v>12.109229598629296</v>
      </c>
      <c r="G76">
        <f>IF(COUNT(Resultados!G76,Resultados!P76,Resultados!Y76,Resultados!AH76,Resultados!AQ76,Resultados!AZ76,Resultados!BI76,Resultados!BR76,Resultados!CA76,Resultados!CJ76)&lt;=1, "", _xlfn.STDEV.S(ABS(Resultados!G76),ABS(Resultados!P76),ABS(Resultados!Y76),ABS(Resultados!AH76),ABS(Resultados!AQ76),ABS(Resultados!AZ76),ABS(Resultados!BI76),ABS(Resultados!BR76),ABS(Resultados!CA76),ABS(Resultados!CJ76))/SQRT(COUNT(Resultados!G76,Resultados!P76,Resultados!Y76,Resultados!AH76,Resultados!AQ76,Resultados!AZ76,Resultados!BI76,Resultados!BR76,Resultados!CA76,Resultados!CJ76)))</f>
        <v>1.8503717077085941E-17</v>
      </c>
      <c r="H76">
        <f>IF(COUNT(Resultados!H76,Resultados!Q76,Resultados!Z76,Resultados!AI76,Resultados!AR76,Resultados!BA76,Resultados!BJ76,Resultados!BS76,Resultados!CB76,Resultados!CK76)&lt;=1, "", _xlfn.STDEV.S(ABS(Resultados!H76),ABS(Resultados!Q76),ABS(Resultados!Z76),ABS(Resultados!AI76),ABS(Resultados!AR76),ABS(Resultados!BA76),ABS(Resultados!BJ76),ABS(Resultados!BS76),ABS(Resultados!CB76),ABS(Resultados!CK76))/SQRT(COUNT(Resultados!H76,Resultados!Q76,Resultados!Z76,Resultados!AI76,Resultados!AR76,Resultados!BA76,Resultados!BJ76,Resultados!BS76,Resultados!CB76,Resultados!CK76)))</f>
        <v>2.0191004597757537E-3</v>
      </c>
      <c r="I76">
        <f>IF(COUNT(Resultados!I76,Resultados!R76,Resultados!AA76,Resultados!AJ76,Resultados!AS76,Resultados!BB76,Resultados!BK76,Resultados!BT76,Resultados!CC76,Resultados!CL76)&lt;=1, "", _xlfn.STDEV.S(ABS(Resultados!I76),ABS(Resultados!R76),ABS(Resultados!AA76),ABS(Resultados!AJ76),ABS(Resultados!AS76),ABS(Resultados!BB76),ABS(Resultados!BK76),ABS(Resultados!BT76),ABS(Resultados!CC76),ABS(Resultados!CL76))/SQRT(COUNT(Resultados!I76,Resultados!R76,Resultados!AA76,Resultados!AJ76,Resultados!AS76,Resultados!BB76,Resultados!BK76,Resultados!BT76,Resultados!CC76,Resultados!CL76)))</f>
        <v>4.0220539390826635E-2</v>
      </c>
    </row>
    <row r="77" spans="1:9" x14ac:dyDescent="0.3">
      <c r="A77">
        <f>IF(COUNT(Resultados!A77,Resultados!J77,Resultados!S77,Resultados!AB77,Resultados!AK77,Resultados!AT77,Resultados!BC77,Resultados!BL77,Resultados!BU77,Resultados!CD77)&lt;=1, "", _xlfn.STDEV.S(ABS(Resultados!A77),ABS(Resultados!J77),ABS(Resultados!S77),ABS(Resultados!AB77),ABS(Resultados!AK77),ABS(Resultados!AT77),ABS(Resultados!BC77),ABS(Resultados!BL77),ABS(Resultados!BU77),ABS(Resultados!CD77))/SQRT(COUNT(Resultados!A77,Resultados!J77,Resultados!S77,Resultados!AB77,Resultados!AK77,Resultados!AT77,Resultados!BC77,Resultados!BL77,Resultados!BU77,Resultados!CD77)))</f>
        <v>0</v>
      </c>
      <c r="B77" t="str">
        <f>IF(COUNT(Resultados!B77,Resultados!K77,Resultados!T77,Resultados!AC77,Resultados!AL77,Resultados!AU77,Resultados!BD77,Resultados!BM77,Resultados!BV77,Resultados!CE77)&lt;=1, "", _xlfn.STDEV.S(ABS(Resultados!B77),ABS(Resultados!K77),ABS(Resultados!T77),ABS(Resultados!AC77),ABS(Resultados!AL77),ABS(Resultados!AU77),ABS(Resultados!BD77),ABS(Resultados!BM77),ABS(Resultados!BV77),ABS(Resultados!CE77))/SQRT(COUNT(Resultados!B77,Resultados!K77,Resultados!T77,Resultados!AC77,Resultados!AL77,Resultados!AU77,Resultados!BD77,Resultados!BM77,Resultados!BV77,Resultados!CE77)))</f>
        <v/>
      </c>
      <c r="C77">
        <f>IF(COUNT(Resultados!C77,Resultados!L77,Resultados!U77,Resultados!AD77,Resultados!AM77,Resultados!AV77,Resultados!BE77,Resultados!BN77,Resultados!BW77,Resultados!CF77)&lt;=1, "", _xlfn.STDEV.S(ABS(Resultados!C77),ABS(Resultados!L77),ABS(Resultados!U77),ABS(Resultados!AD77),ABS(Resultados!AM77),ABS(Resultados!AV77),ABS(Resultados!BE77),ABS(Resultados!BN77),ABS(Resultados!BW77),ABS(Resultados!CF77))/SQRT(COUNT(Resultados!C77,Resultados!L77,Resultados!U77,Resultados!AD77,Resultados!AM77,Resultados!AV77,Resultados!BE77,Resultados!BN77,Resultados!BW77,Resultados!CF77)))</f>
        <v>0.71569701845279621</v>
      </c>
      <c r="D77">
        <f>IF(COUNT(Resultados!D77,Resultados!M77,Resultados!V77,Resultados!AE77,Resultados!AN77,Resultados!AW77,Resultados!BF77,Resultados!BO77,Resultados!BX77,Resultados!CG77)&lt;=1, "", _xlfn.STDEV.S(ABS(Resultados!D77),ABS(Resultados!M77),ABS(Resultados!V77),ABS(Resultados!AE77),ABS(Resultados!AN77),ABS(Resultados!AW77),ABS(Resultados!BF77),ABS(Resultados!BO77),ABS(Resultados!BX77),ABS(Resultados!CG77))/SQRT(COUNT(Resultados!D77,Resultados!M77,Resultados!V77,Resultados!AE77,Resultados!AN77,Resultados!AW77,Resultados!BF77,Resultados!BO77,Resultados!BX77,Resultados!CG77)))</f>
        <v>2.3109906485699544E-3</v>
      </c>
      <c r="E77">
        <f>IF(COUNT(Resultados!E77,Resultados!N77,Resultados!W77,Resultados!AF77,Resultados!AO77,Resultados!AX77,Resultados!BG77,Resultados!BP77,Resultados!BY77,Resultados!CH77)&lt;=1, "", _xlfn.STDEV.S(ABS(Resultados!E77),ABS(Resultados!N77),ABS(Resultados!W77),ABS(Resultados!AF77),ABS(Resultados!AO77),ABS(Resultados!AX77),ABS(Resultados!BG77),ABS(Resultados!BP77),ABS(Resultados!BY77),ABS(Resultados!CH77))/SQRT(COUNT(Resultados!E77,Resultados!N77,Resultados!W77,Resultados!AF77,Resultados!AO77,Resultados!AX77,Resultados!BG77,Resultados!BP77,Resultados!BY77,Resultados!CH77)))</f>
        <v>0.12991705417699212</v>
      </c>
      <c r="F77">
        <f>IF(COUNT(Resultados!F77,Resultados!O77,Resultados!X77,Resultados!AG77,Resultados!AP77,Resultados!AY77,Resultados!BH77,Resultados!BQ77,Resultados!BZ77,Resultados!CI77)&lt;=1, "", _xlfn.STDEV.S(ABS(Resultados!F77),ABS(Resultados!O77),ABS(Resultados!X77),ABS(Resultados!AG77),ABS(Resultados!AP77),ABS(Resultados!AY77),ABS(Resultados!BH77),ABS(Resultados!BQ77),ABS(Resultados!BZ77),ABS(Resultados!CI77))/SQRT(COUNT(Resultados!F77,Resultados!O77,Resultados!X77,Resultados!AG77,Resultados!AP77,Resultados!AY77,Resultados!BH77,Resultados!BQ77,Resultados!BZ77,Resultados!CI77)))</f>
        <v>12.108269449295667</v>
      </c>
      <c r="G77">
        <f>IF(COUNT(Resultados!G77,Resultados!P77,Resultados!Y77,Resultados!AH77,Resultados!AQ77,Resultados!AZ77,Resultados!BI77,Resultados!BR77,Resultados!CA77,Resultados!CJ77)&lt;=1, "", _xlfn.STDEV.S(ABS(Resultados!G77),ABS(Resultados!P77),ABS(Resultados!Y77),ABS(Resultados!AH77),ABS(Resultados!AQ77),ABS(Resultados!AZ77),ABS(Resultados!BI77),ABS(Resultados!BR77),ABS(Resultados!CA77),ABS(Resultados!CJ77))/SQRT(COUNT(Resultados!G77,Resultados!P77,Resultados!Y77,Resultados!AH77,Resultados!AQ77,Resultados!AZ77,Resultados!BI77,Resultados!BR77,Resultados!CA77,Resultados!CJ77)))</f>
        <v>1.8503717077085941E-17</v>
      </c>
      <c r="H77">
        <f>IF(COUNT(Resultados!H77,Resultados!Q77,Resultados!Z77,Resultados!AI77,Resultados!AR77,Resultados!BA77,Resultados!BJ77,Resultados!BS77,Resultados!CB77,Resultados!CK77)&lt;=1, "", _xlfn.STDEV.S(ABS(Resultados!H77),ABS(Resultados!Q77),ABS(Resultados!Z77),ABS(Resultados!AI77),ABS(Resultados!AR77),ABS(Resultados!BA77),ABS(Resultados!BJ77),ABS(Resultados!BS77),ABS(Resultados!CB77),ABS(Resultados!CK77))/SQRT(COUNT(Resultados!H77,Resultados!Q77,Resultados!Z77,Resultados!AI77,Resultados!AR77,Resultados!BA77,Resultados!BJ77,Resultados!BS77,Resultados!CB77,Resultados!CK77)))</f>
        <v>2.0189353630069456E-3</v>
      </c>
      <c r="I77">
        <f>IF(COUNT(Resultados!I77,Resultados!R77,Resultados!AA77,Resultados!AJ77,Resultados!AS77,Resultados!BB77,Resultados!BK77,Resultados!BT77,Resultados!CC77,Resultados!CL77)&lt;=1, "", _xlfn.STDEV.S(ABS(Resultados!I77),ABS(Resultados!R77),ABS(Resultados!AA77),ABS(Resultados!AJ77),ABS(Resultados!AS77),ABS(Resultados!BB77),ABS(Resultados!BK77),ABS(Resultados!BT77),ABS(Resultados!CC77),ABS(Resultados!CL77))/SQRT(COUNT(Resultados!I77,Resultados!R77,Resultados!AA77,Resultados!AJ77,Resultados!AS77,Resultados!BB77,Resultados!BK77,Resultados!BT77,Resultados!CC77,Resultados!CL77)))</f>
        <v>4.0122542846185029E-2</v>
      </c>
    </row>
    <row r="78" spans="1:9" x14ac:dyDescent="0.3">
      <c r="A78">
        <f>IF(COUNT(Resultados!A78,Resultados!J78,Resultados!S78,Resultados!AB78,Resultados!AK78,Resultados!AT78,Resultados!BC78,Resultados!BL78,Resultados!BU78,Resultados!CD78)&lt;=1, "", _xlfn.STDEV.S(ABS(Resultados!A78),ABS(Resultados!J78),ABS(Resultados!S78),ABS(Resultados!AB78),ABS(Resultados!AK78),ABS(Resultados!AT78),ABS(Resultados!BC78),ABS(Resultados!BL78),ABS(Resultados!BU78),ABS(Resultados!CD78))/SQRT(COUNT(Resultados!A78,Resultados!J78,Resultados!S78,Resultados!AB78,Resultados!AK78,Resultados!AT78,Resultados!BC78,Resultados!BL78,Resultados!BU78,Resultados!CD78)))</f>
        <v>0</v>
      </c>
      <c r="B78" t="str">
        <f>IF(COUNT(Resultados!B78,Resultados!K78,Resultados!T78,Resultados!AC78,Resultados!AL78,Resultados!AU78,Resultados!BD78,Resultados!BM78,Resultados!BV78,Resultados!CE78)&lt;=1, "", _xlfn.STDEV.S(ABS(Resultados!B78),ABS(Resultados!K78),ABS(Resultados!T78),ABS(Resultados!AC78),ABS(Resultados!AL78),ABS(Resultados!AU78),ABS(Resultados!BD78),ABS(Resultados!BM78),ABS(Resultados!BV78),ABS(Resultados!CE78))/SQRT(COUNT(Resultados!B78,Resultados!K78,Resultados!T78,Resultados!AC78,Resultados!AL78,Resultados!AU78,Resultados!BD78,Resultados!BM78,Resultados!BV78,Resultados!CE78)))</f>
        <v/>
      </c>
      <c r="C78">
        <f>IF(COUNT(Resultados!C78,Resultados!L78,Resultados!U78,Resultados!AD78,Resultados!AM78,Resultados!AV78,Resultados!BE78,Resultados!BN78,Resultados!BW78,Resultados!CF78)&lt;=1, "", _xlfn.STDEV.S(ABS(Resultados!C78),ABS(Resultados!L78),ABS(Resultados!U78),ABS(Resultados!AD78),ABS(Resultados!AM78),ABS(Resultados!AV78),ABS(Resultados!BE78),ABS(Resultados!BN78),ABS(Resultados!BW78),ABS(Resultados!CF78))/SQRT(COUNT(Resultados!C78,Resultados!L78,Resultados!U78,Resultados!AD78,Resultados!AM78,Resultados!AV78,Resultados!BE78,Resultados!BN78,Resultados!BW78,Resultados!CF78)))</f>
        <v>0.71569701845279621</v>
      </c>
      <c r="D78">
        <f>IF(COUNT(Resultados!D78,Resultados!M78,Resultados!V78,Resultados!AE78,Resultados!AN78,Resultados!AW78,Resultados!BF78,Resultados!BO78,Resultados!BX78,Resultados!CG78)&lt;=1, "", _xlfn.STDEV.S(ABS(Resultados!D78),ABS(Resultados!M78),ABS(Resultados!V78),ABS(Resultados!AE78),ABS(Resultados!AN78),ABS(Resultados!AW78),ABS(Resultados!BF78),ABS(Resultados!BO78),ABS(Resultados!BX78),ABS(Resultados!CG78))/SQRT(COUNT(Resultados!D78,Resultados!M78,Resultados!V78,Resultados!AE78,Resultados!AN78,Resultados!AW78,Resultados!BF78,Resultados!BO78,Resultados!BX78,Resultados!CG78)))</f>
        <v>2.348335107640685E-3</v>
      </c>
      <c r="E78">
        <f>IF(COUNT(Resultados!E78,Resultados!N78,Resultados!W78,Resultados!AF78,Resultados!AO78,Resultados!AX78,Resultados!BG78,Resultados!BP78,Resultados!BY78,Resultados!CH78)&lt;=1, "", _xlfn.STDEV.S(ABS(Resultados!E78),ABS(Resultados!N78),ABS(Resultados!W78),ABS(Resultados!AF78),ABS(Resultados!AO78),ABS(Resultados!AX78),ABS(Resultados!BG78),ABS(Resultados!BP78),ABS(Resultados!BY78),ABS(Resultados!CH78))/SQRT(COUNT(Resultados!E78,Resultados!N78,Resultados!W78,Resultados!AF78,Resultados!AO78,Resultados!AX78,Resultados!BG78,Resultados!BP78,Resultados!BY78,Resultados!CH78)))</f>
        <v>0.12967034541472847</v>
      </c>
      <c r="F78">
        <f>IF(COUNT(Resultados!F78,Resultados!O78,Resultados!X78,Resultados!AG78,Resultados!AP78,Resultados!AY78,Resultados!BH78,Resultados!BQ78,Resultados!BZ78,Resultados!CI78)&lt;=1, "", _xlfn.STDEV.S(ABS(Resultados!F78),ABS(Resultados!O78),ABS(Resultados!X78),ABS(Resultados!AG78),ABS(Resultados!AP78),ABS(Resultados!AY78),ABS(Resultados!BH78),ABS(Resultados!BQ78),ABS(Resultados!BZ78),ABS(Resultados!CI78))/SQRT(COUNT(Resultados!F78,Resultados!O78,Resultados!X78,Resultados!AG78,Resultados!AP78,Resultados!AY78,Resultados!BH78,Resultados!BQ78,Resultados!BZ78,Resultados!CI78)))</f>
        <v>12.085276192652692</v>
      </c>
      <c r="G78">
        <f>IF(COUNT(Resultados!G78,Resultados!P78,Resultados!Y78,Resultados!AH78,Resultados!AQ78,Resultados!AZ78,Resultados!BI78,Resultados!BR78,Resultados!CA78,Resultados!CJ78)&lt;=1, "", _xlfn.STDEV.S(ABS(Resultados!G78),ABS(Resultados!P78),ABS(Resultados!Y78),ABS(Resultados!AH78),ABS(Resultados!AQ78),ABS(Resultados!AZ78),ABS(Resultados!BI78),ABS(Resultados!BR78),ABS(Resultados!CA78),ABS(Resultados!CJ78))/SQRT(COUNT(Resultados!G78,Resultados!P78,Resultados!Y78,Resultados!AH78,Resultados!AQ78,Resultados!AZ78,Resultados!BI78,Resultados!BR78,Resultados!CA78,Resultados!CJ78)))</f>
        <v>1.8503717077085941E-17</v>
      </c>
      <c r="H78">
        <f>IF(COUNT(Resultados!H78,Resultados!Q78,Resultados!Z78,Resultados!AI78,Resultados!AR78,Resultados!BA78,Resultados!BJ78,Resultados!BS78,Resultados!CB78,Resultados!CK78)&lt;=1, "", _xlfn.STDEV.S(ABS(Resultados!H78),ABS(Resultados!Q78),ABS(Resultados!Z78),ABS(Resultados!AI78),ABS(Resultados!AR78),ABS(Resultados!BA78),ABS(Resultados!BJ78),ABS(Resultados!BS78),ABS(Resultados!CB78),ABS(Resultados!CK78))/SQRT(COUNT(Resultados!H78,Resultados!Q78,Resultados!Z78,Resultados!AI78,Resultados!AR78,Resultados!BA78,Resultados!BJ78,Resultados!BS78,Resultados!CB78,Resultados!CK78)))</f>
        <v>2.0154652068443166E-3</v>
      </c>
      <c r="I78">
        <f>IF(COUNT(Resultados!I78,Resultados!R78,Resultados!AA78,Resultados!AJ78,Resultados!AS78,Resultados!BB78,Resultados!BK78,Resultados!BT78,Resultados!CC78,Resultados!CL78)&lt;=1, "", _xlfn.STDEV.S(ABS(Resultados!I78),ABS(Resultados!R78),ABS(Resultados!AA78),ABS(Resultados!AJ78),ABS(Resultados!AS78),ABS(Resultados!BB78),ABS(Resultados!BK78),ABS(Resultados!BT78),ABS(Resultados!CC78),ABS(Resultados!CL78))/SQRT(COUNT(Resultados!I78,Resultados!R78,Resultados!AA78,Resultados!AJ78,Resultados!AS78,Resultados!BB78,Resultados!BK78,Resultados!BT78,Resultados!CC78,Resultados!CL78)))</f>
        <v>4.006686411487495E-2</v>
      </c>
    </row>
    <row r="79" spans="1:9" x14ac:dyDescent="0.3">
      <c r="A79">
        <f>IF(COUNT(Resultados!A79,Resultados!J79,Resultados!S79,Resultados!AB79,Resultados!AK79,Resultados!AT79,Resultados!BC79,Resultados!BL79,Resultados!BU79,Resultados!CD79)&lt;=1, "", _xlfn.STDEV.S(ABS(Resultados!A79),ABS(Resultados!J79),ABS(Resultados!S79),ABS(Resultados!AB79),ABS(Resultados!AK79),ABS(Resultados!AT79),ABS(Resultados!BC79),ABS(Resultados!BL79),ABS(Resultados!BU79),ABS(Resultados!CD79))/SQRT(COUNT(Resultados!A79,Resultados!J79,Resultados!S79,Resultados!AB79,Resultados!AK79,Resultados!AT79,Resultados!BC79,Resultados!BL79,Resultados!BU79,Resultados!CD79)))</f>
        <v>0</v>
      </c>
      <c r="B79" t="str">
        <f>IF(COUNT(Resultados!B79,Resultados!K79,Resultados!T79,Resultados!AC79,Resultados!AL79,Resultados!AU79,Resultados!BD79,Resultados!BM79,Resultados!BV79,Resultados!CE79)&lt;=1, "", _xlfn.STDEV.S(ABS(Resultados!B79),ABS(Resultados!K79),ABS(Resultados!T79),ABS(Resultados!AC79),ABS(Resultados!AL79),ABS(Resultados!AU79),ABS(Resultados!BD79),ABS(Resultados!BM79),ABS(Resultados!BV79),ABS(Resultados!CE79))/SQRT(COUNT(Resultados!B79,Resultados!K79,Resultados!T79,Resultados!AC79,Resultados!AL79,Resultados!AU79,Resultados!BD79,Resultados!BM79,Resultados!BV79,Resultados!CE79)))</f>
        <v/>
      </c>
      <c r="C79">
        <f>IF(COUNT(Resultados!C79,Resultados!L79,Resultados!U79,Resultados!AD79,Resultados!AM79,Resultados!AV79,Resultados!BE79,Resultados!BN79,Resultados!BW79,Resultados!CF79)&lt;=1, "", _xlfn.STDEV.S(ABS(Resultados!C79),ABS(Resultados!L79),ABS(Resultados!U79),ABS(Resultados!AD79),ABS(Resultados!AM79),ABS(Resultados!AV79),ABS(Resultados!BE79),ABS(Resultados!BN79),ABS(Resultados!BW79),ABS(Resultados!CF79))/SQRT(COUNT(Resultados!C79,Resultados!L79,Resultados!U79,Resultados!AD79,Resultados!AM79,Resultados!AV79,Resultados!BE79,Resultados!BN79,Resultados!BW79,Resultados!CF79)))</f>
        <v>0.71569701845279621</v>
      </c>
      <c r="D79">
        <f>IF(COUNT(Resultados!D79,Resultados!M79,Resultados!V79,Resultados!AE79,Resultados!AN79,Resultados!AW79,Resultados!BF79,Resultados!BO79,Resultados!BX79,Resultados!CG79)&lt;=1, "", _xlfn.STDEV.S(ABS(Resultados!D79),ABS(Resultados!M79),ABS(Resultados!V79),ABS(Resultados!AE79),ABS(Resultados!AN79),ABS(Resultados!AW79),ABS(Resultados!BF79),ABS(Resultados!BO79),ABS(Resultados!BX79),ABS(Resultados!CG79))/SQRT(COUNT(Resultados!D79,Resultados!M79,Resultados!V79,Resultados!AE79,Resultados!AN79,Resultados!AW79,Resultados!BF79,Resultados!BO79,Resultados!BX79,Resultados!CG79)))</f>
        <v>2.4091400033114602E-3</v>
      </c>
      <c r="E79">
        <f>IF(COUNT(Resultados!E79,Resultados!N79,Resultados!W79,Resultados!AF79,Resultados!AO79,Resultados!AX79,Resultados!BG79,Resultados!BP79,Resultados!BY79,Resultados!CH79)&lt;=1, "", _xlfn.STDEV.S(ABS(Resultados!E79),ABS(Resultados!N79),ABS(Resultados!W79),ABS(Resultados!AF79),ABS(Resultados!AO79),ABS(Resultados!AX79),ABS(Resultados!BG79),ABS(Resultados!BP79),ABS(Resultados!BY79),ABS(Resultados!CH79))/SQRT(COUNT(Resultados!E79,Resultados!N79,Resultados!W79,Resultados!AF79,Resultados!AO79,Resultados!AX79,Resultados!BG79,Resultados!BP79,Resultados!BY79,Resultados!CH79)))</f>
        <v>0.12925853659847478</v>
      </c>
      <c r="F79">
        <f>IF(COUNT(Resultados!F79,Resultados!O79,Resultados!X79,Resultados!AG79,Resultados!AP79,Resultados!AY79,Resultados!BH79,Resultados!BQ79,Resultados!BZ79,Resultados!CI79)&lt;=1, "", _xlfn.STDEV.S(ABS(Resultados!F79),ABS(Resultados!O79),ABS(Resultados!X79),ABS(Resultados!AG79),ABS(Resultados!AP79),ABS(Resultados!AY79),ABS(Resultados!BH79),ABS(Resultados!BQ79),ABS(Resultados!BZ79),ABS(Resultados!CI79))/SQRT(COUNT(Resultados!F79,Resultados!O79,Resultados!X79,Resultados!AG79,Resultados!AP79,Resultados!AY79,Resultados!BH79,Resultados!BQ79,Resultados!BZ79,Resultados!CI79)))</f>
        <v>12.046895610977852</v>
      </c>
      <c r="G79">
        <f>IF(COUNT(Resultados!G79,Resultados!P79,Resultados!Y79,Resultados!AH79,Resultados!AQ79,Resultados!AZ79,Resultados!BI79,Resultados!BR79,Resultados!CA79,Resultados!CJ79)&lt;=1, "", _xlfn.STDEV.S(ABS(Resultados!G79),ABS(Resultados!P79),ABS(Resultados!Y79),ABS(Resultados!AH79),ABS(Resultados!AQ79),ABS(Resultados!AZ79),ABS(Resultados!BI79),ABS(Resultados!BR79),ABS(Resultados!CA79),ABS(Resultados!CJ79))/SQRT(COUNT(Resultados!G79,Resultados!P79,Resultados!Y79,Resultados!AH79,Resultados!AQ79,Resultados!AZ79,Resultados!BI79,Resultados!BR79,Resultados!CA79,Resultados!CJ79)))</f>
        <v>1.8503717077085941E-17</v>
      </c>
      <c r="H79">
        <f>IF(COUNT(Resultados!H79,Resultados!Q79,Resultados!Z79,Resultados!AI79,Resultados!AR79,Resultados!BA79,Resultados!BJ79,Resultados!BS79,Resultados!CB79,Resultados!CK79)&lt;=1, "", _xlfn.STDEV.S(ABS(Resultados!H79),ABS(Resultados!Q79),ABS(Resultados!Z79),ABS(Resultados!AI79),ABS(Resultados!AR79),ABS(Resultados!BA79),ABS(Resultados!BJ79),ABS(Resultados!BS79),ABS(Resultados!CB79),ABS(Resultados!CK79))/SQRT(COUNT(Resultados!H79,Resultados!Q79,Resultados!Z79,Resultados!AI79,Resultados!AR79,Resultados!BA79,Resultados!BJ79,Resultados!BS79,Resultados!CB79,Resultados!CK79)))</f>
        <v>2.0110831796709815E-3</v>
      </c>
      <c r="I79">
        <f>IF(COUNT(Resultados!I79,Resultados!R79,Resultados!AA79,Resultados!AJ79,Resultados!AS79,Resultados!BB79,Resultados!BK79,Resultados!BT79,Resultados!CC79,Resultados!CL79)&lt;=1, "", _xlfn.STDEV.S(ABS(Resultados!I79),ABS(Resultados!R79),ABS(Resultados!AA79),ABS(Resultados!AJ79),ABS(Resultados!AS79),ABS(Resultados!BB79),ABS(Resultados!BK79),ABS(Resultados!BT79),ABS(Resultados!CC79),ABS(Resultados!CL79))/SQRT(COUNT(Resultados!I79,Resultados!R79,Resultados!AA79,Resultados!AJ79,Resultados!AS79,Resultados!BB79,Resultados!BK79,Resultados!BT79,Resultados!CC79,Resultados!CL79)))</f>
        <v>3.9981441389169474E-2</v>
      </c>
    </row>
    <row r="80" spans="1:9" x14ac:dyDescent="0.3">
      <c r="A80">
        <f>IF(COUNT(Resultados!A80,Resultados!J80,Resultados!S80,Resultados!AB80,Resultados!AK80,Resultados!AT80,Resultados!BC80,Resultados!BU80,Resultados!CD80)&lt;=1, "", _xlfn.STDEV.S(ABS(Resultados!A80),ABS(Resultados!J80),ABS(Resultados!S80),ABS(Resultados!AB80),ABS(Resultados!AK80),ABS(Resultados!AT80),ABS(Resultados!BC80),ABS(Resultados!BU80),ABS(Resultados!CD80))/SQRT(COUNT(Resultados!A80,Resultados!J80,Resultados!S80,Resultados!AB80,Resultados!AK80,Resultados!AT80,Resultados!BC80,Resultados!BU80,Resultados!CD80)))</f>
        <v>0</v>
      </c>
      <c r="B80" t="str">
        <f>IF(COUNT(Resultados!B80,Resultados!K80,Resultados!T80,Resultados!AC80,Resultados!AL80,Resultados!AU80,Resultados!BD80,Resultados!BV80,Resultados!CE80)&lt;=1, "", _xlfn.STDEV.S(ABS(Resultados!B80),ABS(Resultados!K80),ABS(Resultados!T80),ABS(Resultados!AC80),ABS(Resultados!AL80),ABS(Resultados!AU80),ABS(Resultados!BD80),ABS(Resultados!BV80),ABS(Resultados!CE80))/SQRT(COUNT(Resultados!B80,Resultados!K80,Resultados!T80,Resultados!AC80,Resultados!AL80,Resultados!AU80,Resultados!BD80,Resultados!BV80,Resultados!CE80)))</f>
        <v/>
      </c>
      <c r="C80">
        <f>IF(COUNT(Resultados!C80,Resultados!L80,Resultados!U80,Resultados!AD80,Resultados!AM80,Resultados!AV80,Resultados!BE80,Resultados!BW80,Resultados!CF80)&lt;=1, "", _xlfn.STDEV.S(ABS(Resultados!C80),ABS(Resultados!L80),ABS(Resultados!U80),ABS(Resultados!AD80),ABS(Resultados!AM80),ABS(Resultados!AV80),ABS(Resultados!BE80),ABS(Resultados!BW80),ABS(Resultados!CF80))/SQRT(COUNT(Resultados!C80,Resultados!L80,Resultados!U80,Resultados!AD80,Resultados!AM80,Resultados!AV80,Resultados!BE80,Resultados!BW80,Resultados!CF80)))</f>
        <v>0.77180244385832253</v>
      </c>
      <c r="D80">
        <f>IF(COUNT(Resultados!D80,Resultados!M80,Resultados!V80,Resultados!AE80,Resultados!AN80,Resultados!AW80,Resultados!BF80,Resultados!BX80,Resultados!CG80)&lt;=1, "", _xlfn.STDEV.S(ABS(Resultados!D80),ABS(Resultados!M80),ABS(Resultados!V80),ABS(Resultados!AE80),ABS(Resultados!AN80),ABS(Resultados!AW80),ABS(Resultados!BF80),ABS(Resultados!BX80),ABS(Resultados!CG80))/SQRT(COUNT(Resultados!D80,Resultados!M80,Resultados!V80,Resultados!AE80,Resultados!AN80,Resultados!AW80,Resultados!BF80,Resultados!BX80,Resultados!CG80)))</f>
        <v>2.6579951601921584E-3</v>
      </c>
      <c r="E80">
        <f>IF(COUNT(Resultados!E80,Resultados!N80,Resultados!W80,Resultados!AF80,Resultados!AO80,Resultados!AX80,Resultados!BG80,Resultados!BY80,Resultados!CH80)&lt;=1, "", _xlfn.STDEV.S(ABS(Resultados!E80),ABS(Resultados!N80),ABS(Resultados!W80),ABS(Resultados!AF80),ABS(Resultados!AO80),ABS(Resultados!AX80),ABS(Resultados!BG80),ABS(Resultados!BY80),ABS(Resultados!CH80))/SQRT(COUNT(Resultados!E80,Resultados!N80,Resultados!W80,Resultados!AF80,Resultados!AO80,Resultados!AX80,Resultados!BG80,Resultados!BY80,Resultados!CH80)))</f>
        <v>0.14350855877995436</v>
      </c>
      <c r="F80">
        <f>IF(COUNT(Resultados!F80,Resultados!O80,Resultados!X80,Resultados!AG80,Resultados!AP80,Resultados!AY80,Resultados!BH80,Resultados!BZ80,Resultados!CI80)&lt;=1, "", _xlfn.STDEV.S(ABS(Resultados!F80),ABS(Resultados!O80),ABS(Resultados!X80),ABS(Resultados!AG80),ABS(Resultados!AP80),ABS(Resultados!AY80),ABS(Resultados!BH80),ABS(Resultados!BZ80),ABS(Resultados!CI80))/SQRT(COUNT(Resultados!F80,Resultados!O80,Resultados!X80,Resultados!AG80,Resultados!AP80,Resultados!AY80,Resultados!BH80,Resultados!BZ80,Resultados!CI80)))</f>
        <v>13.37499767829175</v>
      </c>
      <c r="G80">
        <f>IF(COUNT(Resultados!G80,Resultados!P80,Resultados!Y80,Resultados!AH80,Resultados!AQ80,Resultados!AZ80,Resultados!BI80,Resultados!CA80,Resultados!CJ80)&lt;=1, "", _xlfn.STDEV.S(ABS(Resultados!G80),ABS(Resultados!P80),ABS(Resultados!Y80),ABS(Resultados!AH80),ABS(Resultados!AQ80),ABS(Resultados!AZ80),ABS(Resultados!BI80),ABS(Resultados!CA80),ABS(Resultados!CJ80))/SQRT(COUNT(Resultados!G80,Resultados!P80,Resultados!Y80,Resultados!AH80,Resultados!AQ80,Resultados!AZ80,Resultados!BI80,Resultados!CA80,Resultados!CJ80)))</f>
        <v>0</v>
      </c>
      <c r="H80">
        <f>IF(COUNT(Resultados!H80,Resultados!Q80,Resultados!Z80,Resultados!AI80,Resultados!AR80,Resultados!BA80,Resultados!BJ80,Resultados!CB80,Resultados!CK80)&lt;=1, "", _xlfn.STDEV.S(ABS(Resultados!H80),ABS(Resultados!Q80),ABS(Resultados!Z80),ABS(Resultados!AI80),ABS(Resultados!AR80),ABS(Resultados!BA80),ABS(Resultados!BJ80),ABS(Resultados!CB80),ABS(Resultados!CK80))/SQRT(COUNT(Resultados!H80,Resultados!Q80,Resultados!Z80,Resultados!AI80,Resultados!AR80,Resultados!BA80,Resultados!BJ80,Resultados!CB80,Resultados!CK80)))</f>
        <v>2.2242976419535221E-3</v>
      </c>
      <c r="I80">
        <f>IF(COUNT(Resultados!I80,Resultados!R80,Resultados!AA80,Resultados!AJ80,Resultados!AS80,Resultados!BB80,Resultados!BK80,Resultados!CC80,Resultados!CL80)&lt;=1, "", _xlfn.STDEV.S(ABS(Resultados!I80),ABS(Resultados!R80),ABS(Resultados!AA80),ABS(Resultados!AJ80),ABS(Resultados!AS80),ABS(Resultados!BB80),ABS(Resultados!BK80),ABS(Resultados!CC80),ABS(Resultados!CL80))/SQRT(COUNT(Resultados!I80,Resultados!R80,Resultados!AA80,Resultados!AJ80,Resultados!AS80,Resultados!BB80,Resultados!BK80,Resultados!CC80,Resultados!CL80)))</f>
        <v>4.4539432522013117E-2</v>
      </c>
    </row>
    <row r="81" spans="1:9" x14ac:dyDescent="0.3">
      <c r="A81">
        <f>IF(COUNT(Resultados!A81,Resultados!J81,Resultados!S81,Resultados!AB81,Resultados!AK81,Resultados!AT81,Resultados!BC81,Resultados!BU81,Resultados!CD81)&lt;=1, "", _xlfn.STDEV.S(ABS(Resultados!A81),ABS(Resultados!J81),ABS(Resultados!S81),ABS(Resultados!AB81),ABS(Resultados!AK81),ABS(Resultados!AT81),ABS(Resultados!BC81),ABS(Resultados!BU81),ABS(Resultados!CD81))/SQRT(COUNT(Resultados!A81,Resultados!J81,Resultados!S81,Resultados!AB81,Resultados!AK81,Resultados!AT81,Resultados!BC81,Resultados!BU81,Resultados!CD81)))</f>
        <v>0</v>
      </c>
      <c r="B81" t="str">
        <f>IF(COUNT(Resultados!B81,Resultados!K81,Resultados!T81,Resultados!AC81,Resultados!AL81,Resultados!AU81,Resultados!BD81,Resultados!BV81,Resultados!CE81)&lt;=1, "", _xlfn.STDEV.S(ABS(Resultados!B81),ABS(Resultados!K81),ABS(Resultados!T81),ABS(Resultados!AC81),ABS(Resultados!AL81),ABS(Resultados!AU81),ABS(Resultados!BD81),ABS(Resultados!BV81),ABS(Resultados!CE81))/SQRT(COUNT(Resultados!B81,Resultados!K81,Resultados!T81,Resultados!AC81,Resultados!AL81,Resultados!AU81,Resultados!BD81,Resultados!BV81,Resultados!CE81)))</f>
        <v/>
      </c>
      <c r="C81">
        <f>IF(COUNT(Resultados!C81,Resultados!L81,Resultados!U81,Resultados!AD81,Resultados!AM81,Resultados!AV81,Resultados!BE81,Resultados!BW81,Resultados!CF81)&lt;=1, "", _xlfn.STDEV.S(ABS(Resultados!C81),ABS(Resultados!L81),ABS(Resultados!U81),ABS(Resultados!AD81),ABS(Resultados!AM81),ABS(Resultados!AV81),ABS(Resultados!BE81),ABS(Resultados!BW81),ABS(Resultados!CF81))/SQRT(COUNT(Resultados!C81,Resultados!L81,Resultados!U81,Resultados!AD81,Resultados!AM81,Resultados!AV81,Resultados!BE81,Resultados!BW81,Resultados!CF81)))</f>
        <v>0.77180244385832253</v>
      </c>
      <c r="D81">
        <f>IF(COUNT(Resultados!D81,Resultados!M81,Resultados!V81,Resultados!AE81,Resultados!AN81,Resultados!AW81,Resultados!BF81,Resultados!BX81,Resultados!CG81)&lt;=1, "", _xlfn.STDEV.S(ABS(Resultados!D81),ABS(Resultados!M81),ABS(Resultados!V81),ABS(Resultados!AE81),ABS(Resultados!AN81),ABS(Resultados!AW81),ABS(Resultados!BF81),ABS(Resultados!BX81),ABS(Resultados!CG81))/SQRT(COUNT(Resultados!D81,Resultados!M81,Resultados!V81,Resultados!AE81,Resultados!AN81,Resultados!AW81,Resultados!BF81,Resultados!BX81,Resultados!CG81)))</f>
        <v>2.6113534166532595E-3</v>
      </c>
      <c r="E81">
        <f>IF(COUNT(Resultados!E81,Resultados!N81,Resultados!W81,Resultados!AF81,Resultados!AO81,Resultados!AX81,Resultados!BG81,Resultados!BY81,Resultados!CH81)&lt;=1, "", _xlfn.STDEV.S(ABS(Resultados!E81),ABS(Resultados!N81),ABS(Resultados!W81),ABS(Resultados!AF81),ABS(Resultados!AO81),ABS(Resultados!AX81),ABS(Resultados!BG81),ABS(Resultados!BY81),ABS(Resultados!CH81))/SQRT(COUNT(Resultados!E81,Resultados!N81,Resultados!W81,Resultados!AF81,Resultados!AO81,Resultados!AX81,Resultados!BG81,Resultados!BY81,Resultados!CH81)))</f>
        <v>0.14246378888831207</v>
      </c>
      <c r="F81">
        <f>IF(COUNT(Resultados!F81,Resultados!O81,Resultados!X81,Resultados!AG81,Resultados!AP81,Resultados!AY81,Resultados!BH81,Resultados!BZ81,Resultados!CI81)&lt;=1, "", _xlfn.STDEV.S(ABS(Resultados!F81),ABS(Resultados!O81),ABS(Resultados!X81),ABS(Resultados!AG81),ABS(Resultados!AP81),ABS(Resultados!AY81),ABS(Resultados!BH81),ABS(Resultados!BZ81),ABS(Resultados!CI81))/SQRT(COUNT(Resultados!F81,Resultados!O81,Resultados!X81,Resultados!AG81,Resultados!AP81,Resultados!AY81,Resultados!BH81,Resultados!BZ81,Resultados!CI81)))</f>
        <v>13.277625124390676</v>
      </c>
      <c r="G81">
        <f>IF(COUNT(Resultados!G81,Resultados!P81,Resultados!Y81,Resultados!AH81,Resultados!AQ81,Resultados!AZ81,Resultados!BI81,Resultados!CA81,Resultados!CJ81)&lt;=1, "", _xlfn.STDEV.S(ABS(Resultados!G81),ABS(Resultados!P81),ABS(Resultados!Y81),ABS(Resultados!AH81),ABS(Resultados!AQ81),ABS(Resultados!AZ81),ABS(Resultados!BI81),ABS(Resultados!CA81),ABS(Resultados!CJ81))/SQRT(COUNT(Resultados!G81,Resultados!P81,Resultados!Y81,Resultados!AH81,Resultados!AQ81,Resultados!AZ81,Resultados!BI81,Resultados!CA81,Resultados!CJ81)))</f>
        <v>0</v>
      </c>
      <c r="H81">
        <f>IF(COUNT(Resultados!H81,Resultados!Q81,Resultados!Z81,Resultados!AI81,Resultados!AR81,Resultados!BA81,Resultados!BJ81,Resultados!CB81,Resultados!CK81)&lt;=1, "", _xlfn.STDEV.S(ABS(Resultados!H81),ABS(Resultados!Q81),ABS(Resultados!Z81),ABS(Resultados!AI81),ABS(Resultados!AR81),ABS(Resultados!BA81),ABS(Resultados!BJ81),ABS(Resultados!CB81),ABS(Resultados!CK81))/SQRT(COUNT(Resultados!H81,Resultados!Q81,Resultados!Z81,Resultados!AI81,Resultados!AR81,Resultados!BA81,Resultados!BJ81,Resultados!CB81,Resultados!CK81)))</f>
        <v>2.2064579737949828E-3</v>
      </c>
      <c r="I81">
        <f>IF(COUNT(Resultados!I81,Resultados!R81,Resultados!AA81,Resultados!AJ81,Resultados!AS81,Resultados!BB81,Resultados!BK81,Resultados!CC81,Resultados!CL81)&lt;=1, "", _xlfn.STDEV.S(ABS(Resultados!I81),ABS(Resultados!R81),ABS(Resultados!AA81),ABS(Resultados!AJ81),ABS(Resultados!AS81),ABS(Resultados!BB81),ABS(Resultados!BK81),ABS(Resultados!CC81),ABS(Resultados!CL81))/SQRT(COUNT(Resultados!I81,Resultados!R81,Resultados!AA81,Resultados!AJ81,Resultados!AS81,Resultados!BB81,Resultados!BK81,Resultados!CC81,Resultados!CL81)))</f>
        <v>4.4479623924268796E-2</v>
      </c>
    </row>
    <row r="82" spans="1:9" x14ac:dyDescent="0.3">
      <c r="A82">
        <f>IF(COUNT(Resultados!A82,Resultados!J82,Resultados!S82,Resultados!AB82,Resultados!AK82,Resultados!AT82,Resultados!BC82,Resultados!BU82,Resultados!CD82)&lt;=1, "", _xlfn.STDEV.S(ABS(Resultados!A82),ABS(Resultados!J82),ABS(Resultados!S82),ABS(Resultados!AB82),ABS(Resultados!AK82),ABS(Resultados!AT82),ABS(Resultados!BC82),ABS(Resultados!BU82),ABS(Resultados!CD82))/SQRT(COUNT(Resultados!A82,Resultados!J82,Resultados!S82,Resultados!AB82,Resultados!AK82,Resultados!AT82,Resultados!BC82,Resultados!BU82,Resultados!CD82)))</f>
        <v>0</v>
      </c>
      <c r="B82" t="str">
        <f>IF(COUNT(Resultados!B82,Resultados!K82,Resultados!T82,Resultados!AC82,Resultados!AL82,Resultados!AU82,Resultados!BD82,Resultados!BV82,Resultados!CE82)&lt;=1, "", _xlfn.STDEV.S(ABS(Resultados!B82),ABS(Resultados!K82),ABS(Resultados!T82),ABS(Resultados!AC82),ABS(Resultados!AL82),ABS(Resultados!AU82),ABS(Resultados!BD82),ABS(Resultados!BV82),ABS(Resultados!CE82))/SQRT(COUNT(Resultados!B82,Resultados!K82,Resultados!T82,Resultados!AC82,Resultados!AL82,Resultados!AU82,Resultados!BD82,Resultados!BV82,Resultados!CE82)))</f>
        <v/>
      </c>
      <c r="C82">
        <f>IF(COUNT(Resultados!C82,Resultados!L82,Resultados!U82,Resultados!AD82,Resultados!AM82,Resultados!AV82,Resultados!BE82,Resultados!BW82,Resultados!CF82)&lt;=1, "", _xlfn.STDEV.S(ABS(Resultados!C82),ABS(Resultados!L82),ABS(Resultados!U82),ABS(Resultados!AD82),ABS(Resultados!AM82),ABS(Resultados!AV82),ABS(Resultados!BE82),ABS(Resultados!BW82),ABS(Resultados!CF82))/SQRT(COUNT(Resultados!C82,Resultados!L82,Resultados!U82,Resultados!AD82,Resultados!AM82,Resultados!AV82,Resultados!BE82,Resultados!BW82,Resultados!CF82)))</f>
        <v>0.77180244385832253</v>
      </c>
      <c r="D82">
        <f>IF(COUNT(Resultados!D82,Resultados!M82,Resultados!V82,Resultados!AE82,Resultados!AN82,Resultados!AW82,Resultados!BF82,Resultados!BX82,Resultados!CG82)&lt;=1, "", _xlfn.STDEV.S(ABS(Resultados!D82),ABS(Resultados!M82),ABS(Resultados!V82),ABS(Resultados!AE82),ABS(Resultados!AN82),ABS(Resultados!AW82),ABS(Resultados!BF82),ABS(Resultados!BX82),ABS(Resultados!CG82))/SQRT(COUNT(Resultados!D82,Resultados!M82,Resultados!V82,Resultados!AE82,Resultados!AN82,Resultados!AW82,Resultados!BF82,Resultados!BX82,Resultados!CG82)))</f>
        <v>2.6577861389686388E-3</v>
      </c>
      <c r="E82">
        <f>IF(COUNT(Resultados!E82,Resultados!N82,Resultados!W82,Resultados!AF82,Resultados!AO82,Resultados!AX82,Resultados!BG82,Resultados!BY82,Resultados!CH82)&lt;=1, "", _xlfn.STDEV.S(ABS(Resultados!E82),ABS(Resultados!N82),ABS(Resultados!W82),ABS(Resultados!AF82),ABS(Resultados!AO82),ABS(Resultados!AX82),ABS(Resultados!BG82),ABS(Resultados!BY82),ABS(Resultados!CH82))/SQRT(COUNT(Resultados!E82,Resultados!N82,Resultados!W82,Resultados!AF82,Resultados!AO82,Resultados!AX82,Resultados!BG82,Resultados!BY82,Resultados!CH82)))</f>
        <v>0.14110587019814835</v>
      </c>
      <c r="F82">
        <f>IF(COUNT(Resultados!F82,Resultados!O82,Resultados!X82,Resultados!AG82,Resultados!AP82,Resultados!AY82,Resultados!BH82,Resultados!BZ82,Resultados!CI82)&lt;=1, "", _xlfn.STDEV.S(ABS(Resultados!F82),ABS(Resultados!O82),ABS(Resultados!X82),ABS(Resultados!AG82),ABS(Resultados!AP82),ABS(Resultados!AY82),ABS(Resultados!BH82),ABS(Resultados!BZ82),ABS(Resultados!CI82))/SQRT(COUNT(Resultados!F82,Resultados!O82,Resultados!X82,Resultados!AG82,Resultados!AP82,Resultados!AY82,Resultados!BH82,Resultados!BZ82,Resultados!CI82)))</f>
        <v>13.151067102467421</v>
      </c>
      <c r="G82">
        <f>IF(COUNT(Resultados!G82,Resultados!P82,Resultados!Y82,Resultados!AH82,Resultados!AQ82,Resultados!AZ82,Resultados!BI82,Resultados!CA82,Resultados!CJ82)&lt;=1, "", _xlfn.STDEV.S(ABS(Resultados!G82),ABS(Resultados!P82),ABS(Resultados!Y82),ABS(Resultados!AH82),ABS(Resultados!AQ82),ABS(Resultados!AZ82),ABS(Resultados!BI82),ABS(Resultados!CA82),ABS(Resultados!CJ82))/SQRT(COUNT(Resultados!G82,Resultados!P82,Resultados!Y82,Resultados!AH82,Resultados!AQ82,Resultados!AZ82,Resultados!BI82,Resultados!CA82,Resultados!CJ82)))</f>
        <v>0</v>
      </c>
      <c r="H82">
        <f>IF(COUNT(Resultados!H82,Resultados!Q82,Resultados!Z82,Resultados!AI82,Resultados!AR82,Resultados!BA82,Resultados!BJ82,Resultados!CB82,Resultados!CK82)&lt;=1, "", _xlfn.STDEV.S(ABS(Resultados!H82),ABS(Resultados!Q82),ABS(Resultados!Z82),ABS(Resultados!AI82),ABS(Resultados!AR82),ABS(Resultados!BA82),ABS(Resultados!BJ82),ABS(Resultados!CB82),ABS(Resultados!CK82))/SQRT(COUNT(Resultados!H82,Resultados!Q82,Resultados!Z82,Resultados!AI82,Resultados!AR82,Resultados!BA82,Resultados!BJ82,Resultados!CB82,Resultados!CK82)))</f>
        <v>2.1936848192982855E-3</v>
      </c>
      <c r="I82">
        <f>IF(COUNT(Resultados!I82,Resultados!R82,Resultados!AA82,Resultados!AJ82,Resultados!AS82,Resultados!BB82,Resultados!BK82,Resultados!CC82,Resultados!CL82)&lt;=1, "", _xlfn.STDEV.S(ABS(Resultados!I82),ABS(Resultados!R82),ABS(Resultados!AA82),ABS(Resultados!AJ82),ABS(Resultados!AS82),ABS(Resultados!BB82),ABS(Resultados!BK82),ABS(Resultados!CC82),ABS(Resultados!CL82))/SQRT(COUNT(Resultados!I82,Resultados!R82,Resultados!AA82,Resultados!AJ82,Resultados!AS82,Resultados!BB82,Resultados!BK82,Resultados!CC82,Resultados!CL82)))</f>
        <v>4.4485372474525546E-2</v>
      </c>
    </row>
    <row r="83" spans="1:9" x14ac:dyDescent="0.3">
      <c r="A83">
        <f>IF(COUNT(Resultados!A83,Resultados!J83,Resultados!S83,Resultados!AB83,Resultados!AK83,Resultados!AT83,Resultados!BC83,Resultados!BU83,Resultados!CD83)&lt;=1, "", _xlfn.STDEV.S(ABS(Resultados!A83),ABS(Resultados!J83),ABS(Resultados!S83),ABS(Resultados!AB83),ABS(Resultados!AK83),ABS(Resultados!AT83),ABS(Resultados!BC83),ABS(Resultados!BU83),ABS(Resultados!CD83))/SQRT(COUNT(Resultados!A83,Resultados!J83,Resultados!S83,Resultados!AB83,Resultados!AK83,Resultados!AT83,Resultados!BC83,Resultados!BU83,Resultados!CD83)))</f>
        <v>0</v>
      </c>
      <c r="B83" t="str">
        <f>IF(COUNT(Resultados!B83,Resultados!K83,Resultados!T83,Resultados!AC83,Resultados!AL83,Resultados!AU83,Resultados!BD83,Resultados!BV83,Resultados!CE83)&lt;=1, "", _xlfn.STDEV.S(ABS(Resultados!B83),ABS(Resultados!K83),ABS(Resultados!T83),ABS(Resultados!AC83),ABS(Resultados!AL83),ABS(Resultados!AU83),ABS(Resultados!BD83),ABS(Resultados!BV83),ABS(Resultados!CE83))/SQRT(COUNT(Resultados!B83,Resultados!K83,Resultados!T83,Resultados!AC83,Resultados!AL83,Resultados!AU83,Resultados!BD83,Resultados!BV83,Resultados!CE83)))</f>
        <v/>
      </c>
      <c r="C83">
        <f>IF(COUNT(Resultados!C83,Resultados!L83,Resultados!U83,Resultados!AD83,Resultados!AM83,Resultados!AV83,Resultados!BE83,Resultados!BW83,Resultados!CF83)&lt;=1, "", _xlfn.STDEV.S(ABS(Resultados!C83),ABS(Resultados!L83),ABS(Resultados!U83),ABS(Resultados!AD83),ABS(Resultados!AM83),ABS(Resultados!AV83),ABS(Resultados!BE83),ABS(Resultados!BW83),ABS(Resultados!CF83))/SQRT(COUNT(Resultados!C83,Resultados!L83,Resultados!U83,Resultados!AD83,Resultados!AM83,Resultados!AV83,Resultados!BE83,Resultados!BW83,Resultados!CF83)))</f>
        <v>0.77180244385832253</v>
      </c>
      <c r="D83">
        <f>IF(COUNT(Resultados!D83,Resultados!M83,Resultados!V83,Resultados!AE83,Resultados!AN83,Resultados!AW83,Resultados!BF83,Resultados!BX83,Resultados!CG83)&lt;=1, "", _xlfn.STDEV.S(ABS(Resultados!D83),ABS(Resultados!M83),ABS(Resultados!V83),ABS(Resultados!AE83),ABS(Resultados!AN83),ABS(Resultados!AW83),ABS(Resultados!BF83),ABS(Resultados!BX83),ABS(Resultados!CG83))/SQRT(COUNT(Resultados!D83,Resultados!M83,Resultados!V83,Resultados!AE83,Resultados!AN83,Resultados!AW83,Resultados!BF83,Resultados!BX83,Resultados!CG83)))</f>
        <v>2.6215335724733609E-3</v>
      </c>
      <c r="E83">
        <f>IF(COUNT(Resultados!E83,Resultados!N83,Resultados!W83,Resultados!AF83,Resultados!AO83,Resultados!AX83,Resultados!BG83,Resultados!BY83,Resultados!CH83)&lt;=1, "", _xlfn.STDEV.S(ABS(Resultados!E83),ABS(Resultados!N83),ABS(Resultados!W83),ABS(Resultados!AF83),ABS(Resultados!AO83),ABS(Resultados!AX83),ABS(Resultados!BG83),ABS(Resultados!BY83),ABS(Resultados!CH83))/SQRT(COUNT(Resultados!E83,Resultados!N83,Resultados!W83,Resultados!AF83,Resultados!AO83,Resultados!AX83,Resultados!BG83,Resultados!BY83,Resultados!CH83)))</f>
        <v>0.13936225756446158</v>
      </c>
      <c r="F83">
        <f>IF(COUNT(Resultados!F83,Resultados!O83,Resultados!X83,Resultados!AG83,Resultados!AP83,Resultados!AY83,Resultados!BH83,Resultados!BZ83,Resultados!CI83)&lt;=1, "", _xlfn.STDEV.S(ABS(Resultados!F83),ABS(Resultados!O83),ABS(Resultados!X83),ABS(Resultados!AG83),ABS(Resultados!AP83),ABS(Resultados!AY83),ABS(Resultados!BH83),ABS(Resultados!BZ83),ABS(Resultados!CI83))/SQRT(COUNT(Resultados!F83,Resultados!O83,Resultados!X83,Resultados!AG83,Resultados!AP83,Resultados!AY83,Resultados!BH83,Resultados!BZ83,Resultados!CI83)))</f>
        <v>12.988562405007817</v>
      </c>
      <c r="G83">
        <f>IF(COUNT(Resultados!G83,Resultados!P83,Resultados!Y83,Resultados!AH83,Resultados!AQ83,Resultados!AZ83,Resultados!BI83,Resultados!CA83,Resultados!CJ83)&lt;=1, "", _xlfn.STDEV.S(ABS(Resultados!G83),ABS(Resultados!P83),ABS(Resultados!Y83),ABS(Resultados!AH83),ABS(Resultados!AQ83),ABS(Resultados!AZ83),ABS(Resultados!BI83),ABS(Resultados!CA83),ABS(Resultados!CJ83))/SQRT(COUNT(Resultados!G83,Resultados!P83,Resultados!Y83,Resultados!AH83,Resultados!AQ83,Resultados!AZ83,Resultados!BI83,Resultados!CA83,Resultados!CJ83)))</f>
        <v>0</v>
      </c>
      <c r="H83">
        <f>IF(COUNT(Resultados!H83,Resultados!Q83,Resultados!Z83,Resultados!AI83,Resultados!AR83,Resultados!BA83,Resultados!BJ83,Resultados!CB83,Resultados!CK83)&lt;=1, "", _xlfn.STDEV.S(ABS(Resultados!H83),ABS(Resultados!Q83),ABS(Resultados!Z83),ABS(Resultados!AI83),ABS(Resultados!AR83),ABS(Resultados!BA83),ABS(Resultados!BJ83),ABS(Resultados!CB83),ABS(Resultados!CK83))/SQRT(COUNT(Resultados!H83,Resultados!Q83,Resultados!Z83,Resultados!AI83,Resultados!AR83,Resultados!BA83,Resultados!BJ83,Resultados!CB83,Resultados!CK83)))</f>
        <v>2.1647070910687806E-3</v>
      </c>
      <c r="I83">
        <f>IF(COUNT(Resultados!I83,Resultados!R83,Resultados!AA83,Resultados!AJ83,Resultados!AS83,Resultados!BB83,Resultados!BK83,Resultados!CC83,Resultados!CL83)&lt;=1, "", _xlfn.STDEV.S(ABS(Resultados!I83),ABS(Resultados!R83),ABS(Resultados!AA83),ABS(Resultados!AJ83),ABS(Resultados!AS83),ABS(Resultados!BB83),ABS(Resultados!BK83),ABS(Resultados!CC83),ABS(Resultados!CL83))/SQRT(COUNT(Resultados!I83,Resultados!R83,Resultados!AA83,Resultados!AJ83,Resultados!AS83,Resultados!BB83,Resultados!BK83,Resultados!CC83,Resultados!CL83)))</f>
        <v>4.4708429204964172E-2</v>
      </c>
    </row>
    <row r="84" spans="1:9" x14ac:dyDescent="0.3">
      <c r="A84">
        <f>IF(COUNT(Resultados!A84,Resultados!J84,Resultados!S84,Resultados!AB84,Resultados!AK84,Resultados!AT84,Resultados!BC84,Resultados!BU84,Resultados!CD84)&lt;=1, "", _xlfn.STDEV.S(ABS(Resultados!A84),ABS(Resultados!J84),ABS(Resultados!S84),ABS(Resultados!AB84),ABS(Resultados!AK84),ABS(Resultados!AT84),ABS(Resultados!BC84),ABS(Resultados!BU84),ABS(Resultados!CD84))/SQRT(COUNT(Resultados!A84,Resultados!J84,Resultados!S84,Resultados!AB84,Resultados!AK84,Resultados!AT84,Resultados!BC84,Resultados!BU84,Resultados!CD84)))</f>
        <v>0</v>
      </c>
      <c r="B84" t="str">
        <f>IF(COUNT(Resultados!B84,Resultados!K84,Resultados!T84,Resultados!AC84,Resultados!AL84,Resultados!AU84,Resultados!BD84,Resultados!BV84,Resultados!CE84)&lt;=1, "", _xlfn.STDEV.S(ABS(Resultados!B84),ABS(Resultados!K84),ABS(Resultados!T84),ABS(Resultados!AC84),ABS(Resultados!AL84),ABS(Resultados!AU84),ABS(Resultados!BD84),ABS(Resultados!BV84),ABS(Resultados!CE84))/SQRT(COUNT(Resultados!B84,Resultados!K84,Resultados!T84,Resultados!AC84,Resultados!AL84,Resultados!AU84,Resultados!BD84,Resultados!BV84,Resultados!CE84)))</f>
        <v/>
      </c>
      <c r="C84">
        <f>IF(COUNT(Resultados!C84,Resultados!L84,Resultados!U84,Resultados!AD84,Resultados!AM84,Resultados!AV84,Resultados!BE84,Resultados!BW84,Resultados!CF84)&lt;=1, "", _xlfn.STDEV.S(ABS(Resultados!C84),ABS(Resultados!L84),ABS(Resultados!U84),ABS(Resultados!AD84),ABS(Resultados!AM84),ABS(Resultados!AV84),ABS(Resultados!BE84),ABS(Resultados!BW84),ABS(Resultados!CF84))/SQRT(COUNT(Resultados!C84,Resultados!L84,Resultados!U84,Resultados!AD84,Resultados!AM84,Resultados!AV84,Resultados!BE84,Resultados!BW84,Resultados!CF84)))</f>
        <v>0.77180244385832253</v>
      </c>
      <c r="D84">
        <f>IF(COUNT(Resultados!D84,Resultados!M84,Resultados!V84,Resultados!AE84,Resultados!AN84,Resultados!AW84,Resultados!BF84,Resultados!BX84,Resultados!CG84)&lt;=1, "", _xlfn.STDEV.S(ABS(Resultados!D84),ABS(Resultados!M84),ABS(Resultados!V84),ABS(Resultados!AE84),ABS(Resultados!AN84),ABS(Resultados!AW84),ABS(Resultados!BF84),ABS(Resultados!BX84),ABS(Resultados!CG84))/SQRT(COUNT(Resultados!D84,Resultados!M84,Resultados!V84,Resultados!AE84,Resultados!AN84,Resultados!AW84,Resultados!BF84,Resultados!BX84,Resultados!CG84)))</f>
        <v>2.6006468805916095E-3</v>
      </c>
      <c r="E84">
        <f>IF(COUNT(Resultados!E84,Resultados!N84,Resultados!W84,Resultados!AF84,Resultados!AO84,Resultados!AX84,Resultados!BG84,Resultados!BY84,Resultados!CH84)&lt;=1, "", _xlfn.STDEV.S(ABS(Resultados!E84),ABS(Resultados!N84),ABS(Resultados!W84),ABS(Resultados!AF84),ABS(Resultados!AO84),ABS(Resultados!AX84),ABS(Resultados!BG84),ABS(Resultados!BY84),ABS(Resultados!CH84))/SQRT(COUNT(Resultados!E84,Resultados!N84,Resultados!W84,Resultados!AF84,Resultados!AO84,Resultados!AX84,Resultados!BG84,Resultados!BY84,Resultados!CH84)))</f>
        <v>0.13745772668755463</v>
      </c>
      <c r="F84">
        <f>IF(COUNT(Resultados!F84,Resultados!O84,Resultados!X84,Resultados!AG84,Resultados!AP84,Resultados!AY84,Resultados!BH84,Resultados!BZ84,Resultados!CI84)&lt;=1, "", _xlfn.STDEV.S(ABS(Resultados!F84),ABS(Resultados!O84),ABS(Resultados!X84),ABS(Resultados!AG84),ABS(Resultados!AP84),ABS(Resultados!AY84),ABS(Resultados!BH84),ABS(Resultados!BZ84),ABS(Resultados!CI84))/SQRT(COUNT(Resultados!F84,Resultados!O84,Resultados!X84,Resultados!AG84,Resultados!AP84,Resultados!AY84,Resultados!BH84,Resultados!BZ84,Resultados!CI84)))</f>
        <v>12.811060127280092</v>
      </c>
      <c r="G84">
        <f>IF(COUNT(Resultados!G84,Resultados!P84,Resultados!Y84,Resultados!AH84,Resultados!AQ84,Resultados!AZ84,Resultados!BI84,Resultados!CA84,Resultados!CJ84)&lt;=1, "", _xlfn.STDEV.S(ABS(Resultados!G84),ABS(Resultados!P84),ABS(Resultados!Y84),ABS(Resultados!AH84),ABS(Resultados!AQ84),ABS(Resultados!AZ84),ABS(Resultados!BI84),ABS(Resultados!CA84),ABS(Resultados!CJ84))/SQRT(COUNT(Resultados!G84,Resultados!P84,Resultados!Y84,Resultados!AH84,Resultados!AQ84,Resultados!AZ84,Resultados!BI84,Resultados!CA84,Resultados!CJ84)))</f>
        <v>0</v>
      </c>
      <c r="H84">
        <f>IF(COUNT(Resultados!H84,Resultados!Q84,Resultados!Z84,Resultados!AI84,Resultados!AR84,Resultados!BA84,Resultados!BJ84,Resultados!CB84,Resultados!CK84)&lt;=1, "", _xlfn.STDEV.S(ABS(Resultados!H84),ABS(Resultados!Q84),ABS(Resultados!Z84),ABS(Resultados!AI84),ABS(Resultados!AR84),ABS(Resultados!BA84),ABS(Resultados!BJ84),ABS(Resultados!CB84),ABS(Resultados!CK84))/SQRT(COUNT(Resultados!H84,Resultados!Q84,Resultados!Z84,Resultados!AI84,Resultados!AR84,Resultados!BA84,Resultados!BJ84,Resultados!CB84,Resultados!CK84)))</f>
        <v>2.1356107635365873E-3</v>
      </c>
      <c r="I84">
        <f>IF(COUNT(Resultados!I84,Resultados!R84,Resultados!AA84,Resultados!AJ84,Resultados!AS84,Resultados!BB84,Resultados!BK84,Resultados!CC84,Resultados!CL84)&lt;=1, "", _xlfn.STDEV.S(ABS(Resultados!I84),ABS(Resultados!R84),ABS(Resultados!AA84),ABS(Resultados!AJ84),ABS(Resultados!AS84),ABS(Resultados!BB84),ABS(Resultados!BK84),ABS(Resultados!CC84),ABS(Resultados!CL84))/SQRT(COUNT(Resultados!I84,Resultados!R84,Resultados!AA84,Resultados!AJ84,Resultados!AS84,Resultados!BB84,Resultados!BK84,Resultados!CC84,Resultados!CL84)))</f>
        <v>4.4476194561993747E-2</v>
      </c>
    </row>
    <row r="85" spans="1:9" x14ac:dyDescent="0.3">
      <c r="A85">
        <f>IF(COUNT(Resultados!A85,Resultados!J85,Resultados!S85,Resultados!AB85,Resultados!AK85,Resultados!AT85,Resultados!BC85,Resultados!BU85,Resultados!CD85)&lt;=1, "", _xlfn.STDEV.S(ABS(Resultados!A85),ABS(Resultados!J85),ABS(Resultados!S85),ABS(Resultados!AB85),ABS(Resultados!AK85),ABS(Resultados!AT85),ABS(Resultados!BC85),ABS(Resultados!BU85),ABS(Resultados!CD85))/SQRT(COUNT(Resultados!A85,Resultados!J85,Resultados!S85,Resultados!AB85,Resultados!AK85,Resultados!AT85,Resultados!BC85,Resultados!BU85,Resultados!CD85)))</f>
        <v>0</v>
      </c>
      <c r="B85" t="str">
        <f>IF(COUNT(Resultados!B85,Resultados!K85,Resultados!T85,Resultados!AC85,Resultados!AL85,Resultados!AU85,Resultados!BD85,Resultados!BV85,Resultados!CE85)&lt;=1, "", _xlfn.STDEV.S(ABS(Resultados!B85),ABS(Resultados!K85),ABS(Resultados!T85),ABS(Resultados!AC85),ABS(Resultados!AL85),ABS(Resultados!AU85),ABS(Resultados!BD85),ABS(Resultados!BV85),ABS(Resultados!CE85))/SQRT(COUNT(Resultados!B85,Resultados!K85,Resultados!T85,Resultados!AC85,Resultados!AL85,Resultados!AU85,Resultados!BD85,Resultados!BV85,Resultados!CE85)))</f>
        <v/>
      </c>
      <c r="C85">
        <f>IF(COUNT(Resultados!C85,Resultados!L85,Resultados!U85,Resultados!AD85,Resultados!AM85,Resultados!AV85,Resultados!BE85,Resultados!BW85,Resultados!CF85)&lt;=1, "", _xlfn.STDEV.S(ABS(Resultados!C85),ABS(Resultados!L85),ABS(Resultados!U85),ABS(Resultados!AD85),ABS(Resultados!AM85),ABS(Resultados!AV85),ABS(Resultados!BE85),ABS(Resultados!BW85),ABS(Resultados!CF85))/SQRT(COUNT(Resultados!C85,Resultados!L85,Resultados!U85,Resultados!AD85,Resultados!AM85,Resultados!AV85,Resultados!BE85,Resultados!BW85,Resultados!CF85)))</f>
        <v>0.77180244385832253</v>
      </c>
      <c r="D85">
        <f>IF(COUNT(Resultados!D85,Resultados!M85,Resultados!V85,Resultados!AE85,Resultados!AN85,Resultados!AW85,Resultados!BF85,Resultados!BX85,Resultados!CG85)&lt;=1, "", _xlfn.STDEV.S(ABS(Resultados!D85),ABS(Resultados!M85),ABS(Resultados!V85),ABS(Resultados!AE85),ABS(Resultados!AN85),ABS(Resultados!AW85),ABS(Resultados!BF85),ABS(Resultados!BX85),ABS(Resultados!CG85))/SQRT(COUNT(Resultados!D85,Resultados!M85,Resultados!V85,Resultados!AE85,Resultados!AN85,Resultados!AW85,Resultados!BF85,Resultados!BX85,Resultados!CG85)))</f>
        <v>2.4906739630315843E-3</v>
      </c>
      <c r="E85">
        <f>IF(COUNT(Resultados!E85,Resultados!N85,Resultados!W85,Resultados!AF85,Resultados!AO85,Resultados!AX85,Resultados!BG85,Resultados!BY85,Resultados!CH85)&lt;=1, "", _xlfn.STDEV.S(ABS(Resultados!E85),ABS(Resultados!N85),ABS(Resultados!W85),ABS(Resultados!AF85),ABS(Resultados!AO85),ABS(Resultados!AX85),ABS(Resultados!BG85),ABS(Resultados!BY85),ABS(Resultados!CH85))/SQRT(COUNT(Resultados!E85,Resultados!N85,Resultados!W85,Resultados!AF85,Resultados!AO85,Resultados!AX85,Resultados!BG85,Resultados!BY85,Resultados!CH85)))</f>
        <v>0.13720243181116074</v>
      </c>
      <c r="F85">
        <f>IF(COUNT(Resultados!F85,Resultados!O85,Resultados!X85,Resultados!AG85,Resultados!AP85,Resultados!AY85,Resultados!BH85,Resultados!BZ85,Resultados!CI85)&lt;=1, "", _xlfn.STDEV.S(ABS(Resultados!F85),ABS(Resultados!O85),ABS(Resultados!X85),ABS(Resultados!AG85),ABS(Resultados!AP85),ABS(Resultados!AY85),ABS(Resultados!BH85),ABS(Resultados!BZ85),ABS(Resultados!CI85))/SQRT(COUNT(Resultados!F85,Resultados!O85,Resultados!X85,Resultados!AG85,Resultados!AP85,Resultados!AY85,Resultados!BH85,Resultados!BZ85,Resultados!CI85)))</f>
        <v>12.787266644800175</v>
      </c>
      <c r="G85">
        <f>IF(COUNT(Resultados!G85,Resultados!P85,Resultados!Y85,Resultados!AH85,Resultados!AQ85,Resultados!AZ85,Resultados!BI85,Resultados!CA85,Resultados!CJ85)&lt;=1, "", _xlfn.STDEV.S(ABS(Resultados!G85),ABS(Resultados!P85),ABS(Resultados!Y85),ABS(Resultados!AH85),ABS(Resultados!AQ85),ABS(Resultados!AZ85),ABS(Resultados!BI85),ABS(Resultados!CA85),ABS(Resultados!CJ85))/SQRT(COUNT(Resultados!G85,Resultados!P85,Resultados!Y85,Resultados!AH85,Resultados!AQ85,Resultados!AZ85,Resultados!BI85,Resultados!CA85,Resultados!CJ85)))</f>
        <v>0</v>
      </c>
      <c r="H85">
        <f>IF(COUNT(Resultados!H85,Resultados!Q85,Resultados!Z85,Resultados!AI85,Resultados!AR85,Resultados!BA85,Resultados!BJ85,Resultados!CB85,Resultados!CK85)&lt;=1, "", _xlfn.STDEV.S(ABS(Resultados!H85),ABS(Resultados!Q85),ABS(Resultados!Z85),ABS(Resultados!AI85),ABS(Resultados!AR85),ABS(Resultados!BA85),ABS(Resultados!BJ85),ABS(Resultados!CB85),ABS(Resultados!CK85))/SQRT(COUNT(Resultados!H85,Resultados!Q85,Resultados!Z85,Resultados!AI85,Resultados!AR85,Resultados!BA85,Resultados!BJ85,Resultados!CB85,Resultados!CK85)))</f>
        <v>2.1344687372092039E-3</v>
      </c>
      <c r="I85">
        <f>IF(COUNT(Resultados!I85,Resultados!R85,Resultados!AA85,Resultados!AJ85,Resultados!AS85,Resultados!BB85,Resultados!BK85,Resultados!CC85,Resultados!CL85)&lt;=1, "", _xlfn.STDEV.S(ABS(Resultados!I85),ABS(Resultados!R85),ABS(Resultados!AA85),ABS(Resultados!AJ85),ABS(Resultados!AS85),ABS(Resultados!BB85),ABS(Resultados!BK85),ABS(Resultados!CC85),ABS(Resultados!CL85))/SQRT(COUNT(Resultados!I85,Resultados!R85,Resultados!AA85,Resultados!AJ85,Resultados!AS85,Resultados!BB85,Resultados!BK85,Resultados!CC85,Resultados!CL85)))</f>
        <v>5.9138018364243407E-2</v>
      </c>
    </row>
    <row r="86" spans="1:9" x14ac:dyDescent="0.3">
      <c r="A86">
        <f>IF(COUNT(Resultados!A86,Resultados!J86,Resultados!S86,Resultados!AB86,Resultados!AK86,Resultados!AT86,Resultados!BC86,Resultados!BU86,Resultados!CD86)&lt;=1, "", _xlfn.STDEV.S(ABS(Resultados!A86),ABS(Resultados!J86),ABS(Resultados!S86),ABS(Resultados!AB86),ABS(Resultados!AK86),ABS(Resultados!AT86),ABS(Resultados!BC86),ABS(Resultados!BU86),ABS(Resultados!CD86))/SQRT(COUNT(Resultados!A86,Resultados!J86,Resultados!S86,Resultados!AB86,Resultados!AK86,Resultados!AT86,Resultados!BC86,Resultados!BU86,Resultados!CD86)))</f>
        <v>0</v>
      </c>
      <c r="B86" t="str">
        <f>IF(COUNT(Resultados!B86,Resultados!K86,Resultados!T86,Resultados!AC86,Resultados!AL86,Resultados!AU86,Resultados!BD86,Resultados!BV86,Resultados!CE86)&lt;=1, "", _xlfn.STDEV.S(ABS(Resultados!B86),ABS(Resultados!K86),ABS(Resultados!T86),ABS(Resultados!AC86),ABS(Resultados!AL86),ABS(Resultados!AU86),ABS(Resultados!BD86),ABS(Resultados!BV86),ABS(Resultados!CE86))/SQRT(COUNT(Resultados!B86,Resultados!K86,Resultados!T86,Resultados!AC86,Resultados!AL86,Resultados!AU86,Resultados!BD86,Resultados!BV86,Resultados!CE86)))</f>
        <v/>
      </c>
      <c r="C86">
        <f>IF(COUNT(Resultados!C86,Resultados!L86,Resultados!U86,Resultados!AD86,Resultados!AM86,Resultados!AV86,Resultados!BE86,Resultados!BW86,Resultados!CF86)&lt;=1, "", _xlfn.STDEV.S(ABS(Resultados!C86),ABS(Resultados!L86),ABS(Resultados!U86),ABS(Resultados!AD86),ABS(Resultados!AM86),ABS(Resultados!AV86),ABS(Resultados!BE86),ABS(Resultados!BW86),ABS(Resultados!CF86))/SQRT(COUNT(Resultados!C86,Resultados!L86,Resultados!U86,Resultados!AD86,Resultados!AM86,Resultados!AV86,Resultados!BE86,Resultados!BW86,Resultados!CF86)))</f>
        <v>0.77180244385832253</v>
      </c>
      <c r="D86">
        <f>IF(COUNT(Resultados!D86,Resultados!M86,Resultados!V86,Resultados!AE86,Resultados!AN86,Resultados!AW86,Resultados!BF86,Resultados!BX86,Resultados!CG86)&lt;=1, "", _xlfn.STDEV.S(ABS(Resultados!D86),ABS(Resultados!M86),ABS(Resultados!V86),ABS(Resultados!AE86),ABS(Resultados!AN86),ABS(Resultados!AW86),ABS(Resultados!BF86),ABS(Resultados!BX86),ABS(Resultados!CG86))/SQRT(COUNT(Resultados!D86,Resultados!M86,Resultados!V86,Resultados!AE86,Resultados!AN86,Resultados!AW86,Resultados!BF86,Resultados!BX86,Resultados!CG86)))</f>
        <v>2.5079195548954837E-3</v>
      </c>
      <c r="E86">
        <f>IF(COUNT(Resultados!E86,Resultados!N86,Resultados!W86,Resultados!AF86,Resultados!AO86,Resultados!AX86,Resultados!BG86,Resultados!BY86,Resultados!CH86)&lt;=1, "", _xlfn.STDEV.S(ABS(Resultados!E86),ABS(Resultados!N86),ABS(Resultados!W86),ABS(Resultados!AF86),ABS(Resultados!AO86),ABS(Resultados!AX86),ABS(Resultados!BG86),ABS(Resultados!BY86),ABS(Resultados!CH86))/SQRT(COUNT(Resultados!E86,Resultados!N86,Resultados!W86,Resultados!AF86,Resultados!AO86,Resultados!AX86,Resultados!BG86,Resultados!BY86,Resultados!CH86)))</f>
        <v>0.15205000898989868</v>
      </c>
      <c r="F86">
        <f>IF(COUNT(Resultados!F86,Resultados!O86,Resultados!X86,Resultados!AG86,Resultados!AP86,Resultados!AY86,Resultados!BH86,Resultados!BZ86,Resultados!CI86)&lt;=1, "", _xlfn.STDEV.S(ABS(Resultados!F86),ABS(Resultados!O86),ABS(Resultados!X86),ABS(Resultados!AG86),ABS(Resultados!AP86),ABS(Resultados!AY86),ABS(Resultados!BH86),ABS(Resultados!BZ86),ABS(Resultados!CI86))/SQRT(COUNT(Resultados!F86,Resultados!O86,Resultados!X86,Resultados!AG86,Resultados!AP86,Resultados!AY86,Resultados!BH86,Resultados!BZ86,Resultados!CI86)))</f>
        <v>14.171060837858555</v>
      </c>
      <c r="G86">
        <f>IF(COUNT(Resultados!G86,Resultados!P86,Resultados!Y86,Resultados!AH86,Resultados!AQ86,Resultados!AZ86,Resultados!BI86,Resultados!CA86,Resultados!CJ86)&lt;=1, "", _xlfn.STDEV.S(ABS(Resultados!G86),ABS(Resultados!P86),ABS(Resultados!Y86),ABS(Resultados!AH86),ABS(Resultados!AQ86),ABS(Resultados!AZ86),ABS(Resultados!BI86),ABS(Resultados!CA86),ABS(Resultados!CJ86))/SQRT(COUNT(Resultados!G86,Resultados!P86,Resultados!Y86,Resultados!AH86,Resultados!AQ86,Resultados!AZ86,Resultados!BI86,Resultados!CA86,Resultados!CJ86)))</f>
        <v>0</v>
      </c>
      <c r="H86">
        <f>IF(COUNT(Resultados!H86,Resultados!Q86,Resultados!Z86,Resultados!AI86,Resultados!AR86,Resultados!BA86,Resultados!BJ86,Resultados!CB86,Resultados!CK86)&lt;=1, "", _xlfn.STDEV.S(ABS(Resultados!H86),ABS(Resultados!Q86),ABS(Resultados!Z86),ABS(Resultados!AI86),ABS(Resultados!AR86),ABS(Resultados!BA86),ABS(Resultados!BJ86),ABS(Resultados!CB86),ABS(Resultados!CK86))/SQRT(COUNT(Resultados!H86,Resultados!Q86,Resultados!Z86,Resultados!AI86,Resultados!AR86,Resultados!BA86,Resultados!BJ86,Resultados!CB86,Resultados!CK86)))</f>
        <v>2.3627575958591542E-3</v>
      </c>
      <c r="I86">
        <f>IF(COUNT(Resultados!I86,Resultados!R86,Resultados!AA86,Resultados!AJ86,Resultados!AS86,Resultados!BB86,Resultados!BK86,Resultados!CC86,Resultados!CL86)&lt;=1, "", _xlfn.STDEV.S(ABS(Resultados!I86),ABS(Resultados!R86),ABS(Resultados!AA86),ABS(Resultados!AJ86),ABS(Resultados!AS86),ABS(Resultados!BB86),ABS(Resultados!BK86),ABS(Resultados!CC86),ABS(Resultados!CL86))/SQRT(COUNT(Resultados!I86,Resultados!R86,Resultados!AA86,Resultados!AJ86,Resultados!AS86,Resultados!BB86,Resultados!BK86,Resultados!CC86,Resultados!CL86)))</f>
        <v>5.8849570469494079E-2</v>
      </c>
    </row>
    <row r="87" spans="1:9" x14ac:dyDescent="0.3">
      <c r="A87">
        <f>IF(COUNT(Resultados!A87,Resultados!J87,Resultados!S87,Resultados!AB87,Resultados!AK87,Resultados!AT87,Resultados!BC87,Resultados!BU87,Resultados!CD87)&lt;=1, "", _xlfn.STDEV.S(ABS(Resultados!A87),ABS(Resultados!J87),ABS(Resultados!S87),ABS(Resultados!AB87),ABS(Resultados!AK87),ABS(Resultados!AT87),ABS(Resultados!BC87),ABS(Resultados!BU87),ABS(Resultados!CD87))/SQRT(COUNT(Resultados!A87,Resultados!J87,Resultados!S87,Resultados!AB87,Resultados!AK87,Resultados!AT87,Resultados!BC87,Resultados!BU87,Resultados!CD87)))</f>
        <v>0</v>
      </c>
      <c r="B87" t="str">
        <f>IF(COUNT(Resultados!B87,Resultados!K87,Resultados!T87,Resultados!AC87,Resultados!AL87,Resultados!AU87,Resultados!BD87,Resultados!BV87,Resultados!CE87)&lt;=1, "", _xlfn.STDEV.S(ABS(Resultados!B87),ABS(Resultados!K87),ABS(Resultados!T87),ABS(Resultados!AC87),ABS(Resultados!AL87),ABS(Resultados!AU87),ABS(Resultados!BD87),ABS(Resultados!BV87),ABS(Resultados!CE87))/SQRT(COUNT(Resultados!B87,Resultados!K87,Resultados!T87,Resultados!AC87,Resultados!AL87,Resultados!AU87,Resultados!BD87,Resultados!BV87,Resultados!CE87)))</f>
        <v/>
      </c>
      <c r="C87">
        <f>IF(COUNT(Resultados!C87,Resultados!L87,Resultados!U87,Resultados!AD87,Resultados!AM87,Resultados!AV87,Resultados!BE87,Resultados!BW87,Resultados!CF87)&lt;=1, "", _xlfn.STDEV.S(ABS(Resultados!C87),ABS(Resultados!L87),ABS(Resultados!U87),ABS(Resultados!AD87),ABS(Resultados!AM87),ABS(Resultados!AV87),ABS(Resultados!BE87),ABS(Resultados!BW87),ABS(Resultados!CF87))/SQRT(COUNT(Resultados!C87,Resultados!L87,Resultados!U87,Resultados!AD87,Resultados!AM87,Resultados!AV87,Resultados!BE87,Resultados!BW87,Resultados!CF87)))</f>
        <v>0.77180244385832253</v>
      </c>
      <c r="D87">
        <f>IF(COUNT(Resultados!D87,Resultados!M87,Resultados!V87,Resultados!AE87,Resultados!AN87,Resultados!AW87,Resultados!BF87,Resultados!BX87,Resultados!CG87)&lt;=1, "", _xlfn.STDEV.S(ABS(Resultados!D87),ABS(Resultados!M87),ABS(Resultados!V87),ABS(Resultados!AE87),ABS(Resultados!AN87),ABS(Resultados!AW87),ABS(Resultados!BF87),ABS(Resultados!BX87),ABS(Resultados!CG87))/SQRT(COUNT(Resultados!D87,Resultados!M87,Resultados!V87,Resultados!AE87,Resultados!AN87,Resultados!AW87,Resultados!BF87,Resultados!BX87,Resultados!CG87)))</f>
        <v>2.5021102205049959E-3</v>
      </c>
      <c r="E87">
        <f>IF(COUNT(Resultados!E87,Resultados!N87,Resultados!W87,Resultados!AF87,Resultados!AO87,Resultados!AX87,Resultados!BG87,Resultados!BY87,Resultados!CH87)&lt;=1, "", _xlfn.STDEV.S(ABS(Resultados!E87),ABS(Resultados!N87),ABS(Resultados!W87),ABS(Resultados!AF87),ABS(Resultados!AO87),ABS(Resultados!AX87),ABS(Resultados!BG87),ABS(Resultados!BY87),ABS(Resultados!CH87))/SQRT(COUNT(Resultados!E87,Resultados!N87,Resultados!W87,Resultados!AF87,Resultados!AO87,Resultados!AX87,Resultados!BG87,Resultados!BY87,Resultados!CH87)))</f>
        <v>0.14603191719235745</v>
      </c>
      <c r="F87">
        <f>IF(COUNT(Resultados!F87,Resultados!O87,Resultados!X87,Resultados!AG87,Resultados!AP87,Resultados!AY87,Resultados!BH87,Resultados!BZ87,Resultados!CI87)&lt;=1, "", _xlfn.STDEV.S(ABS(Resultados!F87),ABS(Resultados!O87),ABS(Resultados!X87),ABS(Resultados!AG87),ABS(Resultados!AP87),ABS(Resultados!AY87),ABS(Resultados!BH87),ABS(Resultados!BZ87),ABS(Resultados!CI87))/SQRT(COUNT(Resultados!F87,Resultados!O87,Resultados!X87,Resultados!AG87,Resultados!AP87,Resultados!AY87,Resultados!BH87,Resultados!BZ87,Resultados!CI87)))</f>
        <v>13.610174682327719</v>
      </c>
      <c r="G87">
        <f>IF(COUNT(Resultados!G87,Resultados!P87,Resultados!Y87,Resultados!AH87,Resultados!AQ87,Resultados!AZ87,Resultados!BI87,Resultados!CA87,Resultados!CJ87)&lt;=1, "", _xlfn.STDEV.S(ABS(Resultados!G87),ABS(Resultados!P87),ABS(Resultados!Y87),ABS(Resultados!AH87),ABS(Resultados!AQ87),ABS(Resultados!AZ87),ABS(Resultados!BI87),ABS(Resultados!CA87),ABS(Resultados!CJ87))/SQRT(COUNT(Resultados!G87,Resultados!P87,Resultados!Y87,Resultados!AH87,Resultados!AQ87,Resultados!AZ87,Resultados!BI87,Resultados!CA87,Resultados!CJ87)))</f>
        <v>0</v>
      </c>
      <c r="H87">
        <f>IF(COUNT(Resultados!H87,Resultados!Q87,Resultados!Z87,Resultados!AI87,Resultados!AR87,Resultados!BA87,Resultados!BJ87,Resultados!CB87,Resultados!CK87)&lt;=1, "", _xlfn.STDEV.S(ABS(Resultados!H87),ABS(Resultados!Q87),ABS(Resultados!Z87),ABS(Resultados!AI87),ABS(Resultados!AR87),ABS(Resultados!BA87),ABS(Resultados!BJ87),ABS(Resultados!CB87),ABS(Resultados!CK87))/SQRT(COUNT(Resultados!H87,Resultados!Q87,Resultados!Z87,Resultados!AI87,Resultados!AR87,Resultados!BA87,Resultados!BJ87,Resultados!CB87,Resultados!CK87)))</f>
        <v>2.2673678109480732E-3</v>
      </c>
      <c r="I87">
        <f>IF(COUNT(Resultados!I87,Resultados!R87,Resultados!AA87,Resultados!AJ87,Resultados!AS87,Resultados!BB87,Resultados!BK87,Resultados!CC87,Resultados!CL87)&lt;=1, "", _xlfn.STDEV.S(ABS(Resultados!I87),ABS(Resultados!R87),ABS(Resultados!AA87),ABS(Resultados!AJ87),ABS(Resultados!AS87),ABS(Resultados!BB87),ABS(Resultados!BK87),ABS(Resultados!CC87),ABS(Resultados!CL87))/SQRT(COUNT(Resultados!I87,Resultados!R87,Resultados!AA87,Resultados!AJ87,Resultados!AS87,Resultados!BB87,Resultados!BK87,Resultados!CC87,Resultados!CL87)))</f>
        <v>5.8776861471541285E-2</v>
      </c>
    </row>
    <row r="88" spans="1:9" x14ac:dyDescent="0.3">
      <c r="A88">
        <f>IF(COUNT(Resultados!A88,Resultados!J88,Resultados!S88,Resultados!AB88,Resultados!AK88,Resultados!AT88,Resultados!BC88,Resultados!BU88,Resultados!CD88)&lt;=1, "", _xlfn.STDEV.S(ABS(Resultados!A88),ABS(Resultados!J88),ABS(Resultados!S88),ABS(Resultados!AB88),ABS(Resultados!AK88),ABS(Resultados!AT88),ABS(Resultados!BC88),ABS(Resultados!BU88),ABS(Resultados!CD88))/SQRT(COUNT(Resultados!A88,Resultados!J88,Resultados!S88,Resultados!AB88,Resultados!AK88,Resultados!AT88,Resultados!BC88,Resultados!BU88,Resultados!CD88)))</f>
        <v>0</v>
      </c>
      <c r="B88" t="str">
        <f>IF(COUNT(Resultados!B88,Resultados!K88,Resultados!T88,Resultados!AC88,Resultados!AL88,Resultados!AU88,Resultados!BD88,Resultados!BV88,Resultados!CE88)&lt;=1, "", _xlfn.STDEV.S(ABS(Resultados!B88),ABS(Resultados!K88),ABS(Resultados!T88),ABS(Resultados!AC88),ABS(Resultados!AL88),ABS(Resultados!AU88),ABS(Resultados!BD88),ABS(Resultados!BV88),ABS(Resultados!CE88))/SQRT(COUNT(Resultados!B88,Resultados!K88,Resultados!T88,Resultados!AC88,Resultados!AL88,Resultados!AU88,Resultados!BD88,Resultados!BV88,Resultados!CE88)))</f>
        <v/>
      </c>
      <c r="C88">
        <f>IF(COUNT(Resultados!C88,Resultados!L88,Resultados!U88,Resultados!AD88,Resultados!AM88,Resultados!AV88,Resultados!BE88,Resultados!BW88,Resultados!CF88)&lt;=1, "", _xlfn.STDEV.S(ABS(Resultados!C88),ABS(Resultados!L88),ABS(Resultados!U88),ABS(Resultados!AD88),ABS(Resultados!AM88),ABS(Resultados!AV88),ABS(Resultados!BE88),ABS(Resultados!BW88),ABS(Resultados!CF88))/SQRT(COUNT(Resultados!C88,Resultados!L88,Resultados!U88,Resultados!AD88,Resultados!AM88,Resultados!AV88,Resultados!BE88,Resultados!BW88,Resultados!CF88)))</f>
        <v>0.77180244385832253</v>
      </c>
      <c r="D88">
        <f>IF(COUNT(Resultados!D88,Resultados!M88,Resultados!V88,Resultados!AE88,Resultados!AN88,Resultados!AW88,Resultados!BF88,Resultados!BX88,Resultados!CG88)&lt;=1, "", _xlfn.STDEV.S(ABS(Resultados!D88),ABS(Resultados!M88),ABS(Resultados!V88),ABS(Resultados!AE88),ABS(Resultados!AN88),ABS(Resultados!AW88),ABS(Resultados!BF88),ABS(Resultados!BX88),ABS(Resultados!CG88))/SQRT(COUNT(Resultados!D88,Resultados!M88,Resultados!V88,Resultados!AE88,Resultados!AN88,Resultados!AW88,Resultados!BF88,Resultados!BX88,Resultados!CG88)))</f>
        <v>2.4642881425236611E-3</v>
      </c>
      <c r="E88">
        <f>IF(COUNT(Resultados!E88,Resultados!N88,Resultados!W88,Resultados!AF88,Resultados!AO88,Resultados!AX88,Resultados!BG88,Resultados!BY88,Resultados!CH88)&lt;=1, "", _xlfn.STDEV.S(ABS(Resultados!E88),ABS(Resultados!N88),ABS(Resultados!W88),ABS(Resultados!AF88),ABS(Resultados!AO88),ABS(Resultados!AX88),ABS(Resultados!BG88),ABS(Resultados!BY88),ABS(Resultados!CH88))/SQRT(COUNT(Resultados!E88,Resultados!N88,Resultados!W88,Resultados!AF88,Resultados!AO88,Resultados!AX88,Resultados!BG88,Resultados!BY88,Resultados!CH88)))</f>
        <v>0.13991603375071979</v>
      </c>
      <c r="F88">
        <f>IF(COUNT(Resultados!F88,Resultados!O88,Resultados!X88,Resultados!AG88,Resultados!AP88,Resultados!AY88,Resultados!BH88,Resultados!BZ88,Resultados!CI88)&lt;=1, "", _xlfn.STDEV.S(ABS(Resultados!F88),ABS(Resultados!O88),ABS(Resultados!X88),ABS(Resultados!AG88),ABS(Resultados!AP88),ABS(Resultados!AY88),ABS(Resultados!BH88),ABS(Resultados!BZ88),ABS(Resultados!CI88))/SQRT(COUNT(Resultados!F88,Resultados!O88,Resultados!X88,Resultados!AG88,Resultados!AP88,Resultados!AY88,Resultados!BH88,Resultados!BZ88,Resultados!CI88)))</f>
        <v>13.040174345567088</v>
      </c>
      <c r="G88">
        <f>IF(COUNT(Resultados!G88,Resultados!P88,Resultados!Y88,Resultados!AH88,Resultados!AQ88,Resultados!AZ88,Resultados!BI88,Resultados!CA88,Resultados!CJ88)&lt;=1, "", _xlfn.STDEV.S(ABS(Resultados!G88),ABS(Resultados!P88),ABS(Resultados!Y88),ABS(Resultados!AH88),ABS(Resultados!AQ88),ABS(Resultados!AZ88),ABS(Resultados!BI88),ABS(Resultados!CA88),ABS(Resultados!CJ88))/SQRT(COUNT(Resultados!G88,Resultados!P88,Resultados!Y88,Resultados!AH88,Resultados!AQ88,Resultados!AZ88,Resultados!BI88,Resultados!CA88,Resultados!CJ88)))</f>
        <v>0</v>
      </c>
      <c r="H88">
        <f>IF(COUNT(Resultados!H88,Resultados!Q88,Resultados!Z88,Resultados!AI88,Resultados!AR88,Resultados!BA88,Resultados!BJ88,Resultados!CB88,Resultados!CK88)&lt;=1, "", _xlfn.STDEV.S(ABS(Resultados!H88),ABS(Resultados!Q88),ABS(Resultados!Z88),ABS(Resultados!AI88),ABS(Resultados!AR88),ABS(Resultados!BA88),ABS(Resultados!BJ88),ABS(Resultados!CB88),ABS(Resultados!CK88))/SQRT(COUNT(Resultados!H88,Resultados!Q88,Resultados!Z88,Resultados!AI88,Resultados!AR88,Resultados!BA88,Resultados!BJ88,Resultados!CB88,Resultados!CK88)))</f>
        <v>2.1740117664110804E-3</v>
      </c>
      <c r="I88">
        <f>IF(COUNT(Resultados!I88,Resultados!R88,Resultados!AA88,Resultados!AJ88,Resultados!AS88,Resultados!BB88,Resultados!BK88,Resultados!CC88,Resultados!CL88)&lt;=1, "", _xlfn.STDEV.S(ABS(Resultados!I88),ABS(Resultados!R88),ABS(Resultados!AA88),ABS(Resultados!AJ88),ABS(Resultados!AS88),ABS(Resultados!BB88),ABS(Resultados!BK88),ABS(Resultados!CC88),ABS(Resultados!CL88))/SQRT(COUNT(Resultados!I88,Resultados!R88,Resultados!AA88,Resultados!AJ88,Resultados!AS88,Resultados!BB88,Resultados!BK88,Resultados!CC88,Resultados!CL88)))</f>
        <v>5.8953472708944958E-2</v>
      </c>
    </row>
    <row r="89" spans="1:9" x14ac:dyDescent="0.3">
      <c r="A89">
        <f>IF(COUNT(Resultados!A89,Resultados!J89,Resultados!S89,Resultados!AB89,Resultados!AK89,Resultados!AT89,Resultados!BC89,Resultados!BU89,Resultados!CD89)&lt;=1, "", _xlfn.STDEV.S(ABS(Resultados!A89),ABS(Resultados!J89),ABS(Resultados!S89),ABS(Resultados!AB89),ABS(Resultados!AK89),ABS(Resultados!AT89),ABS(Resultados!BC89),ABS(Resultados!BU89),ABS(Resultados!CD89))/SQRT(COUNT(Resultados!A89,Resultados!J89,Resultados!S89,Resultados!AB89,Resultados!AK89,Resultados!AT89,Resultados!BC89,Resultados!BU89,Resultados!CD89)))</f>
        <v>0</v>
      </c>
      <c r="B89" t="str">
        <f>IF(COUNT(Resultados!B89,Resultados!K89,Resultados!T89,Resultados!AC89,Resultados!AL89,Resultados!AU89,Resultados!BD89,Resultados!BV89,Resultados!CE89)&lt;=1, "", _xlfn.STDEV.S(ABS(Resultados!B89),ABS(Resultados!K89),ABS(Resultados!T89),ABS(Resultados!AC89),ABS(Resultados!AL89),ABS(Resultados!AU89),ABS(Resultados!BD89),ABS(Resultados!BV89),ABS(Resultados!CE89))/SQRT(COUNT(Resultados!B89,Resultados!K89,Resultados!T89,Resultados!AC89,Resultados!AL89,Resultados!AU89,Resultados!BD89,Resultados!BV89,Resultados!CE89)))</f>
        <v/>
      </c>
      <c r="C89">
        <f>IF(COUNT(Resultados!C89,Resultados!L89,Resultados!U89,Resultados!AD89,Resultados!AM89,Resultados!AV89,Resultados!BE89,Resultados!BW89,Resultados!CF89)&lt;=1, "", _xlfn.STDEV.S(ABS(Resultados!C89),ABS(Resultados!L89),ABS(Resultados!U89),ABS(Resultados!AD89),ABS(Resultados!AM89),ABS(Resultados!AV89),ABS(Resultados!BE89),ABS(Resultados!BW89),ABS(Resultados!CF89))/SQRT(COUNT(Resultados!C89,Resultados!L89,Resultados!U89,Resultados!AD89,Resultados!AM89,Resultados!AV89,Resultados!BE89,Resultados!BW89,Resultados!CF89)))</f>
        <v>0.77180244385832253</v>
      </c>
      <c r="D89">
        <f>IF(COUNT(Resultados!D89,Resultados!M89,Resultados!V89,Resultados!AE89,Resultados!AN89,Resultados!AW89,Resultados!BF89,Resultados!BX89,Resultados!CG89)&lt;=1, "", _xlfn.STDEV.S(ABS(Resultados!D89),ABS(Resultados!M89),ABS(Resultados!V89),ABS(Resultados!AE89),ABS(Resultados!AN89),ABS(Resultados!AW89),ABS(Resultados!BF89),ABS(Resultados!BX89),ABS(Resultados!CG89))/SQRT(COUNT(Resultados!D89,Resultados!M89,Resultados!V89,Resultados!AE89,Resultados!AN89,Resultados!AW89,Resultados!BF89,Resultados!BX89,Resultados!CG89)))</f>
        <v>2.435944818852395E-3</v>
      </c>
      <c r="E89">
        <f>IF(COUNT(Resultados!E89,Resultados!N89,Resultados!W89,Resultados!AF89,Resultados!AO89,Resultados!AX89,Resultados!BG89,Resultados!BY89,Resultados!CH89)&lt;=1, "", _xlfn.STDEV.S(ABS(Resultados!E89),ABS(Resultados!N89),ABS(Resultados!W89),ABS(Resultados!AF89),ABS(Resultados!AO89),ABS(Resultados!AX89),ABS(Resultados!BG89),ABS(Resultados!BY89),ABS(Resultados!CH89))/SQRT(COUNT(Resultados!E89,Resultados!N89,Resultados!W89,Resultados!AF89,Resultados!AO89,Resultados!AX89,Resultados!BG89,Resultados!BY89,Resultados!CH89)))</f>
        <v>0.13389362639117561</v>
      </c>
      <c r="F89">
        <f>IF(COUNT(Resultados!F89,Resultados!O89,Resultados!X89,Resultados!AG89,Resultados!AP89,Resultados!AY89,Resultados!BH89,Resultados!BZ89,Resultados!CI89)&lt;=1, "", _xlfn.STDEV.S(ABS(Resultados!F89),ABS(Resultados!O89),ABS(Resultados!X89),ABS(Resultados!AG89),ABS(Resultados!AP89),ABS(Resultados!AY89),ABS(Resultados!BH89),ABS(Resultados!BZ89),ABS(Resultados!CI89))/SQRT(COUNT(Resultados!F89,Resultados!O89,Resultados!X89,Resultados!AG89,Resultados!AP89,Resultados!AY89,Resultados!BH89,Resultados!BZ89,Resultados!CI89)))</f>
        <v>12.478885979657575</v>
      </c>
      <c r="G89">
        <f>IF(COUNT(Resultados!G89,Resultados!P89,Resultados!Y89,Resultados!AH89,Resultados!AQ89,Resultados!AZ89,Resultados!BI89,Resultados!CA89,Resultados!CJ89)&lt;=1, "", _xlfn.STDEV.S(ABS(Resultados!G89),ABS(Resultados!P89),ABS(Resultados!Y89),ABS(Resultados!AH89),ABS(Resultados!AQ89),ABS(Resultados!AZ89),ABS(Resultados!BI89),ABS(Resultados!CA89),ABS(Resultados!CJ89))/SQRT(COUNT(Resultados!G89,Resultados!P89,Resultados!Y89,Resultados!AH89,Resultados!AQ89,Resultados!AZ89,Resultados!BI89,Resultados!CA89,Resultados!CJ89)))</f>
        <v>0</v>
      </c>
      <c r="H89">
        <f>IF(COUNT(Resultados!H89,Resultados!Q89,Resultados!Z89,Resultados!AI89,Resultados!AR89,Resultados!BA89,Resultados!BJ89,Resultados!CB89,Resultados!CK89)&lt;=1, "", _xlfn.STDEV.S(ABS(Resultados!H89),ABS(Resultados!Q89),ABS(Resultados!Z89),ABS(Resultados!AI89),ABS(Resultados!AR89),ABS(Resultados!BA89),ABS(Resultados!BJ89),ABS(Resultados!CB89),ABS(Resultados!CK89))/SQRT(COUNT(Resultados!H89,Resultados!Q89,Resultados!Z89,Resultados!AI89,Resultados!AR89,Resultados!BA89,Resultados!BJ89,Resultados!CB89,Resultados!CK89)))</f>
        <v>2.0823405041704014E-3</v>
      </c>
      <c r="I89">
        <f>IF(COUNT(Resultados!I89,Resultados!R89,Resultados!AA89,Resultados!AJ89,Resultados!AS89,Resultados!BB89,Resultados!BK89,Resultados!CC89,Resultados!CL89)&lt;=1, "", _xlfn.STDEV.S(ABS(Resultados!I89),ABS(Resultados!R89),ABS(Resultados!AA89),ABS(Resultados!AJ89),ABS(Resultados!AS89),ABS(Resultados!BB89),ABS(Resultados!BK89),ABS(Resultados!CC89),ABS(Resultados!CL89))/SQRT(COUNT(Resultados!I89,Resultados!R89,Resultados!AA89,Resultados!AJ89,Resultados!AS89,Resultados!BB89,Resultados!BK89,Resultados!CC89,Resultados!CL89)))</f>
        <v>5.8778468279912989E-2</v>
      </c>
    </row>
    <row r="90" spans="1:9" x14ac:dyDescent="0.3">
      <c r="A90">
        <f>IF(COUNT(Resultados!A90,Resultados!J90,Resultados!S90,Resultados!AB90,Resultados!AK90,Resultados!AT90,Resultados!BC90,Resultados!BU90,Resultados!CD90)&lt;=1, "", _xlfn.STDEV.S(ABS(Resultados!A90),ABS(Resultados!J90),ABS(Resultados!S90),ABS(Resultados!AB90),ABS(Resultados!AK90),ABS(Resultados!AT90),ABS(Resultados!BC90),ABS(Resultados!BU90),ABS(Resultados!CD90))/SQRT(COUNT(Resultados!A90,Resultados!J90,Resultados!S90,Resultados!AB90,Resultados!AK90,Resultados!AT90,Resultados!BC90,Resultados!BU90,Resultados!CD90)))</f>
        <v>0</v>
      </c>
      <c r="B90" t="str">
        <f>IF(COUNT(Resultados!B90,Resultados!K90,Resultados!T90,Resultados!AC90,Resultados!AL90,Resultados!AU90,Resultados!BD90,Resultados!BV90,Resultados!CE90)&lt;=1, "", _xlfn.STDEV.S(ABS(Resultados!B90),ABS(Resultados!K90),ABS(Resultados!T90),ABS(Resultados!AC90),ABS(Resultados!AL90),ABS(Resultados!AU90),ABS(Resultados!BD90),ABS(Resultados!BV90),ABS(Resultados!CE90))/SQRT(COUNT(Resultados!B90,Resultados!K90,Resultados!T90,Resultados!AC90,Resultados!AL90,Resultados!AU90,Resultados!BD90,Resultados!BV90,Resultados!CE90)))</f>
        <v/>
      </c>
      <c r="C90">
        <f>IF(COUNT(Resultados!C90,Resultados!L90,Resultados!U90,Resultados!AD90,Resultados!AM90,Resultados!AV90,Resultados!BE90,Resultados!BW90,Resultados!CF90)&lt;=1, "", _xlfn.STDEV.S(ABS(Resultados!C90),ABS(Resultados!L90),ABS(Resultados!U90),ABS(Resultados!AD90),ABS(Resultados!AM90),ABS(Resultados!AV90),ABS(Resultados!BE90),ABS(Resultados!BW90),ABS(Resultados!CF90))/SQRT(COUNT(Resultados!C90,Resultados!L90,Resultados!U90,Resultados!AD90,Resultados!AM90,Resultados!AV90,Resultados!BE90,Resultados!BW90,Resultados!CF90)))</f>
        <v>0.77180244385832253</v>
      </c>
      <c r="D90">
        <f>IF(COUNT(Resultados!D90,Resultados!M90,Resultados!V90,Resultados!AE90,Resultados!AN90,Resultados!AW90,Resultados!BF90,Resultados!BX90,Resultados!CG90)&lt;=1, "", _xlfn.STDEV.S(ABS(Resultados!D90),ABS(Resultados!M90),ABS(Resultados!V90),ABS(Resultados!AE90),ABS(Resultados!AN90),ABS(Resultados!AW90),ABS(Resultados!BF90),ABS(Resultados!BX90),ABS(Resultados!CG90))/SQRT(COUNT(Resultados!D90,Resultados!M90,Resultados!V90,Resultados!AE90,Resultados!AN90,Resultados!AW90,Resultados!BF90,Resultados!BX90,Resultados!CG90)))</f>
        <v>2.4065881796989422E-3</v>
      </c>
      <c r="E90">
        <f>IF(COUNT(Resultados!E90,Resultados!N90,Resultados!W90,Resultados!AF90,Resultados!AO90,Resultados!AX90,Resultados!BG90,Resultados!BY90,Resultados!CH90)&lt;=1, "", _xlfn.STDEV.S(ABS(Resultados!E90),ABS(Resultados!N90),ABS(Resultados!W90),ABS(Resultados!AF90),ABS(Resultados!AO90),ABS(Resultados!AX90),ABS(Resultados!BG90),ABS(Resultados!BY90),ABS(Resultados!CH90))/SQRT(COUNT(Resultados!E90,Resultados!N90,Resultados!W90,Resultados!AF90,Resultados!AO90,Resultados!AX90,Resultados!BG90,Resultados!BY90,Resultados!CH90)))</f>
        <v>0.12771135676382481</v>
      </c>
      <c r="F90">
        <f>IF(COUNT(Resultados!F90,Resultados!O90,Resultados!X90,Resultados!AG90,Resultados!AP90,Resultados!AY90,Resultados!BH90,Resultados!BZ90,Resultados!CI90)&lt;=1, "", _xlfn.STDEV.S(ABS(Resultados!F90),ABS(Resultados!O90),ABS(Resultados!X90),ABS(Resultados!AG90),ABS(Resultados!AP90),ABS(Resultados!AY90),ABS(Resultados!BH90),ABS(Resultados!BZ90),ABS(Resultados!CI90))/SQRT(COUNT(Resultados!F90,Resultados!O90,Resultados!X90,Resultados!AG90,Resultados!AP90,Resultados!AY90,Resultados!BH90,Resultados!BZ90,Resultados!CI90)))</f>
        <v>11.902698450388476</v>
      </c>
      <c r="G90">
        <f>IF(COUNT(Resultados!G90,Resultados!P90,Resultados!Y90,Resultados!AH90,Resultados!AQ90,Resultados!AZ90,Resultados!BI90,Resultados!CA90,Resultados!CJ90)&lt;=1, "", _xlfn.STDEV.S(ABS(Resultados!G90),ABS(Resultados!P90),ABS(Resultados!Y90),ABS(Resultados!AH90),ABS(Resultados!AQ90),ABS(Resultados!AZ90),ABS(Resultados!BI90),ABS(Resultados!CA90),ABS(Resultados!CJ90))/SQRT(COUNT(Resultados!G90,Resultados!P90,Resultados!Y90,Resultados!AH90,Resultados!AQ90,Resultados!AZ90,Resultados!BI90,Resultados!CA90,Resultados!CJ90)))</f>
        <v>0</v>
      </c>
      <c r="H90">
        <f>IF(COUNT(Resultados!H90,Resultados!Q90,Resultados!Z90,Resultados!AI90,Resultados!AR90,Resultados!BA90,Resultados!BJ90,Resultados!CB90,Resultados!CK90)&lt;=1, "", _xlfn.STDEV.S(ABS(Resultados!H90),ABS(Resultados!Q90),ABS(Resultados!Z90),ABS(Resultados!AI90),ABS(Resultados!AR90),ABS(Resultados!BA90),ABS(Resultados!BJ90),ABS(Resultados!CB90),ABS(Resultados!CK90))/SQRT(COUNT(Resultados!H90,Resultados!Q90,Resultados!Z90,Resultados!AI90,Resultados!AR90,Resultados!BA90,Resultados!BJ90,Resultados!CB90,Resultados!CK90)))</f>
        <v>1.9866762987586534E-3</v>
      </c>
      <c r="I90">
        <f>IF(COUNT(Resultados!I90,Resultados!R90,Resultados!AA90,Resultados!AJ90,Resultados!AS90,Resultados!BB90,Resultados!BK90,Resultados!CC90,Resultados!CL90)&lt;=1, "", _xlfn.STDEV.S(ABS(Resultados!I90),ABS(Resultados!R90),ABS(Resultados!AA90),ABS(Resultados!AJ90),ABS(Resultados!AS90),ABS(Resultados!BB90),ABS(Resultados!BK90),ABS(Resultados!CC90),ABS(Resultados!CL90))/SQRT(COUNT(Resultados!I90,Resultados!R90,Resultados!AA90,Resultados!AJ90,Resultados!AS90,Resultados!BB90,Resultados!BK90,Resultados!CC90,Resultados!CL90)))</f>
        <v>5.8951948417522708E-2</v>
      </c>
    </row>
    <row r="91" spans="1:9" x14ac:dyDescent="0.3">
      <c r="A91">
        <f>IF(COUNT(Resultados!A91,Resultados!J91,Resultados!S91,Resultados!AB91,Resultados!AK91,Resultados!AT91,Resultados!BC91,Resultados!BU91,Resultados!CD91)&lt;=1, "", _xlfn.STDEV.S(ABS(Resultados!A91),ABS(Resultados!J91),ABS(Resultados!S91),ABS(Resultados!AB91),ABS(Resultados!AK91),ABS(Resultados!AT91),ABS(Resultados!BC91),ABS(Resultados!BU91),ABS(Resultados!CD91))/SQRT(COUNT(Resultados!A91,Resultados!J91,Resultados!S91,Resultados!AB91,Resultados!AK91,Resultados!AT91,Resultados!BC91,Resultados!BU91,Resultados!CD91)))</f>
        <v>0</v>
      </c>
      <c r="B91" t="str">
        <f>IF(COUNT(Resultados!B91,Resultados!K91,Resultados!T91,Resultados!AC91,Resultados!AL91,Resultados!AU91,Resultados!BD91,Resultados!BV91,Resultados!CE91)&lt;=1, "", _xlfn.STDEV.S(ABS(Resultados!B91),ABS(Resultados!K91),ABS(Resultados!T91),ABS(Resultados!AC91),ABS(Resultados!AL91),ABS(Resultados!AU91),ABS(Resultados!BD91),ABS(Resultados!BV91),ABS(Resultados!CE91))/SQRT(COUNT(Resultados!B91,Resultados!K91,Resultados!T91,Resultados!AC91,Resultados!AL91,Resultados!AU91,Resultados!BD91,Resultados!BV91,Resultados!CE91)))</f>
        <v/>
      </c>
      <c r="C91">
        <f>IF(COUNT(Resultados!C91,Resultados!L91,Resultados!U91,Resultados!AD91,Resultados!AM91,Resultados!AV91,Resultados!BE91,Resultados!BW91,Resultados!CF91)&lt;=1, "", _xlfn.STDEV.S(ABS(Resultados!C91),ABS(Resultados!L91),ABS(Resultados!U91),ABS(Resultados!AD91),ABS(Resultados!AM91),ABS(Resultados!AV91),ABS(Resultados!BE91),ABS(Resultados!BW91),ABS(Resultados!CF91))/SQRT(COUNT(Resultados!C91,Resultados!L91,Resultados!U91,Resultados!AD91,Resultados!AM91,Resultados!AV91,Resultados!BE91,Resultados!BW91,Resultados!CF91)))</f>
        <v>0.77180244385832253</v>
      </c>
      <c r="D91">
        <f>IF(COUNT(Resultados!D91,Resultados!M91,Resultados!V91,Resultados!AE91,Resultados!AN91,Resultados!AW91,Resultados!BF91,Resultados!BX91,Resultados!CG91)&lt;=1, "", _xlfn.STDEV.S(ABS(Resultados!D91),ABS(Resultados!M91),ABS(Resultados!V91),ABS(Resultados!AE91),ABS(Resultados!AN91),ABS(Resultados!AW91),ABS(Resultados!BF91),ABS(Resultados!BX91),ABS(Resultados!CG91))/SQRT(COUNT(Resultados!D91,Resultados!M91,Resultados!V91,Resultados!AE91,Resultados!AN91,Resultados!AW91,Resultados!BF91,Resultados!BX91,Resultados!CG91)))</f>
        <v>2.2478247372477054E-3</v>
      </c>
      <c r="E91">
        <f>IF(COUNT(Resultados!E91,Resultados!N91,Resultados!W91,Resultados!AF91,Resultados!AO91,Resultados!AX91,Resultados!BG91,Resultados!BY91,Resultados!CH91)&lt;=1, "", _xlfn.STDEV.S(ABS(Resultados!E91),ABS(Resultados!N91),ABS(Resultados!W91),ABS(Resultados!AF91),ABS(Resultados!AO91),ABS(Resultados!AX91),ABS(Resultados!BG91),ABS(Resultados!BY91),ABS(Resultados!CH91))/SQRT(COUNT(Resultados!E91,Resultados!N91,Resultados!W91,Resultados!AF91,Resultados!AO91,Resultados!AX91,Resultados!BG91,Resultados!BY91,Resultados!CH91)))</f>
        <v>0.12150426082408693</v>
      </c>
      <c r="F91">
        <f>IF(COUNT(Resultados!F91,Resultados!O91,Resultados!X91,Resultados!AG91,Resultados!AP91,Resultados!AY91,Resultados!BH91,Resultados!BZ91,Resultados!CI91)&lt;=1, "", _xlfn.STDEV.S(ABS(Resultados!F91),ABS(Resultados!O91),ABS(Resultados!X91),ABS(Resultados!AG91),ABS(Resultados!AP91),ABS(Resultados!AY91),ABS(Resultados!BH91),ABS(Resultados!BZ91),ABS(Resultados!CI91))/SQRT(COUNT(Resultados!F91,Resultados!O91,Resultados!X91,Resultados!AG91,Resultados!AP91,Resultados!AY91,Resultados!BH91,Resultados!BZ91,Resultados!CI91)))</f>
        <v>11.324197108804903</v>
      </c>
      <c r="G91">
        <f>IF(COUNT(Resultados!G91,Resultados!P91,Resultados!Y91,Resultados!AH91,Resultados!AQ91,Resultados!AZ91,Resultados!BI91,Resultados!CA91,Resultados!CJ91)&lt;=1, "", _xlfn.STDEV.S(ABS(Resultados!G91),ABS(Resultados!P91),ABS(Resultados!Y91),ABS(Resultados!AH91),ABS(Resultados!AQ91),ABS(Resultados!AZ91),ABS(Resultados!BI91),ABS(Resultados!CA91),ABS(Resultados!CJ91))/SQRT(COUNT(Resultados!G91,Resultados!P91,Resultados!Y91,Resultados!AH91,Resultados!AQ91,Resultados!AZ91,Resultados!BI91,Resultados!CA91,Resultados!CJ91)))</f>
        <v>0</v>
      </c>
      <c r="H91">
        <f>IF(COUNT(Resultados!H91,Resultados!Q91,Resultados!Z91,Resultados!AI91,Resultados!AR91,Resultados!BA91,Resultados!BJ91,Resultados!CB91,Resultados!CK91)&lt;=1, "", _xlfn.STDEV.S(ABS(Resultados!H91),ABS(Resultados!Q91),ABS(Resultados!Z91),ABS(Resultados!AI91),ABS(Resultados!AR91),ABS(Resultados!BA91),ABS(Resultados!BJ91),ABS(Resultados!CB91),ABS(Resultados!CK91))/SQRT(COUNT(Resultados!H91,Resultados!Q91,Resultados!Z91,Resultados!AI91,Resultados!AR91,Resultados!BA91,Resultados!BJ91,Resultados!CB91,Resultados!CK91)))</f>
        <v>1.881636403653893E-3</v>
      </c>
      <c r="I91">
        <f>IF(COUNT(Resultados!I91,Resultados!R91,Resultados!AA91,Resultados!AJ91,Resultados!AS91,Resultados!BB91,Resultados!BK91,Resultados!CC91,Resultados!CL91)&lt;=1, "", _xlfn.STDEV.S(ABS(Resultados!I91),ABS(Resultados!R91),ABS(Resultados!AA91),ABS(Resultados!AJ91),ABS(Resultados!AS91),ABS(Resultados!BB91),ABS(Resultados!BK91),ABS(Resultados!CC91),ABS(Resultados!CL91))/SQRT(COUNT(Resultados!I91,Resultados!R91,Resultados!AA91,Resultados!AJ91,Resultados!AS91,Resultados!BB91,Resultados!BK91,Resultados!CC91,Resultados!CL91)))</f>
        <v>5.8927220753054711E-2</v>
      </c>
    </row>
    <row r="92" spans="1:9" x14ac:dyDescent="0.3">
      <c r="A92">
        <f>IF(COUNT(Resultados!A92,Resultados!J92,Resultados!S92,Resultados!AB92,Resultados!AK92,Resultados!AT92,Resultados!BC92,Resultados!BU92,Resultados!CD92)&lt;=1, "", _xlfn.STDEV.S(ABS(Resultados!A92),ABS(Resultados!J92),ABS(Resultados!S92),ABS(Resultados!AB92),ABS(Resultados!AK92),ABS(Resultados!AT92),ABS(Resultados!BC92),ABS(Resultados!BU92),ABS(Resultados!CD92))/SQRT(COUNT(Resultados!A92,Resultados!J92,Resultados!S92,Resultados!AB92,Resultados!AK92,Resultados!AT92,Resultados!BC92,Resultados!BU92,Resultados!CD92)))</f>
        <v>0</v>
      </c>
      <c r="B92" t="str">
        <f>IF(COUNT(Resultados!B92,Resultados!K92,Resultados!T92,Resultados!AC92,Resultados!AL92,Resultados!AU92,Resultados!BD92,Resultados!BV92,Resultados!CE92)&lt;=1, "", _xlfn.STDEV.S(ABS(Resultados!B92),ABS(Resultados!K92),ABS(Resultados!T92),ABS(Resultados!AC92),ABS(Resultados!AL92),ABS(Resultados!AU92),ABS(Resultados!BD92),ABS(Resultados!BV92),ABS(Resultados!CE92))/SQRT(COUNT(Resultados!B92,Resultados!K92,Resultados!T92,Resultados!AC92,Resultados!AL92,Resultados!AU92,Resultados!BD92,Resultados!BV92,Resultados!CE92)))</f>
        <v/>
      </c>
      <c r="C92">
        <f>IF(COUNT(Resultados!C92,Resultados!L92,Resultados!U92,Resultados!AD92,Resultados!AM92,Resultados!AV92,Resultados!BE92,Resultados!BW92,Resultados!CF92)&lt;=1, "", _xlfn.STDEV.S(ABS(Resultados!C92),ABS(Resultados!L92),ABS(Resultados!U92),ABS(Resultados!AD92),ABS(Resultados!AM92),ABS(Resultados!AV92),ABS(Resultados!BE92),ABS(Resultados!BW92),ABS(Resultados!CF92))/SQRT(COUNT(Resultados!C92,Resultados!L92,Resultados!U92,Resultados!AD92,Resultados!AM92,Resultados!AV92,Resultados!BE92,Resultados!BW92,Resultados!CF92)))</f>
        <v>0.77180244385832253</v>
      </c>
      <c r="D92">
        <f>IF(COUNT(Resultados!D92,Resultados!M92,Resultados!V92,Resultados!AE92,Resultados!AN92,Resultados!AW92,Resultados!BF92,Resultados!BX92,Resultados!CG92)&lt;=1, "", _xlfn.STDEV.S(ABS(Resultados!D92),ABS(Resultados!M92),ABS(Resultados!V92),ABS(Resultados!AE92),ABS(Resultados!AN92),ABS(Resultados!AW92),ABS(Resultados!BF92),ABS(Resultados!BX92),ABS(Resultados!CG92))/SQRT(COUNT(Resultados!D92,Resultados!M92,Resultados!V92,Resultados!AE92,Resultados!AN92,Resultados!AW92,Resultados!BF92,Resultados!BX92,Resultados!CG92)))</f>
        <v>2.1520016522091965E-3</v>
      </c>
      <c r="E92">
        <f>IF(COUNT(Resultados!E92,Resultados!N92,Resultados!W92,Resultados!AF92,Resultados!AO92,Resultados!AX92,Resultados!BG92,Resultados!BY92,Resultados!CH92)&lt;=1, "", _xlfn.STDEV.S(ABS(Resultados!E92),ABS(Resultados!N92),ABS(Resultados!W92),ABS(Resultados!AF92),ABS(Resultados!AO92),ABS(Resultados!AX92),ABS(Resultados!BG92),ABS(Resultados!BY92),ABS(Resultados!CH92))/SQRT(COUNT(Resultados!E92,Resultados!N92,Resultados!W92,Resultados!AF92,Resultados!AO92,Resultados!AX92,Resultados!BG92,Resultados!BY92,Resultados!CH92)))</f>
        <v>0.11532691149663948</v>
      </c>
      <c r="F92">
        <f>IF(COUNT(Resultados!F92,Resultados!O92,Resultados!X92,Resultados!AG92,Resultados!AP92,Resultados!AY92,Resultados!BH92,Resultados!BZ92,Resultados!CI92)&lt;=1, "", _xlfn.STDEV.S(ABS(Resultados!F92),ABS(Resultados!O92),ABS(Resultados!X92),ABS(Resultados!AG92),ABS(Resultados!AP92),ABS(Resultados!AY92),ABS(Resultados!BH92),ABS(Resultados!BZ92),ABS(Resultados!CI92))/SQRT(COUNT(Resultados!F92,Resultados!O92,Resultados!X92,Resultados!AG92,Resultados!AP92,Resultados!AY92,Resultados!BH92,Resultados!BZ92,Resultados!CI92)))</f>
        <v>10.748468151486797</v>
      </c>
      <c r="G92">
        <f>IF(COUNT(Resultados!G92,Resultados!P92,Resultados!Y92,Resultados!AH92,Resultados!AQ92,Resultados!AZ92,Resultados!BI92,Resultados!CA92,Resultados!CJ92)&lt;=1, "", _xlfn.STDEV.S(ABS(Resultados!G92),ABS(Resultados!P92),ABS(Resultados!Y92),ABS(Resultados!AH92),ABS(Resultados!AQ92),ABS(Resultados!AZ92),ABS(Resultados!BI92),ABS(Resultados!CA92),ABS(Resultados!CJ92))/SQRT(COUNT(Resultados!G92,Resultados!P92,Resultados!Y92,Resultados!AH92,Resultados!AQ92,Resultados!AZ92,Resultados!BI92,Resultados!CA92,Resultados!CJ92)))</f>
        <v>0</v>
      </c>
      <c r="H92">
        <f>IF(COUNT(Resultados!H92,Resultados!Q92,Resultados!Z92,Resultados!AI92,Resultados!AR92,Resultados!BA92,Resultados!BJ92,Resultados!CB92,Resultados!CK92)&lt;=1, "", _xlfn.STDEV.S(ABS(Resultados!H92),ABS(Resultados!Q92),ABS(Resultados!Z92),ABS(Resultados!AI92),ABS(Resultados!AR92),ABS(Resultados!BA92),ABS(Resultados!BJ92),ABS(Resultados!CB92),ABS(Resultados!CK92))/SQRT(COUNT(Resultados!H92,Resultados!Q92,Resultados!Z92,Resultados!AI92,Resultados!AR92,Resultados!BA92,Resultados!BJ92,Resultados!CB92,Resultados!CK92)))</f>
        <v>1.7983617373241694E-3</v>
      </c>
      <c r="I92">
        <f>IF(COUNT(Resultados!I92,Resultados!R92,Resultados!AA92,Resultados!AJ92,Resultados!AS92,Resultados!BB92,Resultados!BK92,Resultados!CC92,Resultados!CL92)&lt;=1, "", _xlfn.STDEV.S(ABS(Resultados!I92),ABS(Resultados!R92),ABS(Resultados!AA92),ABS(Resultados!AJ92),ABS(Resultados!AS92),ABS(Resultados!BB92),ABS(Resultados!BK92),ABS(Resultados!CC92),ABS(Resultados!CL92))/SQRT(COUNT(Resultados!I92,Resultados!R92,Resultados!AA92,Resultados!AJ92,Resultados!AS92,Resultados!BB92,Resultados!BK92,Resultados!CC92,Resultados!CL92)))</f>
        <v>5.8957325537776578E-2</v>
      </c>
    </row>
    <row r="93" spans="1:9" x14ac:dyDescent="0.3">
      <c r="A93">
        <f>IF(COUNT(Resultados!A93,Resultados!J93,Resultados!S93,Resultados!AB93,Resultados!AK93,Resultados!AT93,Resultados!BC93,Resultados!BU93,Resultados!CD93)&lt;=1, "", _xlfn.STDEV.S(ABS(Resultados!A93),ABS(Resultados!J93),ABS(Resultados!S93),ABS(Resultados!AB93),ABS(Resultados!AK93),ABS(Resultados!AT93),ABS(Resultados!BC93),ABS(Resultados!BU93),ABS(Resultados!CD93))/SQRT(COUNT(Resultados!A93,Resultados!J93,Resultados!S93,Resultados!AB93,Resultados!AK93,Resultados!AT93,Resultados!BC93,Resultados!BU93,Resultados!CD93)))</f>
        <v>0</v>
      </c>
      <c r="B93" t="str">
        <f>IF(COUNT(Resultados!B93,Resultados!K93,Resultados!T93,Resultados!AC93,Resultados!AL93,Resultados!AU93,Resultados!BD93,Resultados!BV93,Resultados!CE93)&lt;=1, "", _xlfn.STDEV.S(ABS(Resultados!B93),ABS(Resultados!K93),ABS(Resultados!T93),ABS(Resultados!AC93),ABS(Resultados!AL93),ABS(Resultados!AU93),ABS(Resultados!BD93),ABS(Resultados!BV93),ABS(Resultados!CE93))/SQRT(COUNT(Resultados!B93,Resultados!K93,Resultados!T93,Resultados!AC93,Resultados!AL93,Resultados!AU93,Resultados!BD93,Resultados!BV93,Resultados!CE93)))</f>
        <v/>
      </c>
      <c r="C93">
        <f>IF(COUNT(Resultados!C93,Resultados!L93,Resultados!U93,Resultados!AD93,Resultados!AM93,Resultados!AV93,Resultados!BE93,Resultados!BW93,Resultados!CF93)&lt;=1, "", _xlfn.STDEV.S(ABS(Resultados!C93),ABS(Resultados!L93),ABS(Resultados!U93),ABS(Resultados!AD93),ABS(Resultados!AM93),ABS(Resultados!AV93),ABS(Resultados!BE93),ABS(Resultados!BW93),ABS(Resultados!CF93))/SQRT(COUNT(Resultados!C93,Resultados!L93,Resultados!U93,Resultados!AD93,Resultados!AM93,Resultados!AV93,Resultados!BE93,Resultados!BW93,Resultados!CF93)))</f>
        <v>0.77180244385832253</v>
      </c>
      <c r="D93">
        <f>IF(COUNT(Resultados!D93,Resultados!M93,Resultados!V93,Resultados!AE93,Resultados!AN93,Resultados!AW93,Resultados!BF93,Resultados!BX93,Resultados!CG93)&lt;=1, "", _xlfn.STDEV.S(ABS(Resultados!D93),ABS(Resultados!M93),ABS(Resultados!V93),ABS(Resultados!AE93),ABS(Resultados!AN93),ABS(Resultados!AW93),ABS(Resultados!BF93),ABS(Resultados!BX93),ABS(Resultados!CG93))/SQRT(COUNT(Resultados!D93,Resultados!M93,Resultados!V93,Resultados!AE93,Resultados!AN93,Resultados!AW93,Resultados!BF93,Resultados!BX93,Resultados!CG93)))</f>
        <v>1.9884698503319109E-3</v>
      </c>
      <c r="E93">
        <f>IF(COUNT(Resultados!E93,Resultados!N93,Resultados!W93,Resultados!AF93,Resultados!AO93,Resultados!AX93,Resultados!BG93,Resultados!BY93,Resultados!CH93)&lt;=1, "", _xlfn.STDEV.S(ABS(Resultados!E93),ABS(Resultados!N93),ABS(Resultados!W93),ABS(Resultados!AF93),ABS(Resultados!AO93),ABS(Resultados!AX93),ABS(Resultados!BG93),ABS(Resultados!BY93),ABS(Resultados!CH93))/SQRT(COUNT(Resultados!E93,Resultados!N93,Resultados!W93,Resultados!AF93,Resultados!AO93,Resultados!AX93,Resultados!BG93,Resultados!BY93,Resultados!CH93)))</f>
        <v>0.11185579503632748</v>
      </c>
      <c r="F93">
        <f>IF(COUNT(Resultados!F93,Resultados!O93,Resultados!X93,Resultados!AG93,Resultados!AP93,Resultados!AY93,Resultados!BH93,Resultados!BZ93,Resultados!CI93)&lt;=1, "", _xlfn.STDEV.S(ABS(Resultados!F93),ABS(Resultados!O93),ABS(Resultados!X93),ABS(Resultados!AG93),ABS(Resultados!AP93),ABS(Resultados!AY93),ABS(Resultados!BH93),ABS(Resultados!BZ93),ABS(Resultados!CI93))/SQRT(COUNT(Resultados!F93,Resultados!O93,Resultados!X93,Resultados!AG93,Resultados!AP93,Resultados!AY93,Resultados!BH93,Resultados!BZ93,Resultados!CI93)))</f>
        <v>10.424960097385714</v>
      </c>
      <c r="G93">
        <f>IF(COUNT(Resultados!G93,Resultados!P93,Resultados!Y93,Resultados!AH93,Resultados!AQ93,Resultados!AZ93,Resultados!BI93,Resultados!CA93,Resultados!CJ93)&lt;=1, "", _xlfn.STDEV.S(ABS(Resultados!G93),ABS(Resultados!P93),ABS(Resultados!Y93),ABS(Resultados!AH93),ABS(Resultados!AQ93),ABS(Resultados!AZ93),ABS(Resultados!BI93),ABS(Resultados!CA93),ABS(Resultados!CJ93))/SQRT(COUNT(Resultados!G93,Resultados!P93,Resultados!Y93,Resultados!AH93,Resultados!AQ93,Resultados!AZ93,Resultados!BI93,Resultados!CA93,Resultados!CJ93)))</f>
        <v>0</v>
      </c>
      <c r="H93">
        <f>IF(COUNT(Resultados!H93,Resultados!Q93,Resultados!Z93,Resultados!AI93,Resultados!AR93,Resultados!BA93,Resultados!BJ93,Resultados!CB93,Resultados!CK93)&lt;=1, "", _xlfn.STDEV.S(ABS(Resultados!H93),ABS(Resultados!Q93),ABS(Resultados!Z93),ABS(Resultados!AI93),ABS(Resultados!AR93),ABS(Resultados!BA93),ABS(Resultados!BJ93),ABS(Resultados!CB93),ABS(Resultados!CK93))/SQRT(COUNT(Resultados!H93,Resultados!Q93,Resultados!Z93,Resultados!AI93,Resultados!AR93,Resultados!BA93,Resultados!BJ93,Resultados!CB93,Resultados!CK93)))</f>
        <v>1.731738939068594E-3</v>
      </c>
      <c r="I93">
        <f>IF(COUNT(Resultados!I93,Resultados!R93,Resultados!AA93,Resultados!AJ93,Resultados!AS93,Resultados!BB93,Resultados!BK93,Resultados!CC93,Resultados!CL93)&lt;=1, "", _xlfn.STDEV.S(ABS(Resultados!I93),ABS(Resultados!R93),ABS(Resultados!AA93),ABS(Resultados!AJ93),ABS(Resultados!AS93),ABS(Resultados!BB93),ABS(Resultados!BK93),ABS(Resultados!CC93),ABS(Resultados!CL93))/SQRT(COUNT(Resultados!I93,Resultados!R93,Resultados!AA93,Resultados!AJ93,Resultados!AS93,Resultados!BB93,Resultados!BK93,Resultados!CC93,Resultados!CL93)))</f>
        <v>5.8879585218947872E-2</v>
      </c>
    </row>
    <row r="94" spans="1:9" x14ac:dyDescent="0.3">
      <c r="A94">
        <f>IF(COUNT(Resultados!A94,Resultados!J94,Resultados!S94,Resultados!AB94,Resultados!AK94,Resultados!AT94,Resultados!BC94,Resultados!BU94,Resultados!CD94)&lt;=1, "", _xlfn.STDEV.S(ABS(Resultados!A94),ABS(Resultados!J94),ABS(Resultados!S94),ABS(Resultados!AB94),ABS(Resultados!AK94),ABS(Resultados!AT94),ABS(Resultados!BC94),ABS(Resultados!BU94),ABS(Resultados!CD94))/SQRT(COUNT(Resultados!A94,Resultados!J94,Resultados!S94,Resultados!AB94,Resultados!AK94,Resultados!AT94,Resultados!BC94,Resultados!BU94,Resultados!CD94)))</f>
        <v>0</v>
      </c>
      <c r="B94" t="str">
        <f>IF(COUNT(Resultados!B94,Resultados!K94,Resultados!T94,Resultados!AC94,Resultados!AL94,Resultados!AU94,Resultados!BD94,Resultados!BV94,Resultados!CE94)&lt;=1, "", _xlfn.STDEV.S(ABS(Resultados!B94),ABS(Resultados!K94),ABS(Resultados!T94),ABS(Resultados!AC94),ABS(Resultados!AL94),ABS(Resultados!AU94),ABS(Resultados!BD94),ABS(Resultados!BV94),ABS(Resultados!CE94))/SQRT(COUNT(Resultados!B94,Resultados!K94,Resultados!T94,Resultados!AC94,Resultados!AL94,Resultados!AU94,Resultados!BD94,Resultados!BV94,Resultados!CE94)))</f>
        <v/>
      </c>
      <c r="C94">
        <f>IF(COUNT(Resultados!C94,Resultados!L94,Resultados!U94,Resultados!AD94,Resultados!AM94,Resultados!AV94,Resultados!BE94,Resultados!BW94,Resultados!CF94)&lt;=1, "", _xlfn.STDEV.S(ABS(Resultados!C94),ABS(Resultados!L94),ABS(Resultados!U94),ABS(Resultados!AD94),ABS(Resultados!AM94),ABS(Resultados!AV94),ABS(Resultados!BE94),ABS(Resultados!BW94),ABS(Resultados!CF94))/SQRT(COUNT(Resultados!C94,Resultados!L94,Resultados!U94,Resultados!AD94,Resultados!AM94,Resultados!AV94,Resultados!BE94,Resultados!BW94,Resultados!CF94)))</f>
        <v>0.77180244385832253</v>
      </c>
      <c r="D94">
        <f>IF(COUNT(Resultados!D94,Resultados!M94,Resultados!V94,Resultados!AE94,Resultados!AN94,Resultados!AW94,Resultados!BF94,Resultados!BX94,Resultados!CG94)&lt;=1, "", _xlfn.STDEV.S(ABS(Resultados!D94),ABS(Resultados!M94),ABS(Resultados!V94),ABS(Resultados!AE94),ABS(Resultados!AN94),ABS(Resultados!AW94),ABS(Resultados!BF94),ABS(Resultados!BX94),ABS(Resultados!CG94))/SQRT(COUNT(Resultados!D94,Resultados!M94,Resultados!V94,Resultados!AE94,Resultados!AN94,Resultados!AW94,Resultados!BF94,Resultados!BX94,Resultados!CG94)))</f>
        <v>1.8790511790085264E-3</v>
      </c>
      <c r="E94">
        <f>IF(COUNT(Resultados!E94,Resultados!N94,Resultados!W94,Resultados!AF94,Resultados!AO94,Resultados!AX94,Resultados!BG94,Resultados!BY94,Resultados!CH94)&lt;=1, "", _xlfn.STDEV.S(ABS(Resultados!E94),ABS(Resultados!N94),ABS(Resultados!W94),ABS(Resultados!AF94),ABS(Resultados!AO94),ABS(Resultados!AX94),ABS(Resultados!BG94),ABS(Resultados!BY94),ABS(Resultados!CH94))/SQRT(COUNT(Resultados!E94,Resultados!N94,Resultados!W94,Resultados!AF94,Resultados!AO94,Resultados!AX94,Resultados!BG94,Resultados!BY94,Resultados!CH94)))</f>
        <v>0.10460088721390864</v>
      </c>
      <c r="F94">
        <f>IF(COUNT(Resultados!F94,Resultados!O94,Resultados!X94,Resultados!AG94,Resultados!AP94,Resultados!AY94,Resultados!BH94,Resultados!BZ94,Resultados!CI94)&lt;=1, "", _xlfn.STDEV.S(ABS(Resultados!F94),ABS(Resultados!O94),ABS(Resultados!X94),ABS(Resultados!AG94),ABS(Resultados!AP94),ABS(Resultados!AY94),ABS(Resultados!BH94),ABS(Resultados!BZ94),ABS(Resultados!CI94))/SQRT(COUNT(Resultados!F94,Resultados!O94,Resultados!X94,Resultados!AG94,Resultados!AP94,Resultados!AY94,Resultados!BH94,Resultados!BZ94,Resultados!CI94)))</f>
        <v>9.7488026883362888</v>
      </c>
      <c r="G94">
        <f>IF(COUNT(Resultados!G94,Resultados!P94,Resultados!Y94,Resultados!AH94,Resultados!AQ94,Resultados!AZ94,Resultados!BI94,Resultados!CA94,Resultados!CJ94)&lt;=1, "", _xlfn.STDEV.S(ABS(Resultados!G94),ABS(Resultados!P94),ABS(Resultados!Y94),ABS(Resultados!AH94),ABS(Resultados!AQ94),ABS(Resultados!AZ94),ABS(Resultados!BI94),ABS(Resultados!CA94),ABS(Resultados!CJ94))/SQRT(COUNT(Resultados!G94,Resultados!P94,Resultados!Y94,Resultados!AH94,Resultados!AQ94,Resultados!AZ94,Resultados!BI94,Resultados!CA94,Resultados!CJ94)))</f>
        <v>0</v>
      </c>
      <c r="H94">
        <f>IF(COUNT(Resultados!H94,Resultados!Q94,Resultados!Z94,Resultados!AI94,Resultados!AR94,Resultados!BA94,Resultados!BJ94,Resultados!CB94,Resultados!CK94)&lt;=1, "", _xlfn.STDEV.S(ABS(Resultados!H94),ABS(Resultados!Q94),ABS(Resultados!Z94),ABS(Resultados!AI94),ABS(Resultados!AR94),ABS(Resultados!BA94),ABS(Resultados!BJ94),ABS(Resultados!CB94),ABS(Resultados!CK94))/SQRT(COUNT(Resultados!H94,Resultados!Q94,Resultados!Z94,Resultados!AI94,Resultados!AR94,Resultados!BA94,Resultados!BJ94,Resultados!CB94,Resultados!CK94)))</f>
        <v>1.629170810831141E-3</v>
      </c>
      <c r="I94">
        <f>IF(COUNT(Resultados!I94,Resultados!R94,Resultados!AA94,Resultados!AJ94,Resultados!AS94,Resultados!BB94,Resultados!BK94,Resultados!CC94,Resultados!CL94)&lt;=1, "", _xlfn.STDEV.S(ABS(Resultados!I94),ABS(Resultados!R94),ABS(Resultados!AA94),ABS(Resultados!AJ94),ABS(Resultados!AS94),ABS(Resultados!BB94),ABS(Resultados!BK94),ABS(Resultados!CC94),ABS(Resultados!CL94))/SQRT(COUNT(Resultados!I94,Resultados!R94,Resultados!AA94,Resultados!AJ94,Resultados!AS94,Resultados!BB94,Resultados!BK94,Resultados!CC94,Resultados!CL94)))</f>
        <v>5.8861105605365303E-2</v>
      </c>
    </row>
    <row r="95" spans="1:9" x14ac:dyDescent="0.3">
      <c r="A95">
        <f>IF(COUNT(Resultados!A95,Resultados!J95,Resultados!S95,Resultados!AB95,Resultados!AK95,Resultados!AT95,Resultados!BC95,Resultados!BU95,Resultados!CD95)&lt;=1, "", _xlfn.STDEV.S(ABS(Resultados!A95),ABS(Resultados!J95),ABS(Resultados!S95),ABS(Resultados!AB95),ABS(Resultados!AK95),ABS(Resultados!AT95),ABS(Resultados!BC95),ABS(Resultados!BU95),ABS(Resultados!CD95))/SQRT(COUNT(Resultados!A95,Resultados!J95,Resultados!S95,Resultados!AB95,Resultados!AK95,Resultados!AT95,Resultados!BC95,Resultados!BU95,Resultados!CD95)))</f>
        <v>0</v>
      </c>
      <c r="B95" t="str">
        <f>IF(COUNT(Resultados!B95,Resultados!K95,Resultados!T95,Resultados!AC95,Resultados!AL95,Resultados!AU95,Resultados!BD95,Resultados!BV95,Resultados!CE95)&lt;=1, "", _xlfn.STDEV.S(ABS(Resultados!B95),ABS(Resultados!K95),ABS(Resultados!T95),ABS(Resultados!AC95),ABS(Resultados!AL95),ABS(Resultados!AU95),ABS(Resultados!BD95),ABS(Resultados!BV95),ABS(Resultados!CE95))/SQRT(COUNT(Resultados!B95,Resultados!K95,Resultados!T95,Resultados!AC95,Resultados!AL95,Resultados!AU95,Resultados!BD95,Resultados!BV95,Resultados!CE95)))</f>
        <v/>
      </c>
      <c r="C95">
        <f>IF(COUNT(Resultados!C95,Resultados!L95,Resultados!U95,Resultados!AD95,Resultados!AM95,Resultados!AV95,Resultados!BE95,Resultados!BW95,Resultados!CF95)&lt;=1, "", _xlfn.STDEV.S(ABS(Resultados!C95),ABS(Resultados!L95),ABS(Resultados!U95),ABS(Resultados!AD95),ABS(Resultados!AM95),ABS(Resultados!AV95),ABS(Resultados!BE95),ABS(Resultados!BW95),ABS(Resultados!CF95))/SQRT(COUNT(Resultados!C95,Resultados!L95,Resultados!U95,Resultados!AD95,Resultados!AM95,Resultados!AV95,Resultados!BE95,Resultados!BW95,Resultados!CF95)))</f>
        <v>0.77180244385832253</v>
      </c>
      <c r="D95">
        <f>IF(COUNT(Resultados!D95,Resultados!M95,Resultados!V95,Resultados!AE95,Resultados!AN95,Resultados!AW95,Resultados!BF95,Resultados!BX95,Resultados!CG95)&lt;=1, "", _xlfn.STDEV.S(ABS(Resultados!D95),ABS(Resultados!M95),ABS(Resultados!V95),ABS(Resultados!AE95),ABS(Resultados!AN95),ABS(Resultados!AW95),ABS(Resultados!BF95),ABS(Resultados!BX95),ABS(Resultados!CG95))/SQRT(COUNT(Resultados!D95,Resultados!M95,Resultados!V95,Resultados!AE95,Resultados!AN95,Resultados!AW95,Resultados!BF95,Resultados!BX95,Resultados!CG95)))</f>
        <v>1.7066409864966105E-3</v>
      </c>
      <c r="E95">
        <f>IF(COUNT(Resultados!E95,Resultados!N95,Resultados!W95,Resultados!AF95,Resultados!AO95,Resultados!AX95,Resultados!BG95,Resultados!BY95,Resultados!CH95)&lt;=1, "", _xlfn.STDEV.S(ABS(Resultados!E95),ABS(Resultados!N95),ABS(Resultados!W95),ABS(Resultados!AF95),ABS(Resultados!AO95),ABS(Resultados!AX95),ABS(Resultados!BG95),ABS(Resultados!BY95),ABS(Resultados!CH95))/SQRT(COUNT(Resultados!E95,Resultados!N95,Resultados!W95,Resultados!AF95,Resultados!AO95,Resultados!AX95,Resultados!BG95,Resultados!BY95,Resultados!CH95)))</f>
        <v>9.7270912899471249E-2</v>
      </c>
      <c r="F95">
        <f>IF(COUNT(Resultados!F95,Resultados!O95,Resultados!X95,Resultados!AG95,Resultados!AP95,Resultados!AY95,Resultados!BH95,Resultados!BZ95,Resultados!CI95)&lt;=1, "", _xlfn.STDEV.S(ABS(Resultados!F95),ABS(Resultados!O95),ABS(Resultados!X95),ABS(Resultados!AG95),ABS(Resultados!AP95),ABS(Resultados!AY95),ABS(Resultados!BH95),ABS(Resultados!BZ95),ABS(Resultados!CI95))/SQRT(COUNT(Resultados!F95,Resultados!O95,Resultados!X95,Resultados!AG95,Resultados!AP95,Resultados!AY95,Resultados!BH95,Resultados!BZ95,Resultados!CI95)))</f>
        <v>9.0656490822307259</v>
      </c>
      <c r="G95">
        <f>IF(COUNT(Resultados!G95,Resultados!P95,Resultados!Y95,Resultados!AH95,Resultados!AQ95,Resultados!AZ95,Resultados!BI95,Resultados!CA95,Resultados!CJ95)&lt;=1, "", _xlfn.STDEV.S(ABS(Resultados!G95),ABS(Resultados!P95),ABS(Resultados!Y95),ABS(Resultados!AH95),ABS(Resultados!AQ95),ABS(Resultados!AZ95),ABS(Resultados!BI95),ABS(Resultados!CA95),ABS(Resultados!CJ95))/SQRT(COUNT(Resultados!G95,Resultados!P95,Resultados!Y95,Resultados!AH95,Resultados!AQ95,Resultados!AZ95,Resultados!BI95,Resultados!CA95,Resultados!CJ95)))</f>
        <v>0</v>
      </c>
      <c r="H95">
        <f>IF(COUNT(Resultados!H95,Resultados!Q95,Resultados!Z95,Resultados!AI95,Resultados!AR95,Resultados!BA95,Resultados!BJ95,Resultados!CB95,Resultados!CK95)&lt;=1, "", _xlfn.STDEV.S(ABS(Resultados!H95),ABS(Resultados!Q95),ABS(Resultados!Z95),ABS(Resultados!AI95),ABS(Resultados!AR95),ABS(Resultados!BA95),ABS(Resultados!BJ95),ABS(Resultados!CB95),ABS(Resultados!CK95))/SQRT(COUNT(Resultados!H95,Resultados!Q95,Resultados!Z95,Resultados!AI95,Resultados!AR95,Resultados!BA95,Resultados!BJ95,Resultados!CB95,Resultados!CK95)))</f>
        <v>1.5134581446328654E-3</v>
      </c>
      <c r="I95">
        <f>IF(COUNT(Resultados!I95,Resultados!R95,Resultados!AA95,Resultados!AJ95,Resultados!AS95,Resultados!BB95,Resultados!BK95,Resultados!CC95,Resultados!CL95)&lt;=1, "", _xlfn.STDEV.S(ABS(Resultados!I95),ABS(Resultados!R95),ABS(Resultados!AA95),ABS(Resultados!AJ95),ABS(Resultados!AS95),ABS(Resultados!BB95),ABS(Resultados!BK95),ABS(Resultados!CC95),ABS(Resultados!CL95))/SQRT(COUNT(Resultados!I95,Resultados!R95,Resultados!AA95,Resultados!AJ95,Resultados!AS95,Resultados!BB95,Resultados!BK95,Resultados!CC95,Resultados!CL95)))</f>
        <v>5.8961714142041065E-2</v>
      </c>
    </row>
    <row r="96" spans="1:9" x14ac:dyDescent="0.3">
      <c r="A96">
        <f>IF(COUNT(Resultados!A96,Resultados!J96,Resultados!S96,Resultados!AB96,Resultados!AK96,Resultados!AT96,Resultados!BC96,Resultados!BU96,Resultados!CD96)&lt;=1, "", _xlfn.STDEV.S(ABS(Resultados!A96),ABS(Resultados!J96),ABS(Resultados!S96),ABS(Resultados!AB96),ABS(Resultados!AK96),ABS(Resultados!AT96),ABS(Resultados!BC96),ABS(Resultados!BU96),ABS(Resultados!CD96))/SQRT(COUNT(Resultados!A96,Resultados!J96,Resultados!S96,Resultados!AB96,Resultados!AK96,Resultados!AT96,Resultados!BC96,Resultados!BU96,Resultados!CD96)))</f>
        <v>0</v>
      </c>
      <c r="B96" t="str">
        <f>IF(COUNT(Resultados!B96,Resultados!K96,Resultados!T96,Resultados!AC96,Resultados!AL96,Resultados!AU96,Resultados!BD96,Resultados!BV96,Resultados!CE96)&lt;=1, "", _xlfn.STDEV.S(ABS(Resultados!B96),ABS(Resultados!K96),ABS(Resultados!T96),ABS(Resultados!AC96),ABS(Resultados!AL96),ABS(Resultados!AU96),ABS(Resultados!BD96),ABS(Resultados!BV96),ABS(Resultados!CE96))/SQRT(COUNT(Resultados!B96,Resultados!K96,Resultados!T96,Resultados!AC96,Resultados!AL96,Resultados!AU96,Resultados!BD96,Resultados!BV96,Resultados!CE96)))</f>
        <v/>
      </c>
      <c r="C96">
        <f>IF(COUNT(Resultados!C96,Resultados!L96,Resultados!U96,Resultados!AD96,Resultados!AM96,Resultados!AV96,Resultados!BE96,Resultados!BW96,Resultados!CF96)&lt;=1, "", _xlfn.STDEV.S(ABS(Resultados!C96),ABS(Resultados!L96),ABS(Resultados!U96),ABS(Resultados!AD96),ABS(Resultados!AM96),ABS(Resultados!AV96),ABS(Resultados!BE96),ABS(Resultados!BW96),ABS(Resultados!CF96))/SQRT(COUNT(Resultados!C96,Resultados!L96,Resultados!U96,Resultados!AD96,Resultados!AM96,Resultados!AV96,Resultados!BE96,Resultados!BW96,Resultados!CF96)))</f>
        <v>0.77180244385832253</v>
      </c>
      <c r="D96">
        <f>IF(COUNT(Resultados!D96,Resultados!M96,Resultados!V96,Resultados!AE96,Resultados!AN96,Resultados!AW96,Resultados!BF96,Resultados!BX96,Resultados!CG96)&lt;=1, "", _xlfn.STDEV.S(ABS(Resultados!D96),ABS(Resultados!M96),ABS(Resultados!V96),ABS(Resultados!AE96),ABS(Resultados!AN96),ABS(Resultados!AW96),ABS(Resultados!BF96),ABS(Resultados!BX96),ABS(Resultados!CG96))/SQRT(COUNT(Resultados!D96,Resultados!M96,Resultados!V96,Resultados!AE96,Resultados!AN96,Resultados!AW96,Resultados!BF96,Resultados!BX96,Resultados!CG96)))</f>
        <v>1.5762120556715852E-3</v>
      </c>
      <c r="E96">
        <f>IF(COUNT(Resultados!E96,Resultados!N96,Resultados!W96,Resultados!AF96,Resultados!AO96,Resultados!AX96,Resultados!BG96,Resultados!BY96,Resultados!CH96)&lt;=1, "", _xlfn.STDEV.S(ABS(Resultados!E96),ABS(Resultados!N96),ABS(Resultados!W96),ABS(Resultados!AF96),ABS(Resultados!AO96),ABS(Resultados!AX96),ABS(Resultados!BG96),ABS(Resultados!BY96),ABS(Resultados!CH96))/SQRT(COUNT(Resultados!E96,Resultados!N96,Resultados!W96,Resultados!AF96,Resultados!AO96,Resultados!AX96,Resultados!BG96,Resultados!BY96,Resultados!CH96)))</f>
        <v>9.0162803367859257E-2</v>
      </c>
      <c r="F96">
        <f>IF(COUNT(Resultados!F96,Resultados!O96,Resultados!X96,Resultados!AG96,Resultados!AP96,Resultados!AY96,Resultados!BH96,Resultados!BZ96,Resultados!CI96)&lt;=1, "", _xlfn.STDEV.S(ABS(Resultados!F96),ABS(Resultados!O96),ABS(Resultados!X96),ABS(Resultados!AG96),ABS(Resultados!AP96),ABS(Resultados!AY96),ABS(Resultados!BH96),ABS(Resultados!BZ96),ABS(Resultados!CI96))/SQRT(COUNT(Resultados!F96,Resultados!O96,Resultados!X96,Resultados!AG96,Resultados!AP96,Resultados!AY96,Resultados!BH96,Resultados!BZ96,Resultados!CI96)))</f>
        <v>8.4031732738844944</v>
      </c>
      <c r="G96">
        <f>IF(COUNT(Resultados!G96,Resultados!P96,Resultados!Y96,Resultados!AH96,Resultados!AQ96,Resultados!AZ96,Resultados!BI96,Resultados!CA96,Resultados!CJ96)&lt;=1, "", _xlfn.STDEV.S(ABS(Resultados!G96),ABS(Resultados!P96),ABS(Resultados!Y96),ABS(Resultados!AH96),ABS(Resultados!AQ96),ABS(Resultados!AZ96),ABS(Resultados!BI96),ABS(Resultados!CA96),ABS(Resultados!CJ96))/SQRT(COUNT(Resultados!G96,Resultados!P96,Resultados!Y96,Resultados!AH96,Resultados!AQ96,Resultados!AZ96,Resultados!BI96,Resultados!CA96,Resultados!CJ96)))</f>
        <v>0</v>
      </c>
      <c r="H96">
        <f>IF(COUNT(Resultados!H96,Resultados!Q96,Resultados!Z96,Resultados!AI96,Resultados!AR96,Resultados!BA96,Resultados!BJ96,Resultados!CB96,Resultados!CK96)&lt;=1, "", _xlfn.STDEV.S(ABS(Resultados!H96),ABS(Resultados!Q96),ABS(Resultados!Z96),ABS(Resultados!AI96),ABS(Resultados!AR96),ABS(Resultados!BA96),ABS(Resultados!BJ96),ABS(Resultados!CB96),ABS(Resultados!CK96))/SQRT(COUNT(Resultados!H96,Resultados!Q96,Resultados!Z96,Resultados!AI96,Resultados!AR96,Resultados!BA96,Resultados!BJ96,Resultados!CB96,Resultados!CK96)))</f>
        <v>1.405588493246042E-3</v>
      </c>
      <c r="I96">
        <f>IF(COUNT(Resultados!I96,Resultados!R96,Resultados!AA96,Resultados!AJ96,Resultados!AS96,Resultados!BB96,Resultados!BK96,Resultados!CC96,Resultados!CL96)&lt;=1, "", _xlfn.STDEV.S(ABS(Resultados!I96),ABS(Resultados!R96),ABS(Resultados!AA96),ABS(Resultados!AJ96),ABS(Resultados!AS96),ABS(Resultados!BB96),ABS(Resultados!BK96),ABS(Resultados!CC96),ABS(Resultados!CL96))/SQRT(COUNT(Resultados!I96,Resultados!R96,Resultados!AA96,Resultados!AJ96,Resultados!AS96,Resultados!BB96,Resultados!BK96,Resultados!CC96,Resultados!CL96)))</f>
        <v>5.8778132744147622E-2</v>
      </c>
    </row>
    <row r="97" spans="1:9" x14ac:dyDescent="0.3">
      <c r="A97">
        <f>IF(COUNT(Resultados!A97,Resultados!J97,Resultados!S97,Resultados!AB97,Resultados!AK97,Resultados!AT97,Resultados!BC97,Resultados!BU97,Resultados!CD97)&lt;=1, "", _xlfn.STDEV.S(ABS(Resultados!A97),ABS(Resultados!J97),ABS(Resultados!S97),ABS(Resultados!AB97),ABS(Resultados!AK97),ABS(Resultados!AT97),ABS(Resultados!BC97),ABS(Resultados!BU97),ABS(Resultados!CD97))/SQRT(COUNT(Resultados!A97,Resultados!J97,Resultados!S97,Resultados!AB97,Resultados!AK97,Resultados!AT97,Resultados!BC97,Resultados!BU97,Resultados!CD97)))</f>
        <v>0</v>
      </c>
      <c r="B97" t="str">
        <f>IF(COUNT(Resultados!B97,Resultados!K97,Resultados!T97,Resultados!AC97,Resultados!AL97,Resultados!AU97,Resultados!BD97,Resultados!BV97,Resultados!CE97)&lt;=1, "", _xlfn.STDEV.S(ABS(Resultados!B97),ABS(Resultados!K97),ABS(Resultados!T97),ABS(Resultados!AC97),ABS(Resultados!AL97),ABS(Resultados!AU97),ABS(Resultados!BD97),ABS(Resultados!BV97),ABS(Resultados!CE97))/SQRT(COUNT(Resultados!B97,Resultados!K97,Resultados!T97,Resultados!AC97,Resultados!AL97,Resultados!AU97,Resultados!BD97,Resultados!BV97,Resultados!CE97)))</f>
        <v/>
      </c>
      <c r="C97">
        <f>IF(COUNT(Resultados!C97,Resultados!L97,Resultados!U97,Resultados!AD97,Resultados!AM97,Resultados!AV97,Resultados!BE97,Resultados!BW97,Resultados!CF97)&lt;=1, "", _xlfn.STDEV.S(ABS(Resultados!C97),ABS(Resultados!L97),ABS(Resultados!U97),ABS(Resultados!AD97),ABS(Resultados!AM97),ABS(Resultados!AV97),ABS(Resultados!BE97),ABS(Resultados!BW97),ABS(Resultados!CF97))/SQRT(COUNT(Resultados!C97,Resultados!L97,Resultados!U97,Resultados!AD97,Resultados!AM97,Resultados!AV97,Resultados!BE97,Resultados!BW97,Resultados!CF97)))</f>
        <v>0.77180244385832253</v>
      </c>
      <c r="D97">
        <f>IF(COUNT(Resultados!D97,Resultados!M97,Resultados!V97,Resultados!AE97,Resultados!AN97,Resultados!AW97,Resultados!BF97,Resultados!BX97,Resultados!CG97)&lt;=1, "", _xlfn.STDEV.S(ABS(Resultados!D97),ABS(Resultados!M97),ABS(Resultados!V97),ABS(Resultados!AE97),ABS(Resultados!AN97),ABS(Resultados!AW97),ABS(Resultados!BF97),ABS(Resultados!BX97),ABS(Resultados!CG97))/SQRT(COUNT(Resultados!D97,Resultados!M97,Resultados!V97,Resultados!AE97,Resultados!AN97,Resultados!AW97,Resultados!BF97,Resultados!BX97,Resultados!CG97)))</f>
        <v>1.3339350494118456E-3</v>
      </c>
      <c r="E97">
        <f>IF(COUNT(Resultados!E97,Resultados!N97,Resultados!W97,Resultados!AF97,Resultados!AO97,Resultados!AX97,Resultados!BG97,Resultados!BY97,Resultados!CH97)&lt;=1, "", _xlfn.STDEV.S(ABS(Resultados!E97),ABS(Resultados!N97),ABS(Resultados!W97),ABS(Resultados!AF97),ABS(Resultados!AO97),ABS(Resultados!AX97),ABS(Resultados!BG97),ABS(Resultados!BY97),ABS(Resultados!CH97))/SQRT(COUNT(Resultados!E97,Resultados!N97,Resultados!W97,Resultados!AF97,Resultados!AO97,Resultados!AX97,Resultados!BG97,Resultados!BY97,Resultados!CH97)))</f>
        <v>8.232085374391282E-2</v>
      </c>
      <c r="F97">
        <f>IF(COUNT(Resultados!F97,Resultados!O97,Resultados!X97,Resultados!AG97,Resultados!AP97,Resultados!AY97,Resultados!BH97,Resultados!BZ97,Resultados!CI97)&lt;=1, "", _xlfn.STDEV.S(ABS(Resultados!F97),ABS(Resultados!O97),ABS(Resultados!X97),ABS(Resultados!AG97),ABS(Resultados!AP97),ABS(Resultados!AY97),ABS(Resultados!BH97),ABS(Resultados!BZ97),ABS(Resultados!CI97))/SQRT(COUNT(Resultados!F97,Resultados!O97,Resultados!X97,Resultados!AG97,Resultados!AP97,Resultados!AY97,Resultados!BH97,Resultados!BZ97,Resultados!CI97)))</f>
        <v>13.005672636281787</v>
      </c>
      <c r="G97">
        <f>IF(COUNT(Resultados!G97,Resultados!P97,Resultados!Y97,Resultados!AH97,Resultados!AQ97,Resultados!AZ97,Resultados!BI97,Resultados!CA97,Resultados!CJ97)&lt;=1, "", _xlfn.STDEV.S(ABS(Resultados!G97),ABS(Resultados!P97),ABS(Resultados!Y97),ABS(Resultados!AH97),ABS(Resultados!AQ97),ABS(Resultados!AZ97),ABS(Resultados!BI97),ABS(Resultados!CA97),ABS(Resultados!CJ97))/SQRT(COUNT(Resultados!G97,Resultados!P97,Resultados!Y97,Resultados!AH97,Resultados!AQ97,Resultados!AZ97,Resultados!BI97,Resultados!CA97,Resultados!CJ97)))</f>
        <v>0</v>
      </c>
      <c r="H97">
        <f>IF(COUNT(Resultados!H97,Resultados!Q97,Resultados!Z97,Resultados!AI97,Resultados!AR97,Resultados!BA97,Resultados!BJ97,Resultados!CB97,Resultados!CK97)&lt;=1, "", _xlfn.STDEV.S(ABS(Resultados!H97),ABS(Resultados!Q97),ABS(Resultados!Z97),ABS(Resultados!AI97),ABS(Resultados!AR97),ABS(Resultados!BA97),ABS(Resultados!BJ97),ABS(Resultados!CB97),ABS(Resultados!CK97))/SQRT(COUNT(Resultados!H97,Resultados!Q97,Resultados!Z97,Resultados!AI97,Resultados!AR97,Resultados!BA97,Resultados!BJ97,Resultados!CB97,Resultados!CK97)))</f>
        <v>1.2857120811268577E-3</v>
      </c>
      <c r="I97">
        <f>IF(COUNT(Resultados!I97,Resultados!R97,Resultados!AA97,Resultados!AJ97,Resultados!AS97,Resultados!BB97,Resultados!BK97,Resultados!CC97,Resultados!CL97)&lt;=1, "", _xlfn.STDEV.S(ABS(Resultados!I97),ABS(Resultados!R97),ABS(Resultados!AA97),ABS(Resultados!AJ97),ABS(Resultados!AS97),ABS(Resultados!BB97),ABS(Resultados!BK97),ABS(Resultados!CC97),ABS(Resultados!CL97))/SQRT(COUNT(Resultados!I97,Resultados!R97,Resultados!AA97,Resultados!AJ97,Resultados!AS97,Resultados!BB97,Resultados!BK97,Resultados!CC97,Resultados!CL97)))</f>
        <v>5.8876820828440618E-2</v>
      </c>
    </row>
    <row r="98" spans="1:9" x14ac:dyDescent="0.3">
      <c r="A98">
        <f>IF(COUNT(Resultados!A98,Resultados!J98,Resultados!S98,Resultados!AB98,Resultados!AK98,Resultados!AT98,Resultados!BC98,Resultados!BU98,Resultados!CD98)&lt;=1, "", _xlfn.STDEV.S(ABS(Resultados!A98),ABS(Resultados!J98),ABS(Resultados!S98),ABS(Resultados!AB98),ABS(Resultados!AK98),ABS(Resultados!AT98),ABS(Resultados!BC98),ABS(Resultados!BU98),ABS(Resultados!CD98))/SQRT(COUNT(Resultados!A98,Resultados!J98,Resultados!S98,Resultados!AB98,Resultados!AK98,Resultados!AT98,Resultados!BC98,Resultados!BU98,Resultados!CD98)))</f>
        <v>0</v>
      </c>
      <c r="B98" t="str">
        <f>IF(COUNT(Resultados!B98,Resultados!K98,Resultados!T98,Resultados!AC98,Resultados!AL98,Resultados!AU98,Resultados!BD98,Resultados!BV98,Resultados!CE98)&lt;=1, "", _xlfn.STDEV.S(ABS(Resultados!B98),ABS(Resultados!K98),ABS(Resultados!T98),ABS(Resultados!AC98),ABS(Resultados!AL98),ABS(Resultados!AU98),ABS(Resultados!BD98),ABS(Resultados!BV98),ABS(Resultados!CE98))/SQRT(COUNT(Resultados!B98,Resultados!K98,Resultados!T98,Resultados!AC98,Resultados!AL98,Resultados!AU98,Resultados!BD98,Resultados!BV98,Resultados!CE98)))</f>
        <v/>
      </c>
      <c r="C98">
        <f>IF(COUNT(Resultados!C98,Resultados!L98,Resultados!U98,Resultados!AD98,Resultados!AM98,Resultados!AV98,Resultados!BE98,Resultados!BW98,Resultados!CF98)&lt;=1, "", _xlfn.STDEV.S(ABS(Resultados!C98),ABS(Resultados!L98),ABS(Resultados!U98),ABS(Resultados!AD98),ABS(Resultados!AM98),ABS(Resultados!AV98),ABS(Resultados!BE98),ABS(Resultados!BW98),ABS(Resultados!CF98))/SQRT(COUNT(Resultados!C98,Resultados!L98,Resultados!U98,Resultados!AD98,Resultados!AM98,Resultados!AV98,Resultados!BE98,Resultados!BW98,Resultados!CF98)))</f>
        <v>0.77180244385832253</v>
      </c>
      <c r="D98">
        <f>IF(COUNT(Resultados!D98,Resultados!M98,Resultados!V98,Resultados!AE98,Resultados!AN98,Resultados!AW98,Resultados!BF98,Resultados!BX98,Resultados!CG98)&lt;=1, "", _xlfn.STDEV.S(ABS(Resultados!D98),ABS(Resultados!M98),ABS(Resultados!V98),ABS(Resultados!AE98),ABS(Resultados!AN98),ABS(Resultados!AW98),ABS(Resultados!BF98),ABS(Resultados!BX98),ABS(Resultados!CG98))/SQRT(COUNT(Resultados!D98,Resultados!M98,Resultados!V98,Resultados!AE98,Resultados!AN98,Resultados!AW98,Resultados!BF98,Resultados!BX98,Resultados!CG98)))</f>
        <v>1.2030183233931863E-3</v>
      </c>
      <c r="E98">
        <f>IF(COUNT(Resultados!E98,Resultados!N98,Resultados!W98,Resultados!AF98,Resultados!AO98,Resultados!AX98,Resultados!BG98,Resultados!BY98,Resultados!CH98)&lt;=1, "", _xlfn.STDEV.S(ABS(Resultados!E98),ABS(Resultados!N98),ABS(Resultados!W98),ABS(Resultados!AF98),ABS(Resultados!AO98),ABS(Resultados!AX98),ABS(Resultados!BG98),ABS(Resultados!BY98),ABS(Resultados!CH98))/SQRT(COUNT(Resultados!E98,Resultados!N98,Resultados!W98,Resultados!AF98,Resultados!AO98,Resultados!AX98,Resultados!BG98,Resultados!BY98,Resultados!CH98)))</f>
        <v>7.5272524006735772E-2</v>
      </c>
      <c r="F98">
        <f>IF(COUNT(Resultados!F98,Resultados!O98,Resultados!X98,Resultados!AG98,Resultados!AP98,Resultados!AY98,Resultados!BH98,Resultados!BZ98,Resultados!CI98)&lt;=1, "", _xlfn.STDEV.S(ABS(Resultados!F98),ABS(Resultados!O98),ABS(Resultados!X98),ABS(Resultados!AG98),ABS(Resultados!AP98),ABS(Resultados!AY98),ABS(Resultados!BH98),ABS(Resultados!BZ98),ABS(Resultados!CI98))/SQRT(COUNT(Resultados!F98,Resultados!O98,Resultados!X98,Resultados!AG98,Resultados!AP98,Resultados!AY98,Resultados!BH98,Resultados!BZ98,Resultados!CI98)))</f>
        <v>7.0153992374277756</v>
      </c>
      <c r="G98">
        <f>IF(COUNT(Resultados!G98,Resultados!P98,Resultados!Y98,Resultados!AH98,Resultados!AQ98,Resultados!AZ98,Resultados!BI98,Resultados!CA98,Resultados!CJ98)&lt;=1, "", _xlfn.STDEV.S(ABS(Resultados!G98),ABS(Resultados!P98),ABS(Resultados!Y98),ABS(Resultados!AH98),ABS(Resultados!AQ98),ABS(Resultados!AZ98),ABS(Resultados!BI98),ABS(Resultados!CA98),ABS(Resultados!CJ98))/SQRT(COUNT(Resultados!G98,Resultados!P98,Resultados!Y98,Resultados!AH98,Resultados!AQ98,Resultados!AZ98,Resultados!BI98,Resultados!CA98,Resultados!CJ98)))</f>
        <v>0</v>
      </c>
      <c r="H98">
        <f>IF(COUNT(Resultados!H98,Resultados!Q98,Resultados!Z98,Resultados!AI98,Resultados!AR98,Resultados!BA98,Resultados!BJ98,Resultados!CB98,Resultados!CK98)&lt;=1, "", _xlfn.STDEV.S(ABS(Resultados!H98),ABS(Resultados!Q98),ABS(Resultados!Z98),ABS(Resultados!AI98),ABS(Resultados!AR98),ABS(Resultados!BA98),ABS(Resultados!BJ98),ABS(Resultados!CB98),ABS(Resultados!CK98))/SQRT(COUNT(Resultados!H98,Resultados!Q98,Resultados!Z98,Resultados!AI98,Resultados!AR98,Resultados!BA98,Resultados!BJ98,Resultados!CB98,Resultados!CK98)))</f>
        <v>1.1708390997617324E-3</v>
      </c>
      <c r="I98">
        <f>IF(COUNT(Resultados!I98,Resultados!R98,Resultados!AA98,Resultados!AJ98,Resultados!AS98,Resultados!BB98,Resultados!BK98,Resultados!CC98,Resultados!CL98)&lt;=1, "", _xlfn.STDEV.S(ABS(Resultados!I98),ABS(Resultados!R98),ABS(Resultados!AA98),ABS(Resultados!AJ98),ABS(Resultados!AS98),ABS(Resultados!BB98),ABS(Resultados!BK98),ABS(Resultados!CC98),ABS(Resultados!CL98))/SQRT(COUNT(Resultados!I98,Resultados!R98,Resultados!AA98,Resultados!AJ98,Resultados!AS98,Resultados!BB98,Resultados!BK98,Resultados!CC98,Resultados!CL98)))</f>
        <v>5.8895379097279488E-2</v>
      </c>
    </row>
    <row r="99" spans="1:9" x14ac:dyDescent="0.3">
      <c r="A99">
        <f>IF(COUNT(Resultados!A99,Resultados!J99,Resultados!S99,Resultados!AB99,Resultados!AK99,Resultados!AT99,Resultados!BC99,Resultados!BU99,Resultados!CD99)&lt;=1, "", _xlfn.STDEV.S(ABS(Resultados!A99),ABS(Resultados!J99),ABS(Resultados!S99),ABS(Resultados!AB99),ABS(Resultados!AK99),ABS(Resultados!AT99),ABS(Resultados!BC99),ABS(Resultados!BU99),ABS(Resultados!CD99))/SQRT(COUNT(Resultados!A99,Resultados!J99,Resultados!S99,Resultados!AB99,Resultados!AK99,Resultados!AT99,Resultados!BC99,Resultados!BU99,Resultados!CD99)))</f>
        <v>0</v>
      </c>
      <c r="B99" t="str">
        <f>IF(COUNT(Resultados!B99,Resultados!K99,Resultados!T99,Resultados!AC99,Resultados!AL99,Resultados!AU99,Resultados!BD99,Resultados!BV99,Resultados!CE99)&lt;=1, "", _xlfn.STDEV.S(ABS(Resultados!B99),ABS(Resultados!K99),ABS(Resultados!T99),ABS(Resultados!AC99),ABS(Resultados!AL99),ABS(Resultados!AU99),ABS(Resultados!BD99),ABS(Resultados!BV99),ABS(Resultados!CE99))/SQRT(COUNT(Resultados!B99,Resultados!K99,Resultados!T99,Resultados!AC99,Resultados!AL99,Resultados!AU99,Resultados!BD99,Resultados!BV99,Resultados!CE99)))</f>
        <v/>
      </c>
      <c r="C99">
        <f>IF(COUNT(Resultados!C99,Resultados!L99,Resultados!U99,Resultados!AD99,Resultados!AM99,Resultados!AV99,Resultados!BE99,Resultados!BW99,Resultados!CF99)&lt;=1, "", _xlfn.STDEV.S(ABS(Resultados!C99),ABS(Resultados!L99),ABS(Resultados!U99),ABS(Resultados!AD99),ABS(Resultados!AM99),ABS(Resultados!AV99),ABS(Resultados!BE99),ABS(Resultados!BW99),ABS(Resultados!CF99))/SQRT(COUNT(Resultados!C99,Resultados!L99,Resultados!U99,Resultados!AD99,Resultados!AM99,Resultados!AV99,Resultados!BE99,Resultados!BW99,Resultados!CF99)))</f>
        <v>0.77180244385832253</v>
      </c>
      <c r="D99">
        <f>IF(COUNT(Resultados!D99,Resultados!M99,Resultados!V99,Resultados!AE99,Resultados!AN99,Resultados!AW99,Resultados!BF99,Resultados!BX99,Resultados!CG99)&lt;=1, "", _xlfn.STDEV.S(ABS(Resultados!D99),ABS(Resultados!M99),ABS(Resultados!V99),ABS(Resultados!AE99),ABS(Resultados!AN99),ABS(Resultados!AW99),ABS(Resultados!BF99),ABS(Resultados!BX99),ABS(Resultados!CG99))/SQRT(COUNT(Resultados!D99,Resultados!M99,Resultados!V99,Resultados!AE99,Resultados!AN99,Resultados!AW99,Resultados!BF99,Resultados!BX99,Resultados!CG99)))</f>
        <v>1.0565200272125627E-3</v>
      </c>
      <c r="E99">
        <f>IF(COUNT(Resultados!E99,Resultados!N99,Resultados!W99,Resultados!AF99,Resultados!AO99,Resultados!AX99,Resultados!BG99,Resultados!BY99,Resultados!CH99)&lt;=1, "", _xlfn.STDEV.S(ABS(Resultados!E99),ABS(Resultados!N99),ABS(Resultados!W99),ABS(Resultados!AF99),ABS(Resultados!AO99),ABS(Resultados!AX99),ABS(Resultados!BG99),ABS(Resultados!BY99),ABS(Resultados!CH99))/SQRT(COUNT(Resultados!E99,Resultados!N99,Resultados!W99,Resultados!AF99,Resultados!AO99,Resultados!AX99,Resultados!BG99,Resultados!BY99,Resultados!CH99)))</f>
        <v>6.8190845235089781E-2</v>
      </c>
      <c r="F99">
        <f>IF(COUNT(Resultados!F99,Resultados!O99,Resultados!X99,Resultados!AG99,Resultados!AP99,Resultados!AY99,Resultados!BH99,Resultados!BZ99,Resultados!CI99)&lt;=1, "", _xlfn.STDEV.S(ABS(Resultados!F99),ABS(Resultados!O99),ABS(Resultados!X99),ABS(Resultados!AG99),ABS(Resultados!AP99),ABS(Resultados!AY99),ABS(Resultados!BH99),ABS(Resultados!BZ99),ABS(Resultados!CI99))/SQRT(COUNT(Resultados!F99,Resultados!O99,Resultados!X99,Resultados!AG99,Resultados!AP99,Resultados!AY99,Resultados!BH99,Resultados!BZ99,Resultados!CI99)))</f>
        <v>6.355386775910369</v>
      </c>
      <c r="G99">
        <f>IF(COUNT(Resultados!G99,Resultados!P99,Resultados!Y99,Resultados!AH99,Resultados!AQ99,Resultados!AZ99,Resultados!BI99,Resultados!CA99,Resultados!CJ99)&lt;=1, "", _xlfn.STDEV.S(ABS(Resultados!G99),ABS(Resultados!P99),ABS(Resultados!Y99),ABS(Resultados!AH99),ABS(Resultados!AQ99),ABS(Resultados!AZ99),ABS(Resultados!BI99),ABS(Resultados!CA99),ABS(Resultados!CJ99))/SQRT(COUNT(Resultados!G99,Resultados!P99,Resultados!Y99,Resultados!AH99,Resultados!AQ99,Resultados!AZ99,Resultados!BI99,Resultados!CA99,Resultados!CJ99)))</f>
        <v>0</v>
      </c>
      <c r="H99">
        <f>IF(COUNT(Resultados!H99,Resultados!Q99,Resultados!Z99,Resultados!AI99,Resultados!AR99,Resultados!BA99,Resultados!BJ99,Resultados!CB99,Resultados!CK99)&lt;=1, "", _xlfn.STDEV.S(ABS(Resultados!H99),ABS(Resultados!Q99),ABS(Resultados!Z99),ABS(Resultados!AI99),ABS(Resultados!AR99),ABS(Resultados!BA99),ABS(Resultados!BJ99),ABS(Resultados!CB99),ABS(Resultados!CK99))/SQRT(COUNT(Resultados!H99,Resultados!Q99,Resultados!Z99,Resultados!AI99,Resultados!AR99,Resultados!BA99,Resultados!BJ99,Resultados!CB99,Resultados!CK99)))</f>
        <v>1.0517768622199455E-3</v>
      </c>
      <c r="I99">
        <f>IF(COUNT(Resultados!I99,Resultados!R99,Resultados!AA99,Resultados!AJ99,Resultados!AS99,Resultados!BB99,Resultados!BK99,Resultados!CC99,Resultados!CL99)&lt;=1, "", _xlfn.STDEV.S(ABS(Resultados!I99),ABS(Resultados!R99),ABS(Resultados!AA99),ABS(Resultados!AJ99),ABS(Resultados!AS99),ABS(Resultados!BB99),ABS(Resultados!BK99),ABS(Resultados!CC99),ABS(Resultados!CL99))/SQRT(COUNT(Resultados!I99,Resultados!R99,Resultados!AA99,Resultados!AJ99,Resultados!AS99,Resultados!BB99,Resultados!BK99,Resultados!CC99,Resultados!CL99)))</f>
        <v>5.891619387938931E-2</v>
      </c>
    </row>
    <row r="100" spans="1:9" x14ac:dyDescent="0.3">
      <c r="A100">
        <f>IF(COUNT(Resultados!A100,Resultados!J100,Resultados!S100,Resultados!AB100,Resultados!AK100,Resultados!AT100,Resultados!BC100,Resultados!BU100,Resultados!CD100)&lt;=1, "", _xlfn.STDEV.S(ABS(Resultados!A100),ABS(Resultados!J100),ABS(Resultados!S100),ABS(Resultados!AB100),ABS(Resultados!AK100),ABS(Resultados!AT100),ABS(Resultados!BC100),ABS(Resultados!BU100),ABS(Resultados!CD100))/SQRT(COUNT(Resultados!A100,Resultados!J100,Resultados!S100,Resultados!AB100,Resultados!AK100,Resultados!AT100,Resultados!BC100,Resultados!BU100,Resultados!CD100)))</f>
        <v>0</v>
      </c>
      <c r="B100" t="str">
        <f>IF(COUNT(Resultados!B100,Resultados!K100,Resultados!T100,Resultados!AC100,Resultados!AL100,Resultados!AU100,Resultados!BD100,Resultados!BV100,Resultados!CE100)&lt;=1, "", _xlfn.STDEV.S(ABS(Resultados!B100),ABS(Resultados!K100),ABS(Resultados!T100),ABS(Resultados!AC100),ABS(Resultados!AL100),ABS(Resultados!AU100),ABS(Resultados!BD100),ABS(Resultados!BV100),ABS(Resultados!CE100))/SQRT(COUNT(Resultados!B100,Resultados!K100,Resultados!T100,Resultados!AC100,Resultados!AL100,Resultados!AU100,Resultados!BD100,Resultados!BV100,Resultados!CE100)))</f>
        <v/>
      </c>
      <c r="C100">
        <f>IF(COUNT(Resultados!C100,Resultados!L100,Resultados!U100,Resultados!AD100,Resultados!AM100,Resultados!AV100,Resultados!BE100,Resultados!BW100,Resultados!CF100)&lt;=1, "", _xlfn.STDEV.S(ABS(Resultados!C100),ABS(Resultados!L100),ABS(Resultados!U100),ABS(Resultados!AD100),ABS(Resultados!AM100),ABS(Resultados!AV100),ABS(Resultados!BE100),ABS(Resultados!BW100),ABS(Resultados!CF100))/SQRT(COUNT(Resultados!C100,Resultados!L100,Resultados!U100,Resultados!AD100,Resultados!AM100,Resultados!AV100,Resultados!BE100,Resultados!BW100,Resultados!CF100)))</f>
        <v>0.77180244385832253</v>
      </c>
      <c r="D100">
        <f>IF(COUNT(Resultados!D100,Resultados!M100,Resultados!V100,Resultados!AE100,Resultados!AN100,Resultados!AW100,Resultados!BF100,Resultados!BX100,Resultados!CG100)&lt;=1, "", _xlfn.STDEV.S(ABS(Resultados!D100),ABS(Resultados!M100),ABS(Resultados!V100),ABS(Resultados!AE100),ABS(Resultados!AN100),ABS(Resultados!AW100),ABS(Resultados!BF100),ABS(Resultados!BX100),ABS(Resultados!CG100))/SQRT(COUNT(Resultados!D100,Resultados!M100,Resultados!V100,Resultados!AE100,Resultados!AN100,Resultados!AW100,Resultados!BF100,Resultados!BX100,Resultados!CG100)))</f>
        <v>9.0540216833170505E-4</v>
      </c>
      <c r="E100">
        <f>IF(COUNT(Resultados!E100,Resultados!N100,Resultados!W100,Resultados!AF100,Resultados!AO100,Resultados!AX100,Resultados!BG100,Resultados!BY100,Resultados!CH100)&lt;=1, "", _xlfn.STDEV.S(ABS(Resultados!E100),ABS(Resultados!N100),ABS(Resultados!W100),ABS(Resultados!AF100),ABS(Resultados!AO100),ABS(Resultados!AX100),ABS(Resultados!BG100),ABS(Resultados!BY100),ABS(Resultados!CH100))/SQRT(COUNT(Resultados!E100,Resultados!N100,Resultados!W100,Resultados!AF100,Resultados!AO100,Resultados!AX100,Resultados!BG100,Resultados!BY100,Resultados!CH100)))</f>
        <v>6.1013283877435119E-2</v>
      </c>
      <c r="F100">
        <f>IF(COUNT(Resultados!F100,Resultados!O100,Resultados!X100,Resultados!AG100,Resultados!AP100,Resultados!AY100,Resultados!BH100,Resultados!BZ100,Resultados!CI100)&lt;=1, "", _xlfn.STDEV.S(ABS(Resultados!F100),ABS(Resultados!O100),ABS(Resultados!X100),ABS(Resultados!AG100),ABS(Resultados!AP100),ABS(Resultados!AY100),ABS(Resultados!BH100),ABS(Resultados!BZ100),ABS(Resultados!CI100))/SQRT(COUNT(Resultados!F100,Resultados!O100,Resultados!X100,Resultados!AG100,Resultados!AP100,Resultados!AY100,Resultados!BH100,Resultados!BZ100,Resultados!CI100)))</f>
        <v>12.057920921352073</v>
      </c>
      <c r="G100">
        <f>IF(COUNT(Resultados!G100,Resultados!P100,Resultados!Y100,Resultados!AH100,Resultados!AQ100,Resultados!AZ100,Resultados!BI100,Resultados!CA100,Resultados!CJ100)&lt;=1, "", _xlfn.STDEV.S(ABS(Resultados!G100),ABS(Resultados!P100),ABS(Resultados!Y100),ABS(Resultados!AH100),ABS(Resultados!AQ100),ABS(Resultados!AZ100),ABS(Resultados!BI100),ABS(Resultados!CA100),ABS(Resultados!CJ100))/SQRT(COUNT(Resultados!G100,Resultados!P100,Resultados!Y100,Resultados!AH100,Resultados!AQ100,Resultados!AZ100,Resultados!BI100,Resultados!CA100,Resultados!CJ100)))</f>
        <v>0</v>
      </c>
      <c r="H100">
        <f>IF(COUNT(Resultados!H100,Resultados!Q100,Resultados!Z100,Resultados!AI100,Resultados!AR100,Resultados!BA100,Resultados!BJ100,Resultados!CB100,Resultados!CK100)&lt;=1, "", _xlfn.STDEV.S(ABS(Resultados!H100),ABS(Resultados!Q100),ABS(Resultados!Z100),ABS(Resultados!AI100),ABS(Resultados!AR100),ABS(Resultados!BA100),ABS(Resultados!BJ100),ABS(Resultados!CB100),ABS(Resultados!CK100))/SQRT(COUNT(Resultados!H100,Resultados!Q100,Resultados!Z100,Resultados!AI100,Resultados!AR100,Resultados!BA100,Resultados!BJ100,Resultados!CB100,Resultados!CK100)))</f>
        <v>9.5555555555555552E-4</v>
      </c>
      <c r="I100">
        <f>IF(COUNT(Resultados!I100,Resultados!R100,Resultados!AA100,Resultados!AJ100,Resultados!AS100,Resultados!BB100,Resultados!BK100,Resultados!CC100,Resultados!CL100)&lt;=1, "", _xlfn.STDEV.S(ABS(Resultados!I100),ABS(Resultados!R100),ABS(Resultados!AA100),ABS(Resultados!AJ100),ABS(Resultados!AS100),ABS(Resultados!BB100),ABS(Resultados!BK100),ABS(Resultados!CC100),ABS(Resultados!CL100))/SQRT(COUNT(Resultados!I100,Resultados!R100,Resultados!AA100,Resultados!AJ100,Resultados!AS100,Resultados!BB100,Resultados!BK100,Resultados!CC100,Resultados!CL100)))</f>
        <v>5.88287851038111E-2</v>
      </c>
    </row>
    <row r="101" spans="1:9" x14ac:dyDescent="0.3">
      <c r="A101">
        <f>IF(COUNT(Resultados!A101,Resultados!J101,Resultados!S101,Resultados!AB101,Resultados!AK101,Resultados!AT101,Resultados!BC101,Resultados!BU101,Resultados!CD101)&lt;=1, "", _xlfn.STDEV.S(ABS(Resultados!A101),ABS(Resultados!J101),ABS(Resultados!S101),ABS(Resultados!AB101),ABS(Resultados!AK101),ABS(Resultados!AT101),ABS(Resultados!BC101),ABS(Resultados!BU101),ABS(Resultados!CD101))/SQRT(COUNT(Resultados!A101,Resultados!J101,Resultados!S101,Resultados!AB101,Resultados!AK101,Resultados!AT101,Resultados!BC101,Resultados!BU101,Resultados!CD101)))</f>
        <v>0</v>
      </c>
      <c r="B101" t="str">
        <f>IF(COUNT(Resultados!B101,Resultados!K101,Resultados!T101,Resultados!AC101,Resultados!AL101,Resultados!AU101,Resultados!BD101,Resultados!BV101,Resultados!CE101)&lt;=1, "", _xlfn.STDEV.S(ABS(Resultados!B101),ABS(Resultados!K101),ABS(Resultados!T101),ABS(Resultados!AC101),ABS(Resultados!AL101),ABS(Resultados!AU101),ABS(Resultados!BD101),ABS(Resultados!BV101),ABS(Resultados!CE101))/SQRT(COUNT(Resultados!B101,Resultados!K101,Resultados!T101,Resultados!AC101,Resultados!AL101,Resultados!AU101,Resultados!BD101,Resultados!BV101,Resultados!CE101)))</f>
        <v/>
      </c>
      <c r="C101">
        <f>IF(COUNT(Resultados!C101,Resultados!L101,Resultados!U101,Resultados!AD101,Resultados!AM101,Resultados!AV101,Resultados!BE101,Resultados!BW101,Resultados!CF101)&lt;=1, "", _xlfn.STDEV.S(ABS(Resultados!C101),ABS(Resultados!L101),ABS(Resultados!U101),ABS(Resultados!AD101),ABS(Resultados!AM101),ABS(Resultados!AV101),ABS(Resultados!BE101),ABS(Resultados!BW101),ABS(Resultados!CF101))/SQRT(COUNT(Resultados!C101,Resultados!L101,Resultados!U101,Resultados!AD101,Resultados!AM101,Resultados!AV101,Resultados!BE101,Resultados!BW101,Resultados!CF101)))</f>
        <v>0.77180244385832253</v>
      </c>
      <c r="D101">
        <f>IF(COUNT(Resultados!D101,Resultados!M101,Resultados!V101,Resultados!AE101,Resultados!AN101,Resultados!AW101,Resultados!BF101,Resultados!BX101,Resultados!CG101)&lt;=1, "", _xlfn.STDEV.S(ABS(Resultados!D101),ABS(Resultados!M101),ABS(Resultados!V101),ABS(Resultados!AE101),ABS(Resultados!AN101),ABS(Resultados!AW101),ABS(Resultados!BF101),ABS(Resultados!BX101),ABS(Resultados!CG101))/SQRT(COUNT(Resultados!D101,Resultados!M101,Resultados!V101,Resultados!AE101,Resultados!AN101,Resultados!AW101,Resultados!BF101,Resultados!BX101,Resultados!CG101)))</f>
        <v>8.2693842605953882E-4</v>
      </c>
      <c r="E101">
        <f>IF(COUNT(Resultados!E101,Resultados!N101,Resultados!W101,Resultados!AF101,Resultados!AO101,Resultados!AX101,Resultados!BG101,Resultados!BY101,Resultados!CH101)&lt;=1, "", _xlfn.STDEV.S(ABS(Resultados!E101),ABS(Resultados!N101),ABS(Resultados!W101),ABS(Resultados!AF101),ABS(Resultados!AO101),ABS(Resultados!AX101),ABS(Resultados!BG101),ABS(Resultados!BY101),ABS(Resultados!CH101))/SQRT(COUNT(Resultados!E101,Resultados!N101,Resultados!W101,Resultados!AF101,Resultados!AO101,Resultados!AX101,Resultados!BG101,Resultados!BY101,Resultados!CH101)))</f>
        <v>5.3576053585763221E-2</v>
      </c>
      <c r="F101">
        <f>IF(COUNT(Resultados!F101,Resultados!O101,Resultados!X101,Resultados!AG101,Resultados!AP101,Resultados!AY101,Resultados!BH101,Resultados!BZ101,Resultados!CI101)&lt;=1, "", _xlfn.STDEV.S(ABS(Resultados!F101),ABS(Resultados!O101),ABS(Resultados!X101),ABS(Resultados!AG101),ABS(Resultados!AP101),ABS(Resultados!AY101),ABS(Resultados!BH101),ABS(Resultados!BZ101),ABS(Resultados!CI101))/SQRT(COUNT(Resultados!F101,Resultados!O101,Resultados!X101,Resultados!AG101,Resultados!AP101,Resultados!AY101,Resultados!BH101,Resultados!BZ101,Resultados!CI101)))</f>
        <v>11.924647370665438</v>
      </c>
      <c r="G101">
        <f>IF(COUNT(Resultados!G101,Resultados!P101,Resultados!Y101,Resultados!AH101,Resultados!AQ101,Resultados!AZ101,Resultados!BI101,Resultados!CA101,Resultados!CJ101)&lt;=1, "", _xlfn.STDEV.S(ABS(Resultados!G101),ABS(Resultados!P101),ABS(Resultados!Y101),ABS(Resultados!AH101),ABS(Resultados!AQ101),ABS(Resultados!AZ101),ABS(Resultados!BI101),ABS(Resultados!CA101),ABS(Resultados!CJ101))/SQRT(COUNT(Resultados!G101,Resultados!P101,Resultados!Y101,Resultados!AH101,Resultados!AQ101,Resultados!AZ101,Resultados!BI101,Resultados!CA101,Resultados!CJ101)))</f>
        <v>0</v>
      </c>
      <c r="H101">
        <f>IF(COUNT(Resultados!H101,Resultados!Q101,Resultados!Z101,Resultados!AI101,Resultados!AR101,Resultados!BA101,Resultados!BJ101,Resultados!CB101,Resultados!CK101)&lt;=1, "", _xlfn.STDEV.S(ABS(Resultados!H101),ABS(Resultados!Q101),ABS(Resultados!Z101),ABS(Resultados!AI101),ABS(Resultados!AR101),ABS(Resultados!BA101),ABS(Resultados!BJ101),ABS(Resultados!CB101),ABS(Resultados!CK101))/SQRT(COUNT(Resultados!H101,Resultados!Q101,Resultados!Z101,Resultados!AI101,Resultados!AR101,Resultados!BA101,Resultados!BJ101,Resultados!CB101,Resultados!CK101)))</f>
        <v>8.3084814615867612E-4</v>
      </c>
      <c r="I101">
        <f>IF(COUNT(Resultados!I101,Resultados!R101,Resultados!AA101,Resultados!AJ101,Resultados!AS101,Resultados!BB101,Resultados!BK101,Resultados!CC101,Resultados!CL101)&lt;=1, "", _xlfn.STDEV.S(ABS(Resultados!I101),ABS(Resultados!R101),ABS(Resultados!AA101),ABS(Resultados!AJ101),ABS(Resultados!AS101),ABS(Resultados!BB101),ABS(Resultados!BK101),ABS(Resultados!CC101),ABS(Resultados!CL101))/SQRT(COUNT(Resultados!I101,Resultados!R101,Resultados!AA101,Resultados!AJ101,Resultados!AS101,Resultados!BB101,Resultados!BK101,Resultados!CC101,Resultados!CL101)))</f>
        <v>5.8940635807417263E-2</v>
      </c>
    </row>
    <row r="102" spans="1:9" x14ac:dyDescent="0.3">
      <c r="A102">
        <f>IF(COUNT(Resultados!A102,Resultados!J102,Resultados!S102,Resultados!AB102,Resultados!AK102,Resultados!AT102,Resultados!BC102,Resultados!BU102,Resultados!CD102)&lt;=1, "", _xlfn.STDEV.S(ABS(Resultados!A102),ABS(Resultados!J102),ABS(Resultados!S102),ABS(Resultados!AB102),ABS(Resultados!AK102),ABS(Resultados!AT102),ABS(Resultados!BC102),ABS(Resultados!BU102),ABS(Resultados!CD102))/SQRT(COUNT(Resultados!A102,Resultados!J102,Resultados!S102,Resultados!AB102,Resultados!AK102,Resultados!AT102,Resultados!BC102,Resultados!BU102,Resultados!CD102)))</f>
        <v>0</v>
      </c>
      <c r="B102" t="str">
        <f>IF(COUNT(Resultados!B102,Resultados!K102,Resultados!T102,Resultados!AC102,Resultados!AL102,Resultados!AU102,Resultados!BD102,Resultados!BV102,Resultados!CE102)&lt;=1, "", _xlfn.STDEV.S(ABS(Resultados!B102),ABS(Resultados!K102),ABS(Resultados!T102),ABS(Resultados!AC102),ABS(Resultados!AL102),ABS(Resultados!AU102),ABS(Resultados!BD102),ABS(Resultados!BV102),ABS(Resultados!CE102))/SQRT(COUNT(Resultados!B102,Resultados!K102,Resultados!T102,Resultados!AC102,Resultados!AL102,Resultados!AU102,Resultados!BD102,Resultados!BV102,Resultados!CE102)))</f>
        <v/>
      </c>
      <c r="C102">
        <f>IF(COUNT(Resultados!C102,Resultados!L102,Resultados!U102,Resultados!AD102,Resultados!AM102,Resultados!AV102,Resultados!BE102,Resultados!BW102,Resultados!CF102)&lt;=1, "", _xlfn.STDEV.S(ABS(Resultados!C102),ABS(Resultados!L102),ABS(Resultados!U102),ABS(Resultados!AD102),ABS(Resultados!AM102),ABS(Resultados!AV102),ABS(Resultados!BE102),ABS(Resultados!BW102),ABS(Resultados!CF102))/SQRT(COUNT(Resultados!C102,Resultados!L102,Resultados!U102,Resultados!AD102,Resultados!AM102,Resultados!AV102,Resultados!BE102,Resultados!BW102,Resultados!CF102)))</f>
        <v>0.77180244385832253</v>
      </c>
      <c r="D102">
        <f>IF(COUNT(Resultados!D102,Resultados!M102,Resultados!V102,Resultados!AE102,Resultados!AN102,Resultados!AW102,Resultados!BF102,Resultados!BX102,Resultados!CG102)&lt;=1, "", _xlfn.STDEV.S(ABS(Resultados!D102),ABS(Resultados!M102),ABS(Resultados!V102),ABS(Resultados!AE102),ABS(Resultados!AN102),ABS(Resultados!AW102),ABS(Resultados!BF102),ABS(Resultados!BX102),ABS(Resultados!CG102))/SQRT(COUNT(Resultados!D102,Resultados!M102,Resultados!V102,Resultados!AE102,Resultados!AN102,Resultados!AW102,Resultados!BF102,Resultados!BX102,Resultados!CG102)))</f>
        <v>7.5879615506292046E-4</v>
      </c>
      <c r="E102">
        <f>IF(COUNT(Resultados!E102,Resultados!N102,Resultados!W102,Resultados!AF102,Resultados!AO102,Resultados!AX102,Resultados!BG102,Resultados!BY102,Resultados!CH102)&lt;=1, "", _xlfn.STDEV.S(ABS(Resultados!E102),ABS(Resultados!N102),ABS(Resultados!W102),ABS(Resultados!AF102),ABS(Resultados!AO102),ABS(Resultados!AX102),ABS(Resultados!BG102),ABS(Resultados!BY102),ABS(Resultados!CH102))/SQRT(COUNT(Resultados!E102,Resultados!N102,Resultados!W102,Resultados!AF102,Resultados!AO102,Resultados!AX102,Resultados!BG102,Resultados!BY102,Resultados!CH102)))</f>
        <v>4.6244114478792786E-2</v>
      </c>
      <c r="F102">
        <f>IF(COUNT(Resultados!F102,Resultados!O102,Resultados!X102,Resultados!AG102,Resultados!AP102,Resultados!AY102,Resultados!BH102,Resultados!BZ102,Resultados!CI102)&lt;=1, "", _xlfn.STDEV.S(ABS(Resultados!F102),ABS(Resultados!O102),ABS(Resultados!X102),ABS(Resultados!AG102),ABS(Resultados!AP102),ABS(Resultados!AY102),ABS(Resultados!BH102),ABS(Resultados!BZ102),ABS(Resultados!CI102))/SQRT(COUNT(Resultados!F102,Resultados!O102,Resultados!X102,Resultados!AG102,Resultados!AP102,Resultados!AY102,Resultados!BH102,Resultados!BZ102,Resultados!CI102)))</f>
        <v>15.422984632019563</v>
      </c>
      <c r="G102">
        <f>IF(COUNT(Resultados!G102,Resultados!P102,Resultados!Y102,Resultados!AH102,Resultados!AQ102,Resultados!AZ102,Resultados!BI102,Resultados!CA102,Resultados!CJ102)&lt;=1, "", _xlfn.STDEV.S(ABS(Resultados!G102),ABS(Resultados!P102),ABS(Resultados!Y102),ABS(Resultados!AH102),ABS(Resultados!AQ102),ABS(Resultados!AZ102),ABS(Resultados!BI102),ABS(Resultados!CA102),ABS(Resultados!CJ102))/SQRT(COUNT(Resultados!G102,Resultados!P102,Resultados!Y102,Resultados!AH102,Resultados!AQ102,Resultados!AZ102,Resultados!BI102,Resultados!CA102,Resultados!CJ102)))</f>
        <v>0</v>
      </c>
      <c r="H102">
        <f>IF(COUNT(Resultados!H102,Resultados!Q102,Resultados!Z102,Resultados!AI102,Resultados!AR102,Resultados!BA102,Resultados!BJ102,Resultados!CB102,Resultados!CK102)&lt;=1, "", _xlfn.STDEV.S(ABS(Resultados!H102),ABS(Resultados!Q102),ABS(Resultados!Z102),ABS(Resultados!AI102),ABS(Resultados!AR102),ABS(Resultados!BA102),ABS(Resultados!BJ102),ABS(Resultados!CB102),ABS(Resultados!CK102))/SQRT(COUNT(Resultados!H102,Resultados!Q102,Resultados!Z102,Resultados!AI102,Resultados!AR102,Resultados!BA102,Resultados!BJ102,Resultados!CB102,Resultados!CK102)))</f>
        <v>7.1802197428460048E-4</v>
      </c>
      <c r="I102">
        <f>IF(COUNT(Resultados!I102,Resultados!R102,Resultados!AA102,Resultados!AJ102,Resultados!AS102,Resultados!BB102,Resultados!BK102,Resultados!CC102,Resultados!CL102)&lt;=1, "", _xlfn.STDEV.S(ABS(Resultados!I102),ABS(Resultados!R102),ABS(Resultados!AA102),ABS(Resultados!AJ102),ABS(Resultados!AS102),ABS(Resultados!BB102),ABS(Resultados!BK102),ABS(Resultados!CC102),ABS(Resultados!CL102))/SQRT(COUNT(Resultados!I102,Resultados!R102,Resultados!AA102,Resultados!AJ102,Resultados!AS102,Resultados!BB102,Resultados!BK102,Resultados!CC102,Resultados!CL102)))</f>
        <v>5.8919694510702003E-2</v>
      </c>
    </row>
    <row r="103" spans="1:9" x14ac:dyDescent="0.3">
      <c r="A103">
        <f>IF(COUNT(Resultados!A103,Resultados!J103,Resultados!S103,Resultados!AB103,Resultados!AK103,Resultados!AT103,Resultados!BC103,Resultados!BU103,Resultados!CD103)&lt;=1, "", _xlfn.STDEV.S(ABS(Resultados!A103),ABS(Resultados!J103),ABS(Resultados!S103),ABS(Resultados!AB103),ABS(Resultados!AK103),ABS(Resultados!AT103),ABS(Resultados!BC103),ABS(Resultados!BU103),ABS(Resultados!CD103))/SQRT(COUNT(Resultados!A103,Resultados!J103,Resultados!S103,Resultados!AB103,Resultados!AK103,Resultados!AT103,Resultados!BC103,Resultados!BU103,Resultados!CD103)))</f>
        <v>0</v>
      </c>
      <c r="B103" t="str">
        <f>IF(COUNT(Resultados!B103,Resultados!K103,Resultados!T103,Resultados!AC103,Resultados!AL103,Resultados!AU103,Resultados!BD103,Resultados!BV103,Resultados!CE103)&lt;=1, "", _xlfn.STDEV.S(ABS(Resultados!B103),ABS(Resultados!K103),ABS(Resultados!T103),ABS(Resultados!AC103),ABS(Resultados!AL103),ABS(Resultados!AU103),ABS(Resultados!BD103),ABS(Resultados!BV103),ABS(Resultados!CE103))/SQRT(COUNT(Resultados!B103,Resultados!K103,Resultados!T103,Resultados!AC103,Resultados!AL103,Resultados!AU103,Resultados!BD103,Resultados!BV103,Resultados!CE103)))</f>
        <v/>
      </c>
      <c r="C103">
        <f>IF(COUNT(Resultados!C103,Resultados!L103,Resultados!U103,Resultados!AD103,Resultados!AM103,Resultados!AV103,Resultados!BE103,Resultados!BW103,Resultados!CF103)&lt;=1, "", _xlfn.STDEV.S(ABS(Resultados!C103),ABS(Resultados!L103),ABS(Resultados!U103),ABS(Resultados!AD103),ABS(Resultados!AM103),ABS(Resultados!AV103),ABS(Resultados!BE103),ABS(Resultados!BW103),ABS(Resultados!CF103))/SQRT(COUNT(Resultados!C103,Resultados!L103,Resultados!U103,Resultados!AD103,Resultados!AM103,Resultados!AV103,Resultados!BE103,Resultados!BW103,Resultados!CF103)))</f>
        <v>0.77180244385832253</v>
      </c>
      <c r="D103">
        <f>IF(COUNT(Resultados!D103,Resultados!M103,Resultados!V103,Resultados!AE103,Resultados!AN103,Resultados!AW103,Resultados!BF103,Resultados!BX103,Resultados!CG103)&lt;=1, "", _xlfn.STDEV.S(ABS(Resultados!D103),ABS(Resultados!M103),ABS(Resultados!V103),ABS(Resultados!AE103),ABS(Resultados!AN103),ABS(Resultados!AW103),ABS(Resultados!BF103),ABS(Resultados!BX103),ABS(Resultados!CG103))/SQRT(COUNT(Resultados!D103,Resultados!M103,Resultados!V103,Resultados!AE103,Resultados!AN103,Resultados!AW103,Resultados!BF103,Resultados!BX103,Resultados!CG103)))</f>
        <v>5.9019770698752591E-4</v>
      </c>
      <c r="E103">
        <f>IF(COUNT(Resultados!E103,Resultados!N103,Resultados!W103,Resultados!AF103,Resultados!AO103,Resultados!AX103,Resultados!BG103,Resultados!BY103,Resultados!CH103)&lt;=1, "", _xlfn.STDEV.S(ABS(Resultados!E103),ABS(Resultados!N103),ABS(Resultados!W103),ABS(Resultados!AF103),ABS(Resultados!AO103),ABS(Resultados!AX103),ABS(Resultados!BG103),ABS(Resultados!BY103),ABS(Resultados!CH103))/SQRT(COUNT(Resultados!E103,Resultados!N103,Resultados!W103,Resultados!AF103,Resultados!AO103,Resultados!AX103,Resultados!BG103,Resultados!BY103,Resultados!CH103)))</f>
        <v>3.8926125770857203E-2</v>
      </c>
      <c r="F103">
        <f>IF(COUNT(Resultados!F103,Resultados!O103,Resultados!X103,Resultados!AG103,Resultados!AP103,Resultados!AY103,Resultados!BH103,Resultados!BZ103,Resultados!CI103)&lt;=1, "", _xlfn.STDEV.S(ABS(Resultados!F103),ABS(Resultados!O103),ABS(Resultados!X103),ABS(Resultados!AG103),ABS(Resultados!AP103),ABS(Resultados!AY103),ABS(Resultados!BH103),ABS(Resultados!BZ103),ABS(Resultados!CI103))/SQRT(COUNT(Resultados!F103,Resultados!O103,Resultados!X103,Resultados!AG103,Resultados!AP103,Resultados!AY103,Resultados!BH103,Resultados!BZ103,Resultados!CI103)))</f>
        <v>15.750545434284234</v>
      </c>
      <c r="G103">
        <f>IF(COUNT(Resultados!G103,Resultados!P103,Resultados!Y103,Resultados!AH103,Resultados!AQ103,Resultados!AZ103,Resultados!BI103,Resultados!CA103,Resultados!CJ103)&lt;=1, "", _xlfn.STDEV.S(ABS(Resultados!G103),ABS(Resultados!P103),ABS(Resultados!Y103),ABS(Resultados!AH103),ABS(Resultados!AQ103),ABS(Resultados!AZ103),ABS(Resultados!BI103),ABS(Resultados!CA103),ABS(Resultados!CJ103))/SQRT(COUNT(Resultados!G103,Resultados!P103,Resultados!Y103,Resultados!AH103,Resultados!AQ103,Resultados!AZ103,Resultados!BI103,Resultados!CA103,Resultados!CJ103)))</f>
        <v>0</v>
      </c>
      <c r="H103">
        <f>IF(COUNT(Resultados!H103,Resultados!Q103,Resultados!Z103,Resultados!AI103,Resultados!AR103,Resultados!BA103,Resultados!BJ103,Resultados!CB103,Resultados!CK103)&lt;=1, "", _xlfn.STDEV.S(ABS(Resultados!H103),ABS(Resultados!Q103),ABS(Resultados!Z103),ABS(Resultados!AI103),ABS(Resultados!AR103),ABS(Resultados!BA103),ABS(Resultados!BJ103),ABS(Resultados!CB103),ABS(Resultados!CK103))/SQRT(COUNT(Resultados!H103,Resultados!Q103,Resultados!Z103,Resultados!AI103,Resultados!AR103,Resultados!BA103,Resultados!BJ103,Resultados!CB103,Resultados!CK103)))</f>
        <v>6.039223643997813E-4</v>
      </c>
      <c r="I103">
        <f>IF(COUNT(Resultados!I103,Resultados!R103,Resultados!AA103,Resultados!AJ103,Resultados!AS103,Resultados!BB103,Resultados!BK103,Resultados!CC103,Resultados!CL103)&lt;=1, "", _xlfn.STDEV.S(ABS(Resultados!I103),ABS(Resultados!R103),ABS(Resultados!AA103),ABS(Resultados!AJ103),ABS(Resultados!AS103),ABS(Resultados!BB103),ABS(Resultados!BK103),ABS(Resultados!CC103),ABS(Resultados!CL103))/SQRT(COUNT(Resultados!I103,Resultados!R103,Resultados!AA103,Resultados!AJ103,Resultados!AS103,Resultados!BB103,Resultados!BK103,Resultados!CC103,Resultados!CL103)))</f>
        <v>5.8049099056181656E-2</v>
      </c>
    </row>
    <row r="104" spans="1:9" x14ac:dyDescent="0.3">
      <c r="A104">
        <f>IF(COUNT(Resultados!A104,Resultados!J104,Resultados!S104,Resultados!AB104,Resultados!AK104,Resultados!AT104,Resultados!BC104,Resultados!BU104)&lt;=1, "", _xlfn.STDEV.S(ABS(Resultados!A104),ABS(Resultados!J104),ABS(Resultados!S104),ABS(Resultados!AB104),ABS(Resultados!AK104),ABS(Resultados!AT104),ABS(Resultados!BC104),ABS(Resultados!BU104))/SQRT(COUNT(Resultados!A104,Resultados!J104,Resultados!S104,Resultados!AB104,Resultados!AK104,Resultados!AT104,Resultados!BC104,Resultados!BU104)))</f>
        <v>0</v>
      </c>
      <c r="B104" t="str">
        <f>IF(COUNT(Resultados!B104,Resultados!K104,Resultados!T104,Resultados!AC104,Resultados!AL104,Resultados!AU104,Resultados!BD104,Resultados!BV104)&lt;=1, "", _xlfn.STDEV.S(ABS(Resultados!B104),ABS(Resultados!K104),ABS(Resultados!T104),ABS(Resultados!AC104),ABS(Resultados!AL104),ABS(Resultados!AU104),ABS(Resultados!BD104),ABS(Resultados!BV104))/SQRT(COUNT(Resultados!B104,Resultados!K104,Resultados!T104,Resultados!AC104,Resultados!AL104,Resultados!AU104,Resultados!BD104,Resultados!BV104)))</f>
        <v/>
      </c>
      <c r="C104">
        <f>IF(COUNT(Resultados!C104,Resultados!L104,Resultados!U104,Resultados!AD104,Resultados!AM104,Resultados!AV104,Resultados!BE104,Resultados!BW104)&lt;=1, "", _xlfn.STDEV.S(ABS(Resultados!C104),ABS(Resultados!L104),ABS(Resultados!U104),ABS(Resultados!AD104),ABS(Resultados!AM104),ABS(Resultados!AV104),ABS(Resultados!BE104),ABS(Resultados!BW104))/SQRT(COUNT(Resultados!C104,Resultados!L104,Resultados!U104,Resultados!AD104,Resultados!AM104,Resultados!AV104,Resultados!BE104,Resultados!BW104)))</f>
        <v>0.7734431367038469</v>
      </c>
      <c r="D104">
        <f>IF(COUNT(Resultados!D104,Resultados!M104,Resultados!V104,Resultados!AE104,Resultados!AN104,Resultados!AW104,Resultados!BF104,Resultados!BX104)&lt;=1, "", _xlfn.STDEV.S(ABS(Resultados!D104),ABS(Resultados!M104),ABS(Resultados!V104),ABS(Resultados!AE104),ABS(Resultados!AN104),ABS(Resultados!AW104),ABS(Resultados!BF104),ABS(Resultados!BX104))/SQRT(COUNT(Resultados!D104,Resultados!M104,Resultados!V104,Resultados!AE104,Resultados!AN104,Resultados!AW104,Resultados!BF104,Resultados!BX104)))</f>
        <v>6.3412974675084095E-4</v>
      </c>
      <c r="E104">
        <f>IF(COUNT(Resultados!E104,Resultados!N104,Resultados!W104,Resultados!AF104,Resultados!AO104,Resultados!AX104,Resultados!BG104,Resultados!BY104)&lt;=1, "", _xlfn.STDEV.S(ABS(Resultados!E104),ABS(Resultados!N104),ABS(Resultados!W104),ABS(Resultados!AF104),ABS(Resultados!AO104),ABS(Resultados!AX104),ABS(Resultados!BG104),ABS(Resultados!BY104))/SQRT(COUNT(Resultados!E104,Resultados!N104,Resultados!W104,Resultados!AF104,Resultados!AO104,Resultados!AX104,Resultados!BG104,Resultados!BY104)))</f>
        <v>3.5574658262660402E-2</v>
      </c>
      <c r="F104">
        <f>IF(COUNT(Resultados!F104,Resultados!O104,Resultados!X104,Resultados!AG104,Resultados!AP104,Resultados!AY104,Resultados!BH104,Resultados!BZ104)&lt;=1, "", _xlfn.STDEV.S(ABS(Resultados!F104),ABS(Resultados!O104),ABS(Resultados!X104),ABS(Resultados!AG104),ABS(Resultados!AP104),ABS(Resultados!AY104),ABS(Resultados!BH104),ABS(Resultados!BZ104))/SQRT(COUNT(Resultados!F104,Resultados!O104,Resultados!X104,Resultados!AG104,Resultados!AP104,Resultados!AY104,Resultados!BH104,Resultados!BZ104)))</f>
        <v>15.108041505217335</v>
      </c>
      <c r="G104">
        <f>IF(COUNT(Resultados!G104,Resultados!P104,Resultados!Y104,Resultados!AH104,Resultados!AQ104,Resultados!AZ104,Resultados!BI104,Resultados!CA104)&lt;=1, "", _xlfn.STDEV.S(ABS(Resultados!G104),ABS(Resultados!P104),ABS(Resultados!Y104),ABS(Resultados!AH104),ABS(Resultados!AQ104),ABS(Resultados!AZ104),ABS(Resultados!BI104),ABS(Resultados!CA104))/SQRT(COUNT(Resultados!G104,Resultados!P104,Resultados!Y104,Resultados!AH104,Resultados!AQ104,Resultados!AZ104,Resultados!BI104,Resultados!CA104)))</f>
        <v>0</v>
      </c>
      <c r="H104">
        <f>IF(COUNT(Resultados!H104,Resultados!Q104,Resultados!Z104,Resultados!AI104,Resultados!AR104,Resultados!BA104,Resultados!BJ104,Resultados!CB104)&lt;=1, "", _xlfn.STDEV.S(ABS(Resultados!H104),ABS(Resultados!Q104),ABS(Resultados!Z104),ABS(Resultados!AI104),ABS(Resultados!AR104),ABS(Resultados!BA104),ABS(Resultados!BJ104),ABS(Resultados!CB104))/SQRT(COUNT(Resultados!H104,Resultados!Q104,Resultados!Z104,Resultados!AI104,Resultados!AR104,Resultados!BA104,Resultados!BJ104,Resultados!CB104)))</f>
        <v>5.4672319321572591E-4</v>
      </c>
      <c r="I104">
        <f>IF(COUNT(Resultados!I104,Resultados!R104,Resultados!AA104,Resultados!AJ104,Resultados!AS104,Resultados!BB104,Resultados!BK104,Resultados!CC104)&lt;=1, "", _xlfn.STDEV.S(ABS(Resultados!I104),ABS(Resultados!R104),ABS(Resultados!AA104),ABS(Resultados!AJ104),ABS(Resultados!AS104),ABS(Resultados!BB104),ABS(Resultados!BK104),ABS(Resultados!CC104))/SQRT(COUNT(Resultados!I104,Resultados!R104,Resultados!AA104,Resultados!AJ104,Resultados!AS104,Resultados!BB104,Resultados!BK104,Resultados!CC104)))</f>
        <v>6.5694830024623493E-2</v>
      </c>
    </row>
    <row r="105" spans="1:9" x14ac:dyDescent="0.3">
      <c r="A105">
        <f>IF(COUNT(Resultados!A105,Resultados!J105,Resultados!S105,Resultados!AB105,Resultados!AK105,Resultados!AT105,Resultados!BC105,Resultados!BU105)&lt;=1, "", _xlfn.STDEV.S(ABS(Resultados!A105),ABS(Resultados!J105),ABS(Resultados!S105),ABS(Resultados!AB105),ABS(Resultados!AK105),ABS(Resultados!AT105),ABS(Resultados!BC105),ABS(Resultados!BU105))/SQRT(COUNT(Resultados!A105,Resultados!J105,Resultados!S105,Resultados!AB105,Resultados!AK105,Resultados!AT105,Resultados!BC105,Resultados!BU105)))</f>
        <v>0</v>
      </c>
      <c r="B105" t="str">
        <f>IF(COUNT(Resultados!B105,Resultados!K105,Resultados!T105,Resultados!AC105,Resultados!AL105,Resultados!AU105,Resultados!BD105,Resultados!BV105)&lt;=1, "", _xlfn.STDEV.S(ABS(Resultados!B105),ABS(Resultados!K105),ABS(Resultados!T105),ABS(Resultados!AC105),ABS(Resultados!AL105),ABS(Resultados!AU105),ABS(Resultados!BD105),ABS(Resultados!BV105))/SQRT(COUNT(Resultados!B105,Resultados!K105,Resultados!T105,Resultados!AC105,Resultados!AL105,Resultados!AU105,Resultados!BD105,Resultados!BV105)))</f>
        <v/>
      </c>
      <c r="C105">
        <f>IF(COUNT(Resultados!C105,Resultados!L105,Resultados!U105,Resultados!AD105,Resultados!AM105,Resultados!AV105,Resultados!BE105,Resultados!BW105)&lt;=1, "", _xlfn.STDEV.S(ABS(Resultados!C105),ABS(Resultados!L105),ABS(Resultados!U105),ABS(Resultados!AD105),ABS(Resultados!AM105),ABS(Resultados!AV105),ABS(Resultados!BE105),ABS(Resultados!BW105))/SQRT(COUNT(Resultados!C105,Resultados!L105,Resultados!U105,Resultados!AD105,Resultados!AM105,Resultados!AV105,Resultados!BE105,Resultados!BW105)))</f>
        <v>0.7734431367038469</v>
      </c>
      <c r="D105">
        <f>IF(COUNT(Resultados!D105,Resultados!M105,Resultados!V105,Resultados!AE105,Resultados!AN105,Resultados!AW105,Resultados!BF105,Resultados!BX105)&lt;=1, "", _xlfn.STDEV.S(ABS(Resultados!D105),ABS(Resultados!M105),ABS(Resultados!V105),ABS(Resultados!AE105),ABS(Resultados!AN105),ABS(Resultados!AW105),ABS(Resultados!BF105),ABS(Resultados!BX105))/SQRT(COUNT(Resultados!D105,Resultados!M105,Resultados!V105,Resultados!AE105,Resultados!AN105,Resultados!AW105,Resultados!BF105,Resultados!BX105)))</f>
        <v>5.2192979823508282E-4</v>
      </c>
      <c r="E105">
        <f>IF(COUNT(Resultados!E105,Resultados!N105,Resultados!W105,Resultados!AF105,Resultados!AO105,Resultados!AX105,Resultados!BG105,Resultados!BY105)&lt;=1, "", _xlfn.STDEV.S(ABS(Resultados!E105),ABS(Resultados!N105),ABS(Resultados!W105),ABS(Resultados!AF105),ABS(Resultados!AO105),ABS(Resultados!AX105),ABS(Resultados!BG105),ABS(Resultados!BY105))/SQRT(COUNT(Resultados!E105,Resultados!N105,Resultados!W105,Resultados!AF105,Resultados!AO105,Resultados!AX105,Resultados!BG105,Resultados!BY105)))</f>
        <v>2.8084404014663729E-2</v>
      </c>
      <c r="F105">
        <f>IF(COUNT(Resultados!F105,Resultados!O105,Resultados!X105,Resultados!AG105,Resultados!AP105,Resultados!AY105,Resultados!BH105,Resultados!BZ105)&lt;=1, "", _xlfn.STDEV.S(ABS(Resultados!F105),ABS(Resultados!O105),ABS(Resultados!X105),ABS(Resultados!AG105),ABS(Resultados!AP105),ABS(Resultados!AY105),ABS(Resultados!BH105),ABS(Resultados!BZ105))/SQRT(COUNT(Resultados!F105,Resultados!O105,Resultados!X105,Resultados!AG105,Resultados!AP105,Resultados!AY105,Resultados!BH105,Resultados!BZ105)))</f>
        <v>15.72002139344411</v>
      </c>
      <c r="G105">
        <f>IF(COUNT(Resultados!G105,Resultados!P105,Resultados!Y105,Resultados!AH105,Resultados!AQ105,Resultados!AZ105,Resultados!BI105,Resultados!CA105)&lt;=1, "", _xlfn.STDEV.S(ABS(Resultados!G105),ABS(Resultados!P105),ABS(Resultados!Y105),ABS(Resultados!AH105),ABS(Resultados!AQ105),ABS(Resultados!AZ105),ABS(Resultados!BI105),ABS(Resultados!CA105))/SQRT(COUNT(Resultados!G105,Resultados!P105,Resultados!Y105,Resultados!AH105,Resultados!AQ105,Resultados!AZ105,Resultados!BI105,Resultados!CA105)))</f>
        <v>0</v>
      </c>
      <c r="H105">
        <f>IF(COUNT(Resultados!H105,Resultados!Q105,Resultados!Z105,Resultados!AI105,Resultados!AR105,Resultados!BA105,Resultados!BJ105,Resultados!CB105)&lt;=1, "", _xlfn.STDEV.S(ABS(Resultados!H105),ABS(Resultados!Q105),ABS(Resultados!Z105),ABS(Resultados!AI105),ABS(Resultados!AR105),ABS(Resultados!BA105),ABS(Resultados!BJ105),ABS(Resultados!CB105))/SQRT(COUNT(Resultados!H105,Resultados!Q105,Resultados!Z105,Resultados!AI105,Resultados!AR105,Resultados!BA105,Resultados!BJ105,Resultados!CB105)))</f>
        <v>4.3257431236064589E-4</v>
      </c>
      <c r="I105">
        <f>IF(COUNT(Resultados!I105,Resultados!R105,Resultados!AA105,Resultados!AJ105,Resultados!AS105,Resultados!BB105,Resultados!BK105,Resultados!CC105)&lt;=1, "", _xlfn.STDEV.S(ABS(Resultados!I105),ABS(Resultados!R105),ABS(Resultados!AA105),ABS(Resultados!AJ105),ABS(Resultados!AS105),ABS(Resultados!BB105),ABS(Resultados!BK105),ABS(Resultados!CC105))/SQRT(COUNT(Resultados!I105,Resultados!R105,Resultados!AA105,Resultados!AJ105,Resultados!AS105,Resultados!BB105,Resultados!BK105,Resultados!CC105)))</f>
        <v>6.5423444219717408E-2</v>
      </c>
    </row>
    <row r="106" spans="1:9" x14ac:dyDescent="0.3">
      <c r="A106">
        <f>IF(COUNT(Resultados!A106,Resultados!J106,Resultados!S106,Resultados!AB106,Resultados!AK106,Resultados!AT106,Resultados!BC106,Resultados!BU106)&lt;=1, "", _xlfn.STDEV.S(ABS(Resultados!A106),ABS(Resultados!J106),ABS(Resultados!S106),ABS(Resultados!AB106),ABS(Resultados!AK106),ABS(Resultados!AT106),ABS(Resultados!BC106),ABS(Resultados!BU106))/SQRT(COUNT(Resultados!A106,Resultados!J106,Resultados!S106,Resultados!AB106,Resultados!AK106,Resultados!AT106,Resultados!BC106,Resultados!BU106)))</f>
        <v>0</v>
      </c>
      <c r="B106" t="str">
        <f>IF(COUNT(Resultados!B106,Resultados!K106,Resultados!T106,Resultados!AC106,Resultados!AL106,Resultados!AU106,Resultados!BD106,Resultados!BV106)&lt;=1, "", _xlfn.STDEV.S(ABS(Resultados!B106),ABS(Resultados!K106),ABS(Resultados!T106),ABS(Resultados!AC106),ABS(Resultados!AL106),ABS(Resultados!AU106),ABS(Resultados!BD106),ABS(Resultados!BV106))/SQRT(COUNT(Resultados!B106,Resultados!K106,Resultados!T106,Resultados!AC106,Resultados!AL106,Resultados!AU106,Resultados!BD106,Resultados!BV106)))</f>
        <v/>
      </c>
      <c r="C106">
        <f>IF(COUNT(Resultados!C106,Resultados!L106,Resultados!U106,Resultados!AD106,Resultados!AM106,Resultados!AV106,Resultados!BE106,Resultados!BW106)&lt;=1, "", _xlfn.STDEV.S(ABS(Resultados!C106),ABS(Resultados!L106),ABS(Resultados!U106),ABS(Resultados!AD106),ABS(Resultados!AM106),ABS(Resultados!AV106),ABS(Resultados!BE106),ABS(Resultados!BW106))/SQRT(COUNT(Resultados!C106,Resultados!L106,Resultados!U106,Resultados!AD106,Resultados!AM106,Resultados!AV106,Resultados!BE106,Resultados!BW106)))</f>
        <v>0.7734431367038469</v>
      </c>
      <c r="D106">
        <f>IF(COUNT(Resultados!D106,Resultados!M106,Resultados!V106,Resultados!AE106,Resultados!AN106,Resultados!AW106,Resultados!BF106,Resultados!BX106)&lt;=1, "", _xlfn.STDEV.S(ABS(Resultados!D106),ABS(Resultados!M106),ABS(Resultados!V106),ABS(Resultados!AE106),ABS(Resultados!AN106),ABS(Resultados!AW106),ABS(Resultados!BF106),ABS(Resultados!BX106))/SQRT(COUNT(Resultados!D106,Resultados!M106,Resultados!V106,Resultados!AE106,Resultados!AN106,Resultados!AW106,Resultados!BF106,Resultados!BX106)))</f>
        <v>4.4558849529903385E-4</v>
      </c>
      <c r="E106">
        <f>IF(COUNT(Resultados!E106,Resultados!N106,Resultados!W106,Resultados!AF106,Resultados!AO106,Resultados!AX106,Resultados!BG106,Resultados!BY106)&lt;=1, "", _xlfn.STDEV.S(ABS(Resultados!E106),ABS(Resultados!N106),ABS(Resultados!W106),ABS(Resultados!AF106),ABS(Resultados!AO106),ABS(Resultados!AX106),ABS(Resultados!BG106),ABS(Resultados!BY106))/SQRT(COUNT(Resultados!E106,Resultados!N106,Resultados!W106,Resultados!AF106,Resultados!AO106,Resultados!AX106,Resultados!BG106,Resultados!BY106)))</f>
        <v>2.2151729557660805E-2</v>
      </c>
      <c r="F106">
        <f>IF(COUNT(Resultados!F106,Resultados!O106,Resultados!X106,Resultados!AG106,Resultados!AP106,Resultados!AY106,Resultados!BH106,Resultados!BZ106)&lt;=1, "", _xlfn.STDEV.S(ABS(Resultados!F106),ABS(Resultados!O106),ABS(Resultados!X106),ABS(Resultados!AG106),ABS(Resultados!AP106),ABS(Resultados!AY106),ABS(Resultados!BH106),ABS(Resultados!BZ106))/SQRT(COUNT(Resultados!F106,Resultados!O106,Resultados!X106,Resultados!AG106,Resultados!AP106,Resultados!AY106,Resultados!BH106,Resultados!BZ106)))</f>
        <v>16.395016674890385</v>
      </c>
      <c r="G106">
        <f>IF(COUNT(Resultados!G106,Resultados!P106,Resultados!Y106,Resultados!AH106,Resultados!AQ106,Resultados!AZ106,Resultados!BI106,Resultados!CA106)&lt;=1, "", _xlfn.STDEV.S(ABS(Resultados!G106),ABS(Resultados!P106),ABS(Resultados!Y106),ABS(Resultados!AH106),ABS(Resultados!AQ106),ABS(Resultados!AZ106),ABS(Resultados!BI106),ABS(Resultados!CA106))/SQRT(COUNT(Resultados!G106,Resultados!P106,Resultados!Y106,Resultados!AH106,Resultados!AQ106,Resultados!AZ106,Resultados!BI106,Resultados!CA106)))</f>
        <v>0</v>
      </c>
      <c r="H106">
        <f>IF(COUNT(Resultados!H106,Resultados!Q106,Resultados!Z106,Resultados!AI106,Resultados!AR106,Resultados!BA106,Resultados!BJ106,Resultados!CB106)&lt;=1, "", _xlfn.STDEV.S(ABS(Resultados!H106),ABS(Resultados!Q106),ABS(Resultados!Z106),ABS(Resultados!AI106),ABS(Resultados!AR106),ABS(Resultados!BA106),ABS(Resultados!BJ106),ABS(Resultados!CB106))/SQRT(COUNT(Resultados!H106,Resultados!Q106,Resultados!Z106,Resultados!AI106,Resultados!AR106,Resultados!BA106,Resultados!BJ106,Resultados!CB106)))</f>
        <v>3.4482785560334303E-4</v>
      </c>
      <c r="I106">
        <f>IF(COUNT(Resultados!I106,Resultados!R106,Resultados!AA106,Resultados!AJ106,Resultados!AS106,Resultados!BB106,Resultados!BK106,Resultados!CC106)&lt;=1, "", _xlfn.STDEV.S(ABS(Resultados!I106),ABS(Resultados!R106),ABS(Resultados!AA106),ABS(Resultados!AJ106),ABS(Resultados!AS106),ABS(Resultados!BB106),ABS(Resultados!BK106),ABS(Resultados!CC106))/SQRT(COUNT(Resultados!I106,Resultados!R106,Resultados!AA106,Resultados!AJ106,Resultados!AS106,Resultados!BB106,Resultados!BK106,Resultados!CC106)))</f>
        <v>6.542566119541067E-2</v>
      </c>
    </row>
    <row r="107" spans="1:9" x14ac:dyDescent="0.3">
      <c r="A107">
        <f>IF(COUNT(Resultados!A107,Resultados!J107,Resultados!S107,Resultados!AB107,Resultados!AK107,Resultados!AT107,Resultados!BC107,Resultados!BU107)&lt;=1, "", _xlfn.STDEV.S(ABS(Resultados!A107),ABS(Resultados!J107),ABS(Resultados!S107),ABS(Resultados!AB107),ABS(Resultados!AK107),ABS(Resultados!AT107),ABS(Resultados!BC107),ABS(Resultados!BU107))/SQRT(COUNT(Resultados!A107,Resultados!J107,Resultados!S107,Resultados!AB107,Resultados!AK107,Resultados!AT107,Resultados!BC107,Resultados!BU107)))</f>
        <v>0</v>
      </c>
      <c r="B107" t="str">
        <f>IF(COUNT(Resultados!B107,Resultados!K107,Resultados!T107,Resultados!AC107,Resultados!AL107,Resultados!AU107,Resultados!BD107,Resultados!BV107)&lt;=1, "", _xlfn.STDEV.S(ABS(Resultados!B107),ABS(Resultados!K107),ABS(Resultados!T107),ABS(Resultados!AC107),ABS(Resultados!AL107),ABS(Resultados!AU107),ABS(Resultados!BD107),ABS(Resultados!BV107))/SQRT(COUNT(Resultados!B107,Resultados!K107,Resultados!T107,Resultados!AC107,Resultados!AL107,Resultados!AU107,Resultados!BD107,Resultados!BV107)))</f>
        <v/>
      </c>
      <c r="C107">
        <f>IF(COUNT(Resultados!C107,Resultados!L107,Resultados!U107,Resultados!AD107,Resultados!AM107,Resultados!AV107,Resultados!BE107,Resultados!BW107)&lt;=1, "", _xlfn.STDEV.S(ABS(Resultados!C107),ABS(Resultados!L107),ABS(Resultados!U107),ABS(Resultados!AD107),ABS(Resultados!AM107),ABS(Resultados!AV107),ABS(Resultados!BE107),ABS(Resultados!BW107))/SQRT(COUNT(Resultados!C107,Resultados!L107,Resultados!U107,Resultados!AD107,Resultados!AM107,Resultados!AV107,Resultados!BE107,Resultados!BW107)))</f>
        <v>0.7734431367038469</v>
      </c>
      <c r="D107">
        <f>IF(COUNT(Resultados!D107,Resultados!M107,Resultados!V107,Resultados!AE107,Resultados!AN107,Resultados!AW107,Resultados!BF107,Resultados!BX107)&lt;=1, "", _xlfn.STDEV.S(ABS(Resultados!D107),ABS(Resultados!M107),ABS(Resultados!V107),ABS(Resultados!AE107),ABS(Resultados!AN107),ABS(Resultados!AW107),ABS(Resultados!BF107),ABS(Resultados!BX107))/SQRT(COUNT(Resultados!D107,Resultados!M107,Resultados!V107,Resultados!AE107,Resultados!AN107,Resultados!AW107,Resultados!BF107,Resultados!BX107)))</f>
        <v>3.5405810661124932E-4</v>
      </c>
      <c r="E107">
        <f>IF(COUNT(Resultados!E107,Resultados!N107,Resultados!W107,Resultados!AF107,Resultados!AO107,Resultados!AX107,Resultados!BG107,Resultados!BY107)&lt;=1, "", _xlfn.STDEV.S(ABS(Resultados!E107),ABS(Resultados!N107),ABS(Resultados!W107),ABS(Resultados!AF107),ABS(Resultados!AO107),ABS(Resultados!AX107),ABS(Resultados!BG107),ABS(Resultados!BY107))/SQRT(COUNT(Resultados!E107,Resultados!N107,Resultados!W107,Resultados!AF107,Resultados!AO107,Resultados!AX107,Resultados!BG107,Resultados!BY107)))</f>
        <v>1.9431529470831998E-2</v>
      </c>
      <c r="F107">
        <f>IF(COUNT(Resultados!F107,Resultados!O107,Resultados!X107,Resultados!AG107,Resultados!AP107,Resultados!AY107,Resultados!BH107,Resultados!BZ107)&lt;=1, "", _xlfn.STDEV.S(ABS(Resultados!F107),ABS(Resultados!O107),ABS(Resultados!X107),ABS(Resultados!AG107),ABS(Resultados!AP107),ABS(Resultados!AY107),ABS(Resultados!BH107),ABS(Resultados!BZ107))/SQRT(COUNT(Resultados!F107,Resultados!O107,Resultados!X107,Resultados!AG107,Resultados!AP107,Resultados!AY107,Resultados!BH107,Resultados!BZ107)))</f>
        <v>17.131112216214198</v>
      </c>
      <c r="G107">
        <f>IF(COUNT(Resultados!G107,Resultados!P107,Resultados!Y107,Resultados!AH107,Resultados!AQ107,Resultados!AZ107,Resultados!BI107,Resultados!CA107)&lt;=1, "", _xlfn.STDEV.S(ABS(Resultados!G107),ABS(Resultados!P107),ABS(Resultados!Y107),ABS(Resultados!AH107),ABS(Resultados!AQ107),ABS(Resultados!AZ107),ABS(Resultados!BI107),ABS(Resultados!CA107))/SQRT(COUNT(Resultados!G107,Resultados!P107,Resultados!Y107,Resultados!AH107,Resultados!AQ107,Resultados!AZ107,Resultados!BI107,Resultados!CA107)))</f>
        <v>0</v>
      </c>
      <c r="H107">
        <f>IF(COUNT(Resultados!H107,Resultados!Q107,Resultados!Z107,Resultados!AI107,Resultados!AR107,Resultados!BA107,Resultados!BJ107,Resultados!CB107)&lt;=1, "", _xlfn.STDEV.S(ABS(Resultados!H107),ABS(Resultados!Q107),ABS(Resultados!Z107),ABS(Resultados!AI107),ABS(Resultados!AR107),ABS(Resultados!BA107),ABS(Resultados!BJ107),ABS(Resultados!CB107))/SQRT(COUNT(Resultados!H107,Resultados!Q107,Resultados!Z107,Resultados!AI107,Resultados!AR107,Resultados!BA107,Resultados!BJ107,Resultados!CB107)))</f>
        <v>3.0163246320172971E-4</v>
      </c>
      <c r="I107">
        <f>IF(COUNT(Resultados!I107,Resultados!R107,Resultados!AA107,Resultados!AJ107,Resultados!AS107,Resultados!BB107,Resultados!BK107,Resultados!CC107)&lt;=1, "", _xlfn.STDEV.S(ABS(Resultados!I107),ABS(Resultados!R107),ABS(Resultados!AA107),ABS(Resultados!AJ107),ABS(Resultados!AS107),ABS(Resultados!BB107),ABS(Resultados!BK107),ABS(Resultados!CC107))/SQRT(COUNT(Resultados!I107,Resultados!R107,Resultados!AA107,Resultados!AJ107,Resultados!AS107,Resultados!BB107,Resultados!BK107,Resultados!CC107)))</f>
        <v>6.5493277837986502E-2</v>
      </c>
    </row>
    <row r="108" spans="1:9" x14ac:dyDescent="0.3">
      <c r="A108">
        <f>IF(COUNT(Resultados!A108,Resultados!J108,Resultados!S108,Resultados!AB108,Resultados!AK108,Resultados!AT108,Resultados!BC108,Resultados!BU108)&lt;=1, "", _xlfn.STDEV.S(ABS(Resultados!A108),ABS(Resultados!J108),ABS(Resultados!S108),ABS(Resultados!AB108),ABS(Resultados!AK108),ABS(Resultados!AT108),ABS(Resultados!BC108),ABS(Resultados!BU108))/SQRT(COUNT(Resultados!A108,Resultados!J108,Resultados!S108,Resultados!AB108,Resultados!AK108,Resultados!AT108,Resultados!BC108,Resultados!BU108)))</f>
        <v>0</v>
      </c>
      <c r="B108" t="str">
        <f>IF(COUNT(Resultados!B108,Resultados!K108,Resultados!T108,Resultados!AC108,Resultados!AL108,Resultados!AU108,Resultados!BD108,Resultados!BV108)&lt;=1, "", _xlfn.STDEV.S(ABS(Resultados!B108),ABS(Resultados!K108),ABS(Resultados!T108),ABS(Resultados!AC108),ABS(Resultados!AL108),ABS(Resultados!AU108),ABS(Resultados!BD108),ABS(Resultados!BV108))/SQRT(COUNT(Resultados!B108,Resultados!K108,Resultados!T108,Resultados!AC108,Resultados!AL108,Resultados!AU108,Resultados!BD108,Resultados!BV108)))</f>
        <v/>
      </c>
      <c r="C108">
        <f>IF(COUNT(Resultados!C108,Resultados!L108,Resultados!U108,Resultados!AD108,Resultados!AM108,Resultados!AV108,Resultados!BE108,Resultados!BW108)&lt;=1, "", _xlfn.STDEV.S(ABS(Resultados!C108),ABS(Resultados!L108),ABS(Resultados!U108),ABS(Resultados!AD108),ABS(Resultados!AM108),ABS(Resultados!AV108),ABS(Resultados!BE108),ABS(Resultados!BW108))/SQRT(COUNT(Resultados!C108,Resultados!L108,Resultados!U108,Resultados!AD108,Resultados!AM108,Resultados!AV108,Resultados!BE108,Resultados!BW108)))</f>
        <v>0.7734431367038469</v>
      </c>
      <c r="D108">
        <f>IF(COUNT(Resultados!D108,Resultados!M108,Resultados!V108,Resultados!AE108,Resultados!AN108,Resultados!AW108,Resultados!BF108,Resultados!BX108)&lt;=1, "", _xlfn.STDEV.S(ABS(Resultados!D108),ABS(Resultados!M108),ABS(Resultados!V108),ABS(Resultados!AE108),ABS(Resultados!AN108),ABS(Resultados!AW108),ABS(Resultados!BF108),ABS(Resultados!BX108))/SQRT(COUNT(Resultados!D108,Resultados!M108,Resultados!V108,Resultados!AE108,Resultados!AN108,Resultados!AW108,Resultados!BF108,Resultados!BX108)))</f>
        <v>3.2458765050005035E-4</v>
      </c>
      <c r="E108">
        <f>IF(COUNT(Resultados!E108,Resultados!N108,Resultados!W108,Resultados!AF108,Resultados!AO108,Resultados!AX108,Resultados!BG108,Resultados!BY108)&lt;=1, "", _xlfn.STDEV.S(ABS(Resultados!E108),ABS(Resultados!N108),ABS(Resultados!W108),ABS(Resultados!AF108),ABS(Resultados!AO108),ABS(Resultados!AX108),ABS(Resultados!BG108),ABS(Resultados!BY108))/SQRT(COUNT(Resultados!E108,Resultados!N108,Resultados!W108,Resultados!AF108,Resultados!AO108,Resultados!AX108,Resultados!BG108,Resultados!BY108)))</f>
        <v>2.1538058236801397E-2</v>
      </c>
      <c r="F108">
        <f>IF(COUNT(Resultados!F108,Resultados!O108,Resultados!X108,Resultados!AG108,Resultados!AP108,Resultados!AY108,Resultados!BH108,Resultados!BZ108)&lt;=1, "", _xlfn.STDEV.S(ABS(Resultados!F108),ABS(Resultados!O108),ABS(Resultados!X108),ABS(Resultados!AG108),ABS(Resultados!AP108),ABS(Resultados!AY108),ABS(Resultados!BH108),ABS(Resultados!BZ108))/SQRT(COUNT(Resultados!F108,Resultados!O108,Resultados!X108,Resultados!AG108,Resultados!AP108,Resultados!AY108,Resultados!BH108,Resultados!BZ108)))</f>
        <v>17.917703234385264</v>
      </c>
      <c r="G108">
        <f>IF(COUNT(Resultados!G108,Resultados!P108,Resultados!Y108,Resultados!AH108,Resultados!AQ108,Resultados!AZ108,Resultados!BI108,Resultados!CA108)&lt;=1, "", _xlfn.STDEV.S(ABS(Resultados!G108),ABS(Resultados!P108),ABS(Resultados!Y108),ABS(Resultados!AH108),ABS(Resultados!AQ108),ABS(Resultados!AZ108),ABS(Resultados!BI108),ABS(Resultados!CA108))/SQRT(COUNT(Resultados!G108,Resultados!P108,Resultados!Y108,Resultados!AH108,Resultados!AQ108,Resultados!AZ108,Resultados!BI108,Resultados!CA108)))</f>
        <v>0</v>
      </c>
      <c r="H108">
        <f>IF(COUNT(Resultados!H108,Resultados!Q108,Resultados!Z108,Resultados!AI108,Resultados!AR108,Resultados!BA108,Resultados!BJ108,Resultados!CB108)&lt;=1, "", _xlfn.STDEV.S(ABS(Resultados!H108),ABS(Resultados!Q108),ABS(Resultados!Z108),ABS(Resultados!AI108),ABS(Resultados!AR108),ABS(Resultados!BA108),ABS(Resultados!BJ108),ABS(Resultados!CB108))/SQRT(COUNT(Resultados!H108,Resultados!Q108,Resultados!Z108,Resultados!AI108,Resultados!AR108,Resultados!BA108,Resultados!BJ108,Resultados!CB108)))</f>
        <v>3.3527707092152048E-4</v>
      </c>
      <c r="I108">
        <f>IF(COUNT(Resultados!I108,Resultados!R108,Resultados!AA108,Resultados!AJ108,Resultados!AS108,Resultados!BB108,Resultados!BK108,Resultados!CC108)&lt;=1, "", _xlfn.STDEV.S(ABS(Resultados!I108),ABS(Resultados!R108),ABS(Resultados!AA108),ABS(Resultados!AJ108),ABS(Resultados!AS108),ABS(Resultados!BB108),ABS(Resultados!BK108),ABS(Resultados!CC108))/SQRT(COUNT(Resultados!I108,Resultados!R108,Resultados!AA108,Resultados!AJ108,Resultados!AS108,Resultados!BB108,Resultados!BK108,Resultados!CC108)))</f>
        <v>6.5713199234026728E-2</v>
      </c>
    </row>
    <row r="109" spans="1:9" x14ac:dyDescent="0.3">
      <c r="A109">
        <f>IF(COUNT(Resultados!A109,Resultados!J109,Resultados!S109,Resultados!AB109,Resultados!AK109,Resultados!AT109,Resultados!BC109,Resultados!BU109)&lt;=1, "", _xlfn.STDEV.S(ABS(Resultados!A109),ABS(Resultados!J109),ABS(Resultados!S109),ABS(Resultados!AB109),ABS(Resultados!AK109),ABS(Resultados!AT109),ABS(Resultados!BC109),ABS(Resultados!BU109))/SQRT(COUNT(Resultados!A109,Resultados!J109,Resultados!S109,Resultados!AB109,Resultados!AK109,Resultados!AT109,Resultados!BC109,Resultados!BU109)))</f>
        <v>0</v>
      </c>
      <c r="B109" t="str">
        <f>IF(COUNT(Resultados!B109,Resultados!K109,Resultados!T109,Resultados!AC109,Resultados!AL109,Resultados!AU109,Resultados!BD109,Resultados!BV109)&lt;=1, "", _xlfn.STDEV.S(ABS(Resultados!B109),ABS(Resultados!K109),ABS(Resultados!T109),ABS(Resultados!AC109),ABS(Resultados!AL109),ABS(Resultados!AU109),ABS(Resultados!BD109),ABS(Resultados!BV109))/SQRT(COUNT(Resultados!B109,Resultados!K109,Resultados!T109,Resultados!AC109,Resultados!AL109,Resultados!AU109,Resultados!BD109,Resultados!BV109)))</f>
        <v/>
      </c>
      <c r="C109">
        <f>IF(COUNT(Resultados!C109,Resultados!L109,Resultados!U109,Resultados!AD109,Resultados!AM109,Resultados!AV109,Resultados!BE109,Resultados!BW109)&lt;=1, "", _xlfn.STDEV.S(ABS(Resultados!C109),ABS(Resultados!L109),ABS(Resultados!U109),ABS(Resultados!AD109),ABS(Resultados!AM109),ABS(Resultados!AV109),ABS(Resultados!BE109),ABS(Resultados!BW109))/SQRT(COUNT(Resultados!C109,Resultados!L109,Resultados!U109,Resultados!AD109,Resultados!AM109,Resultados!AV109,Resultados!BE109,Resultados!BW109)))</f>
        <v>0.7734431367038469</v>
      </c>
      <c r="D109">
        <f>IF(COUNT(Resultados!D109,Resultados!M109,Resultados!V109,Resultados!AE109,Resultados!AN109,Resultados!AW109,Resultados!BF109,Resultados!BX109)&lt;=1, "", _xlfn.STDEV.S(ABS(Resultados!D109),ABS(Resultados!M109),ABS(Resultados!V109),ABS(Resultados!AE109),ABS(Resultados!AN109),ABS(Resultados!AW109),ABS(Resultados!BF109),ABS(Resultados!BX109))/SQRT(COUNT(Resultados!D109,Resultados!M109,Resultados!V109,Resultados!AE109,Resultados!AN109,Resultados!AW109,Resultados!BF109,Resultados!BX109)))</f>
        <v>3.1110402486260805E-4</v>
      </c>
      <c r="E109">
        <f>IF(COUNT(Resultados!E109,Resultados!N109,Resultados!W109,Resultados!AF109,Resultados!AO109,Resultados!AX109,Resultados!BG109,Resultados!BY109)&lt;=1, "", _xlfn.STDEV.S(ABS(Resultados!E109),ABS(Resultados!N109),ABS(Resultados!W109),ABS(Resultados!AF109),ABS(Resultados!AO109),ABS(Resultados!AX109),ABS(Resultados!BG109),ABS(Resultados!BY109))/SQRT(COUNT(Resultados!E109,Resultados!N109,Resultados!W109,Resultados!AF109,Resultados!AO109,Resultados!AX109,Resultados!BG109,Resultados!BY109)))</f>
        <v>2.7539747972882524E-2</v>
      </c>
      <c r="F109">
        <f>IF(COUNT(Resultados!F109,Resultados!O109,Resultados!X109,Resultados!AG109,Resultados!AP109,Resultados!AY109,Resultados!BH109,Resultados!BZ109)&lt;=1, "", _xlfn.STDEV.S(ABS(Resultados!F109),ABS(Resultados!O109),ABS(Resultados!X109),ABS(Resultados!AG109),ABS(Resultados!AP109),ABS(Resultados!AY109),ABS(Resultados!BH109),ABS(Resultados!BZ109))/SQRT(COUNT(Resultados!F109,Resultados!O109,Resultados!X109,Resultados!AG109,Resultados!AP109,Resultados!AY109,Resultados!BH109,Resultados!BZ109)))</f>
        <v>18.743757721401924</v>
      </c>
      <c r="G109">
        <f>IF(COUNT(Resultados!G109,Resultados!P109,Resultados!Y109,Resultados!AH109,Resultados!AQ109,Resultados!AZ109,Resultados!BI109,Resultados!CA109)&lt;=1, "", _xlfn.STDEV.S(ABS(Resultados!G109),ABS(Resultados!P109),ABS(Resultados!Y109),ABS(Resultados!AH109),ABS(Resultados!AQ109),ABS(Resultados!AZ109),ABS(Resultados!BI109),ABS(Resultados!CA109))/SQRT(COUNT(Resultados!G109,Resultados!P109,Resultados!Y109,Resultados!AH109,Resultados!AQ109,Resultados!AZ109,Resultados!BI109,Resultados!CA109)))</f>
        <v>0</v>
      </c>
      <c r="H109">
        <f>IF(COUNT(Resultados!H109,Resultados!Q109,Resultados!Z109,Resultados!AI109,Resultados!AR109,Resultados!BA109,Resultados!BJ109,Resultados!CB109)&lt;=1, "", _xlfn.STDEV.S(ABS(Resultados!H109),ABS(Resultados!Q109),ABS(Resultados!Z109),ABS(Resultados!AI109),ABS(Resultados!AR109),ABS(Resultados!BA109),ABS(Resultados!BJ109),ABS(Resultados!CB109))/SQRT(COUNT(Resultados!H109,Resultados!Q109,Resultados!Z109,Resultados!AI109,Resultados!AR109,Resultados!BA109,Resultados!BJ109,Resultados!CB109)))</f>
        <v>4.2549865704001588E-4</v>
      </c>
      <c r="I109">
        <f>IF(COUNT(Resultados!I109,Resultados!R109,Resultados!AA109,Resultados!AJ109,Resultados!AS109,Resultados!BB109,Resultados!BK109,Resultados!CC109)&lt;=1, "", _xlfn.STDEV.S(ABS(Resultados!I109),ABS(Resultados!R109),ABS(Resultados!AA109),ABS(Resultados!AJ109),ABS(Resultados!AS109),ABS(Resultados!BB109),ABS(Resultados!BK109),ABS(Resultados!CC109))/SQRT(COUNT(Resultados!I109,Resultados!R109,Resultados!AA109,Resultados!AJ109,Resultados!AS109,Resultados!BB109,Resultados!BK109,Resultados!CC109)))</f>
        <v>6.5784681238979598E-2</v>
      </c>
    </row>
    <row r="110" spans="1:9" x14ac:dyDescent="0.3">
      <c r="A110">
        <f>IF(COUNT(Resultados!A110,Resultados!J110,Resultados!S110,Resultados!AB110,Resultados!AK110,Resultados!AT110,Resultados!BC110,Resultados!BU110)&lt;=1, "", _xlfn.STDEV.S(ABS(Resultados!A110),ABS(Resultados!J110),ABS(Resultados!S110),ABS(Resultados!AB110),ABS(Resultados!AK110),ABS(Resultados!AT110),ABS(Resultados!BC110),ABS(Resultados!BU110))/SQRT(COUNT(Resultados!A110,Resultados!J110,Resultados!S110,Resultados!AB110,Resultados!AK110,Resultados!AT110,Resultados!BC110,Resultados!BU110)))</f>
        <v>0</v>
      </c>
      <c r="B110" t="str">
        <f>IF(COUNT(Resultados!B110,Resultados!K110,Resultados!T110,Resultados!AC110,Resultados!AL110,Resultados!AU110,Resultados!BD110,Resultados!BV110)&lt;=1, "", _xlfn.STDEV.S(ABS(Resultados!B110),ABS(Resultados!K110),ABS(Resultados!T110),ABS(Resultados!AC110),ABS(Resultados!AL110),ABS(Resultados!AU110),ABS(Resultados!BD110),ABS(Resultados!BV110))/SQRT(COUNT(Resultados!B110,Resultados!K110,Resultados!T110,Resultados!AC110,Resultados!AL110,Resultados!AU110,Resultados!BD110,Resultados!BV110)))</f>
        <v/>
      </c>
      <c r="C110">
        <f>IF(COUNT(Resultados!C110,Resultados!L110,Resultados!U110,Resultados!AD110,Resultados!AM110,Resultados!AV110,Resultados!BE110,Resultados!BW110)&lt;=1, "", _xlfn.STDEV.S(ABS(Resultados!C110),ABS(Resultados!L110),ABS(Resultados!U110),ABS(Resultados!AD110),ABS(Resultados!AM110),ABS(Resultados!AV110),ABS(Resultados!BE110),ABS(Resultados!BW110))/SQRT(COUNT(Resultados!C110,Resultados!L110,Resultados!U110,Resultados!AD110,Resultados!AM110,Resultados!AV110,Resultados!BE110,Resultados!BW110)))</f>
        <v>0.71807033081725358</v>
      </c>
      <c r="D110">
        <f>IF(COUNT(Resultados!D110,Resultados!M110,Resultados!V110,Resultados!AE110,Resultados!AN110,Resultados!AW110,Resultados!BF110,Resultados!BX110)&lt;=1, "", _xlfn.STDEV.S(ABS(Resultados!D110),ABS(Resultados!M110),ABS(Resultados!V110),ABS(Resultados!AE110),ABS(Resultados!AN110),ABS(Resultados!AW110),ABS(Resultados!BF110),ABS(Resultados!BX110))/SQRT(COUNT(Resultados!D110,Resultados!M110,Resultados!V110,Resultados!AE110,Resultados!AN110,Resultados!AW110,Resultados!BF110,Resultados!BX110)))</f>
        <v>3.776986232434532E-4</v>
      </c>
      <c r="E110">
        <f>IF(COUNT(Resultados!E110,Resultados!N110,Resultados!W110,Resultados!AF110,Resultados!AO110,Resultados!AX110,Resultados!BG110,Resultados!BY110)&lt;=1, "", _xlfn.STDEV.S(ABS(Resultados!E110),ABS(Resultados!N110),ABS(Resultados!W110),ABS(Resultados!AF110),ABS(Resultados!AO110),ABS(Resultados!AX110),ABS(Resultados!BG110),ABS(Resultados!BY110))/SQRT(COUNT(Resultados!E110,Resultados!N110,Resultados!W110,Resultados!AF110,Resultados!AO110,Resultados!AX110,Resultados!BG110,Resultados!BY110)))</f>
        <v>3.568888633817692E-2</v>
      </c>
      <c r="F110">
        <f>IF(COUNT(Resultados!F110,Resultados!O110,Resultados!X110,Resultados!AG110,Resultados!AP110,Resultados!AY110,Resultados!BH110,Resultados!BZ110)&lt;=1, "", _xlfn.STDEV.S(ABS(Resultados!F110),ABS(Resultados!O110),ABS(Resultados!X110),ABS(Resultados!AG110),ABS(Resultados!AP110),ABS(Resultados!AY110),ABS(Resultados!BH110),ABS(Resultados!BZ110))/SQRT(COUNT(Resultados!F110,Resultados!O110,Resultados!X110,Resultados!AG110,Resultados!AP110,Resultados!AY110,Resultados!BH110,Resultados!BZ110)))</f>
        <v>19.612946986788845</v>
      </c>
      <c r="G110">
        <f>IF(COUNT(Resultados!G110,Resultados!P110,Resultados!Y110,Resultados!AH110,Resultados!AQ110,Resultados!AZ110,Resultados!BI110,Resultados!CA110)&lt;=1, "", _xlfn.STDEV.S(ABS(Resultados!G110),ABS(Resultados!P110),ABS(Resultados!Y110),ABS(Resultados!AH110),ABS(Resultados!AQ110),ABS(Resultados!AZ110),ABS(Resultados!BI110),ABS(Resultados!CA110))/SQRT(COUNT(Resultados!G110,Resultados!P110,Resultados!Y110,Resultados!AH110,Resultados!AQ110,Resultados!AZ110,Resultados!BI110,Resultados!CA110)))</f>
        <v>0</v>
      </c>
      <c r="H110">
        <f>IF(COUNT(Resultados!H110,Resultados!Q110,Resultados!Z110,Resultados!AI110,Resultados!AR110,Resultados!BA110,Resultados!BJ110,Resultados!CB110)&lt;=1, "", _xlfn.STDEV.S(ABS(Resultados!H110),ABS(Resultados!Q110),ABS(Resultados!Z110),ABS(Resultados!AI110),ABS(Resultados!AR110),ABS(Resultados!BA110),ABS(Resultados!BJ110),ABS(Resultados!CB110))/SQRT(COUNT(Resultados!H110,Resultados!Q110,Resultados!Z110,Resultados!AI110,Resultados!AR110,Resultados!BA110,Resultados!BJ110,Resultados!CB110)))</f>
        <v>5.5283360968739939E-4</v>
      </c>
      <c r="I110">
        <f>IF(COUNT(Resultados!I110,Resultados!R110,Resultados!AA110,Resultados!AJ110,Resultados!AS110,Resultados!BB110,Resultados!BK110,Resultados!CC110)&lt;=1, "", _xlfn.STDEV.S(ABS(Resultados!I110),ABS(Resultados!R110),ABS(Resultados!AA110),ABS(Resultados!AJ110),ABS(Resultados!AS110),ABS(Resultados!BB110),ABS(Resultados!BK110),ABS(Resultados!CC110))/SQRT(COUNT(Resultados!I110,Resultados!R110,Resultados!AA110,Resultados!AJ110,Resultados!AS110,Resultados!BB110,Resultados!BK110,Resultados!CC110)))</f>
        <v>6.5733563263268985E-2</v>
      </c>
    </row>
    <row r="111" spans="1:9" x14ac:dyDescent="0.3">
      <c r="A111">
        <f>IF(COUNT(Resultados!A111,Resultados!J111,Resultados!S111,Resultados!AB111,Resultados!AK111,Resultados!AT111,Resultados!BC111,Resultados!BU111)&lt;=1, "", _xlfn.STDEV.S(ABS(Resultados!A111),ABS(Resultados!J111),ABS(Resultados!S111),ABS(Resultados!AB111),ABS(Resultados!AK111),ABS(Resultados!AT111),ABS(Resultados!BC111),ABS(Resultados!BU111))/SQRT(COUNT(Resultados!A111,Resultados!J111,Resultados!S111,Resultados!AB111,Resultados!AK111,Resultados!AT111,Resultados!BC111,Resultados!BU111)))</f>
        <v>0</v>
      </c>
      <c r="B111" t="str">
        <f>IF(COUNT(Resultados!B111,Resultados!K111,Resultados!T111,Resultados!AC111,Resultados!AL111,Resultados!AU111,Resultados!BD111,Resultados!BV111)&lt;=1, "", _xlfn.STDEV.S(ABS(Resultados!B111),ABS(Resultados!K111),ABS(Resultados!T111),ABS(Resultados!AC111),ABS(Resultados!AL111),ABS(Resultados!AU111),ABS(Resultados!BD111),ABS(Resultados!BV111))/SQRT(COUNT(Resultados!B111,Resultados!K111,Resultados!T111,Resultados!AC111,Resultados!AL111,Resultados!AU111,Resultados!BD111,Resultados!BV111)))</f>
        <v/>
      </c>
      <c r="C111">
        <f>IF(COUNT(Resultados!C111,Resultados!L111,Resultados!U111,Resultados!AD111,Resultados!AM111,Resultados!AV111,Resultados!BE111,Resultados!BW111)&lt;=1, "", _xlfn.STDEV.S(ABS(Resultados!C111),ABS(Resultados!L111),ABS(Resultados!U111),ABS(Resultados!AD111),ABS(Resultados!AM111),ABS(Resultados!AV111),ABS(Resultados!BE111),ABS(Resultados!BW111))/SQRT(COUNT(Resultados!C111,Resultados!L111,Resultados!U111,Resultados!AD111,Resultados!AM111,Resultados!AV111,Resultados!BE111,Resultados!BW111)))</f>
        <v>0.71807033081725358</v>
      </c>
      <c r="D111">
        <f>IF(COUNT(Resultados!D111,Resultados!M111,Resultados!V111,Resultados!AE111,Resultados!AN111,Resultados!AW111,Resultados!BF111,Resultados!BX111)&lt;=1, "", _xlfn.STDEV.S(ABS(Resultados!D111),ABS(Resultados!M111),ABS(Resultados!V111),ABS(Resultados!AE111),ABS(Resultados!AN111),ABS(Resultados!AW111),ABS(Resultados!BF111),ABS(Resultados!BX111))/SQRT(COUNT(Resultados!D111,Resultados!M111,Resultados!V111,Resultados!AE111,Resultados!AN111,Resultados!AW111,Resultados!BF111,Resultados!BX111)))</f>
        <v>4.8393845535504675E-4</v>
      </c>
      <c r="E111">
        <f>IF(COUNT(Resultados!E111,Resultados!N111,Resultados!W111,Resultados!AF111,Resultados!AO111,Resultados!AX111,Resultados!BG111,Resultados!BY111)&lt;=1, "", _xlfn.STDEV.S(ABS(Resultados!E111),ABS(Resultados!N111),ABS(Resultados!W111),ABS(Resultados!AF111),ABS(Resultados!AO111),ABS(Resultados!AX111),ABS(Resultados!BG111),ABS(Resultados!BY111))/SQRT(COUNT(Resultados!E111,Resultados!N111,Resultados!W111,Resultados!AF111,Resultados!AO111,Resultados!AX111,Resultados!BG111,Resultados!BY111)))</f>
        <v>4.4914416661714765E-2</v>
      </c>
      <c r="F111">
        <f>IF(COUNT(Resultados!F111,Resultados!O111,Resultados!X111,Resultados!AG111,Resultados!AP111,Resultados!AY111,Resultados!BH111,Resultados!BZ111)&lt;=1, "", _xlfn.STDEV.S(ABS(Resultados!F111),ABS(Resultados!O111),ABS(Resultados!X111),ABS(Resultados!AG111),ABS(Resultados!AP111),ABS(Resultados!AY111),ABS(Resultados!BH111),ABS(Resultados!BZ111))/SQRT(COUNT(Resultados!F111,Resultados!O111,Resultados!X111,Resultados!AG111,Resultados!AP111,Resultados!AY111,Resultados!BH111,Resultados!BZ111)))</f>
        <v>20.514462947523853</v>
      </c>
      <c r="G111">
        <f>IF(COUNT(Resultados!G111,Resultados!P111,Resultados!Y111,Resultados!AH111,Resultados!AQ111,Resultados!AZ111,Resultados!BI111,Resultados!CA111)&lt;=1, "", _xlfn.STDEV.S(ABS(Resultados!G111),ABS(Resultados!P111),ABS(Resultados!Y111),ABS(Resultados!AH111),ABS(Resultados!AQ111),ABS(Resultados!AZ111),ABS(Resultados!BI111),ABS(Resultados!CA111))/SQRT(COUNT(Resultados!G111,Resultados!P111,Resultados!Y111,Resultados!AH111,Resultados!AQ111,Resultados!AZ111,Resultados!BI111,Resultados!CA111)))</f>
        <v>0</v>
      </c>
      <c r="H111">
        <f>IF(COUNT(Resultados!H111,Resultados!Q111,Resultados!Z111,Resultados!AI111,Resultados!AR111,Resultados!BA111,Resultados!BJ111,Resultados!CB111)&lt;=1, "", _xlfn.STDEV.S(ABS(Resultados!H111),ABS(Resultados!Q111),ABS(Resultados!Z111),ABS(Resultados!AI111),ABS(Resultados!AR111),ABS(Resultados!BA111),ABS(Resultados!BJ111),ABS(Resultados!CB111))/SQRT(COUNT(Resultados!H111,Resultados!Q111,Resultados!Z111,Resultados!AI111,Resultados!AR111,Resultados!BA111,Resultados!BJ111,Resultados!CB111)))</f>
        <v>6.9744431421337979E-4</v>
      </c>
      <c r="I111">
        <f>IF(COUNT(Resultados!I111,Resultados!R111,Resultados!AA111,Resultados!AJ111,Resultados!AS111,Resultados!BB111,Resultados!BK111,Resultados!CC111)&lt;=1, "", _xlfn.STDEV.S(ABS(Resultados!I111),ABS(Resultados!R111),ABS(Resultados!AA111),ABS(Resultados!AJ111),ABS(Resultados!AS111),ABS(Resultados!BB111),ABS(Resultados!BK111),ABS(Resultados!CC111))/SQRT(COUNT(Resultados!I111,Resultados!R111,Resultados!AA111,Resultados!AJ111,Resultados!AS111,Resultados!BB111,Resultados!BK111,Resultados!CC111)))</f>
        <v>6.5716786661452975E-2</v>
      </c>
    </row>
    <row r="112" spans="1:9" x14ac:dyDescent="0.3">
      <c r="A112">
        <f>IF(COUNT(Resultados!A112,Resultados!J112,Resultados!S112,Resultados!AB112,Resultados!AK112,Resultados!AT112,Resultados!BC112,Resultados!BU112)&lt;=1, "", _xlfn.STDEV.S(ABS(Resultados!A112),ABS(Resultados!J112),ABS(Resultados!S112),ABS(Resultados!AB112),ABS(Resultados!AK112),ABS(Resultados!AT112),ABS(Resultados!BC112),ABS(Resultados!BU112))/SQRT(COUNT(Resultados!A112,Resultados!J112,Resultados!S112,Resultados!AB112,Resultados!AK112,Resultados!AT112,Resultados!BC112,Resultados!BU112)))</f>
        <v>0</v>
      </c>
      <c r="B112" t="str">
        <f>IF(COUNT(Resultados!B112,Resultados!K112,Resultados!T112,Resultados!AC112,Resultados!AL112,Resultados!AU112,Resultados!BD112,Resultados!BV112)&lt;=1, "", _xlfn.STDEV.S(ABS(Resultados!B112),ABS(Resultados!K112),ABS(Resultados!T112),ABS(Resultados!AC112),ABS(Resultados!AL112),ABS(Resultados!AU112),ABS(Resultados!BD112),ABS(Resultados!BV112))/SQRT(COUNT(Resultados!B112,Resultados!K112,Resultados!T112,Resultados!AC112,Resultados!AL112,Resultados!AU112,Resultados!BD112,Resultados!BV112)))</f>
        <v/>
      </c>
      <c r="C112">
        <f>IF(COUNT(Resultados!C112,Resultados!L112,Resultados!U112,Resultados!AD112,Resultados!AM112,Resultados!AV112,Resultados!BE112,Resultados!BW112)&lt;=1, "", _xlfn.STDEV.S(ABS(Resultados!C112),ABS(Resultados!L112),ABS(Resultados!U112),ABS(Resultados!AD112),ABS(Resultados!AM112),ABS(Resultados!AV112),ABS(Resultados!BE112),ABS(Resultados!BW112))/SQRT(COUNT(Resultados!C112,Resultados!L112,Resultados!U112,Resultados!AD112,Resultados!AM112,Resultados!AV112,Resultados!BE112,Resultados!BW112)))</f>
        <v>0.71807033081725358</v>
      </c>
      <c r="D112">
        <f>IF(COUNT(Resultados!D112,Resultados!M112,Resultados!V112,Resultados!AE112,Resultados!AN112,Resultados!AW112,Resultados!BF112,Resultados!BX112)&lt;=1, "", _xlfn.STDEV.S(ABS(Resultados!D112),ABS(Resultados!M112),ABS(Resultados!V112),ABS(Resultados!AE112),ABS(Resultados!AN112),ABS(Resultados!AW112),ABS(Resultados!BF112),ABS(Resultados!BX112))/SQRT(COUNT(Resultados!D112,Resultados!M112,Resultados!V112,Resultados!AE112,Resultados!AN112,Resultados!AW112,Resultados!BF112,Resultados!BX112)))</f>
        <v>5.5611455012177379E-4</v>
      </c>
      <c r="E112">
        <f>IF(COUNT(Resultados!E112,Resultados!N112,Resultados!W112,Resultados!AF112,Resultados!AO112,Resultados!AX112,Resultados!BG112,Resultados!BY112)&lt;=1, "", _xlfn.STDEV.S(ABS(Resultados!E112),ABS(Resultados!N112),ABS(Resultados!W112),ABS(Resultados!AF112),ABS(Resultados!AO112),ABS(Resultados!AX112),ABS(Resultados!BG112),ABS(Resultados!BY112))/SQRT(COUNT(Resultados!E112,Resultados!N112,Resultados!W112,Resultados!AF112,Resultados!AO112,Resultados!AX112,Resultados!BG112,Resultados!BY112)))</f>
        <v>5.4705591084474814E-2</v>
      </c>
      <c r="F112">
        <f>IF(COUNT(Resultados!F112,Resultados!O112,Resultados!X112,Resultados!AG112,Resultados!AP112,Resultados!AY112,Resultados!BH112,Resultados!BZ112)&lt;=1, "", _xlfn.STDEV.S(ABS(Resultados!F112),ABS(Resultados!O112),ABS(Resultados!X112),ABS(Resultados!AG112),ABS(Resultados!AP112),ABS(Resultados!AY112),ABS(Resultados!BH112),ABS(Resultados!BZ112))/SQRT(COUNT(Resultados!F112,Resultados!O112,Resultados!X112,Resultados!AG112,Resultados!AP112,Resultados!AY112,Resultados!BH112,Resultados!BZ112)))</f>
        <v>21.440132539712767</v>
      </c>
      <c r="G112">
        <f>IF(COUNT(Resultados!G112,Resultados!P112,Resultados!Y112,Resultados!AH112,Resultados!AQ112,Resultados!AZ112,Resultados!BI112,Resultados!CA112)&lt;=1, "", _xlfn.STDEV.S(ABS(Resultados!G112),ABS(Resultados!P112),ABS(Resultados!Y112),ABS(Resultados!AH112),ABS(Resultados!AQ112),ABS(Resultados!AZ112),ABS(Resultados!BI112),ABS(Resultados!CA112))/SQRT(COUNT(Resultados!G112,Resultados!P112,Resultados!Y112,Resultados!AH112,Resultados!AQ112,Resultados!AZ112,Resultados!BI112,Resultados!CA112)))</f>
        <v>0</v>
      </c>
      <c r="H112">
        <f>IF(COUNT(Resultados!H112,Resultados!Q112,Resultados!Z112,Resultados!AI112,Resultados!AR112,Resultados!BA112,Resultados!BJ112,Resultados!CB112)&lt;=1, "", _xlfn.STDEV.S(ABS(Resultados!H112),ABS(Resultados!Q112),ABS(Resultados!Z112),ABS(Resultados!AI112),ABS(Resultados!AR112),ABS(Resultados!BA112),ABS(Resultados!BJ112),ABS(Resultados!CB112))/SQRT(COUNT(Resultados!H112,Resultados!Q112,Resultados!Z112,Resultados!AI112,Resultados!AR112,Resultados!BA112,Resultados!BJ112,Resultados!CB112)))</f>
        <v>8.5093173723194192E-4</v>
      </c>
      <c r="I112">
        <f>IF(COUNT(Resultados!I112,Resultados!R112,Resultados!AA112,Resultados!AJ112,Resultados!AS112,Resultados!BB112,Resultados!BK112,Resultados!CC112)&lt;=1, "", _xlfn.STDEV.S(ABS(Resultados!I112),ABS(Resultados!R112),ABS(Resultados!AA112),ABS(Resultados!AJ112),ABS(Resultados!AS112),ABS(Resultados!BB112),ABS(Resultados!BK112),ABS(Resultados!CC112))/SQRT(COUNT(Resultados!I112,Resultados!R112,Resultados!AA112,Resultados!AJ112,Resultados!AS112,Resultados!BB112,Resultados!BK112,Resultados!CC112)))</f>
        <v>6.5504974592986792E-2</v>
      </c>
    </row>
    <row r="113" spans="1:9" x14ac:dyDescent="0.3">
      <c r="A113">
        <f>IF(COUNT(Resultados!A113,Resultados!J113,Resultados!S113,Resultados!AB113,Resultados!AK113,Resultados!AT113,Resultados!BC113,Resultados!BU113)&lt;=1, "", _xlfn.STDEV.S(ABS(Resultados!A113),ABS(Resultados!J113),ABS(Resultados!S113),ABS(Resultados!AB113),ABS(Resultados!AK113),ABS(Resultados!AT113),ABS(Resultados!BC113),ABS(Resultados!BU113))/SQRT(COUNT(Resultados!A113,Resultados!J113,Resultados!S113,Resultados!AB113,Resultados!AK113,Resultados!AT113,Resultados!BC113,Resultados!BU113)))</f>
        <v>0</v>
      </c>
      <c r="B113" t="str">
        <f>IF(COUNT(Resultados!B113,Resultados!K113,Resultados!T113,Resultados!AC113,Resultados!AL113,Resultados!AU113,Resultados!BD113,Resultados!BV113)&lt;=1, "", _xlfn.STDEV.S(ABS(Resultados!B113),ABS(Resultados!K113),ABS(Resultados!T113),ABS(Resultados!AC113),ABS(Resultados!AL113),ABS(Resultados!AU113),ABS(Resultados!BD113),ABS(Resultados!BV113))/SQRT(COUNT(Resultados!B113,Resultados!K113,Resultados!T113,Resultados!AC113,Resultados!AL113,Resultados!AU113,Resultados!BD113,Resultados!BV113)))</f>
        <v/>
      </c>
      <c r="C113">
        <f>IF(COUNT(Resultados!C113,Resultados!L113,Resultados!U113,Resultados!AD113,Resultados!AM113,Resultados!AV113,Resultados!BE113,Resultados!BW113)&lt;=1, "", _xlfn.STDEV.S(ABS(Resultados!C113),ABS(Resultados!L113),ABS(Resultados!U113),ABS(Resultados!AD113),ABS(Resultados!AM113),ABS(Resultados!AV113),ABS(Resultados!BE113),ABS(Resultados!BW113))/SQRT(COUNT(Resultados!C113,Resultados!L113,Resultados!U113,Resultados!AD113,Resultados!AM113,Resultados!AV113,Resultados!BE113,Resultados!BW113)))</f>
        <v>0.71807033081725358</v>
      </c>
      <c r="D113">
        <f>IF(COUNT(Resultados!D113,Resultados!M113,Resultados!V113,Resultados!AE113,Resultados!AN113,Resultados!AW113,Resultados!BF113,Resultados!BX113)&lt;=1, "", _xlfn.STDEV.S(ABS(Resultados!D113),ABS(Resultados!M113),ABS(Resultados!V113),ABS(Resultados!AE113),ABS(Resultados!AN113),ABS(Resultados!AW113),ABS(Resultados!BF113),ABS(Resultados!BX113))/SQRT(COUNT(Resultados!D113,Resultados!M113,Resultados!V113,Resultados!AE113,Resultados!AN113,Resultados!AW113,Resultados!BF113,Resultados!BX113)))</f>
        <v>6.6708320320631664E-4</v>
      </c>
      <c r="E113">
        <f>IF(COUNT(Resultados!E113,Resultados!N113,Resultados!W113,Resultados!AF113,Resultados!AO113,Resultados!AX113,Resultados!BG113,Resultados!BY113)&lt;=1, "", _xlfn.STDEV.S(ABS(Resultados!E113),ABS(Resultados!N113),ABS(Resultados!W113),ABS(Resultados!AF113),ABS(Resultados!AO113),ABS(Resultados!AX113),ABS(Resultados!BG113),ABS(Resultados!BY113))/SQRT(COUNT(Resultados!E113,Resultados!N113,Resultados!W113,Resultados!AF113,Resultados!AO113,Resultados!AX113,Resultados!BG113,Resultados!BY113)))</f>
        <v>6.4567139545430752E-2</v>
      </c>
      <c r="F113">
        <f>IF(COUNT(Resultados!F113,Resultados!O113,Resultados!X113,Resultados!AG113,Resultados!AP113,Resultados!AY113,Resultados!BH113,Resultados!BZ113)&lt;=1, "", _xlfn.STDEV.S(ABS(Resultados!F113),ABS(Resultados!O113),ABS(Resultados!X113),ABS(Resultados!AG113),ABS(Resultados!AP113),ABS(Resultados!AY113),ABS(Resultados!BH113),ABS(Resultados!BZ113))/SQRT(COUNT(Resultados!F113,Resultados!O113,Resultados!X113,Resultados!AG113,Resultados!AP113,Resultados!AY113,Resultados!BH113,Resultados!BZ113)))</f>
        <v>22.733761953342231</v>
      </c>
      <c r="G113">
        <f>IF(COUNT(Resultados!G113,Resultados!P113,Resultados!Y113,Resultados!AH113,Resultados!AQ113,Resultados!AZ113,Resultados!BI113,Resultados!CA113)&lt;=1, "", _xlfn.STDEV.S(ABS(Resultados!G113),ABS(Resultados!P113),ABS(Resultados!Y113),ABS(Resultados!AH113),ABS(Resultados!AQ113),ABS(Resultados!AZ113),ABS(Resultados!BI113),ABS(Resultados!CA113))/SQRT(COUNT(Resultados!G113,Resultados!P113,Resultados!Y113,Resultados!AH113,Resultados!AQ113,Resultados!AZ113,Resultados!BI113,Resultados!CA113)))</f>
        <v>0</v>
      </c>
      <c r="H113">
        <f>IF(COUNT(Resultados!H113,Resultados!Q113,Resultados!Z113,Resultados!AI113,Resultados!AR113,Resultados!BA113,Resultados!BJ113,Resultados!CB113)&lt;=1, "", _xlfn.STDEV.S(ABS(Resultados!H113),ABS(Resultados!Q113),ABS(Resultados!Z113),ABS(Resultados!AI113),ABS(Resultados!AR113),ABS(Resultados!BA113),ABS(Resultados!BJ113),ABS(Resultados!CB113))/SQRT(COUNT(Resultados!H113,Resultados!Q113,Resultados!Z113,Resultados!AI113,Resultados!AR113,Resultados!BA113,Resultados!BJ113,Resultados!CB113)))</f>
        <v>9.9803378127768312E-4</v>
      </c>
      <c r="I113">
        <f>IF(COUNT(Resultados!I113,Resultados!R113,Resultados!AA113,Resultados!AJ113,Resultados!AS113,Resultados!BB113,Resultados!BK113,Resultados!CC113)&lt;=1, "", _xlfn.STDEV.S(ABS(Resultados!I113),ABS(Resultados!R113),ABS(Resultados!AA113),ABS(Resultados!AJ113),ABS(Resultados!AS113),ABS(Resultados!BB113),ABS(Resultados!BK113),ABS(Resultados!CC113))/SQRT(COUNT(Resultados!I113,Resultados!R113,Resultados!AA113,Resultados!AJ113,Resultados!AS113,Resultados!BB113,Resultados!BK113,Resultados!CC113)))</f>
        <v>6.5502990491986199E-2</v>
      </c>
    </row>
    <row r="114" spans="1:9" x14ac:dyDescent="0.3">
      <c r="A114">
        <f>IF(COUNT(Resultados!A114,Resultados!J114,Resultados!S114,Resultados!AB114,Resultados!AK114,Resultados!AT114,Resultados!BC114,Resultados!BU114)&lt;=1, "", _xlfn.STDEV.S(ABS(Resultados!A114),ABS(Resultados!J114),ABS(Resultados!S114),ABS(Resultados!AB114),ABS(Resultados!AK114),ABS(Resultados!AT114),ABS(Resultados!BC114),ABS(Resultados!BU114))/SQRT(COUNT(Resultados!A114,Resultados!J114,Resultados!S114,Resultados!AB114,Resultados!AK114,Resultados!AT114,Resultados!BC114,Resultados!BU114)))</f>
        <v>0</v>
      </c>
      <c r="B114" t="str">
        <f>IF(COUNT(Resultados!B114,Resultados!K114,Resultados!T114,Resultados!AC114,Resultados!AL114,Resultados!AU114,Resultados!BD114,Resultados!BV114)&lt;=1, "", _xlfn.STDEV.S(ABS(Resultados!B114),ABS(Resultados!K114),ABS(Resultados!T114),ABS(Resultados!AC114),ABS(Resultados!AL114),ABS(Resultados!AU114),ABS(Resultados!BD114),ABS(Resultados!BV114))/SQRT(COUNT(Resultados!B114,Resultados!K114,Resultados!T114,Resultados!AC114,Resultados!AL114,Resultados!AU114,Resultados!BD114,Resultados!BV114)))</f>
        <v/>
      </c>
      <c r="C114">
        <f>IF(COUNT(Resultados!C114,Resultados!L114,Resultados!U114,Resultados!AD114,Resultados!AM114,Resultados!AV114,Resultados!BE114,Resultados!BW114)&lt;=1, "", _xlfn.STDEV.S(ABS(Resultados!C114),ABS(Resultados!L114),ABS(Resultados!U114),ABS(Resultados!AD114),ABS(Resultados!AM114),ABS(Resultados!AV114),ABS(Resultados!BE114),ABS(Resultados!BW114))/SQRT(COUNT(Resultados!C114,Resultados!L114,Resultados!U114,Resultados!AD114,Resultados!AM114,Resultados!AV114,Resultados!BE114,Resultados!BW114)))</f>
        <v>0.71807033081725358</v>
      </c>
      <c r="D114">
        <f>IF(COUNT(Resultados!D114,Resultados!M114,Resultados!V114,Resultados!AE114,Resultados!AN114,Resultados!AW114,Resultados!BF114,Resultados!BX114)&lt;=1, "", _xlfn.STDEV.S(ABS(Resultados!D114),ABS(Resultados!M114),ABS(Resultados!V114),ABS(Resultados!AE114),ABS(Resultados!AN114),ABS(Resultados!AW114),ABS(Resultados!BF114),ABS(Resultados!BX114))/SQRT(COUNT(Resultados!D114,Resultados!M114,Resultados!V114,Resultados!AE114,Resultados!AN114,Resultados!AW114,Resultados!BF114,Resultados!BX114)))</f>
        <v>7.7275019064562982E-4</v>
      </c>
      <c r="E114">
        <f>IF(COUNT(Resultados!E114,Resultados!N114,Resultados!W114,Resultados!AF114,Resultados!AO114,Resultados!AX114,Resultados!BG114,Resultados!BY114)&lt;=1, "", _xlfn.STDEV.S(ABS(Resultados!E114),ABS(Resultados!N114),ABS(Resultados!W114),ABS(Resultados!AF114),ABS(Resultados!AO114),ABS(Resultados!AX114),ABS(Resultados!BG114),ABS(Resultados!BY114))/SQRT(COUNT(Resultados!E114,Resultados!N114,Resultados!W114,Resultados!AF114,Resultados!AO114,Resultados!AX114,Resultados!BG114,Resultados!BY114)))</f>
        <v>8.4395430880821187E-2</v>
      </c>
      <c r="F114">
        <f>IF(COUNT(Resultados!F114,Resultados!O114,Resultados!X114,Resultados!AG114,Resultados!AP114,Resultados!AY114,Resultados!BH114,Resultados!BZ114)&lt;=1, "", _xlfn.STDEV.S(ABS(Resultados!F114),ABS(Resultados!O114),ABS(Resultados!X114),ABS(Resultados!AG114),ABS(Resultados!AP114),ABS(Resultados!AY114),ABS(Resultados!BH114),ABS(Resultados!BZ114))/SQRT(COUNT(Resultados!F114,Resultados!O114,Resultados!X114,Resultados!AG114,Resultados!AP114,Resultados!AY114,Resultados!BH114,Resultados!BZ114)))</f>
        <v>26.615515866484262</v>
      </c>
      <c r="G114">
        <f>IF(COUNT(Resultados!G114,Resultados!P114,Resultados!Y114,Resultados!AH114,Resultados!AQ114,Resultados!AZ114,Resultados!BI114,Resultados!CA114)&lt;=1, "", _xlfn.STDEV.S(ABS(Resultados!G114),ABS(Resultados!P114),ABS(Resultados!Y114),ABS(Resultados!AH114),ABS(Resultados!AQ114),ABS(Resultados!AZ114),ABS(Resultados!BI114),ABS(Resultados!CA114))/SQRT(COUNT(Resultados!G114,Resultados!P114,Resultados!Y114,Resultados!AH114,Resultados!AQ114,Resultados!AZ114,Resultados!BI114,Resultados!CA114)))</f>
        <v>0</v>
      </c>
      <c r="H114">
        <f>IF(COUNT(Resultados!H114,Resultados!Q114,Resultados!Z114,Resultados!AI114,Resultados!AR114,Resultados!BA114,Resultados!BJ114,Resultados!CB114)&lt;=1, "", _xlfn.STDEV.S(ABS(Resultados!H114),ABS(Resultados!Q114),ABS(Resultados!Z114),ABS(Resultados!AI114),ABS(Resultados!AR114),ABS(Resultados!BA114),ABS(Resultados!BJ114),ABS(Resultados!CB114))/SQRT(COUNT(Resultados!H114,Resultados!Q114,Resultados!Z114,Resultados!AI114,Resultados!AR114,Resultados!BA114,Resultados!BJ114,Resultados!CB114)))</f>
        <v>1.3091709481303697E-3</v>
      </c>
      <c r="I114">
        <f>IF(COUNT(Resultados!I114,Resultados!R114,Resultados!AA114,Resultados!AJ114,Resultados!AS114,Resultados!BB114,Resultados!BK114,Resultados!CC114)&lt;=1, "", _xlfn.STDEV.S(ABS(Resultados!I114),ABS(Resultados!R114),ABS(Resultados!AA114),ABS(Resultados!AJ114),ABS(Resultados!AS114),ABS(Resultados!BB114),ABS(Resultados!BK114),ABS(Resultados!CC114))/SQRT(COUNT(Resultados!I114,Resultados!R114,Resultados!AA114,Resultados!AJ114,Resultados!AS114,Resultados!BB114,Resultados!BK114,Resultados!CC114)))</f>
        <v>6.5876395180398506E-2</v>
      </c>
    </row>
    <row r="115" spans="1:9" x14ac:dyDescent="0.3">
      <c r="A115">
        <f>IF(COUNT(Resultados!A115,Resultados!S115,Resultados!AB115,Resultados!AK115,Resultados!AT115,Resultados!BC115)&lt;=1, "", _xlfn.STDEV.S(ABS(Resultados!A115),ABS(Resultados!S115),ABS(Resultados!AB115),ABS(Resultados!AK115),ABS(Resultados!AT115),ABS(Resultados!BC115))/SQRT(COUNT(Resultados!A115,Resultados!S115,Resultados!AB115,Resultados!AK115,Resultados!AT115,Resultados!BC115)))</f>
        <v>0</v>
      </c>
      <c r="B115" t="str">
        <f>IF(COUNT(Resultados!B115,Resultados!T115,Resultados!AC115,Resultados!AL115,Resultados!AU115,Resultados!BD115)&lt;=1, "", _xlfn.STDEV.S(ABS(Resultados!B115),ABS(Resultados!T115),ABS(Resultados!AC115),ABS(Resultados!AL115),ABS(Resultados!AU115),ABS(Resultados!BD115))/SQRT(COUNT(Resultados!B115,Resultados!T115,Resultados!AC115,Resultados!AL115,Resultados!AU115,Resultados!BD115)))</f>
        <v/>
      </c>
      <c r="C115">
        <f>IF(COUNT(Resultados!C115,Resultados!U115,Resultados!AD115,Resultados!AM115,Resultados!AV115,Resultados!BE115)&lt;=1, "", _xlfn.STDEV.S(ABS(Resultados!C115),ABS(Resultados!U115),ABS(Resultados!AD115),ABS(Resultados!AM115),ABS(Resultados!AV115),ABS(Resultados!BE115))/SQRT(COUNT(Resultados!C115,Resultados!U115,Resultados!AD115,Resultados!AM115,Resultados!AV115,Resultados!BE115)))</f>
        <v>0.73029674334022154</v>
      </c>
      <c r="D115">
        <f>IF(COUNT(Resultados!D115,Resultados!V115,Resultados!AE115,Resultados!AN115,Resultados!AW115,Resultados!BF115)&lt;=1, "", _xlfn.STDEV.S(ABS(Resultados!D115),ABS(Resultados!V115),ABS(Resultados!AE115),ABS(Resultados!AN115),ABS(Resultados!AW115),ABS(Resultados!BF115))/SQRT(COUNT(Resultados!D115,Resultados!V115,Resultados!AE115,Resultados!AN115,Resultados!AW115,Resultados!BF115)))</f>
        <v>6.944622219946725E-4</v>
      </c>
      <c r="E115">
        <f>IF(COUNT(Resultados!E115,Resultados!W115,Resultados!AF115,Resultados!AO115,Resultados!AX115,Resultados!BG115)&lt;=1, "", _xlfn.STDEV.S(ABS(Resultados!E115),ABS(Resultados!W115),ABS(Resultados!AF115),ABS(Resultados!AO115),ABS(Resultados!AX115),ABS(Resultados!BG115))/SQRT(COUNT(Resultados!E115,Resultados!W115,Resultados!AF115,Resultados!AO115,Resultados!AX115,Resultados!BG115)))</f>
        <v>0.10382080921741287</v>
      </c>
      <c r="F115">
        <f>IF(COUNT(Resultados!F115,Resultados!X115,Resultados!AG115,Resultados!AP115,Resultados!AY115,Resultados!BH115)&lt;=1, "", _xlfn.STDEV.S(ABS(Resultados!F115),ABS(Resultados!X115),ABS(Resultados!AG115),ABS(Resultados!AP115),ABS(Resultados!AY115),ABS(Resultados!BH115))/SQRT(COUNT(Resultados!F115,Resultados!X115,Resultados!AG115,Resultados!AP115,Resultados!AY115,Resultados!BH115)))</f>
        <v>31.396477757688494</v>
      </c>
      <c r="G115">
        <f>IF(COUNT(Resultados!G115,Resultados!Y115,Resultados!AH115,Resultados!AQ115,Resultados!AZ115,Resultados!BI115)&lt;=1, "", _xlfn.STDEV.S(ABS(Resultados!G115),ABS(Resultados!Y115),ABS(Resultados!AH115),ABS(Resultados!AQ115),ABS(Resultados!AZ115),ABS(Resultados!BI115))/SQRT(COUNT(Resultados!G115,Resultados!Y115,Resultados!AH115,Resultados!AQ115,Resultados!AZ115,Resultados!BI115)))</f>
        <v>0</v>
      </c>
      <c r="H115">
        <f>IF(COUNT(Resultados!H115,Resultados!Z115,Resultados!AI115,Resultados!AR115,Resultados!BA115,Resultados!BJ115)&lt;=1, "", _xlfn.STDEV.S(ABS(Resultados!H115),ABS(Resultados!Z115),ABS(Resultados!AI115),ABS(Resultados!AR115),ABS(Resultados!BA115),ABS(Resultados!BJ115))/SQRT(COUNT(Resultados!H115,Resultados!Z115,Resultados!AI115,Resultados!AR115,Resultados!BA115,Resultados!BJ115)))</f>
        <v>1.6128649457822976E-3</v>
      </c>
      <c r="I115">
        <f>IF(COUNT(Resultados!I115,Resultados!AA115,Resultados!AJ115,Resultados!AS115,Resultados!BB115,Resultados!BK115)&lt;=1, "", _xlfn.STDEV.S(ABS(Resultados!I115),ABS(Resultados!AA115),ABS(Resultados!AJ115),ABS(Resultados!AS115),ABS(Resultados!BB115),ABS(Resultados!BK115))/SQRT(COUNT(Resultados!I115,Resultados!AA115,Resultados!AJ115,Resultados!AS115,Resultados!BB115,Resultados!BK115)))</f>
        <v>9.8646394313424857E-4</v>
      </c>
    </row>
    <row r="116" spans="1:9" x14ac:dyDescent="0.3">
      <c r="A116">
        <f>IF(COUNT(Resultados!A116,Resultados!S116,Resultados!AB116,Resultados!AK116,Resultados!AT116,Resultados!BC116)&lt;=1, "", _xlfn.STDEV.S(ABS(Resultados!A116),ABS(Resultados!S116),ABS(Resultados!AB116),ABS(Resultados!AK116),ABS(Resultados!AT116),ABS(Resultados!BC116))/SQRT(COUNT(Resultados!A116,Resultados!S116,Resultados!AB116,Resultados!AK116,Resultados!AT116,Resultados!BC116)))</f>
        <v>0</v>
      </c>
      <c r="B116" t="str">
        <f>IF(COUNT(Resultados!B116,Resultados!T116,Resultados!AC116,Resultados!AL116,Resultados!AU116,Resultados!BD116)&lt;=1, "", _xlfn.STDEV.S(ABS(Resultados!B116),ABS(Resultados!T116),ABS(Resultados!AC116),ABS(Resultados!AL116),ABS(Resultados!AU116),ABS(Resultados!BD116))/SQRT(COUNT(Resultados!B116,Resultados!T116,Resultados!AC116,Resultados!AL116,Resultados!AU116,Resultados!BD116)))</f>
        <v/>
      </c>
      <c r="C116">
        <f>IF(COUNT(Resultados!C116,Resultados!U116,Resultados!AD116,Resultados!AM116,Resultados!AV116,Resultados!BE116)&lt;=1, "", _xlfn.STDEV.S(ABS(Resultados!C116),ABS(Resultados!U116),ABS(Resultados!AD116),ABS(Resultados!AM116),ABS(Resultados!AV116),ABS(Resultados!BE116))/SQRT(COUNT(Resultados!C116,Resultados!U116,Resultados!AD116,Resultados!AM116,Resultados!AV116,Resultados!BE116)))</f>
        <v>0.73029674334022154</v>
      </c>
      <c r="D116">
        <f>IF(COUNT(Resultados!D116,Resultados!V116,Resultados!AE116,Resultados!AN116,Resultados!AW116,Resultados!BF116)&lt;=1, "", _xlfn.STDEV.S(ABS(Resultados!D116),ABS(Resultados!V116),ABS(Resultados!AE116),ABS(Resultados!AN116),ABS(Resultados!AW116),ABS(Resultados!BF116))/SQRT(COUNT(Resultados!D116,Resultados!V116,Resultados!AE116,Resultados!AN116,Resultados!AW116,Resultados!BF116)))</f>
        <v>1.2609520212918501E-3</v>
      </c>
      <c r="E116">
        <f>IF(COUNT(Resultados!E116,Resultados!W116,Resultados!AF116,Resultados!AO116,Resultados!AX116,Resultados!BG116)&lt;=1, "", _xlfn.STDEV.S(ABS(Resultados!E116),ABS(Resultados!W116),ABS(Resultados!AF116),ABS(Resultados!AO116),ABS(Resultados!AX116),ABS(Resultados!BG116))/SQRT(COUNT(Resultados!E116,Resultados!W116,Resultados!AF116,Resultados!AO116,Resultados!AX116,Resultados!BG116)))</f>
        <v>0.11807953445017254</v>
      </c>
      <c r="F116">
        <f>IF(COUNT(Resultados!F116,Resultados!X116,Resultados!AG116,Resultados!AP116,Resultados!AY116,Resultados!BH116)&lt;=1, "", _xlfn.STDEV.S(ABS(Resultados!F116),ABS(Resultados!X116),ABS(Resultados!AG116),ABS(Resultados!AP116),ABS(Resultados!AY116),ABS(Resultados!BH116))/SQRT(COUNT(Resultados!F116,Resultados!X116,Resultados!AG116,Resultados!AP116,Resultados!AY116,Resultados!BH116)))</f>
        <v>32.749675150123082</v>
      </c>
      <c r="G116">
        <f>IF(COUNT(Resultados!G116,Resultados!Y116,Resultados!AH116,Resultados!AQ116,Resultados!AZ116,Resultados!BI116)&lt;=1, "", _xlfn.STDEV.S(ABS(Resultados!G116),ABS(Resultados!Y116),ABS(Resultados!AH116),ABS(Resultados!AQ116),ABS(Resultados!AZ116),ABS(Resultados!BI116))/SQRT(COUNT(Resultados!G116,Resultados!Y116,Resultados!AH116,Resultados!AQ116,Resultados!AZ116,Resultados!BI116)))</f>
        <v>0</v>
      </c>
      <c r="H116">
        <f>IF(COUNT(Resultados!H116,Resultados!Z116,Resultados!AI116,Resultados!AR116,Resultados!BA116,Resultados!BJ116)&lt;=1, "", _xlfn.STDEV.S(ABS(Resultados!H116),ABS(Resultados!Z116),ABS(Resultados!AI116),ABS(Resultados!AR116),ABS(Resultados!BA116),ABS(Resultados!BJ116))/SQRT(COUNT(Resultados!H116,Resultados!Z116,Resultados!AI116,Resultados!AR116,Resultados!BA116,Resultados!BJ116)))</f>
        <v>1.8289189277943532E-3</v>
      </c>
      <c r="I116">
        <f>IF(COUNT(Resultados!I116,Resultados!AA116,Resultados!AJ116,Resultados!AS116,Resultados!BB116,Resultados!BK116)&lt;=1, "", _xlfn.STDEV.S(ABS(Resultados!I116),ABS(Resultados!AA116),ABS(Resultados!AJ116),ABS(Resultados!AS116),ABS(Resultados!BB116),ABS(Resultados!BK116))/SQRT(COUNT(Resultados!I116,Resultados!AA116,Resultados!AJ116,Resultados!AS116,Resultados!BB116,Resultados!BK116)))</f>
        <v>6.7053046993412408E-4</v>
      </c>
    </row>
    <row r="117" spans="1:9" x14ac:dyDescent="0.3">
      <c r="A117">
        <f>IF(COUNT(Resultados!A117,Resultados!S117)&lt;=1, "", _xlfn.STDEV.S(ABS(Resultados!A117),ABS(Resultados!S117))/SQRT(COUNT(Resultados!A117,Resultados!S117)))</f>
        <v>0</v>
      </c>
      <c r="B117" t="str">
        <f>IF(COUNT(Resultados!B117,Resultados!T117)&lt;=1, "", _xlfn.STDEV.S(ABS(Resultados!B117),ABS(Resultados!T117))/SQRT(COUNT(Resultados!B117,Resultados!T117)))</f>
        <v/>
      </c>
      <c r="C117">
        <f>IF(COUNT(Resultados!C117,Resultados!U117)&lt;=1, "", _xlfn.STDEV.S(ABS(Resultados!C117),ABS(Resultados!U117))/SQRT(COUNT(Resultados!C117,Resultados!U117)))</f>
        <v>1</v>
      </c>
      <c r="D117">
        <f>IF(COUNT(Resultados!D117,Resultados!V117)&lt;=1, "", _xlfn.STDEV.S(ABS(Resultados!D117),ABS(Resultados!V117))/SQRT(COUNT(Resultados!D117,Resultados!V117)))</f>
        <v>2.0000000000000052E-4</v>
      </c>
      <c r="E117">
        <f>IF(COUNT(Resultados!E117,Resultados!W117)&lt;=1, "", _xlfn.STDEV.S(ABS(Resultados!E117),ABS(Resultados!W117))/SQRT(COUNT(Resultados!E117,Resultados!W117)))</f>
        <v>8.4925848579775465E-4</v>
      </c>
      <c r="F117">
        <f>IF(COUNT(Resultados!F117,Resultados!X117)&lt;=1, "", _xlfn.STDEV.S(ABS(Resultados!F117),ABS(Resultados!X117))/SQRT(COUNT(Resultados!F117,Resultados!X117)))</f>
        <v>8.0594630302186943E-2</v>
      </c>
      <c r="G117">
        <f>IF(COUNT(Resultados!G117,Resultados!Y117)&lt;=1, "", _xlfn.STDEV.S(ABS(Resultados!G117),ABS(Resultados!Y117))/SQRT(COUNT(Resultados!G117,Resultados!Y117)))</f>
        <v>0</v>
      </c>
      <c r="H117">
        <f>IF(COUNT(Resultados!H117,Resultados!Z117)&lt;=1, "", _xlfn.STDEV.S(ABS(Resultados!H117),ABS(Resultados!Z117))/SQRT(COUNT(Resultados!H117,Resultados!Z117)))</f>
        <v>4.9999999999999691E-5</v>
      </c>
      <c r="I117">
        <f>IF(COUNT(Resultados!I117,Resultados!AA117)&lt;=1, "", _xlfn.STDEV.S(ABS(Resultados!I117),ABS(Resultados!AA117))/SQRT(COUNT(Resultados!I117,Resultados!AA117)))</f>
        <v>9.9999999989108801E-5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2025-03-11T04:02:11Z</dcterms:modified>
</cp:coreProperties>
</file>